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 state="visible" name="CMC-Vellore" sheetId="2" r:id="rId6"/>
    <sheet state="visible" name="RE-ANALYSIS" sheetId="3" r:id="rId7"/>
    <sheet state="visible" name="Sheet1" sheetId="4" r:id="rId8"/>
    <sheet state="hidden" name="TAT_HELPER" sheetId="5" r:id="rId9"/>
  </sheets>
  <definedNames/>
  <calcPr/>
</workbook>
</file>

<file path=xl/sharedStrings.xml><?xml version="1.0" encoding="utf-8"?>
<sst xmlns="http://schemas.openxmlformats.org/spreadsheetml/2006/main" count="40329" uniqueCount="14529">
  <si>
    <t>SAMPLE NAME</t>
  </si>
  <si>
    <t>f</t>
  </si>
  <si>
    <t>inakaran</t>
  </si>
  <si>
    <t>ANDERSON ID</t>
  </si>
  <si>
    <t>CLIENT</t>
  </si>
  <si>
    <t>FREEDOM DATE</t>
  </si>
  <si>
    <t>RECEIVED DATE</t>
  </si>
  <si>
    <t>Sample_Name</t>
  </si>
  <si>
    <t>RUN</t>
  </si>
  <si>
    <t>Test</t>
  </si>
  <si>
    <t>Gen_ID</t>
  </si>
  <si>
    <t>Anderson_ID</t>
  </si>
  <si>
    <t>Client</t>
  </si>
  <si>
    <t>RAW DATA RECEIVED DATE</t>
  </si>
  <si>
    <t>ANALYZE BY</t>
  </si>
  <si>
    <t>S.No</t>
  </si>
  <si>
    <t>ANALYZE DATE</t>
  </si>
  <si>
    <t>REVIEWER</t>
  </si>
  <si>
    <t>FINAL REVIEW</t>
  </si>
  <si>
    <t>REMARK</t>
  </si>
  <si>
    <t>REPORT RELEASE DATE</t>
  </si>
  <si>
    <t>History writeup</t>
  </si>
  <si>
    <t>BABY.TAMILARASI (1Y|F)</t>
  </si>
  <si>
    <r>
      <rPr>
        <rFont val="Arial"/>
        <color theme="1"/>
      </rPr>
      <t xml:space="preserve">Mr. Prathik Singh </t>
    </r>
    <r>
      <rPr>
        <rFont val="Arial"/>
        <b/>
        <color theme="1"/>
      </rPr>
      <t>(husband of komal singh - AND25420002073)</t>
    </r>
  </si>
  <si>
    <t>AND25020015503</t>
  </si>
  <si>
    <t>CHIEF MINISTERS COMPREHENSIVE HEALTH INSURANCE SCHEME</t>
  </si>
  <si>
    <t>Gender</t>
  </si>
  <si>
    <t>CONDITION</t>
  </si>
  <si>
    <t>20-05-2025</t>
  </si>
  <si>
    <t>Gen_id</t>
  </si>
  <si>
    <t>Anderson Id</t>
  </si>
  <si>
    <t>28-07-2025</t>
  </si>
  <si>
    <t>RUN 6</t>
  </si>
  <si>
    <t>TAT (30 days)</t>
  </si>
  <si>
    <t>Bioinfo Analysis time</t>
  </si>
  <si>
    <t>PRIMARY REVIWER (PRATHEEBA/NAVEEN)</t>
  </si>
  <si>
    <r>
      <rPr>
        <rFont val="Arial"/>
        <color theme="1"/>
      </rPr>
      <t xml:space="preserve">                              </t>
    </r>
    <r>
      <rPr>
        <rFont val="Arial"/>
        <color rgb="FF93C47D"/>
      </rPr>
      <t xml:space="preserve">    </t>
    </r>
    <r>
      <rPr>
        <rFont val="Arial"/>
        <color rgb="FF6AA84F"/>
      </rPr>
      <t xml:space="preserve">  </t>
    </r>
  </si>
  <si>
    <t>Writeup Available</t>
  </si>
  <si>
    <t>MS.CHI-1(0YO)</t>
  </si>
  <si>
    <t>MISS.MOUSIKA (11Y|F)</t>
  </si>
  <si>
    <t>hyperinsulinemia</t>
  </si>
  <si>
    <t>AND25020014248</t>
  </si>
  <si>
    <t>GEN_T_2.0.spik_1149</t>
  </si>
  <si>
    <t>AND-TP-166-LIB-22</t>
  </si>
  <si>
    <t>CMC</t>
  </si>
  <si>
    <t>27-05-2025</t>
  </si>
  <si>
    <t>Thiruvendhan - CMC</t>
  </si>
  <si>
    <t>S.NO</t>
  </si>
  <si>
    <t>MS.CHI-4(0YO)</t>
  </si>
  <si>
    <t>GEN_T_2.0.spik_1150</t>
  </si>
  <si>
    <t>AND-TP-166-LIB-23</t>
  </si>
  <si>
    <t>Diwakar</t>
  </si>
  <si>
    <t>MASTER.SIDDHARTH (8Y|M)</t>
  </si>
  <si>
    <t>AND25020014496</t>
  </si>
  <si>
    <t>28-05-2025</t>
  </si>
  <si>
    <t>26-05-2025</t>
  </si>
  <si>
    <t>TEST</t>
  </si>
  <si>
    <t>MS.CHI-6(0YO)</t>
  </si>
  <si>
    <t>GENID</t>
  </si>
  <si>
    <t>GEN_T_2.0.spik_1151</t>
  </si>
  <si>
    <t>AND-TP-166-LIB-24</t>
  </si>
  <si>
    <t>Dhanshika_9234064</t>
  </si>
  <si>
    <t>NGS Data Reanalysis</t>
  </si>
  <si>
    <t>MS.CHI-7(0YO)</t>
  </si>
  <si>
    <t>GEN_T_2.0.spik_1152</t>
  </si>
  <si>
    <t>AND25630002113</t>
  </si>
  <si>
    <t>AND-TP-167-LIB-25</t>
  </si>
  <si>
    <t>ANALYZE BY (DIKSHA/VAMSHI)</t>
  </si>
  <si>
    <t>Dr.SUDHA RATHNA PRABHU MBBS,DNB,PH.D.,</t>
  </si>
  <si>
    <t>BABY.YADHU NANDHAN (2Y|M)</t>
  </si>
  <si>
    <t>AND25020014497</t>
  </si>
  <si>
    <t>30-08-2025</t>
  </si>
  <si>
    <t>MS.CHI-9(0YO)</t>
  </si>
  <si>
    <t>GEN_T_2.0.spik_1153</t>
  </si>
  <si>
    <t>History Writeup</t>
  </si>
  <si>
    <t>AND-TP-167-LIB-26</t>
  </si>
  <si>
    <t>MS.CHI-10(0YO)</t>
  </si>
  <si>
    <t>MISS.SUJITHA RENY (8Y|F)</t>
  </si>
  <si>
    <t>MS. NIRANJANA ( 0Y|F )</t>
  </si>
  <si>
    <t>GEN_T_2.0.spik_1154</t>
  </si>
  <si>
    <t>WES</t>
  </si>
  <si>
    <t>AND-TP-167-LIB-27</t>
  </si>
  <si>
    <t>GEN_T_2.0.spik_1070</t>
  </si>
  <si>
    <t>MISS.SRI SIVASANKARI (8Y|F)</t>
  </si>
  <si>
    <t>AND25630002836</t>
  </si>
  <si>
    <t>AND25020014499</t>
  </si>
  <si>
    <t>AND25020009516</t>
  </si>
  <si>
    <t>30-09-2025</t>
  </si>
  <si>
    <t>MS.CHI-11(0YO)</t>
  </si>
  <si>
    <t>Sent for review</t>
  </si>
  <si>
    <t>GEN_T_2.0.spik_1156</t>
  </si>
  <si>
    <t>AND-TP-167-LIB-28</t>
  </si>
  <si>
    <t>26-06-2025</t>
  </si>
  <si>
    <t>BABY. SIDDHARTHAN ( 7M|M )</t>
  </si>
  <si>
    <t>Writeup availble</t>
  </si>
  <si>
    <t>BABY.HANISHA (1Y|F)</t>
  </si>
  <si>
    <t>AND25020014500</t>
  </si>
  <si>
    <t>AND25630003090</t>
  </si>
  <si>
    <t>29-05-2026</t>
  </si>
  <si>
    <t>16-10-2025</t>
  </si>
  <si>
    <t>Pratheeba</t>
  </si>
  <si>
    <t>MS.CHI-12(0YO)</t>
  </si>
  <si>
    <t>GEN_T_2.0.spik_1157</t>
  </si>
  <si>
    <t>AND-TP-167-LIB-29</t>
  </si>
  <si>
    <t>karimunnisa</t>
  </si>
  <si>
    <t>BABY.VARSHIT (4M|M)</t>
  </si>
  <si>
    <t>AND25020014502</t>
  </si>
  <si>
    <t>MS.CHI-13(0YO)</t>
  </si>
  <si>
    <t>SURFSeq - Run - 4 Lane - 02(Repeat samples)</t>
  </si>
  <si>
    <t>AND25420003967</t>
  </si>
  <si>
    <t>16-05-2025</t>
  </si>
  <si>
    <t>GEN_T_2.0.spik_1158</t>
  </si>
  <si>
    <t>Dr.DR. KAVYA REDDY .</t>
  </si>
  <si>
    <t>AND-TP-167-LIB-30</t>
  </si>
  <si>
    <t>14-10-2025</t>
  </si>
  <si>
    <t>13-11-2025</t>
  </si>
  <si>
    <t>MS.CHI-14(0YO)</t>
  </si>
  <si>
    <t>Baby Hamirish</t>
  </si>
  <si>
    <t>GEN_T_2.0.spik_1159</t>
  </si>
  <si>
    <t>AND-TP-167-LIB-31</t>
  </si>
  <si>
    <t>BABY.JESSICA (1Y|F)</t>
  </si>
  <si>
    <t>AND25020016089</t>
  </si>
  <si>
    <t>AND25630003263</t>
  </si>
  <si>
    <t>29-05-2025</t>
  </si>
  <si>
    <t>30-10-2025</t>
  </si>
  <si>
    <t>MS.CHI-16(0YO)</t>
  </si>
  <si>
    <t>GEN_T_2.0.spik_1160</t>
  </si>
  <si>
    <t>AND-TP-167-LIB-32</t>
  </si>
  <si>
    <t>History available in TRF,Writeup not available</t>
  </si>
  <si>
    <t>SURFseq- Run-5_Lane 3</t>
  </si>
  <si>
    <t>hema gowrish</t>
  </si>
  <si>
    <t>MS.SURUTHI ABIRAMI B (31Y|F)</t>
  </si>
  <si>
    <t>MASTER.SAMARTH SHRIVAS (11Y|M)</t>
  </si>
  <si>
    <t>GEN_T_2.0.spik_1035A</t>
  </si>
  <si>
    <t>AND25630000341</t>
  </si>
  <si>
    <t>AND25750003076</t>
  </si>
  <si>
    <t>31/05/2025</t>
  </si>
  <si>
    <t>DR.RAJE PATHOLOGY - MADHYA PRADESH .,</t>
  </si>
  <si>
    <t>31-05-2025</t>
  </si>
  <si>
    <t>Baby M. Aadhil Sheriff</t>
  </si>
  <si>
    <t>MS.CHI-19(0YO)</t>
  </si>
  <si>
    <t>MISS.THANIGAIVEDHA D/O SANDHYA MUTHULINGAM (30Y|F)</t>
  </si>
  <si>
    <t>GEN_T_2.0.spik_1161</t>
  </si>
  <si>
    <t>AND-TP-168-LIB-12</t>
  </si>
  <si>
    <t>GEN_T_2.0.spik_1040A</t>
  </si>
  <si>
    <t>AND25380023404</t>
  </si>
  <si>
    <t>MRS.SANGEETHA G R (35Y|F)</t>
  </si>
  <si>
    <t>AND251R0004594</t>
  </si>
  <si>
    <t>AIKYA FERTILITY AND RESEARCH CENTER - BANGALORE</t>
  </si>
  <si>
    <t>A4 FERTILITY CENTRE - (A UNIT OF A4 HOSPITAL) - CHENNAI</t>
  </si>
  <si>
    <t>MS.CHI-21(0YO)</t>
  </si>
  <si>
    <t>GEN_T_2.0.spik_1162</t>
  </si>
  <si>
    <t>AND-TP-168-LIB-13</t>
  </si>
  <si>
    <t>Kavineeth</t>
  </si>
  <si>
    <r>
      <rPr>
        <rFont val="Arial"/>
        <color theme="1"/>
      </rPr>
      <t xml:space="preserve">                                                   </t>
    </r>
    <r>
      <rPr>
        <rFont val="Arial"/>
        <color rgb="FF6AA84F"/>
      </rPr>
      <t>Writeup available</t>
    </r>
  </si>
  <si>
    <t>MS.CHI-24(0YO)</t>
  </si>
  <si>
    <t>GEN_T_2.0.spik_1163</t>
  </si>
  <si>
    <t>AND-TP-168-LIB-14</t>
  </si>
  <si>
    <t>MR.MRK (0Y|M)</t>
  </si>
  <si>
    <t>AND25630000933</t>
  </si>
  <si>
    <t>ADSL</t>
  </si>
  <si>
    <t>MS.CHI-35(0YO)</t>
  </si>
  <si>
    <t xml:space="preserve">Mr. Vara Prasad Noojella (wes done @And for couple  on 29-06-2023) </t>
  </si>
  <si>
    <t>GEN_T_2.0.spik_1164</t>
  </si>
  <si>
    <t>AND-TP-168-LIB-15</t>
  </si>
  <si>
    <t>SURFSeq - Run - 4 Lane - 03</t>
  </si>
  <si>
    <t>MS.CHI-36(0YO)</t>
  </si>
  <si>
    <t>GEN_T_2.0.spik_1165</t>
  </si>
  <si>
    <t>AND-TP-168-LIB-16</t>
  </si>
  <si>
    <t>MR.ABHIJITH A (24Y|M)</t>
  </si>
  <si>
    <t>AND25380048667</t>
  </si>
  <si>
    <t xml:space="preserve">Mrs. Haritha Noojella (wes done @And for couple  on 29-06-2023) </t>
  </si>
  <si>
    <t>MEITRA HOSPITAL - KOZHIKODE</t>
  </si>
  <si>
    <t>Hedge Healthcare Pvt Ltd</t>
  </si>
  <si>
    <t>MS.CHI-37(0YO)</t>
  </si>
  <si>
    <t>GEN_T_2.0.spik_1166</t>
  </si>
  <si>
    <t>AND-TP-168-LIB-17</t>
  </si>
  <si>
    <t>Baby.Divina</t>
  </si>
  <si>
    <t>MISS.KAJAL BASFORE (19Y|F)</t>
  </si>
  <si>
    <t>AND25020016338</t>
  </si>
  <si>
    <t>DR.DEEPAK ARJUNDAS MD (MED) D.M (NEURO) FRCP</t>
  </si>
  <si>
    <t>AND25630003953</t>
  </si>
  <si>
    <t>MS.CHI-38(0YO)</t>
  </si>
  <si>
    <t>MS.SURUTHI ABIRAMI B(31YF)</t>
  </si>
  <si>
    <t>GEN_T_2.0.spik_1167</t>
  </si>
  <si>
    <t>AND-TP-168-LIB-18</t>
  </si>
  <si>
    <t>VAMSHI</t>
  </si>
  <si>
    <t>MS.CHI-42(0YO)</t>
  </si>
  <si>
    <t>MRS.AMMU (26Y|F)</t>
  </si>
  <si>
    <t>Irshad Ahmed Sait</t>
  </si>
  <si>
    <t>AND25370007387</t>
  </si>
  <si>
    <t>GEN_T_2.0.spik_1168</t>
  </si>
  <si>
    <t>AND-TP-168-LIB-19</t>
  </si>
  <si>
    <t>BALARAMAN V DM.DIP (NB)</t>
  </si>
  <si>
    <t>30-05-2025</t>
  </si>
  <si>
    <t>31.05.2025</t>
  </si>
  <si>
    <t>MS.CHI-58(0YO)</t>
  </si>
  <si>
    <t>GEN_T_2.0.spik_1178</t>
  </si>
  <si>
    <t>AND-TP-171-LIB-20</t>
  </si>
  <si>
    <t xml:space="preserve">Mrs. Sapna Pal </t>
  </si>
  <si>
    <t>MS.CHI-60(0YO)</t>
  </si>
  <si>
    <t>AND25100002156</t>
  </si>
  <si>
    <t>GEN_T_2.0.spik_1179</t>
  </si>
  <si>
    <t>MRS.SAVITA BAI LODHI (26Y|F)</t>
  </si>
  <si>
    <t>AND-TP-171-LIB-21</t>
  </si>
  <si>
    <t>AND25AE0000101</t>
  </si>
  <si>
    <t>: Hospital/Clinic: ANDERSON LABS - PRAYAGRAJ</t>
  </si>
  <si>
    <t>DR. D PANKAR BANERJI – JABALPUR</t>
  </si>
  <si>
    <t>22-05-2025</t>
  </si>
  <si>
    <t xml:space="preserve">Diwakar / Franklin </t>
  </si>
  <si>
    <t>24-12-2025</t>
  </si>
  <si>
    <t>23-05-2025</t>
  </si>
  <si>
    <t>Sent to sir</t>
  </si>
  <si>
    <t>MS.CHI-61(0YO)</t>
  </si>
  <si>
    <t xml:space="preserve"> Dhashvin</t>
  </si>
  <si>
    <t>GEN_T_2.0.spik_1180</t>
  </si>
  <si>
    <t>AND-TP-171-LIB-22</t>
  </si>
  <si>
    <t>MRS.SONAL PATEL (31Y|F)</t>
  </si>
  <si>
    <t>AND25AE0000107</t>
  </si>
  <si>
    <t>MS.CHI-62(0YO)</t>
  </si>
  <si>
    <t>GEN_T_2.0.spik_1181</t>
  </si>
  <si>
    <t>AND-TP-171-LIB-23</t>
  </si>
  <si>
    <t>Puzhalenthi</t>
  </si>
  <si>
    <t>BABY.PENCHALA MEDHANSH (1Y|M)</t>
  </si>
  <si>
    <t>MS.CHI-63(0YO)</t>
  </si>
  <si>
    <t>GEN_T_2.0.spik_1055</t>
  </si>
  <si>
    <t>AND25630000386</t>
  </si>
  <si>
    <t>GEN_T_2.0.spik_1182</t>
  </si>
  <si>
    <t>DR.SUDHA RATHNA PRABHU MBBS,DNB,PHD</t>
  </si>
  <si>
    <t>AND-TP-171-LIB-24</t>
  </si>
  <si>
    <t>BABY OF.NANTHINI (6D|M)</t>
  </si>
  <si>
    <t>AND25970002993</t>
  </si>
  <si>
    <t>TINY HEARTS - THANJAVUR</t>
  </si>
  <si>
    <t>Master.Sharvesh Durai</t>
  </si>
  <si>
    <t>DIKSHA</t>
  </si>
  <si>
    <t>14/06/2025</t>
  </si>
  <si>
    <t>PRATHEEBA</t>
  </si>
  <si>
    <t>AND23380049769</t>
  </si>
  <si>
    <t>SURFseq- Run-5_Lane 4</t>
  </si>
  <si>
    <r>
      <rPr>
        <rFont val="Arial"/>
        <color rgb="FF38761D"/>
      </rPr>
      <t xml:space="preserve">                                                      </t>
    </r>
    <r>
      <rPr>
        <rFont val="Arial"/>
        <color rgb="FF38761D"/>
      </rPr>
      <t>Writeup available</t>
    </r>
  </si>
  <si>
    <t>MR.VAMARAJU VENKATA PHANI CHANDRA (42Y|M)</t>
  </si>
  <si>
    <t>Baby.Dhakshith</t>
  </si>
  <si>
    <t>AND25420001089</t>
  </si>
  <si>
    <t>HEGDE HEALTHCARE PVT LTD</t>
  </si>
  <si>
    <t>MRS.GAYATHRI G (34Y|F)</t>
  </si>
  <si>
    <t>AND26620048528</t>
  </si>
  <si>
    <t>GEN_T_2.0.spik_1080</t>
  </si>
  <si>
    <t>AND25020010300</t>
  </si>
  <si>
    <t>22/06/2025</t>
  </si>
  <si>
    <t>MS.CHI-44(0YO)</t>
  </si>
  <si>
    <t>Mr.Kowshik Mahadev</t>
  </si>
  <si>
    <t>GEN_T_2.0.spik_1169</t>
  </si>
  <si>
    <t>AND-TP-169-17</t>
  </si>
  <si>
    <t>AND21380069107</t>
  </si>
  <si>
    <t>BABY.PRASANN T (1Y|F)</t>
  </si>
  <si>
    <t>AND251H0000950</t>
  </si>
  <si>
    <t>A ONE HOSPITAL &amp; IVF CLINIC- SRIKAKULAM</t>
  </si>
  <si>
    <t>MS.CHI-46(0YO)</t>
  </si>
  <si>
    <t>GEN_T_2.0.spik_1170</t>
  </si>
  <si>
    <t>MR.MANIKANDAN M (43Y|M)</t>
  </si>
  <si>
    <t>AND-TP-169-18</t>
  </si>
  <si>
    <t>GEN_T_2.0.spik_1081</t>
  </si>
  <si>
    <t>Baby.Sakthi S</t>
  </si>
  <si>
    <t>AND25020010303</t>
  </si>
  <si>
    <t>AND25630002737</t>
  </si>
  <si>
    <t>MS.CHI-48(0YO)</t>
  </si>
  <si>
    <t>BABY.SUNITHA K (3Y|F)</t>
  </si>
  <si>
    <t>GEN_T_2.0.spik_1171</t>
  </si>
  <si>
    <t>AND251H0000973</t>
  </si>
  <si>
    <t>AND-TP-169-19</t>
  </si>
  <si>
    <t>MEDICOVER HOSPITAL - SRIKAKULAM</t>
  </si>
  <si>
    <r>
      <rPr>
        <rFont val="Arial"/>
        <color rgb="FF38761D"/>
      </rPr>
      <t xml:space="preserve">                                                     </t>
    </r>
    <r>
      <rPr>
        <rFont val="Arial"/>
        <color rgb="FF38761D"/>
      </rPr>
      <t xml:space="preserve">   Writeup available</t>
    </r>
  </si>
  <si>
    <t>Baby of Pavithra</t>
  </si>
  <si>
    <t>MS.CHI-49(0YO)</t>
  </si>
  <si>
    <t>AND25630002581</t>
  </si>
  <si>
    <t>GEN_T_2.0.spik_1155</t>
  </si>
  <si>
    <t>AND-TP-169-20</t>
  </si>
  <si>
    <r>
      <rPr>
        <rFont val="Calibri"/>
        <color theme="1"/>
        <sz val="11.0"/>
      </rPr>
      <t xml:space="preserve">MR.MOHAMED YASIN S(34YM) </t>
    </r>
    <r>
      <rPr>
        <rFont val="Calibri"/>
        <b/>
        <color theme="1"/>
        <sz val="11.0"/>
      </rPr>
      <t xml:space="preserve"> ( parents of yasna tanzim- already released report)</t>
    </r>
  </si>
  <si>
    <t>AND25150019747</t>
  </si>
  <si>
    <t>MS.CHI-50(0YO)</t>
  </si>
  <si>
    <t>GEN_T_2.0.spik_1172</t>
  </si>
  <si>
    <t>AND-TP-169-21</t>
  </si>
  <si>
    <t>Arya (MR.BALAJI (42 Y 0 M 0 D Male)_MRS.SUMALATHA (32 Y 0 M 0 D Female) -  first child)</t>
  </si>
  <si>
    <t>13-01-2026</t>
  </si>
  <si>
    <t>MS.CHI-51(0YO)</t>
  </si>
  <si>
    <t>GEN_T_2.0.spik_1173</t>
  </si>
  <si>
    <t>AND-TP-170-26</t>
  </si>
  <si>
    <t>Mr. Thiagarajan [1684]</t>
  </si>
  <si>
    <t>GEN_T_2.0.spik_2640</t>
  </si>
  <si>
    <t>SURFSeq - Run - 5 Lane - 01</t>
  </si>
  <si>
    <t>AND25430001584</t>
  </si>
  <si>
    <t>MS.CHI-54(0YO)</t>
  </si>
  <si>
    <t>Sanjay</t>
  </si>
  <si>
    <t>GEN_T_2.0.spik_1174</t>
  </si>
  <si>
    <t>26-02-2026</t>
  </si>
  <si>
    <t>AND-TP-170-27</t>
  </si>
  <si>
    <r>
      <rPr>
        <rFont val="Calibri"/>
        <color theme="1"/>
        <sz val="11.0"/>
      </rPr>
      <t xml:space="preserve">MRS.NOORUL FARHANA A(26YF)  </t>
    </r>
    <r>
      <rPr>
        <rFont val="Calibri"/>
        <b/>
        <color theme="1"/>
        <sz val="11.0"/>
      </rPr>
      <t>( parents of baby riya- already released report)</t>
    </r>
  </si>
  <si>
    <t>AND25150019748</t>
  </si>
  <si>
    <t>Report released</t>
  </si>
  <si>
    <t>28/02/2026</t>
  </si>
  <si>
    <t>Sagar</t>
  </si>
  <si>
    <t>MS.CHI-55(0YO)</t>
  </si>
  <si>
    <t>GEN_T_2.0.spik_1175</t>
  </si>
  <si>
    <t>AND-TP-170-28</t>
  </si>
  <si>
    <t>MS.CHI-56(0YO)</t>
  </si>
  <si>
    <t>Nisha</t>
  </si>
  <si>
    <t>GEN_T_2.0.spik_1176</t>
  </si>
  <si>
    <t>AND-TP-170-29</t>
  </si>
  <si>
    <t>MASTER.JESIN JAI (250202012) (7Y|M)</t>
  </si>
  <si>
    <t>AND25410006138</t>
  </si>
  <si>
    <t>GERDI GUTPERLE AGASTHIYARMUNI CHILD CARE CENTRE (GGAMCCC) - NAGERCOIL</t>
  </si>
  <si>
    <t>MS.CHI-57(0YO)</t>
  </si>
  <si>
    <t>Adyar-WES44</t>
  </si>
  <si>
    <t>GEN_T_2.0.spik_1177</t>
  </si>
  <si>
    <t>AND-TP-170-30</t>
  </si>
  <si>
    <t>MASTER.RUDRAV R (6M|M)</t>
  </si>
  <si>
    <t>GEN_T_2.0.spik_1085</t>
  </si>
  <si>
    <t>AND25720005682</t>
  </si>
  <si>
    <t>7 days</t>
  </si>
  <si>
    <t>MRS.MANGALI SHIVANI (25Y|F)</t>
  </si>
  <si>
    <t>Adyar-WES42</t>
  </si>
  <si>
    <t>AND25420001140</t>
  </si>
  <si>
    <t>30.05.2025</t>
  </si>
  <si>
    <t xml:space="preserve">NAVEEN </t>
  </si>
  <si>
    <t>SURFseq- Run-6</t>
  </si>
  <si>
    <r>
      <rPr>
        <rFont val="Arial"/>
        <color rgb="FF38761D"/>
      </rPr>
      <t xml:space="preserve">                                                        </t>
    </r>
    <r>
      <rPr>
        <rFont val="Arial"/>
        <color rgb="FF38761D"/>
      </rPr>
      <t>Writeup available</t>
    </r>
  </si>
  <si>
    <t>Adyar-WES41</t>
  </si>
  <si>
    <t>MRS.MANGALI YADAGIRI (32Y|F)</t>
  </si>
  <si>
    <t>JANISHA(11Y/F)</t>
  </si>
  <si>
    <t>AND25420001141</t>
  </si>
  <si>
    <t>GEN_T_2.0.spik_1086</t>
  </si>
  <si>
    <t>AND25020010764</t>
  </si>
  <si>
    <t>Baby. Iniya. B</t>
  </si>
  <si>
    <t>1 days</t>
  </si>
  <si>
    <t>AND25630005140</t>
  </si>
  <si>
    <t>ICH Egmore - Chennai</t>
  </si>
  <si>
    <t>MS.RGS-319 (0Y|O)</t>
  </si>
  <si>
    <t>17/06/2025</t>
  </si>
  <si>
    <t>GEN_T_2.0.spik_1200</t>
  </si>
  <si>
    <r>
      <rPr>
        <rFont val="Arial"/>
        <color rgb="FF38761D"/>
      </rPr>
      <t xml:space="preserve">                                                         </t>
    </r>
    <r>
      <rPr>
        <rFont val="Arial"/>
        <color rgb="FF38761D"/>
      </rPr>
      <t xml:space="preserve">Writeup available </t>
    </r>
  </si>
  <si>
    <t>Mr. Sankaradoss</t>
  </si>
  <si>
    <t>BABY.MANGALI DHRUVIKA - (HEG A0002478) (4Y|F)</t>
  </si>
  <si>
    <t>AND25420001142</t>
  </si>
  <si>
    <t>AND25380043227</t>
  </si>
  <si>
    <t>MRS.SHILPA W/O KIRAN KUMAR (33YF) AF</t>
  </si>
  <si>
    <t>Mrs. Raja Lakshmi</t>
  </si>
  <si>
    <t>GEN_T_2.0.spik_AF1088</t>
  </si>
  <si>
    <t>AND25910005649</t>
  </si>
  <si>
    <t>MS.RGS-320 (0Y|O)</t>
  </si>
  <si>
    <t>GURU SCAN CENTRE - DAVANGERE</t>
  </si>
  <si>
    <t>GEN_T_2.0.spik_1201</t>
  </si>
  <si>
    <t>8 days</t>
  </si>
  <si>
    <t>AND25380043228</t>
  </si>
  <si>
    <t>MRS.NANDHINI (30Y|F)</t>
  </si>
  <si>
    <t xml:space="preserve">PRATHEEBA </t>
  </si>
  <si>
    <t>AND25630000778</t>
  </si>
  <si>
    <t>ICH EGMORE - CHENNAI</t>
  </si>
  <si>
    <t>MS.RGS-321 (0Y|O)</t>
  </si>
  <si>
    <t>Ms. Rupika Rajendran</t>
  </si>
  <si>
    <t>GEN_T_2.0.spik_1202</t>
  </si>
  <si>
    <t>AND25380043229</t>
  </si>
  <si>
    <t>AND25370004185</t>
  </si>
  <si>
    <t>diwakar</t>
  </si>
  <si>
    <t>reanalysis done</t>
  </si>
  <si>
    <t>MRS.NIDHI(29YF) POC</t>
  </si>
  <si>
    <t>Mr. Sangeeth Setty</t>
  </si>
  <si>
    <t>GEN_T_2.0.spik_1089</t>
  </si>
  <si>
    <t>AND25380028019</t>
  </si>
  <si>
    <t>DR.SHALINI LALITKUMAR MS, OBG</t>
  </si>
  <si>
    <t>MS.RGS-322 (0Y|O)</t>
  </si>
  <si>
    <t>5 days</t>
  </si>
  <si>
    <t>23-04-2026</t>
  </si>
  <si>
    <t>GEN_T_2.0.spik_1203</t>
  </si>
  <si>
    <t>AND25380043230</t>
  </si>
  <si>
    <t>Naveen</t>
  </si>
  <si>
    <t>27-04-2026</t>
  </si>
  <si>
    <t>13/06/2025</t>
  </si>
  <si>
    <t>naveen</t>
  </si>
  <si>
    <t>23/06/2024</t>
  </si>
  <si>
    <r>
      <rPr>
        <rFont val="Arial"/>
        <color rgb="FF38761D"/>
      </rPr>
      <t xml:space="preserve">                                                       </t>
    </r>
    <r>
      <rPr>
        <rFont val="Arial"/>
        <color rgb="FF38761D"/>
      </rPr>
      <t xml:space="preserve">   Writeup available </t>
    </r>
  </si>
  <si>
    <t>Ms. Anusha Banda</t>
  </si>
  <si>
    <t>MS.RGS-323 (0Y|O)</t>
  </si>
  <si>
    <t>GEN_T_2.0.spik_1204</t>
  </si>
  <si>
    <t>SANTONINO</t>
  </si>
  <si>
    <t>AND25380043231</t>
  </si>
  <si>
    <t>GEN_T_2.0.spik_1091</t>
  </si>
  <si>
    <t>BABY.YUTHA JOEL(1YM)</t>
  </si>
  <si>
    <t>AND25020010765</t>
  </si>
  <si>
    <t>AND25020016549</t>
  </si>
  <si>
    <t>3 days</t>
  </si>
  <si>
    <t>RUN 54A</t>
  </si>
  <si>
    <t>SURFseq- Run-11</t>
  </si>
  <si>
    <t>Baby of Krishnaveni</t>
  </si>
  <si>
    <t>19-06-2025</t>
  </si>
  <si>
    <r>
      <rPr>
        <rFont val="Arial"/>
        <color rgb="FF38761D"/>
      </rPr>
      <t xml:space="preserve">                                                          </t>
    </r>
    <r>
      <rPr>
        <rFont val="Arial"/>
        <color rgb="FF38761D"/>
      </rPr>
      <t xml:space="preserve">Writeup available </t>
    </r>
  </si>
  <si>
    <t>MR.PRAKASH(0YM)</t>
  </si>
  <si>
    <t>BABY.RITAI ZIDAN(2YM)</t>
  </si>
  <si>
    <t>Male Infertility NGS panel</t>
  </si>
  <si>
    <t>AND25400009717</t>
  </si>
  <si>
    <t>GEN_T_2.0.spik_1112</t>
  </si>
  <si>
    <t>NAMBIYAPPAN HOSPITALS CHILD CARE CENTRE - TIRUNELVELI</t>
  </si>
  <si>
    <t>AND25380035463</t>
  </si>
  <si>
    <t>Mr. Karthick Kannan (2511038797)</t>
  </si>
  <si>
    <t>AKSHARA FERTILITY CENTRE - ANNA NAGAR</t>
  </si>
  <si>
    <t>-</t>
  </si>
  <si>
    <t>CBC0000001444</t>
  </si>
  <si>
    <t>A4 Fertility Centre - Virugambakkam</t>
  </si>
  <si>
    <t>vignesh</t>
  </si>
  <si>
    <t>27-06-2025</t>
  </si>
  <si>
    <t>13/05/2026</t>
  </si>
  <si>
    <r>
      <rPr>
        <rFont val="Arial"/>
        <color rgb="FF000000"/>
        <sz val="11.0"/>
      </rPr>
      <t xml:space="preserve">BABY OF.AKANKSHA PANDEY (12D|F) </t>
    </r>
    <r>
      <rPr>
        <rFont val="Arial"/>
        <b/>
        <color rgb="FF000000"/>
        <sz val="11.0"/>
      </rPr>
      <t>- Urgent report</t>
    </r>
  </si>
  <si>
    <t>Baby. P. Vamsi</t>
  </si>
  <si>
    <t>VELMURUGAN</t>
  </si>
  <si>
    <t>GEN_T_2.0.spik_1093</t>
  </si>
  <si>
    <t>Male</t>
  </si>
  <si>
    <t>AND25100000700</t>
  </si>
  <si>
    <t>Hemophilia A</t>
  </si>
  <si>
    <t>AND25020009223</t>
  </si>
  <si>
    <t>GEN_T_2.0.spik_1464</t>
  </si>
  <si>
    <t>MOTHERLAND HOSPITAL - NOIDA</t>
  </si>
  <si>
    <t>AND-TP-206-LIB-01</t>
  </si>
  <si>
    <t>CMC-Dr. Eunice</t>
  </si>
  <si>
    <t>MRS.TIRUMALA SETTY RADHA - (HEG C005845)(36YF)</t>
  </si>
  <si>
    <t>AND25420001218</t>
  </si>
  <si>
    <t>ABDUL RANHIM</t>
  </si>
  <si>
    <t>IKBKG GENE (Medgenome report awaiting)</t>
  </si>
  <si>
    <t>GEN_T_2.0.spik_1465</t>
  </si>
  <si>
    <t>Mr. Pinninti Thaviti Naidu</t>
  </si>
  <si>
    <t>AND-TP-206-LIB-02</t>
  </si>
  <si>
    <r>
      <rPr>
        <rFont val="Arial"/>
        <color rgb="FF38761D"/>
      </rPr>
      <t xml:space="preserve">                                                          </t>
    </r>
    <r>
      <rPr>
        <rFont val="Arial"/>
        <color rgb="FF38761D"/>
      </rPr>
      <t xml:space="preserve"> Writeup available</t>
    </r>
  </si>
  <si>
    <t>AND251H0001294</t>
  </si>
  <si>
    <t>Medicover Hospital - Srikakulam</t>
  </si>
  <si>
    <t>MR.KAVIN NILAVAN R (26Y|M)</t>
  </si>
  <si>
    <t>GEN_T_2.0.spik_1094</t>
  </si>
  <si>
    <t>AND25150014265</t>
  </si>
  <si>
    <t>SAVITHA</t>
  </si>
  <si>
    <t>SUDHA RATHNA PRABHU MBBS,DNB,PHD</t>
  </si>
  <si>
    <t>Female</t>
  </si>
  <si>
    <t>FXIII Deficiency</t>
  </si>
  <si>
    <t>GEN_T_2.0.spik_1466</t>
  </si>
  <si>
    <t>AND-TP-206-LIB-03</t>
  </si>
  <si>
    <t>Mrs. Pinninti Saradha</t>
  </si>
  <si>
    <t>MR.ARVAPALLY VENKATA NAGA PRASAD H/O.T.RADHA - HEGC005845(37YM)</t>
  </si>
  <si>
    <t>AND25420001219</t>
  </si>
  <si>
    <t>NASAR</t>
  </si>
  <si>
    <t>AND251H0001295</t>
  </si>
  <si>
    <t>21/06/2025</t>
  </si>
  <si>
    <t>GEN_T_2.0.spik_1467</t>
  </si>
  <si>
    <r>
      <rPr>
        <rFont val="Arial"/>
        <color rgb="FF38761D"/>
      </rPr>
      <t xml:space="preserve">                                                         </t>
    </r>
    <r>
      <rPr>
        <rFont val="Arial"/>
        <color rgb="FF38761D"/>
      </rPr>
      <t xml:space="preserve">   Writeup available </t>
    </r>
  </si>
  <si>
    <t>AND-TP-206-LIB-04</t>
  </si>
  <si>
    <t>LIYAN SAI 7M/M</t>
  </si>
  <si>
    <t>GEN_T_2.0.spik_1092</t>
  </si>
  <si>
    <t>AND25020011504</t>
  </si>
  <si>
    <t>JAGANATH</t>
  </si>
  <si>
    <t>RAIZA RICHU</t>
  </si>
  <si>
    <t>NAVEEN</t>
  </si>
  <si>
    <t>GEN_T_2.0.spik_1468</t>
  </si>
  <si>
    <t>AND-TP-206-LIB-05</t>
  </si>
  <si>
    <t>MR.YELLANURU MOHAMMED ZEELAN(37YM)</t>
  </si>
  <si>
    <t>AND25420001223</t>
  </si>
  <si>
    <t>DR.SELF .</t>
  </si>
  <si>
    <t>21-06-2025</t>
  </si>
  <si>
    <t>add acmg only</t>
  </si>
  <si>
    <t>MR.VIJAYASIMHA (42Y|M)</t>
  </si>
  <si>
    <t>RICHU SULAIMAN</t>
  </si>
  <si>
    <t>BIPEESH</t>
  </si>
  <si>
    <t>GEN_T_2.0.spik_1095</t>
  </si>
  <si>
    <t>AND251R0003001</t>
  </si>
  <si>
    <t>GEN_T_2.0.spik_1469</t>
  </si>
  <si>
    <t>13-06-2025</t>
  </si>
  <si>
    <t>AND-TP-206-LIB-06</t>
  </si>
  <si>
    <t>10 days</t>
  </si>
  <si>
    <t>MRS.SHAIK SAJIDA BANU(30YF)</t>
  </si>
  <si>
    <t>AND25420001222</t>
  </si>
  <si>
    <t>24-06-2025</t>
  </si>
  <si>
    <r>
      <rPr>
        <rFont val="Arial"/>
        <color rgb="FF38761D"/>
      </rPr>
      <t xml:space="preserve">                                                           </t>
    </r>
    <r>
      <rPr>
        <rFont val="Arial"/>
        <color rgb="FF38761D"/>
      </rPr>
      <t xml:space="preserve">  Writeup available </t>
    </r>
  </si>
  <si>
    <t>ROSHINI RICHU</t>
  </si>
  <si>
    <t>JOHN VARGHESE</t>
  </si>
  <si>
    <t>DR.PUNITHA KASHYAP (37Y|F)</t>
  </si>
  <si>
    <t>GEN_T_2.0.spik_1470</t>
  </si>
  <si>
    <t>GEN_T_2.0.spik_1096</t>
  </si>
  <si>
    <t>AND-TP-206-LIB-07</t>
  </si>
  <si>
    <t>AND251R0003002</t>
  </si>
  <si>
    <t>CHANDRESH V</t>
  </si>
  <si>
    <t>BABY.CHARVI DINESH(0YF)</t>
  </si>
  <si>
    <t>AND25630000935</t>
  </si>
  <si>
    <t>Multiple Factor Deficiency</t>
  </si>
  <si>
    <t>DR.SUDHA RATHNA PRABHU MBBS,DNB,PH.D.,</t>
  </si>
  <si>
    <r>
      <rPr>
        <rFont val="Arial"/>
        <color rgb="FF38761D"/>
      </rPr>
      <t xml:space="preserve">                                                            </t>
    </r>
    <r>
      <rPr>
        <rFont val="Arial"/>
        <color rgb="FF38761D"/>
      </rPr>
      <t xml:space="preserve">  Writeup available</t>
    </r>
  </si>
  <si>
    <t>GEN_T_2.0.spik_1471</t>
  </si>
  <si>
    <t>Mohammed Zeeshan</t>
  </si>
  <si>
    <t>AND-TP-206-LIB-08</t>
  </si>
  <si>
    <t>MRS.SHANTHA LAKSHMI M (38Y|F)</t>
  </si>
  <si>
    <t>GEN_T_2.0.spik_1097</t>
  </si>
  <si>
    <t>AND25020010950</t>
  </si>
  <si>
    <t>DECHAMMA K A MBBS DNB OBG</t>
  </si>
  <si>
    <t>RAZIYA</t>
  </si>
  <si>
    <t>Bernard Soulier Syndrome</t>
  </si>
  <si>
    <t>GEN_T_2.0.spik_1472</t>
  </si>
  <si>
    <t>AND-TP-207-LIB-09</t>
  </si>
  <si>
    <t>Mr. Mithun Kumar</t>
  </si>
  <si>
    <t>SELVI.ABIRAMI P (11Y|F)</t>
  </si>
  <si>
    <t>AND25380050238</t>
  </si>
  <si>
    <t>MRS.PAVITHRA [1941] (30Y|F)</t>
  </si>
  <si>
    <t>MURUGAN HOSPITAL</t>
  </si>
  <si>
    <t>GRM0000002768</t>
  </si>
  <si>
    <t>Kauvery Hospital, Chennai</t>
  </si>
  <si>
    <t>GEN_T_2.0.spik_1098</t>
  </si>
  <si>
    <t>AND25430000231</t>
  </si>
  <si>
    <t>UDAIYAPPAN N</t>
  </si>
  <si>
    <t>SRI CHAKRA FERTILITY - ASHOK NAGAR</t>
  </si>
  <si>
    <t>GEN_T_2.0.spik_1473</t>
  </si>
  <si>
    <t>AND-TP-207-LIB-10</t>
  </si>
  <si>
    <t>Mrs. Karthiyayini</t>
  </si>
  <si>
    <t>18/06/2025</t>
  </si>
  <si>
    <t>CBC0000026539</t>
  </si>
  <si>
    <t>BARESHAVALI D</t>
  </si>
  <si>
    <t>MRS.SHENBAGAM (38Y|F)</t>
  </si>
  <si>
    <t>AND25380050239</t>
  </si>
  <si>
    <t>GEN_T_2.0.spik_1474</t>
  </si>
  <si>
    <t>AND-TP-207-LIB-11</t>
  </si>
  <si>
    <t>MASTER.SRITHAR(4YM)</t>
  </si>
  <si>
    <t>GEN_T_2.0.spik_1076</t>
  </si>
  <si>
    <t>AND25020010066</t>
  </si>
  <si>
    <t>Mr. Sooraj</t>
  </si>
  <si>
    <t>SANDHYA R</t>
  </si>
  <si>
    <t>CBC0000007096</t>
  </si>
  <si>
    <t>NOVA IVF, Palakkad</t>
  </si>
  <si>
    <t>Afibrinogenemia</t>
  </si>
  <si>
    <t>GEN_T_2.0.spik_1475</t>
  </si>
  <si>
    <t>AND-TP-207-LIB-12</t>
  </si>
  <si>
    <r>
      <rPr>
        <rFont val="Arial"/>
        <color rgb="FF38761D"/>
      </rPr>
      <t xml:space="preserve">                                                             </t>
    </r>
    <r>
      <rPr>
        <rFont val="Arial"/>
        <color rgb="FF38761D"/>
      </rPr>
      <t xml:space="preserve">  Writeup available</t>
    </r>
  </si>
  <si>
    <t>MRS.PRITIKA KAPOOR W/O. RAM RAWAT (33Y|F)</t>
  </si>
  <si>
    <t>AND25420001327</t>
  </si>
  <si>
    <t>Ms. Nainika Sooraj PLK02867</t>
  </si>
  <si>
    <t>9M FERTILITY BY ANKURA HOSPITAL - HYDERABAD</t>
  </si>
  <si>
    <t>GEETHAS BABY</t>
  </si>
  <si>
    <t>PLD0000000611</t>
  </si>
  <si>
    <t>Rhea Healthcare pvt ltd - palakkad</t>
  </si>
  <si>
    <t>GEN_T_2.0.spik_1476</t>
  </si>
  <si>
    <t>AND-TP-207-LIB-13</t>
  </si>
  <si>
    <t>16-05-2026</t>
  </si>
  <si>
    <t>BABY.SAKTHI BALAN(4YM)</t>
  </si>
  <si>
    <t>GEN_T_2.0.spik_1110</t>
  </si>
  <si>
    <t>AND25020011863</t>
  </si>
  <si>
    <t>15-06-2025</t>
  </si>
  <si>
    <t>25/05/2026</t>
  </si>
  <si>
    <t>12 days</t>
  </si>
  <si>
    <t>JAFFAR D</t>
  </si>
  <si>
    <t>MRS.JOTHISH M (25 Y 10 M 12 D /F)</t>
  </si>
  <si>
    <t>GEN_T_2.0.spik_1477</t>
  </si>
  <si>
    <t>MR.RAM RAWAT H/O. PRITIKA KAPOOR (35Y|M)</t>
  </si>
  <si>
    <t>AND25420001328</t>
  </si>
  <si>
    <t>AND-TP-207-LIB-14</t>
  </si>
  <si>
    <t xml:space="preserve">ADK0000001189
</t>
  </si>
  <si>
    <t xml:space="preserve">                                                                Writeup available</t>
  </si>
  <si>
    <t>EGMORE CHILDREN HOSPITAL</t>
  </si>
  <si>
    <t>MR.KARTHIKEYAN (UHID 7176685) (43Y|M)</t>
  </si>
  <si>
    <t>GEN_T_2.0.spik_1101</t>
  </si>
  <si>
    <t>PEYYALA JAYARAJ</t>
  </si>
  <si>
    <t>AND25150015045</t>
  </si>
  <si>
    <t>HINDU MISSION HOSPITAL</t>
  </si>
  <si>
    <t>Hemophilia B</t>
  </si>
  <si>
    <t>14-06-2025</t>
  </si>
  <si>
    <t>GEN_T_2.0.spik_1478</t>
  </si>
  <si>
    <t>11 days</t>
  </si>
  <si>
    <t>AND-TP-207-LIB-15</t>
  </si>
  <si>
    <t>MRS.NANDHINI (23Y|F) POC</t>
  </si>
  <si>
    <t>MS.BHUVANESHWARI(21 Y 1 M 11 D /Female)</t>
  </si>
  <si>
    <t>AND25360012648</t>
  </si>
  <si>
    <t>20-06-2025</t>
  </si>
  <si>
    <t>SAI KRISHNA LAB - MADURAI</t>
  </si>
  <si>
    <t>KAMALESH</t>
  </si>
  <si>
    <t>ADK0000000537</t>
  </si>
  <si>
    <t>MR.VENKATA CHAITANYA REDDY G (29Y|M)</t>
  </si>
  <si>
    <t>GEN_T_2.0.spik_1479</t>
  </si>
  <si>
    <t>GEN_T_2.0.spik_1102</t>
  </si>
  <si>
    <t>AND-TP-207-LIB-16</t>
  </si>
  <si>
    <t>AND25250000327</t>
  </si>
  <si>
    <t>AMERICAN KIDNEY INSTITUTTE - VIJAYAWADA</t>
  </si>
  <si>
    <t>BABY.A KAVIN(0Y/M)</t>
  </si>
  <si>
    <t>ADK0000001369</t>
  </si>
  <si>
    <t>MONESH BABU</t>
  </si>
  <si>
    <t>MRS.SUHANA(27YF)</t>
  </si>
  <si>
    <t>AND251R0004284</t>
  </si>
  <si>
    <t>GEN_T_2.0.spik_1488</t>
  </si>
  <si>
    <t>SELF</t>
  </si>
  <si>
    <t>AND-TP-209-LIB-17</t>
  </si>
  <si>
    <t>MR.KISHORE GOWTHAM RAJU (32Y|M)</t>
  </si>
  <si>
    <t>GEN_T_2.0.spik_1103</t>
  </si>
  <si>
    <t>AND25630000527</t>
  </si>
  <si>
    <t>Master Muhammad Fazil</t>
  </si>
  <si>
    <t>M LAB SERVICES - T NAGAR</t>
  </si>
  <si>
    <t>ADK0000000877</t>
  </si>
  <si>
    <t>ICH EGMORE-Chennai</t>
  </si>
  <si>
    <t>ROHAN HELA</t>
  </si>
  <si>
    <t>GEN_T_2.0.spik_1489</t>
  </si>
  <si>
    <t xml:space="preserve">                                                                  Writeup available </t>
  </si>
  <si>
    <t>AND-TP-209-LIB-18</t>
  </si>
  <si>
    <t>MASTER.ASHIF (6Y|M)</t>
  </si>
  <si>
    <t>MR.SHAKEER(28YM)</t>
  </si>
  <si>
    <t>AND251R0004285</t>
  </si>
  <si>
    <t>GEN_T_2.0.spik_1104</t>
  </si>
  <si>
    <t>AND25020011505</t>
  </si>
  <si>
    <t>MR.APPANNA SAI CHAKRADHAR</t>
  </si>
  <si>
    <t>SUDHAKAR</t>
  </si>
  <si>
    <t>ADK0000002391</t>
  </si>
  <si>
    <t>ADSL(8087)</t>
  </si>
  <si>
    <t>GEN_T_2.0.spik_1490</t>
  </si>
  <si>
    <t>AND-TP-209-LIB-19</t>
  </si>
  <si>
    <r>
      <rPr>
        <rFont val="Arial"/>
        <color rgb="FF38761D"/>
      </rPr>
      <t xml:space="preserve">                                                                </t>
    </r>
    <r>
      <rPr>
        <rFont val="Arial"/>
        <color rgb="FF38761D"/>
      </rPr>
      <t xml:space="preserve"> Writeup available </t>
    </r>
  </si>
  <si>
    <t>26/5/2026</t>
  </si>
  <si>
    <t>BABY.PADMAVATHY (4Y|F)</t>
  </si>
  <si>
    <t>GEN_T_2.0.spik_1105</t>
  </si>
  <si>
    <t>AND25020011506</t>
  </si>
  <si>
    <t>RAHIMULLAH</t>
  </si>
  <si>
    <t>MRS.NEHA PAWAR (29YF)</t>
  </si>
  <si>
    <t>MRS. VANKAYALA SAI SUMALIKA</t>
  </si>
  <si>
    <t>AND25750002967</t>
  </si>
  <si>
    <t>FEMCARE FERTILITY - PUNE</t>
  </si>
  <si>
    <t>GEN_T_2.0.spik_1491</t>
  </si>
  <si>
    <t>AND-TP-209-LIB-20</t>
  </si>
  <si>
    <t>ADK0000002392</t>
  </si>
  <si>
    <t>MASTER.SANTHOSH KUMAR (11Y|M)</t>
  </si>
  <si>
    <t>GEN_T_2.0.spik_1106</t>
  </si>
  <si>
    <t>AND25020011507</t>
  </si>
  <si>
    <t>MRS. POC OF SUMALIKA</t>
  </si>
  <si>
    <t>KARIMULLAH</t>
  </si>
  <si>
    <t>ADK0000002393</t>
  </si>
  <si>
    <t>GEN_T_2.0.spik_1492</t>
  </si>
  <si>
    <t>MR.AKASH PAWAR (30YM)</t>
  </si>
  <si>
    <t>AND-TP-209-LIB-21</t>
  </si>
  <si>
    <t>AND25750002968</t>
  </si>
  <si>
    <t>Report released as Trio with Appana and Sumalika</t>
  </si>
  <si>
    <t>STIPHEN DAS</t>
  </si>
  <si>
    <t>Master.Mithran P</t>
  </si>
  <si>
    <t>BABY.KIRTHIK (10M|M)</t>
  </si>
  <si>
    <t>GEN_T_2.0.spik_1107</t>
  </si>
  <si>
    <t>AND25020056079</t>
  </si>
  <si>
    <t>GEN_T_2.0.spik_1493</t>
  </si>
  <si>
    <t>AND25020011563</t>
  </si>
  <si>
    <t>AND-TP-209-LIB-22</t>
  </si>
  <si>
    <t>MISS.USHASI ROY(4YF)</t>
  </si>
  <si>
    <t>AND25730003166</t>
  </si>
  <si>
    <t>DR.SARWAR JAHAN BHUIYAN PEDIATRICS NEUROLOGY</t>
  </si>
  <si>
    <t>DWARAKANTH</t>
  </si>
  <si>
    <t>Harshini(U531207)</t>
  </si>
  <si>
    <t>Glansmans Thrombasthenia</t>
  </si>
  <si>
    <t>GEN_T_2.0.spik_1494</t>
  </si>
  <si>
    <t>AND-TP-209-LIB-23</t>
  </si>
  <si>
    <t>MISS.KHUSHBOO JEETUKUMAR NIRANJKARI (13YF)</t>
  </si>
  <si>
    <t>CES</t>
  </si>
  <si>
    <t>GEN_T_2.0.spik_1108</t>
  </si>
  <si>
    <t>AND25750002265</t>
  </si>
  <si>
    <t>SUNANDA FERTILITY CLINIC - KOLHAPUR</t>
  </si>
  <si>
    <t>LINGESH</t>
  </si>
  <si>
    <t>GEN_T_2.0.spik_1480</t>
  </si>
  <si>
    <t>MR.SUVANKAR ROY(36YM)</t>
  </si>
  <si>
    <t>AND-TP-208-LIB-01</t>
  </si>
  <si>
    <t>CAH MLPA (MEDGENOME)</t>
  </si>
  <si>
    <t>AND25730003167</t>
  </si>
  <si>
    <t>Baby. Prakhya. R</t>
  </si>
  <si>
    <r>
      <rPr>
        <rFont val="Arial"/>
        <color rgb="FF38761D"/>
      </rPr>
      <t xml:space="preserve">                                                                  </t>
    </r>
    <r>
      <rPr>
        <rFont val="Arial"/>
        <color rgb="FF38761D"/>
      </rPr>
      <t xml:space="preserve">Writeup available </t>
    </r>
  </si>
  <si>
    <t>AND25020071248</t>
  </si>
  <si>
    <t>MRS. SHAIK.KHALIDA KOUSER ( 31Y|F )</t>
  </si>
  <si>
    <t>GEN_T_2.0.spik_1109</t>
  </si>
  <si>
    <t>AND25480008852</t>
  </si>
  <si>
    <t>SIDDHARTHA NURSING HOME (CC) - NELLORE</t>
  </si>
  <si>
    <t>PREETHAM RUDRA PAUL</t>
  </si>
  <si>
    <t>GEN_T_2.0.spik_1481</t>
  </si>
  <si>
    <t>AND-TP-208-LIB-02</t>
  </si>
  <si>
    <r>
      <rPr>
        <rFont val="Arial"/>
        <color rgb="FF38761D"/>
      </rPr>
      <t xml:space="preserve">                                                                  </t>
    </r>
    <r>
      <rPr>
        <rFont val="Arial"/>
        <color rgb="FF38761D"/>
      </rPr>
      <t xml:space="preserve"> Writeup available </t>
    </r>
  </si>
  <si>
    <t>Baby.Dhanasri</t>
  </si>
  <si>
    <t>MRS.SMRITY DAS(35YF)</t>
  </si>
  <si>
    <t>AND25730003168</t>
  </si>
  <si>
    <t>PRAVIN PADWAL(33YF) AF</t>
  </si>
  <si>
    <t>AND25630004959</t>
  </si>
  <si>
    <t>GEN_T_2.0.spik_AF1090</t>
  </si>
  <si>
    <t>ABDUL SALEEM</t>
  </si>
  <si>
    <t>AND25750001902</t>
  </si>
  <si>
    <t>OJAS WOMEN'S SUPER SPECIALITY AND FERTILITY CENTRE - PUNE</t>
  </si>
  <si>
    <t>GEN_T_2.0.spik_1482</t>
  </si>
  <si>
    <t>Mr. SIVAKUMAR</t>
  </si>
  <si>
    <t>AND-TP-208-LIB-03</t>
  </si>
  <si>
    <r>
      <rPr>
        <rFont val="Arial"/>
        <color rgb="FF38761D"/>
      </rPr>
      <t xml:space="preserve">                                                                     </t>
    </r>
    <r>
      <rPr>
        <rFont val="Arial"/>
        <color rgb="FF38761D"/>
      </rPr>
      <t xml:space="preserve">Writeup avaialble </t>
    </r>
  </si>
  <si>
    <t>BALLA GOWTHAM</t>
  </si>
  <si>
    <t>MRS.HARITHA (27Y|F)</t>
  </si>
  <si>
    <t>MS.SAMRIDDHA DAS(7YF)</t>
  </si>
  <si>
    <t>Female Infertility NGS panel</t>
  </si>
  <si>
    <t>AND25790004070</t>
  </si>
  <si>
    <t>GEN_T_2.0.spik_1483</t>
  </si>
  <si>
    <t>GEN_T_2.0.spik_1099</t>
  </si>
  <si>
    <t>AND-TP-208-LIB-04</t>
  </si>
  <si>
    <t>DR.SATHISHKUMAR L MD, DCH, DM.,</t>
  </si>
  <si>
    <t>AND251R0003091</t>
  </si>
  <si>
    <t>ACL0000022545</t>
  </si>
  <si>
    <t>ABDUL | MBBS MD, OBG INFERTILITY SPECIALIST</t>
  </si>
  <si>
    <t>17.06.2026</t>
  </si>
  <si>
    <t>SANTHOSH KUMAR</t>
  </si>
  <si>
    <t>Gayathri</t>
  </si>
  <si>
    <t>04.07.2026</t>
  </si>
  <si>
    <t>Type 3 VWD</t>
  </si>
  <si>
    <t>GEN_T_2.0.spik_1484</t>
  </si>
  <si>
    <t>AND-TP-208-LIB-05</t>
  </si>
  <si>
    <t>MR.CHETHAN K J (27Y|M)</t>
  </si>
  <si>
    <t>GEN_T_2.0.spik_1100</t>
  </si>
  <si>
    <t>AND251R0003120</t>
  </si>
  <si>
    <t>MRS.BHAGYAVATHY</t>
  </si>
  <si>
    <t>POORNA WOMEN AND CHILD CARE SPECIALITY CLINIC - BANGALORE</t>
  </si>
  <si>
    <t>RITU RAJ</t>
  </si>
  <si>
    <t>GEN_T_2.0.spik_1485</t>
  </si>
  <si>
    <t>ACL0000022542</t>
  </si>
  <si>
    <t>AND-TP-208-LIB-06</t>
  </si>
  <si>
    <r>
      <rPr>
        <rFont val="Arial"/>
        <color rgb="FF38761D"/>
      </rPr>
      <t xml:space="preserve">                                                                    </t>
    </r>
    <r>
      <rPr>
        <rFont val="Arial"/>
        <color rgb="FF38761D"/>
      </rPr>
      <t xml:space="preserve">  Writeup Available</t>
    </r>
  </si>
  <si>
    <t>MR.UTHANU MALLAYAN (40YM)</t>
  </si>
  <si>
    <t>GEN_T_2.0.spik_1111</t>
  </si>
  <si>
    <t>SANKAR GHOSH</t>
  </si>
  <si>
    <t>AND25360009419</t>
  </si>
  <si>
    <t>DOPPLER SCAN - MADURAI</t>
  </si>
  <si>
    <t>GEN_T_2.0.spik_1486</t>
  </si>
  <si>
    <t>AND-TP-208-LIB-07</t>
  </si>
  <si>
    <t>MRS.KAVYA S</t>
  </si>
  <si>
    <r>
      <rPr>
        <rFont val="Arial"/>
        <color rgb="FF38761D"/>
      </rPr>
      <t xml:space="preserve">                                                                    </t>
    </r>
    <r>
      <rPr>
        <rFont val="Arial"/>
        <color rgb="FF38761D"/>
      </rPr>
      <t xml:space="preserve">  Writeup available </t>
    </r>
  </si>
  <si>
    <t>YUVRAJ</t>
  </si>
  <si>
    <t>ADB0000046104</t>
  </si>
  <si>
    <t>GEN_T_2.0.spik_1487</t>
  </si>
  <si>
    <t>AND-TP-208-LIB-08</t>
  </si>
  <si>
    <t>MRS.NALANI W/O.SARAVANAN (35Y|F) AF</t>
  </si>
  <si>
    <t>DEEPAK SHETTY</t>
  </si>
  <si>
    <t>GEN_T_2.0.spik_AF1113</t>
  </si>
  <si>
    <t>AND25360009221</t>
  </si>
  <si>
    <t>DOPPLER SCAN - MADURAI .</t>
  </si>
  <si>
    <t>NIVAS</t>
  </si>
  <si>
    <t>MR.PREMKUMARA M</t>
  </si>
  <si>
    <t>GEN_T_2.0.spik_1495</t>
  </si>
  <si>
    <t>AND-TP-213-LIB-13</t>
  </si>
  <si>
    <t>ADB0000046093</t>
  </si>
  <si>
    <r>
      <rPr>
        <rFont val="Arial"/>
        <color rgb="FF38761D"/>
      </rPr>
      <t xml:space="preserve">                                                                      </t>
    </r>
    <r>
      <rPr>
        <rFont val="Arial"/>
        <color rgb="FF38761D"/>
      </rPr>
      <t xml:space="preserve"> Writeup available </t>
    </r>
  </si>
  <si>
    <t>Miss. M. Rakshitha</t>
  </si>
  <si>
    <t>ADK0000002653</t>
  </si>
  <si>
    <t>MRS.SHIVANI(24YF)</t>
  </si>
  <si>
    <t>DHEESHITHA L</t>
  </si>
  <si>
    <t>SURFseq- Run-12A</t>
  </si>
  <si>
    <t>GEN_T_2.0.spik_1114</t>
  </si>
  <si>
    <t>AND25100000824</t>
  </si>
  <si>
    <t>DR.KANCHI KHURANA .</t>
  </si>
  <si>
    <t>Institute Of Child Health &amp; Hospital For Children- credit- Jeenomics</t>
  </si>
  <si>
    <t>Mrs. Lalitha Bohara</t>
  </si>
  <si>
    <r>
      <rPr>
        <rFont val="Arial"/>
        <color rgb="FF38761D"/>
      </rPr>
      <t xml:space="preserve">                                                                       </t>
    </r>
    <r>
      <rPr>
        <rFont val="Arial"/>
        <color rgb="FF38761D"/>
      </rPr>
      <t xml:space="preserve"> Writeup available </t>
    </r>
  </si>
  <si>
    <t>AND25AJ0013971</t>
  </si>
  <si>
    <t>Dr. Deepak Arjundas M.D.(MED), D.M.(NEURO), FRCP</t>
  </si>
  <si>
    <t>MRS.KIRTI MACHAKANUR (22Y|F) - POC</t>
  </si>
  <si>
    <t>GEN_T_2.0.spik_1115</t>
  </si>
  <si>
    <t>AND25910006285</t>
  </si>
  <si>
    <t>Hubli Anderson</t>
  </si>
  <si>
    <t>16-06-2025</t>
  </si>
  <si>
    <t>13 days</t>
  </si>
  <si>
    <t>MRS.RGS - 324 (23Y|F)</t>
  </si>
  <si>
    <r>
      <rPr>
        <rFont val="Arial"/>
        <color rgb="FF38761D"/>
      </rPr>
      <t xml:space="preserve">                                                                      </t>
    </r>
    <r>
      <rPr>
        <rFont val="Arial"/>
        <color rgb="FF38761D"/>
      </rPr>
      <t>Writeup avaialble</t>
    </r>
  </si>
  <si>
    <t>GEN_T_2.0.spik_1517</t>
  </si>
  <si>
    <t>AND25630001531</t>
  </si>
  <si>
    <t>BABY.JESHWIN.C(1YM)</t>
  </si>
  <si>
    <t>Dr.suceena -CMC-VELLORE</t>
  </si>
  <si>
    <t>GEN_T_2.0.spik_1116</t>
  </si>
  <si>
    <t>Dr.Sriharikrishnaa S / Diwakar</t>
  </si>
  <si>
    <t>AND25630000553</t>
  </si>
  <si>
    <t>01.07.2025 / 07.08.2025</t>
  </si>
  <si>
    <t>Proband, born to non- consanguineous marriage is referred for adult onset nephrotic syndrome. Renal biopsy was done and reported podocytopathy. Her laboratory investigations reported hemoglobin: 9.7g/dL, serum creatinine: 1.01mg/dL. Urine analysis reported negative for glucose, protein as triple positive and RBC as 3-4/hpf. She has been evaluated for the pathogenic variations.</t>
  </si>
  <si>
    <t>MRS.RGS - 325 (53Y|F)</t>
  </si>
  <si>
    <t>24/06/2025</t>
  </si>
  <si>
    <t>GEN_T_2.0.spik_1518</t>
  </si>
  <si>
    <t>AND25630001532</t>
  </si>
  <si>
    <r>
      <rPr>
        <rFont val="Arial"/>
        <color rgb="FF38761D"/>
      </rPr>
      <t xml:space="preserve">                                                                      </t>
    </r>
    <r>
      <rPr>
        <rFont val="Arial"/>
        <color rgb="FF38761D"/>
      </rPr>
      <t xml:space="preserve">  Writeup available </t>
    </r>
  </si>
  <si>
    <t>11.08.2025</t>
  </si>
  <si>
    <t>Proband, born to non- consanguineous marriage is presented with chronic kidney disease, stage 5. She is suspected to have CKD (cystic kidney disease) suggestive of ADPKD (autosomal dominant poly cystic kidney disease). She has family history of mother affected with CKD (ADPKD) and succumbed to it. Her sister is also affected with ADPKD. Her laboratory investigations reported hemoglobin: 10.7 g/dL, serum creatinine: 10.57 mg/dL. Urine analysis reported glucose: 2+, protein: +, RBC: 2-3 /hpf. Her 24 hour urine protein was 638 mg. She has been evaluated for pathogenic variation.</t>
  </si>
  <si>
    <t>MR.RGS - 326 (35Y|M)</t>
  </si>
  <si>
    <t>GEN_T_2.0.spik_1519</t>
  </si>
  <si>
    <t>AND25630001533</t>
  </si>
  <si>
    <t>Vikram</t>
  </si>
  <si>
    <t>01.07.2025</t>
  </si>
  <si>
    <t>Proband, born to non-consanguineous marriage is presented with systemic hypertension. He was diagnosed with CKD (chronic kidney disease) in August 2024. Renal biopsy reported C3 dominant focal segmental glomerulonephritis. He is observed to have normocytic anemia, dyslipidemia and on oral steroids. His laboratory investigations reported hemoglobin: 10.1 g/dL, serum creatinine: 5.71 mg/dL. Urine analysis reported glucose: 2+, protein: 3+ and RBC: 15/hpf. 24 hour urine protein was reported 10310 mg. He has family history of chronic kidney disease in maternal uncle. He is suspected to be affected with C3GN (glomerulonephritis). He has been evaluated for pathogenic variations.</t>
  </si>
  <si>
    <t>MR.RGS - 327 (30Y|M)</t>
  </si>
  <si>
    <t>SURFSeq - Run - 5 Lane - 02</t>
  </si>
  <si>
    <t>GEN_T_2.0.spik_1520</t>
  </si>
  <si>
    <t>AND25630001534</t>
  </si>
  <si>
    <t>Proband, born to non- consanguineous marriage is presented with acute on CKD ( chronic kidney disease). Renal biopsy reported non- proliferative glomerulopathy with C3 deposition in mesangium, focal thrombotic microangiopathy changes, 40 % IFTA (interstitial fibrosis and tubular atrophy), probable resolving infection-related glomerulonephritis (IRGN) with malignant hypertension associated TMA. His laboratory investigations reported hemoglobin: 9.5g/dL, serum creatinine: 3.45mg/dL. Urine analysis reported negative for glucose and protein and RBC: 0-1/hpf. 24 hours urine protein reported 854mg. He is suspected to be affected with C3GN (glomerulonephritis). He has been evaluated for pathogenic variations.</t>
  </si>
  <si>
    <t>MR.RGS - 328 (55Y|M)</t>
  </si>
  <si>
    <t>GEN_ID</t>
  </si>
  <si>
    <t>GEN_T_2.0.spik_1521</t>
  </si>
  <si>
    <t>AND25630001535</t>
  </si>
  <si>
    <t>Proband, born to non- consanguineous marriage is presented with chronic kidney disease since December 2024. Renal biopsy done in 2024 reported C3 glomerulonephritis with immunofluorescence showing C3 positivity. On examination he is observed to have hypertension, nephrotic range proteinuria, microscopic hematuria with hypoalbuminemia. His laboratory investigations reported hemoglobin: 11.3 g/dL, serum creatinine: 2.39mg/ dL. Urine analysis reported glucose: +, protein: 3+ and RBC: 45/hpf. His 24 hour urine protein was 11460 mg. He is suspected to be affected with C3GN (glomerulonephritis). He has been evaluated for pathogenic variations.</t>
  </si>
  <si>
    <t>MR.RGS - 329 (23Y|M)</t>
  </si>
  <si>
    <t>GEN_T_2.0.spik_1522</t>
  </si>
  <si>
    <t>AND25630001536</t>
  </si>
  <si>
    <t>BABY.SUSHANTH A(10YM)</t>
  </si>
  <si>
    <t>GEN_T_2.0.spik_1117</t>
  </si>
  <si>
    <t>AND25630000554</t>
  </si>
  <si>
    <t>Proband, born to third degree consanguineous marriage is presented with hypokalemic periodic paralysis, receiving treatment. On examination he is observed to be hypokalemic with renal loss, suggestive of  renal tubular acidosis. His laboratory investigations reported hemoglobin: 15.0 g/dL, serum creatinine: 0.91 mg/dL. Urine analysis reported negative for glucose and protein,  RBC: 0-1/ hpf, urine protein to creatinine ratio: 0.07mg/ mg. He has family history of maternal uncle and his two sons affected with chronic kidney disease. He is suspected to be affected with renal tubular acidosis. He has been evaluated for pathogenic variation.</t>
  </si>
  <si>
    <t>MR.RGS - 330 (61Y|M)</t>
  </si>
  <si>
    <t>GEN_T_2.0.spik_1523</t>
  </si>
  <si>
    <t>AND25630001537</t>
  </si>
  <si>
    <r>
      <rPr>
        <rFont val="Arial"/>
        <color theme="1"/>
      </rPr>
      <t xml:space="preserve">                                                                   </t>
    </r>
    <r>
      <rPr>
        <rFont val="Arial"/>
        <color rgb="FF38761D"/>
      </rPr>
      <t>Writeup available</t>
    </r>
  </si>
  <si>
    <t>MASTER.VISHNU DHARSHAN R(9YM)</t>
  </si>
  <si>
    <t>GEN_T_2.0.spik_1118</t>
  </si>
  <si>
    <t>Proband, born to non- consanguineous marriage is presented with suspected bilateral multiple cortical cysts, no known kidney disease. His laboratory investigations reported hemoglobin: 8.3 g/dL, serum creatinine: 4.09 mg/dL. Urine analysis reported glucose: negative, protein: 3 +, RBC: 1-2/hpf, 24 hour urine protein: 1550mg. He has family history of younger brother affected with chronic kidney disease and succumbed to it, and elder son has renal cyst of 0.6 mm in right kidney. He is suspected to be affected with cystic kidney disease. He has been evaluated for pathogenic variations.</t>
  </si>
  <si>
    <t>AND25030004194</t>
  </si>
  <si>
    <t>DR.MUTHUKANI S. MD.,DM.,DNB.,PDF.,PDCC</t>
  </si>
  <si>
    <t>MR.RGS - 331 (24Y|M)</t>
  </si>
  <si>
    <t>GEN_T_2.0.spik_1524</t>
  </si>
  <si>
    <t>AND25630001538</t>
  </si>
  <si>
    <r>
      <rPr>
        <rFont val="Arial"/>
        <color theme="1"/>
      </rPr>
      <t xml:space="preserve">                                                                     </t>
    </r>
    <r>
      <rPr>
        <rFont val="Arial"/>
        <color rgb="FF38761D"/>
      </rPr>
      <t xml:space="preserve"> Writeup available</t>
    </r>
  </si>
  <si>
    <t>MRS.MYTHILI GOPINATH(25YF)</t>
  </si>
  <si>
    <t>GEN_T_2.0.spik_1119</t>
  </si>
  <si>
    <t>Proband, born to non- consanguineous marriage is presented with complain of developed anasarca in 2023, March. Renal biopsy reported FSGS (Focal Segmental Glomerulosclerosis), and he was initially put on steroids. In Dec 2024, he had CNI (calcineurin inhibitor) failure and was started on MMF (mycophenolate mofetil). Due to MMF failure he was treated with rituximab 500mg, but treatment  was stopped after he developed pancreatitis. His laboratory investigations reported hemoglobin: 10.8 g/dL, serum creatinine: 0.60 mg/dL, urine analysis reported glucose: negative, protein: 2+ , RBC: 2-3 hpf, 24 hour urine protein: 7176 mg. He is suspected to be affected with steroid resistant nephrotic syndrome. He has been evaluated for pathogenic variations.</t>
  </si>
  <si>
    <t>AND25810004392</t>
  </si>
  <si>
    <t>AROKYA WOMENS CENTER - SALEM</t>
  </si>
  <si>
    <t>MR.RGS - 332 (29Y|M)</t>
  </si>
  <si>
    <t>GEN_T_2.0.spik_1525</t>
  </si>
  <si>
    <t>AND25630001539</t>
  </si>
  <si>
    <r>
      <rPr>
        <rFont val="Arial"/>
        <color theme="1"/>
      </rPr>
      <t xml:space="preserve">                                                                       </t>
    </r>
    <r>
      <rPr>
        <rFont val="Arial"/>
        <color rgb="FF38761D"/>
      </rPr>
      <t>Writeup available</t>
    </r>
  </si>
  <si>
    <t>Proband, born to non- consanguineous marriage is a renal allograft recipient (deceased donor, transplant on 27/05/25). He had delayed graft function due to acute thrombotic microangiopathy and is currently on immunosuppressive therapy with prednisolone and mycophenolic acid (MPA). He has type 1 diabetes mellitus, suspected diabetic nephropathy or podocytopathy and no known kidney disease. He was on dialysis for 2 years before transplant. Post transplant laboratory investigations done on 17/07/2025 reported hemoglobin: 8.7 g/dL, serum creatinine: 3.61 mg/dL, urine analysis reported glucose: 4+, protein: +, leukocyte: 3+, ketone: 2+, RBC: 287/ hpf.  He has family history of paternal uncle affected chronic kidney disease and succumbed to it after 5 days of diagnosis. He is suspected to be affected with atypical Hemolytic Uremic Syndrome. He has been evaluated for pathogenic variations.</t>
  </si>
  <si>
    <t>MRS.RGS - 333 (24Y|F)</t>
  </si>
  <si>
    <t>MRS.NEERAJA G(25YF) - AF</t>
  </si>
  <si>
    <t>GEN_T_2.0.spik_1526</t>
  </si>
  <si>
    <t>AND25630001540</t>
  </si>
  <si>
    <t>GEN_T_2.0.spik_AF1120</t>
  </si>
  <si>
    <t>AND25020011850</t>
  </si>
  <si>
    <t>DR.APOORVA PALLAM REDDY. .</t>
  </si>
  <si>
    <t>Proband, born to non- consanguineous marriage is presented with chronic kidney disease stage 3. Renal biopsy done in 2022 reported glomerulopathy with focal segmental and global glomerulosclerosis, along with mild tubulointerstitial scarring (15–20%), mild arteriosclerosis, and arteriolar hyalinosis. There was no evidence of active glomerulonephritis. On examinsation she is observed to have secondary FSGS (Focal Segmental Glomerulosclerosis) and hypertension. Laboratory investigations reported hemoglobin: 10.3 g/dL, serum creatinine: 3.36 mg/dL. Urine analysis reported glucose: negative, protein: +, RBC: 0-1/hpf, 24 hour urine protein: 1623 mg. She is suspected to be affected with hereditary nephritis. She has been evaluated for pathogenic variations.</t>
  </si>
  <si>
    <t>MR.RGS - 334 (27Y|M)</t>
  </si>
  <si>
    <r>
      <rPr>
        <rFont val="Arial"/>
        <color theme="1"/>
      </rPr>
      <t xml:space="preserve">                                                                    </t>
    </r>
    <r>
      <rPr>
        <rFont val="Arial"/>
        <color rgb="FF38761D"/>
      </rPr>
      <t xml:space="preserve">  Writeup available</t>
    </r>
  </si>
  <si>
    <t>GEN_T_2.0.spik_1527</t>
  </si>
  <si>
    <t>AND25630001542</t>
  </si>
  <si>
    <t>MRS.KARISHMA SHETTY(33YF) - POC</t>
  </si>
  <si>
    <t>Whole Exome Sequencing + 16 marker MCC As per ACMG guidelines</t>
  </si>
  <si>
    <t>GEN_T_2.0.spik_1121</t>
  </si>
  <si>
    <t>Proband, born to consanguineous marriage is presented with chronic kidney disease (CKD) and is on maintenance hemodialysis (MHD) twice weekly. He has no known kidney disease, is suspected of chronic interstitial nephritis (CIN). He has CKD complications like hyperphosphatemia, metabolic acidosis, anemia of chronic disease with blood loss. He is observed to have bilateral eye retinitis pigmentosa. Laboratory investigations reported hemoglobin: 9.3 g/dL, serum creatinine: 9.01 mg/dL, urine analysis reported glucose: negative, protein: negative, RBC: 0-1/ hpf, 24 hour urine protein: 404 mg. He is suspected to have inherited mitochondrial syndrome, hereditary nephritis. He has been evaluated for pathogenic variations.</t>
  </si>
  <si>
    <t>AND251R0003307</t>
  </si>
  <si>
    <t>PHOENIX WOMEN AND CARDIAC CENTER - BANGALORE</t>
  </si>
  <si>
    <t>MR.RGS - 335 (30Y|M)</t>
  </si>
  <si>
    <t>GEN_T_2.0.spik_1528</t>
  </si>
  <si>
    <t>AND25630001543</t>
  </si>
  <si>
    <r>
      <rPr>
        <rFont val="Arial"/>
        <color theme="1"/>
      </rPr>
      <t xml:space="preserve">                                                                      </t>
    </r>
    <r>
      <rPr>
        <rFont val="Arial"/>
        <color rgb="FF38761D"/>
      </rPr>
      <t xml:space="preserve">  Writeup available</t>
    </r>
    <r>
      <rPr>
        <rFont val="Arial"/>
        <color theme="1"/>
      </rPr>
      <t xml:space="preserve"> </t>
    </r>
  </si>
  <si>
    <t>Proband, born to non- consanguineous marriage is presented with chronic kidney disease (CKD) with serum creatinine of 30mg/dL and has been initiated on hemodialysis. He has no known kidney disease and the cause remains unknown. He has CKD complications like anemia of chronic disease, hyperkalemia, metabolic acidosis, hyperuricemia, hyperphosphatemia and secondary hyperparathyroidism. Current laboratory investigations reported hemoglobin: 9.5 g/dL, serum creatinine: 10.8 mg/dL. He has family history of  father affected with CKD, was on dialysis, underwent 2 renal transplants and died. His brother had CKD, was on dialysis, received a transplant from mother as doner, died after 3 years of transplant. His paternal grandfather had CKD. His paternal cousin has underwent 2 renal transplant. He is suspected to be affected with hereditary renal tubular disorder. He has been evaluated for pathogenic variations.</t>
  </si>
  <si>
    <t>MISS.SRI RAMA DEVI(9YF)</t>
  </si>
  <si>
    <t>MR.RGS - 336 (31Y|M)</t>
  </si>
  <si>
    <t>GEN_T_2.0.spik_1529</t>
  </si>
  <si>
    <t>AND25630001544</t>
  </si>
  <si>
    <t>GEN_T_2.0.spik_1122</t>
  </si>
  <si>
    <t>AND25020012041</t>
  </si>
  <si>
    <t>Proband, born to non- consanguineous marriage is presented with chronic kidney disease (CKD) stage 5 and is on maintenance hemodialysis. He has no known kidney disease and is suspected of chronic thrombotic microangiopathy (TMA) or malignant hypertension, biopsy was done on 25/05/2025. Laboratory investigations reported hemoglobin: 9.6g/ dL, serum creatinine: 8.05 mg/dL.  Urine analysis reported glucose: negative, protein: 2+, RBC: 7/hpf, 24 hour urine protein: 1160 mg. He is suspected to have atypical Hemolytic Uremic Syndrome. He has been evaluated for pathogenic variations.</t>
  </si>
  <si>
    <t>MR.RGS - 337 (27Y|M)</t>
  </si>
  <si>
    <t>GEN_T_2.0.spik_1530</t>
  </si>
  <si>
    <t>AND25630001545</t>
  </si>
  <si>
    <r>
      <rPr>
        <rFont val="Arial"/>
        <color theme="1"/>
      </rPr>
      <t xml:space="preserve">                                                                           </t>
    </r>
    <r>
      <rPr>
        <rFont val="Arial"/>
        <color rgb="FF38761D"/>
      </rPr>
      <t>Writeup available</t>
    </r>
  </si>
  <si>
    <t>MASTER.SAI RAM(10YM)</t>
  </si>
  <si>
    <t>Proband, born to non- consanguineous marriage is presented with chronic kidney disease (CKD) stage 5 and is on hemodialysis since 2024 December. He has no known kidney disease suggestive of obstructive uropathy suspected bilateral renal calculi. He underwent surgery for bilateral DJ stenting on 04/01/2025. His laboratory investigations reported:  hemoglobin: 8.4 g/ dL, serum creatinine: 6.35 mg/dL. Urine analysis reported glucose: 2+, protein: +, RBC: 301/hpf, 24 hour urine protein: 6061 mg. He is suspected to be affected with kidney stone disease. He has been evaluated for pathogenic variations</t>
  </si>
  <si>
    <t>GEN_T_2.0.spik_1123</t>
  </si>
  <si>
    <t>MASTER.RGS - 338 (13Y|M)</t>
  </si>
  <si>
    <t>AND25020012042</t>
  </si>
  <si>
    <t>GEN_T_2.0.spik_1531</t>
  </si>
  <si>
    <t>AND25630001546</t>
  </si>
  <si>
    <t>16/06/2025</t>
  </si>
  <si>
    <r>
      <rPr>
        <rFont val="Arial"/>
        <color theme="1"/>
      </rPr>
      <t xml:space="preserve">                                                                        </t>
    </r>
    <r>
      <rPr>
        <rFont val="Arial"/>
        <color rgb="FF38761D"/>
      </rPr>
      <t xml:space="preserve">  Writeup available </t>
    </r>
  </si>
  <si>
    <t>Proband, born to non- consanguineous marriage is presented with nephrotic syndrome (adolescent onset steroid resistant nephrotic syndrome). He is observed to have hereditary nephritis (Alport syndrome) and bilateral moderate sensorineural hearing loss. Laboratory investigations reported hemoglobin: 13.7 g/dL, serum creatinine: 0.85, urine analysis reported glucose: +, protein: 3+ RBC: 29/hpf, urine protein to creatinine ratio: 6.31 mg/mg. He is suspected to be affected with steroid resistant nephrotic syndrome. He has been evaluated for pathogenic variations.</t>
  </si>
  <si>
    <t>GIRIJA(41Y/F) - Do WMGS also as written in TRF</t>
  </si>
  <si>
    <t>MRS.RGS - 339 (33Y|F)</t>
  </si>
  <si>
    <t>WES + WMGS</t>
  </si>
  <si>
    <t>GEN_T_2.0.spik_1124</t>
  </si>
  <si>
    <t>AND25040000043</t>
  </si>
  <si>
    <t>GEN_T_2.0.spik_1532</t>
  </si>
  <si>
    <t>Dr.LAKSHMINARASIMHAN R MD.,DNB, (INT MED) , DM, DNB(NEURO).,FAAN.,FRCP(LONDON)</t>
  </si>
  <si>
    <t>AND25630001547</t>
  </si>
  <si>
    <t>Proband, born to non- consanguineous marriage presented with complain of chronic kidney disease(CKD) since 2020 with serum creatinine 1.9mg/dL. She is observed to be hypertensive. Laboratory investigations reported hemoglobin: 10.8 g/dL, serum creatinine: 5.17 mg/dL, Urine analysis reported glucose: negative, protein: 2+, RBC: 13/hpf, 24 hour urine protein: 1069 mg. She has no family history of kidney disease or any other genetic disease. She is suspected to be affected with CKD of unknown origin. She has been evaluated for pathogenic variations.</t>
  </si>
  <si>
    <t>MASTER.ARMAN(1YM)</t>
  </si>
  <si>
    <t>MR.RGS - 340 (22Y|M)</t>
  </si>
  <si>
    <t>GEN_T_2.0.spik_1125</t>
  </si>
  <si>
    <t>GEN_T_2.0.spik_1533</t>
  </si>
  <si>
    <t>AND25100000831</t>
  </si>
  <si>
    <t>AND25630001548</t>
  </si>
  <si>
    <t>DR.NAVEEN ...........</t>
  </si>
  <si>
    <t>17-06-2025</t>
  </si>
  <si>
    <t>14 days</t>
  </si>
  <si>
    <t>25-06-2025</t>
  </si>
  <si>
    <t>Proband, born to consanguineous marriage is presented with complain of  acute kidney infection (AKI). He has no known kidney disease, suspected of focal segmental glomerulosclerosis. Immunosuppression was initiated on 17/12/2024 and terminated in June 2025. He is observed to have nephrotic syndrome. Laboratory investigations reported hemoglobin: 8.7 g/dL, serum creatinine: 1.52 mg/dL, urine analysis reported glucose: negative, protein: 3+, RBC: 10/ hpf, 24 hour urine protein: 7929 mg. He is suspected to be affected with steroid resistant nephrotic syndrome. He has been evaluated for pathogenic variations.</t>
  </si>
  <si>
    <t xml:space="preserve">                                                                         Writeup available </t>
  </si>
  <si>
    <t>MR.RGS - 341 (0Y|M)</t>
  </si>
  <si>
    <t>MISS.NIVETHA(16YF)</t>
  </si>
  <si>
    <t>GEN_T_2.0.spik_1534</t>
  </si>
  <si>
    <t>AND25630001549</t>
  </si>
  <si>
    <t>GEN_T_2.0.spik_1126</t>
  </si>
  <si>
    <t>AND25020012413</t>
  </si>
  <si>
    <t>18-06-2025</t>
  </si>
  <si>
    <t>15 days</t>
  </si>
  <si>
    <t>Proband, born to consanguineous marriage is presented with chronic kidney disease. He has hypertension since 2025 and is on maintenance hemodialysis thrice a week since June 2025. On examination he is observed to have proteinuria. Laboratory investigations reported hemoglobin: 10.2 g/dL, serum creatinine: 9.15 mg/dL, urine analysis reported glucose: 2+, protein: 2+, RBC: 9/ hpf. He has been evaluated for pathogenic variations.</t>
  </si>
  <si>
    <t>MRS.RGS - 215A (33Y|F)</t>
  </si>
  <si>
    <t>GEN_T_2.0.spik_1535</t>
  </si>
  <si>
    <t>AND25630001550</t>
  </si>
  <si>
    <t xml:space="preserve">                                                                            Writeup available </t>
  </si>
  <si>
    <t>MRS.HARIDEVI (30YF)</t>
  </si>
  <si>
    <t>GEN_T_2.0.spik_1127</t>
  </si>
  <si>
    <t>AND25380035811</t>
  </si>
  <si>
    <t>Proband, born to consanguineous marriage, is presented with inherited proximal renal tubular acidosis. His laboratory investigations reported hemoglobin: 10.6 g/dL, serum creatinine: 0.51 mg/ dL, urine protein to creatinine ratio: 0.23 mg/mg, 24 hour urine protein: 82 mg. He has family history of younger sibling affected with same disease. He is suspected to be affected with renal tubular acidosis. He has been evaluated for pathogenic variations.</t>
  </si>
  <si>
    <t>GBR FERTILITY CLINIC - MUGAPPAIR WEST</t>
  </si>
  <si>
    <r>
      <rPr>
        <rFont val="Arial"/>
        <color theme="1"/>
      </rPr>
      <t xml:space="preserve">                                                                          </t>
    </r>
    <r>
      <rPr>
        <rFont val="Arial"/>
        <color rgb="FF274E13"/>
      </rPr>
      <t xml:space="preserve">Writeup available </t>
    </r>
  </si>
  <si>
    <t>MR.SATHISH SHANMUGAM(38YM)</t>
  </si>
  <si>
    <t>GEN_T_2.0.spik_1128</t>
  </si>
  <si>
    <t>AND25380035812</t>
  </si>
  <si>
    <t>MASTER.THOUSIK(15YM)</t>
  </si>
  <si>
    <t>GEN_T_2.0.spik_1129</t>
  </si>
  <si>
    <t>AND25060001989</t>
  </si>
  <si>
    <t>DR.SURESH C T .</t>
  </si>
  <si>
    <t>16 days</t>
  </si>
  <si>
    <r>
      <rPr>
        <rFont val="Arial"/>
        <color theme="1"/>
      </rPr>
      <t xml:space="preserve">                                                                         </t>
    </r>
    <r>
      <rPr>
        <rFont val="Arial"/>
        <color rgb="FF38761D"/>
      </rPr>
      <t xml:space="preserve"> Writeup available</t>
    </r>
  </si>
  <si>
    <t>MASTER.HAMZA ABBAS T(8YM)</t>
  </si>
  <si>
    <t>GEN_T_2.0.spik_1130</t>
  </si>
  <si>
    <t>AND25540000141</t>
  </si>
  <si>
    <t>17 days</t>
  </si>
  <si>
    <t>Dr. SRP review waiting</t>
  </si>
  <si>
    <r>
      <rPr>
        <rFont val="Arial"/>
        <color theme="1"/>
      </rPr>
      <t xml:space="preserve">                                                                           </t>
    </r>
    <r>
      <rPr>
        <rFont val="Arial"/>
        <color rgb="FF274E13"/>
      </rPr>
      <t xml:space="preserve">  Writeup available</t>
    </r>
    <r>
      <rPr>
        <rFont val="Arial"/>
        <color theme="1"/>
      </rPr>
      <t xml:space="preserve"> </t>
    </r>
  </si>
  <si>
    <t>MRS.NIHARIKA YADAV (33Y|F)</t>
  </si>
  <si>
    <t>GEN_T_2.0.spik_1131</t>
  </si>
  <si>
    <t>AND251R0003556</t>
  </si>
  <si>
    <t>18 days</t>
  </si>
  <si>
    <t>28-06-2025</t>
  </si>
  <si>
    <t>MRS.MARYAM SOMJEE (25YF) - POC</t>
  </si>
  <si>
    <t>GEN_T_2.0.spik_1134</t>
  </si>
  <si>
    <t>AND25750002340</t>
  </si>
  <si>
    <t>KIDS CLINIC INDIA LIMITED - KALYANI NAGAR - PUNE</t>
  </si>
  <si>
    <r>
      <rPr>
        <rFont val="Arial"/>
        <color theme="1"/>
      </rPr>
      <t xml:space="preserve">                                                                           </t>
    </r>
    <r>
      <rPr>
        <rFont val="Arial"/>
        <color rgb="FF38761D"/>
      </rPr>
      <t xml:space="preserve">   Writeup available</t>
    </r>
    <r>
      <rPr>
        <rFont val="Arial"/>
        <color theme="1"/>
      </rPr>
      <t xml:space="preserve"> </t>
    </r>
  </si>
  <si>
    <t>BABY.ZUNAIRAH ZEESHAN3M(F)</t>
  </si>
  <si>
    <t>GEN_T_2.0.spik_1141</t>
  </si>
  <si>
    <t>AND25020013198</t>
  </si>
  <si>
    <t>DR.ABDUL AHAD MBBS(OSMANIA),MD,PEDIATRICS</t>
  </si>
  <si>
    <t>22-06-2025</t>
  </si>
  <si>
    <t>19 days</t>
  </si>
  <si>
    <r>
      <rPr>
        <rFont val="Arial"/>
        <color theme="1"/>
      </rPr>
      <t xml:space="preserve">                                                                              </t>
    </r>
    <r>
      <rPr>
        <rFont val="Arial"/>
        <color rgb="FF38761D"/>
      </rPr>
      <t xml:space="preserve">  Writeup available </t>
    </r>
  </si>
  <si>
    <t>MRS.YATA MANEESHA W/O. DOTI SURESH - (HEG M034787)(26YF)</t>
  </si>
  <si>
    <t>ADVAT Focus carrier screening - NGS</t>
  </si>
  <si>
    <t>GEN_T_2.0.spik_1142</t>
  </si>
  <si>
    <t>AND25420001040</t>
  </si>
  <si>
    <t>23-06-2025</t>
  </si>
  <si>
    <t>20 days</t>
  </si>
  <si>
    <t>30-06-2025</t>
  </si>
  <si>
    <t>MR.DOTI. SURESH - (HEG M034787)(30YM)</t>
  </si>
  <si>
    <t>GEN_T_2.0.spik_1143</t>
  </si>
  <si>
    <t>AND25420001041</t>
  </si>
  <si>
    <t>MR.HARIKRISHNAN(32YM)</t>
  </si>
  <si>
    <t>GEN_T_2.0.spik_1144</t>
  </si>
  <si>
    <t>AND25150017969</t>
  </si>
  <si>
    <t>DR.DEVAPRASAD M MBBS., DNB(GEN MED).,DNB(NEURO).,PHD</t>
  </si>
  <si>
    <r>
      <rPr>
        <rFont val="Arial"/>
        <color theme="1"/>
      </rPr>
      <t xml:space="preserve">                                                                                     </t>
    </r>
    <r>
      <rPr>
        <rFont val="Arial"/>
        <color rgb="FF38761D"/>
      </rPr>
      <t>Writeup available</t>
    </r>
    <r>
      <rPr>
        <rFont val="Arial"/>
        <color theme="1"/>
      </rPr>
      <t xml:space="preserve"> </t>
    </r>
  </si>
  <si>
    <t>MRS.SELVAMANI (112760)(35YM)</t>
  </si>
  <si>
    <t>GEN_T_2.0.spik_1145</t>
  </si>
  <si>
    <t>AND25990009182</t>
  </si>
  <si>
    <t>SUMATHI HOSPITAL VILUPPURAM</t>
  </si>
  <si>
    <t>25/06/2025</t>
  </si>
  <si>
    <t>AND25380040012</t>
  </si>
  <si>
    <t>CHRISTIAN MEDICAL COLLEGE - VELLORE</t>
  </si>
  <si>
    <t>22 days</t>
  </si>
  <si>
    <t>AND25380040013</t>
  </si>
  <si>
    <t>AND25380040014</t>
  </si>
  <si>
    <t>AND25380040015</t>
  </si>
  <si>
    <t>AND25380040016</t>
  </si>
  <si>
    <t>AND25380040017</t>
  </si>
  <si>
    <t>AND25380040019</t>
  </si>
  <si>
    <t>AND25380040020</t>
  </si>
  <si>
    <t>AND25380040021</t>
  </si>
  <si>
    <t>AND25380040022</t>
  </si>
  <si>
    <t>AND25380040023</t>
  </si>
  <si>
    <t>SURFSeq - Run - 5 Lane - 03</t>
  </si>
  <si>
    <t>MR.SAI SIVA BALAJI P (30Y|M)</t>
  </si>
  <si>
    <t>GEN_T_2.0.spik_1132</t>
  </si>
  <si>
    <t>AND251H0000872</t>
  </si>
  <si>
    <r>
      <rPr>
        <rFont val="Arial"/>
        <color theme="1"/>
      </rPr>
      <t xml:space="preserve">                                    </t>
    </r>
    <r>
      <rPr>
        <rFont val="Arial"/>
        <color rgb="FF38761D"/>
      </rPr>
      <t>Writeup available</t>
    </r>
    <r>
      <rPr>
        <rFont val="Arial"/>
        <color theme="1"/>
      </rPr>
      <t xml:space="preserve"> </t>
    </r>
  </si>
  <si>
    <t>MRS. SANDHYA RANI K ( 30Y|F )</t>
  </si>
  <si>
    <t>GEN_T_2.0.spik_1133</t>
  </si>
  <si>
    <t>AND251H0000871</t>
  </si>
  <si>
    <r>
      <rPr>
        <rFont val="Arial"/>
        <color theme="1"/>
      </rPr>
      <t xml:space="preserve">                                     </t>
    </r>
    <r>
      <rPr>
        <rFont val="Arial"/>
        <color rgb="FF38761D"/>
      </rPr>
      <t xml:space="preserve"> Writeup available </t>
    </r>
  </si>
  <si>
    <t>MRS.CHANDANI AGRAWAL(30YF) - AF</t>
  </si>
  <si>
    <t>GEN_T_2.0.spik_AF1135</t>
  </si>
  <si>
    <t>AND25AE0000097</t>
  </si>
  <si>
    <t xml:space="preserve">                                      Writeup available </t>
  </si>
  <si>
    <t>MRS.JAGRATI SINGH RAJAWATI(27YF) - AF</t>
  </si>
  <si>
    <t>GEN_T_2.0.spik_AF1136</t>
  </si>
  <si>
    <t>AND25AE0000099</t>
  </si>
  <si>
    <t>BABY.THANVIKA S.B(5YF)</t>
  </si>
  <si>
    <t>GEN_T_2.0.spik_1137</t>
  </si>
  <si>
    <t>AND25410005431</t>
  </si>
  <si>
    <t>BABY.AADRIKA PANDEY(5YF)</t>
  </si>
  <si>
    <t>GEN_T_2.0.spik_1138</t>
  </si>
  <si>
    <t>AND25AE0000100</t>
  </si>
  <si>
    <t>MRS.SEETHALAKSHMI(29YF)</t>
  </si>
  <si>
    <t>GEN_T_2.0.spik_1140</t>
  </si>
  <si>
    <t>AND25400007759</t>
  </si>
  <si>
    <t>SUCCESS CLINICAL LAB - TENKASI</t>
  </si>
  <si>
    <t>09.07.2025</t>
  </si>
  <si>
    <t>Not availble</t>
  </si>
  <si>
    <t>MRS.MAMATHA (26YF) - POC</t>
  </si>
  <si>
    <t>WES + 16 marker MCC As per ACMG guidelines</t>
  </si>
  <si>
    <t>GEN_T_2.0.spik_1183</t>
  </si>
  <si>
    <t>AND251R0003618</t>
  </si>
  <si>
    <t>ADHIKAR MATERNITY AND INFERTILITY CLINIC - HARAPANAHALLI</t>
  </si>
  <si>
    <t>MRS.KRISHNAVENI(28YF)</t>
  </si>
  <si>
    <t>GEN_T_2.0.spik_1184</t>
  </si>
  <si>
    <t>AND251R0003804</t>
  </si>
  <si>
    <t>DR.MANOJ SRINIVASA .</t>
  </si>
  <si>
    <t>21 days</t>
  </si>
  <si>
    <t>MR.ASHOK(35YM)</t>
  </si>
  <si>
    <t>GEN_T_2.0.spik_1185</t>
  </si>
  <si>
    <t>AND251R0003805</t>
  </si>
  <si>
    <t>AND25380040024</t>
  </si>
  <si>
    <t>AND25380040025</t>
  </si>
  <si>
    <t>AND25380040026</t>
  </si>
  <si>
    <t>AND25380040027</t>
  </si>
  <si>
    <t>AND25380040028</t>
  </si>
  <si>
    <t>AND25380040029</t>
  </si>
  <si>
    <t>AND25380040030</t>
  </si>
  <si>
    <t>AND25380040031</t>
  </si>
  <si>
    <t>AND25380040041</t>
  </si>
  <si>
    <t>GAYATHRI, PRIYA</t>
  </si>
  <si>
    <t>AND25380040042</t>
  </si>
  <si>
    <t>AND25380040043</t>
  </si>
  <si>
    <t>AND25380040044</t>
  </si>
  <si>
    <t>AND25380040045</t>
  </si>
  <si>
    <t xml:space="preserve"> </t>
  </si>
  <si>
    <t>SURFSeq - Run - 5 Lane - 04</t>
  </si>
  <si>
    <t>komal</t>
  </si>
  <si>
    <t>MTHFR full gene sequencing</t>
  </si>
  <si>
    <t>GEN_T_2.0.spik_1214</t>
  </si>
  <si>
    <t>AND251R0003275</t>
  </si>
  <si>
    <t>PRASANTH</t>
  </si>
  <si>
    <t>GEN_T_2.0.spik_1146</t>
  </si>
  <si>
    <t>AND25630000776</t>
  </si>
  <si>
    <t>KALEESWARI</t>
  </si>
  <si>
    <t>GEN_T_2.0.spik_1147</t>
  </si>
  <si>
    <t>AND25630000777</t>
  </si>
  <si>
    <t>BABY.KHUSHI N(7MF) - Daughter of Neetu and Narayan rawdata will be received</t>
  </si>
  <si>
    <t>GEN_T_2.0.spik_1186</t>
  </si>
  <si>
    <t>AND25630000670</t>
  </si>
  <si>
    <t>MISS.SHALINI(12YF)</t>
  </si>
  <si>
    <t>GEN_T_2.0.spik_1187</t>
  </si>
  <si>
    <t>AND25020013751</t>
  </si>
  <si>
    <t>BABY.RITHIK(4YM)</t>
  </si>
  <si>
    <t>GEN_T_2.0.spik_1188</t>
  </si>
  <si>
    <t>AND25020013753</t>
  </si>
  <si>
    <t>19/06/2025</t>
  </si>
  <si>
    <t>MR.MURALI(36YM)</t>
  </si>
  <si>
    <t>GEN_T_2.0.spik_1189</t>
  </si>
  <si>
    <t>AND25020013754</t>
  </si>
  <si>
    <t>MASTER.ABHAY SINGH RAJPOOT(7YM)</t>
  </si>
  <si>
    <t>GEN_T_2.0.spik_1190</t>
  </si>
  <si>
    <t>AND25750002636</t>
  </si>
  <si>
    <t>20/06/2025</t>
  </si>
  <si>
    <t>MASTER.PRANAV MOHAN RAWAT(16YM)</t>
  </si>
  <si>
    <t>GEN_T_2.0.spik_1191</t>
  </si>
  <si>
    <t>AND25750002663</t>
  </si>
  <si>
    <t>MRS.SIBANI RAY(25YF) - donor for wife of Akula venkateshwarlu - IN TRF written urgent tat</t>
  </si>
  <si>
    <t>COMPREHENSIVE CARRIER SCREENING</t>
  </si>
  <si>
    <t>GEN_T_2.0.spik_1139</t>
  </si>
  <si>
    <t>AND25420001016</t>
  </si>
  <si>
    <t>AND25380040032</t>
  </si>
  <si>
    <t>AND25380040033</t>
  </si>
  <si>
    <t>AND25380040034</t>
  </si>
  <si>
    <t>AND25380040018</t>
  </si>
  <si>
    <t>AND25380040035</t>
  </si>
  <si>
    <t>AND25380040036</t>
  </si>
  <si>
    <t>AND25380040037</t>
  </si>
  <si>
    <t>AND25380040038</t>
  </si>
  <si>
    <t>AND25380040039</t>
  </si>
  <si>
    <t>AND25380040040</t>
  </si>
  <si>
    <t>ob</t>
  </si>
  <si>
    <t>GEN_T_2.0.spik_1231</t>
  </si>
  <si>
    <t>30-06-25</t>
  </si>
  <si>
    <t>GEN_T_2.0.spik_1232</t>
  </si>
  <si>
    <t>GEN_T_2.0.spik_1233</t>
  </si>
  <si>
    <t>GEN_T_2.0.spik_1234</t>
  </si>
  <si>
    <t>MISS.KAJAL BASFORE</t>
  </si>
  <si>
    <t>WES + Mito</t>
  </si>
  <si>
    <t>GEN_T_2.0.spik_1235</t>
  </si>
  <si>
    <t>GEN_T_2.0.spik_1215</t>
  </si>
  <si>
    <t>GEN_T_2.0.spik_1193</t>
  </si>
  <si>
    <t>19-06-25</t>
  </si>
  <si>
    <t>14-07-2025</t>
  </si>
  <si>
    <t>BABY.VIGNESHWARAN (1Y|M)</t>
  </si>
  <si>
    <t>GEN_T_2.0.spik_1194</t>
  </si>
  <si>
    <t>AND25020015502</t>
  </si>
  <si>
    <t>GEN_T_2.0.spik_1195</t>
  </si>
  <si>
    <t>23-06-25</t>
  </si>
  <si>
    <t>GEN_T_2.0.spik_1196</t>
  </si>
  <si>
    <t>25-06-25</t>
  </si>
  <si>
    <t>20.06.2025</t>
  </si>
  <si>
    <t>GEN_T_2.0.spik_1197</t>
  </si>
  <si>
    <t>GEN_T_2.0.spik_1148</t>
  </si>
  <si>
    <t>27-06-25</t>
  </si>
  <si>
    <t>GEN_T_2.0.spik_1198</t>
  </si>
  <si>
    <t>GEN_T_2.0.spik_1205</t>
  </si>
  <si>
    <t>26-06-25</t>
  </si>
  <si>
    <t>GEN_T_2.0.spik_1206</t>
  </si>
  <si>
    <t>26/06/2025</t>
  </si>
  <si>
    <t>GEN_T_2.0.spik_1207</t>
  </si>
  <si>
    <t>GEN_T_2.0.spik_1208</t>
  </si>
  <si>
    <t>28-06-25</t>
  </si>
  <si>
    <t>GEN_T_2.0.spik_1209</t>
  </si>
  <si>
    <t>15-06-25</t>
  </si>
  <si>
    <t>23/06/2025</t>
  </si>
  <si>
    <t>GEN_T_2.0.spik_1210</t>
  </si>
  <si>
    <t>30/06/2025</t>
  </si>
  <si>
    <r>
      <rPr>
        <rFont val="Calibri"/>
        <color theme="1"/>
        <sz val="11.0"/>
      </rPr>
      <t xml:space="preserve">MR.MOHAMED YASIN S(34YM) </t>
    </r>
    <r>
      <rPr>
        <rFont val="Calibri"/>
        <b/>
        <color theme="1"/>
        <sz val="11.0"/>
      </rPr>
      <t xml:space="preserve"> ( parents of yasna tanzim- already released report)</t>
    </r>
  </si>
  <si>
    <t>GEN_T_2.0.spik_1211</t>
  </si>
  <si>
    <r>
      <rPr>
        <rFont val="Calibri"/>
        <color theme="1"/>
        <sz val="11.0"/>
      </rPr>
      <t xml:space="preserve">MRS.NOORUL FARHANA A(26YF)  </t>
    </r>
    <r>
      <rPr>
        <rFont val="Calibri"/>
        <b/>
        <color theme="1"/>
        <sz val="11.0"/>
      </rPr>
      <t>( parents of baby riya- already released report)</t>
    </r>
  </si>
  <si>
    <t>GEN_T_2.0.spik_1212</t>
  </si>
  <si>
    <t>GEN_T_2.0.spik_1213</t>
  </si>
  <si>
    <t>GEN_T_2.0.spik_1192</t>
  </si>
  <si>
    <t>24/06/2024</t>
  </si>
  <si>
    <t>MRS.SONALI AKASH GIRADKA (25Y|F)</t>
  </si>
  <si>
    <t>GEN_T_2.0.spik_1216</t>
  </si>
  <si>
    <t>AND25AE0000110</t>
  </si>
  <si>
    <t>MR.AKASH PRAKASH RAO GIRADKA (33Y|M)</t>
  </si>
  <si>
    <t>GEN_T_2.0.spik_1217</t>
  </si>
  <si>
    <t>AND25AE0000111</t>
  </si>
  <si>
    <t>19-06-2026</t>
  </si>
  <si>
    <t>BABY OF.SONALI AKASH GIRADKA (0Y|O)</t>
  </si>
  <si>
    <t>GEN_T_2.0.spik_1218</t>
  </si>
  <si>
    <t>AND25AE0000112</t>
  </si>
  <si>
    <t>GEN_T_2.0.spik_1219</t>
  </si>
  <si>
    <t>29-06-25</t>
  </si>
  <si>
    <t>17-07-2025</t>
  </si>
  <si>
    <t>GEN_T_2.0.spik_1220</t>
  </si>
  <si>
    <t>17-07-2026</t>
  </si>
  <si>
    <t>GEN_T_2.0.spik_1221</t>
  </si>
  <si>
    <t>17-07-2027</t>
  </si>
  <si>
    <t>GEN_T_2.0.spik_1222</t>
  </si>
  <si>
    <t>GenolabM- Run-54</t>
  </si>
  <si>
    <t>MASTER.KAVINAN N K(10YM)</t>
  </si>
  <si>
    <t>WES+ Mito</t>
  </si>
  <si>
    <t>GEN_T_2.0.spik_1250</t>
  </si>
  <si>
    <t>AND25150009205</t>
  </si>
  <si>
    <t>DR.SANKARANARAYANAN L MD.,DM</t>
  </si>
  <si>
    <t>GEN_T_2.0.spik_1238</t>
  </si>
  <si>
    <t>GEN_T_2.0.spik_1239</t>
  </si>
  <si>
    <t>27/06/2025</t>
  </si>
  <si>
    <t>08.07.2025</t>
  </si>
  <si>
    <t>GEN_T_2.0.spik_1240</t>
  </si>
  <si>
    <t>GEN_T_2.0.spik_1241</t>
  </si>
  <si>
    <t>GEN_T_2.0.spik_1242</t>
  </si>
  <si>
    <t>GEN_T_2.0.spik_1243</t>
  </si>
  <si>
    <t>GEN_T_2.0.spik_1244</t>
  </si>
  <si>
    <r>
      <rPr>
        <rFont val="Calibri, sans-serif"/>
        <color rgb="FF000000"/>
        <sz val="11.0"/>
      </rPr>
      <t>CHILD P. ABIRAMI (11Y 7mns F) -</t>
    </r>
    <r>
      <rPr>
        <rFont val="Calibri, sans-serif"/>
        <b/>
        <color rgb="FF000000"/>
        <sz val="11.0"/>
      </rPr>
      <t xml:space="preserve"> child of shenbagam</t>
    </r>
  </si>
  <si>
    <t>GEN_T_2.0.spik_1246</t>
  </si>
  <si>
    <r>
      <rPr>
        <rFont val="Calibri, sans-serif"/>
        <color rgb="FF000000"/>
        <sz val="11.0"/>
      </rPr>
      <t xml:space="preserve">MRS.SHENBAGAM (38Y|F) - </t>
    </r>
    <r>
      <rPr>
        <rFont val="Calibri, sans-serif"/>
        <b/>
        <color rgb="FF000000"/>
        <sz val="11.0"/>
      </rPr>
      <t>mother of abirami</t>
    </r>
  </si>
  <si>
    <t>GEN_T_2.0.spik_1245</t>
  </si>
  <si>
    <t>GEN_T_2.0.spik_1247</t>
  </si>
  <si>
    <t>07.07.2025</t>
  </si>
  <si>
    <t>GEN_T_2.0.spik_1248</t>
  </si>
  <si>
    <t>BABY.NILA (8M|F)</t>
  </si>
  <si>
    <t>GEN_T_2.0.spik_1251</t>
  </si>
  <si>
    <t>AND25810006728</t>
  </si>
  <si>
    <t>SRI ANNAI DIAGNOSTIC CENTRE - DHARMAPURI</t>
  </si>
  <si>
    <t>18-07-25</t>
  </si>
  <si>
    <t>GEN_T_2.0.spik_1249</t>
  </si>
  <si>
    <t>GEN_T_2.0.spik_1223A</t>
  </si>
  <si>
    <t>GEN_T_2.0.spik_1224A</t>
  </si>
  <si>
    <t>GEN_T_2.0.spik_1225A</t>
  </si>
  <si>
    <t>GEN_T_2.0.spik_1226A</t>
  </si>
  <si>
    <t>GEN_T_2.0.spik_1227A</t>
  </si>
  <si>
    <t>28/06/2025</t>
  </si>
  <si>
    <t>GEN_T_2.0.spik_1228A</t>
  </si>
  <si>
    <t>GEN_T_2.0.spik_1229A</t>
  </si>
  <si>
    <t>GEN_T_2.0.spik_1230A</t>
  </si>
  <si>
    <t>GenolabM- Run-55</t>
  </si>
  <si>
    <t>MR.MADHAN R(30YM)</t>
  </si>
  <si>
    <t>GEN_T_2.0.spik_1260</t>
  </si>
  <si>
    <t>AND25730003679</t>
  </si>
  <si>
    <t>DR.LOURDES PRAVINA .</t>
  </si>
  <si>
    <t>MRS.PRITHA BERA(31YF)</t>
  </si>
  <si>
    <t>GEN_T_2.0.spik_1261</t>
  </si>
  <si>
    <t>AND251R0005489</t>
  </si>
  <si>
    <t>AKANKSHA CENTER - HSR LAYOUT - BANGALORE</t>
  </si>
  <si>
    <t>18-07-2025</t>
  </si>
  <si>
    <t>MRS.ANOOP JOSE(41YF)</t>
  </si>
  <si>
    <t>GEN_T_2.0.spik_1262</t>
  </si>
  <si>
    <t>AND25380055205</t>
  </si>
  <si>
    <t>19-07-2025</t>
  </si>
  <si>
    <t xml:space="preserve">SUDHEER </t>
  </si>
  <si>
    <t>WES+Mito</t>
  </si>
  <si>
    <t>GEN_T_2.0.spik_1263</t>
  </si>
  <si>
    <t>AND25850002007</t>
  </si>
  <si>
    <t>14.07.2025</t>
  </si>
  <si>
    <t>MRS.SUGANYA(33YF)</t>
  </si>
  <si>
    <t>GEN_T_2.0.spik_1264</t>
  </si>
  <si>
    <t>AND25270006209</t>
  </si>
  <si>
    <t>13/07/25</t>
  </si>
  <si>
    <t>MR.ARIVU(37YM)</t>
  </si>
  <si>
    <t>GEN_T_2.0.spik_1265</t>
  </si>
  <si>
    <t>AND25270006210</t>
  </si>
  <si>
    <t>MASTER.AYUSH MONDAL(SN00751726)(10YM)</t>
  </si>
  <si>
    <t>GEN_T_2.0.spik_1266</t>
  </si>
  <si>
    <t>AND251S0000946</t>
  </si>
  <si>
    <t>SRI NARAYANI HOSPITAL &amp; RESEARCH CENTRE - VELLORE</t>
  </si>
  <si>
    <t>MRS.BHOOMIKA (26YF) - POC</t>
  </si>
  <si>
    <t>GEN_T_2.0.spik_1267</t>
  </si>
  <si>
    <t>AND251R0005378</t>
  </si>
  <si>
    <t>AADITYA DIAGNOSTICS - MYSURU</t>
  </si>
  <si>
    <t>BABY OF.AMRITA DEVI(0YO) (CVS)</t>
  </si>
  <si>
    <t>GEN_T_2.0.spik_CVS1268</t>
  </si>
  <si>
    <t>AND25AE0000122</t>
  </si>
  <si>
    <t>MRS.RADHIKA W/O RAMKUMAR(21YF) (AF)</t>
  </si>
  <si>
    <t>GEN_T_2.0.spik_AF1269</t>
  </si>
  <si>
    <t>AND25910009762</t>
  </si>
  <si>
    <t>BABY.RIYA SHREE(1YF)</t>
  </si>
  <si>
    <t>GEN_T_2.0.spik_1270</t>
  </si>
  <si>
    <t>AND25020018754</t>
  </si>
  <si>
    <t>10.07.2025</t>
  </si>
  <si>
    <t>MRS.PUSHPA GOUDA (31Y|F)</t>
  </si>
  <si>
    <t>Comprehensive alpha + beta Thalassemia Testing</t>
  </si>
  <si>
    <t>GEN_T_2.0.spik_1271</t>
  </si>
  <si>
    <t>AND24380230160</t>
  </si>
  <si>
    <t>SHREYA IVF CENTRE PVT LTD - BHUBANESWAR</t>
  </si>
  <si>
    <t>MRS.MOVVA CHANDANA - (HEG 39001)(37YF)</t>
  </si>
  <si>
    <t>GEN_T_2.0.spik_1273</t>
  </si>
  <si>
    <t>AND25420001434</t>
  </si>
  <si>
    <t>14/07/25</t>
  </si>
  <si>
    <t>MR.MOVVA HARI KRISHNA - (HEG 39002)(38YM)</t>
  </si>
  <si>
    <t>GEN_T_2.0.spik_1274</t>
  </si>
  <si>
    <t>AND25420001435</t>
  </si>
  <si>
    <t>BABY.KOJAISHNAVI(1YF)</t>
  </si>
  <si>
    <t>GEN_T_2.0.spik_1275</t>
  </si>
  <si>
    <t>AND25630001045</t>
  </si>
  <si>
    <t>DR.ANANTHI NAGAJOTHI .</t>
  </si>
  <si>
    <t>Diksha</t>
  </si>
  <si>
    <t>MR.DEVRAJ(42YM)</t>
  </si>
  <si>
    <t>GEN_T_2.0.spik_1252</t>
  </si>
  <si>
    <t>AND251R0005423</t>
  </si>
  <si>
    <t>ANDERSON DIAGNOSTIC SERVICES PVT LTD - DAVANGERE</t>
  </si>
  <si>
    <t>MRS.HARSHITA W/O DEVARAJ(23YF)</t>
  </si>
  <si>
    <t>GEN_T_2.0.spik_1253</t>
  </si>
  <si>
    <t>AND251R0005422</t>
  </si>
  <si>
    <t>NETHRA (32YF)</t>
  </si>
  <si>
    <t>GEN_T_2.0.spik_1254</t>
  </si>
  <si>
    <t>AND251R0005191</t>
  </si>
  <si>
    <t>BABY.GANESH G(1YM)</t>
  </si>
  <si>
    <t>GEN_T_2.0.spik_1255</t>
  </si>
  <si>
    <t>AND25510003789</t>
  </si>
  <si>
    <t>INDHIRA HOSPITAL - TIRUPATHI</t>
  </si>
  <si>
    <t>VIGNESH BABU. S (39YM)</t>
  </si>
  <si>
    <t>Single Gene – Full gene sequencing by NGS</t>
  </si>
  <si>
    <t>GEN_T_2.0.spik_1256</t>
  </si>
  <si>
    <t>AND25370008671</t>
  </si>
  <si>
    <t>KUNDHAVI |MS.,DGO.,DIP.,MAS</t>
  </si>
  <si>
    <t>26/06/25</t>
  </si>
  <si>
    <t>(Diwakar)</t>
  </si>
  <si>
    <t>10.07.2026</t>
  </si>
  <si>
    <t>MRS.SHRUTHI P WALLIKAR(28YF)</t>
  </si>
  <si>
    <t>GEN_T_2.0.spik_1257</t>
  </si>
  <si>
    <t>AND251R0005268</t>
  </si>
  <si>
    <t>PATIL MATERNITY &amp; CHILDREN HOSPITAL, RANEBENNUR</t>
  </si>
  <si>
    <t>MR.PRAVEEN WALLIKAR(32YM)</t>
  </si>
  <si>
    <t>GEN_T_2.0.spik_1258</t>
  </si>
  <si>
    <t>AND251R0005269</t>
  </si>
  <si>
    <t>SELVI.KEERTHANASRI(9YF)</t>
  </si>
  <si>
    <t>GEN_T_2.0.spik_1259</t>
  </si>
  <si>
    <t>AND25970003645</t>
  </si>
  <si>
    <t>TIRUVARUR MEDICAL CENTRE PVT LTD - TIRUVARUR</t>
  </si>
  <si>
    <t>BABY.KAYALVIZHI(3YF)</t>
  </si>
  <si>
    <t>GEN_T_2.0.spik_1276</t>
  </si>
  <si>
    <t>AND25630001046</t>
  </si>
  <si>
    <t>DR.KALPANA .</t>
  </si>
  <si>
    <t>MASTER.HEMA GOWRISH(6YM)</t>
  </si>
  <si>
    <t>GEN_T_2.0.spik_1277</t>
  </si>
  <si>
    <t>AND25630001047</t>
  </si>
  <si>
    <t>MRS.PREETHIKA(28YF)</t>
  </si>
  <si>
    <t>GEN_T_2.0.spik_1278</t>
  </si>
  <si>
    <t>AND25630001048</t>
  </si>
  <si>
    <t>MRS.KEERTHI (UMR2505019491)(34YF)</t>
  </si>
  <si>
    <t>GEN_T_2.0.spik_1279</t>
  </si>
  <si>
    <t>AND25380055495</t>
  </si>
  <si>
    <t>A4 FERTILITY CENTER - VELAPPANCHAVADI</t>
  </si>
  <si>
    <t>MR.JEEVA (UMR2505019492)(36YM)</t>
  </si>
  <si>
    <t>GEN_T_2.0.spik_1280</t>
  </si>
  <si>
    <t>AND25380055496</t>
  </si>
  <si>
    <t>TAMIZHMARAN (1YM)</t>
  </si>
  <si>
    <t>GEN_T_2.0.spik_1281</t>
  </si>
  <si>
    <t>AND25020019342</t>
  </si>
  <si>
    <t>16/07/25</t>
  </si>
  <si>
    <t>21-07-2025</t>
  </si>
  <si>
    <t>MRS.SAYANA(28YF) POC</t>
  </si>
  <si>
    <t>GEN_T_2.0.spik_1282</t>
  </si>
  <si>
    <t>AND251R0005551</t>
  </si>
  <si>
    <t>FATHER MULLER MEDICAL COLLEGE - MANGALORE</t>
  </si>
  <si>
    <t>16-07-2026</t>
  </si>
  <si>
    <t>MASTER.KRITHIK B M(6YM)</t>
  </si>
  <si>
    <t>GEN_T_2.0.spik_1283</t>
  </si>
  <si>
    <t>AND25910010107</t>
  </si>
  <si>
    <t>PRACHI SPECIALITY CLINIC - DAVANGERE</t>
  </si>
  <si>
    <t>GenolabM- Run-56A</t>
  </si>
  <si>
    <t>MR.SUDHANSHU MISHRA (38Y|M)</t>
  </si>
  <si>
    <t>GEN_T_2.0.spik_1291</t>
  </si>
  <si>
    <t>AND25750003669</t>
  </si>
  <si>
    <t>YAAMI HEALTHCARE SERVICES LLP</t>
  </si>
  <si>
    <t>17-07-25</t>
  </si>
  <si>
    <t>MRS.SURBHI VERMA (35Y|F)</t>
  </si>
  <si>
    <t>GEN_T_2.0.spik_1292</t>
  </si>
  <si>
    <t>AND25750003670</t>
  </si>
  <si>
    <t>MRS.MINUSHA I S (33Y|F) POC</t>
  </si>
  <si>
    <t>GEN_T_2.0.spik_1293</t>
  </si>
  <si>
    <t>AND251R0005780</t>
  </si>
  <si>
    <t>ANDERSON DIAGNOSTICS SERVICE PVT LTD - MANGALORE</t>
  </si>
  <si>
    <t>15-07-25</t>
  </si>
  <si>
    <t>BABY OF.PRATIKSHA UGALE (0YF) POC</t>
  </si>
  <si>
    <t>GEN_T_2.0.spik_1294</t>
  </si>
  <si>
    <t>AND25750003738</t>
  </si>
  <si>
    <t>SANVI DIAGNOSTICS - NAGPUR</t>
  </si>
  <si>
    <t>MRS.YAZHINI (UMR2505019147)(31YF)</t>
  </si>
  <si>
    <t>GEN_T_2.0.spik_1295</t>
  </si>
  <si>
    <t>AND25210000670</t>
  </si>
  <si>
    <t>A4 FERTILITY CENTRE - TAMBARAM</t>
  </si>
  <si>
    <t>MASTER.DIYAGNIK DHAR (9Y|M)</t>
  </si>
  <si>
    <t>Clinical Exome Sequencing</t>
  </si>
  <si>
    <t>GEN_T_2.0.spik_1296</t>
  </si>
  <si>
    <t>AND25630001112</t>
  </si>
  <si>
    <t>SACHIN KULKERNI .</t>
  </si>
  <si>
    <t>MR.PIINNINTI THAVITI NAIDU(28YM)</t>
  </si>
  <si>
    <t>GEN_T_2.0.spik_1298</t>
  </si>
  <si>
    <t>16/07/2025</t>
  </si>
  <si>
    <t>24-07-2025</t>
  </si>
  <si>
    <t>MRS.PINNINTISARADHA(22YF)</t>
  </si>
  <si>
    <t>GEN_T_2.0.spik_1299</t>
  </si>
  <si>
    <t>MRS.TANUSHREE P(31YF)</t>
  </si>
  <si>
    <t>GEN_T_2.0.spik_1300</t>
  </si>
  <si>
    <t>AND251R0005919</t>
  </si>
  <si>
    <t>VRIKSH FERTILITY - BANGALORE</t>
  </si>
  <si>
    <t>19-07-25</t>
  </si>
  <si>
    <t>MR.PAWAN KUMAR REDDY(39YM)</t>
  </si>
  <si>
    <t>GEN_T_2.0.spik_1301</t>
  </si>
  <si>
    <t>AND251R0005920</t>
  </si>
  <si>
    <t>MR.NAMAN MAHIPAL(32YM)</t>
  </si>
  <si>
    <t>GEN_T_2.0.spik_1302</t>
  </si>
  <si>
    <t>AND25100001457</t>
  </si>
  <si>
    <t>GUNJAN .</t>
  </si>
  <si>
    <t>MRS.AARTI KAUSHAL(29YF)</t>
  </si>
  <si>
    <t>GEN_T_2.0.spik_1303</t>
  </si>
  <si>
    <t>AND25100001459</t>
  </si>
  <si>
    <t>MRS.NAGUNURI CHANDANA W/O. N. PAVAN KUMAR - (HEG M035192)(25YF)</t>
  </si>
  <si>
    <t>GEN_T_2.0.spik_1304</t>
  </si>
  <si>
    <t>AND25420001562</t>
  </si>
  <si>
    <t>20-07-25</t>
  </si>
  <si>
    <t>15/7/2025</t>
  </si>
  <si>
    <t>30-07-2025</t>
  </si>
  <si>
    <t>MR.NAGUNURI. PAVAN KUMAR H/O. N. CHANDANA - (HEG M35192)(35YM)</t>
  </si>
  <si>
    <t>GEN_T_2.0.spik_1305</t>
  </si>
  <si>
    <t>AND25420001563</t>
  </si>
  <si>
    <t>MS.SHRADHA MANIKANDAN(16YF)</t>
  </si>
  <si>
    <t>GEN_T_2.0.spik_1297</t>
  </si>
  <si>
    <t>AND25720009720</t>
  </si>
  <si>
    <t>MRS.SONI KAROSIYA(26YF)</t>
  </si>
  <si>
    <t>GEN_T_2.0.spik_1306</t>
  </si>
  <si>
    <t>AND25750003871</t>
  </si>
  <si>
    <t>GenolabM- Run-56B</t>
  </si>
  <si>
    <t>MRS.RAGAPRIYA (33Y|F)</t>
  </si>
  <si>
    <t>GEN_T_2.0.spik_1285</t>
  </si>
  <si>
    <t>AND25150025977</t>
  </si>
  <si>
    <t>A4 FERTILITY CENTER - PADUR</t>
  </si>
  <si>
    <t>16-07-25</t>
  </si>
  <si>
    <t>MR.KARVANNAN (35Y|M)</t>
  </si>
  <si>
    <t>GEN_T_2.0.spik_1286</t>
  </si>
  <si>
    <t>AND25150025978</t>
  </si>
  <si>
    <t>MRS.M. VANI W/O. M. SRINIVASU (36Y|F)</t>
  </si>
  <si>
    <t>GEN_T_2.0.spik_1287</t>
  </si>
  <si>
    <t>AND25420001461</t>
  </si>
  <si>
    <t>DR. PADMAJA DIVAKAR HOSPITALS - HYDERABAD</t>
  </si>
  <si>
    <t>16/7/2025</t>
  </si>
  <si>
    <t>MR.M. SRINIVASU H/O. M. VANI (38Y|M)</t>
  </si>
  <si>
    <t>GEN_T_2.0.spik_1288</t>
  </si>
  <si>
    <t>AND25420001462</t>
  </si>
  <si>
    <t>MRS.KOKILA (28Y|F)</t>
  </si>
  <si>
    <t>GEN_T_2.0.spik_1284</t>
  </si>
  <si>
    <t>AND25060003207</t>
  </si>
  <si>
    <t>AMMU'S MOTHER AND CHILD FERTILITY SUPER SPECIALITY CLINIC - PONDICHERRY</t>
  </si>
  <si>
    <t>22-07-2025</t>
  </si>
  <si>
    <t>BABY.FERIHA KANEKYA(1YF)</t>
  </si>
  <si>
    <t>GEN_T_2.0.spik_1272</t>
  </si>
  <si>
    <t>AND251R0005553</t>
  </si>
  <si>
    <t>14-07-25</t>
  </si>
  <si>
    <t>MR.M.PANDIESWARAN (22Y|M)</t>
  </si>
  <si>
    <t>GEN_T_2.0.spik_1289</t>
  </si>
  <si>
    <t>AND25360015625</t>
  </si>
  <si>
    <t>HEMA MEDICAL CENTRE - MADURAI</t>
  </si>
  <si>
    <t>MASTER.PRADUMAN BARIK (14Y|M)</t>
  </si>
  <si>
    <t>GEN_T_2.0.spik_1290</t>
  </si>
  <si>
    <t>AND25850002107</t>
  </si>
  <si>
    <t>EX-SERVICEMEN CONTRIBUTORY HEALTH SCHEME ECHS</t>
  </si>
  <si>
    <t>16-07-2025</t>
  </si>
  <si>
    <t>MRS.GALI ANUSHA W/O. B. SHASHIKANTH- (HEG M0035061)(32YF)</t>
  </si>
  <si>
    <t>GEN_T_2.0.spik_1322</t>
  </si>
  <si>
    <t>AND25420001578</t>
  </si>
  <si>
    <t>21-07-25</t>
  </si>
  <si>
    <t>MR.BANDI SHASHIKANTH H/O. G. ANUSHA - (HEG M0035062)(40YM)</t>
  </si>
  <si>
    <t>GEN_T_2.0.spik_1323</t>
  </si>
  <si>
    <t>AND25420001579</t>
  </si>
  <si>
    <t>MR.DHAVAL SANJEEV SHIRAS(39YM)</t>
  </si>
  <si>
    <t>GEN_T_2.0.spik_1324</t>
  </si>
  <si>
    <t>AND25420001598</t>
  </si>
  <si>
    <t>22-07-25</t>
  </si>
  <si>
    <t>17-7-2025</t>
  </si>
  <si>
    <t>MRS.RAKHI UDAY ASODEKAR(36YF)</t>
  </si>
  <si>
    <t>GEN_T_2.0.spik_1325</t>
  </si>
  <si>
    <t>AND25420001597</t>
  </si>
  <si>
    <t>MRS.YAMINI V(30YF)</t>
  </si>
  <si>
    <t>GEN_T_2.0.spik_1327</t>
  </si>
  <si>
    <t>AND25020020798</t>
  </si>
  <si>
    <t>23-07-25</t>
  </si>
  <si>
    <t>MRS.DONOR OF HUJEFA ANJUM(25YF)</t>
  </si>
  <si>
    <t>GEN_T_2.0.spik_1328</t>
  </si>
  <si>
    <t>AND25750004005</t>
  </si>
  <si>
    <t>DR.DEVANSHI MISHRA .</t>
  </si>
  <si>
    <t>MASTER.AYAANSH SINGH(3YM)</t>
  </si>
  <si>
    <t>GEN_T_2.0.spik_1329</t>
  </si>
  <si>
    <t>AND25750004014</t>
  </si>
  <si>
    <t>MR.KUTTUM NARAYANA RAO(36YM)</t>
  </si>
  <si>
    <t>GEN_T_2.0.spik_1330</t>
  </si>
  <si>
    <t>AND251H0001389</t>
  </si>
  <si>
    <t>DR.ACHANTA ANJANI |</t>
  </si>
  <si>
    <t>23-7-2025</t>
  </si>
  <si>
    <t>26-07-2025</t>
  </si>
  <si>
    <t>Sashtiyugan</t>
  </si>
  <si>
    <t>MR.K. GOPI KRISHNA(33YM)</t>
  </si>
  <si>
    <t>GEN_T_2.0.spik_1307</t>
  </si>
  <si>
    <t>AND25420001560</t>
  </si>
  <si>
    <t>PINNACLE FERTILITY - NIZAMABAD</t>
  </si>
  <si>
    <t>20/07/25</t>
  </si>
  <si>
    <t>18/07/2025</t>
  </si>
  <si>
    <t>Writeup available</t>
  </si>
  <si>
    <t>MRS.KHUSBHU(33YF)</t>
  </si>
  <si>
    <t>GEN_T_2.0.spik_1308</t>
  </si>
  <si>
    <t>AND25420001561</t>
  </si>
  <si>
    <t>MR.SATHISH KUMAR(AFTPR-7788) (39Y|M)</t>
  </si>
  <si>
    <t>GEN_T_2.0.spik_1309</t>
  </si>
  <si>
    <t>AND25720009877</t>
  </si>
  <si>
    <t>DR.ARAVIND'S IVF - TIRUPPUR</t>
  </si>
  <si>
    <t>22/07/2025</t>
  </si>
  <si>
    <t>MRS.NATHIYA(AFTPR-7787)(32YF)</t>
  </si>
  <si>
    <t>GEN_T_2.0.spik_1310</t>
  </si>
  <si>
    <t>AND25720009878</t>
  </si>
  <si>
    <t>22/07/2026</t>
  </si>
  <si>
    <t>BHARATH (18YM)</t>
  </si>
  <si>
    <t>GEN_T_2.0.spik_1311</t>
  </si>
  <si>
    <t>AND25150028142</t>
  </si>
  <si>
    <t>21/07/25</t>
  </si>
  <si>
    <t>PRATHEEBA / RAGHAVI</t>
  </si>
  <si>
    <t>25-07-2025</t>
  </si>
  <si>
    <t>SANTHOSH (18YM)</t>
  </si>
  <si>
    <t>GEN_T_2.0.spik_1312</t>
  </si>
  <si>
    <t>AND25360016841</t>
  </si>
  <si>
    <t>BHARATHI INFINITITY HOSPITAL (A UNIT OF BHARATHI HOSPITALS PVT LTD) - MADURAI</t>
  </si>
  <si>
    <t>28/07/2025</t>
  </si>
  <si>
    <t>PRATHEEBA / GAYATHRI</t>
  </si>
  <si>
    <t>MR.JINCE JACOB(32YM)</t>
  </si>
  <si>
    <t>GEN_T_2.0.spik_1313</t>
  </si>
  <si>
    <t>AND25720010075</t>
  </si>
  <si>
    <t>DIWAKAR</t>
  </si>
  <si>
    <t>MASTER.RAM CHARAN(10YM)</t>
  </si>
  <si>
    <t>GEN_T_2.0.spik_1314</t>
  </si>
  <si>
    <t>AND25630001164</t>
  </si>
  <si>
    <t>NAVEEN / DIWAKAR</t>
  </si>
  <si>
    <t>BABY.GUNALAN R(3YM)</t>
  </si>
  <si>
    <t>GEN_T_2.0.spik_1315</t>
  </si>
  <si>
    <t>AND25630001165</t>
  </si>
  <si>
    <t>18/7/2025</t>
  </si>
  <si>
    <t>PRATHEEBA/ GAYATHRI</t>
  </si>
  <si>
    <t>BABY.JOTHISHWARAN M(3YM)</t>
  </si>
  <si>
    <t>GEN_T_2.0.spik_1316</t>
  </si>
  <si>
    <t>AND25630001166</t>
  </si>
  <si>
    <t>17-7-2025/ 22-7-2025</t>
  </si>
  <si>
    <t>23-07-2025</t>
  </si>
  <si>
    <t>BABY.MAHALAKSHMI(7YF)</t>
  </si>
  <si>
    <t>GEN_T_2.0.spik_1317</t>
  </si>
  <si>
    <t>AND25630001167</t>
  </si>
  <si>
    <t>NAVEEN /DIWAKAR</t>
  </si>
  <si>
    <t>MRS.PRIYANKA HARTI (24YF) POC</t>
  </si>
  <si>
    <t>GEN_T_2.0.spik_1318</t>
  </si>
  <si>
    <t>AND25910011163</t>
  </si>
  <si>
    <t>DISHA DIAGNOSTICS-HUBLI</t>
  </si>
  <si>
    <t>21/7/2025</t>
  </si>
  <si>
    <t>MRS.SAVITRI DAVANAKATTI (35YF) POC</t>
  </si>
  <si>
    <t>GEN_T_2.0.spik_1319</t>
  </si>
  <si>
    <t>AND25910011227</t>
  </si>
  <si>
    <t>MEDITECH LAB - BIJAPUR</t>
  </si>
  <si>
    <t>MISS.SOWMIYA(22YF)</t>
  </si>
  <si>
    <t>GEN_T_2.0.spik_1320</t>
  </si>
  <si>
    <t>AND25020021208</t>
  </si>
  <si>
    <t>24/07/25</t>
  </si>
  <si>
    <t>MASTER.SAKTHI BALAN (6Y|M)</t>
  </si>
  <si>
    <t>GEN_T_2.0.spik_1321</t>
  </si>
  <si>
    <t>AND25020021598</t>
  </si>
  <si>
    <t>26/07/25</t>
  </si>
  <si>
    <t>dIWAKAR</t>
  </si>
  <si>
    <t>21-7-2025</t>
  </si>
  <si>
    <t>MASTER.MOLIK PATHAK(8YM)</t>
  </si>
  <si>
    <t>GEN_T_2.0.spik_1326</t>
  </si>
  <si>
    <t>AND25750004013</t>
  </si>
  <si>
    <t>22/07/25</t>
  </si>
  <si>
    <t>NAVEEN/ DIWAKAR</t>
  </si>
  <si>
    <t>BABY OF ANJU .D/O MUNIYAPPAN(19DF)</t>
  </si>
  <si>
    <t>GEN_T_2.0.spik_1331</t>
  </si>
  <si>
    <t>AND25810008271</t>
  </si>
  <si>
    <t>K.M DIAGNOSTIC CENTER - DHARMAPURI</t>
  </si>
  <si>
    <t>23/07/25</t>
  </si>
  <si>
    <t>RAGHAVI</t>
  </si>
  <si>
    <t>MR.SURYA PRAKASH RAO H/O. G. GOWTHAMI(39YM)</t>
  </si>
  <si>
    <t>GEN_T_2.0.spik_1332</t>
  </si>
  <si>
    <t>AND25420001635</t>
  </si>
  <si>
    <t>RHEA HEALTH CARE PVT LTD - VIJAYAWADA (AP)</t>
  </si>
  <si>
    <t>MRS.G. GOWTHAMI W/O. SURYA PRAKASH RAO(36YF)</t>
  </si>
  <si>
    <t>GEN_T_2.0.spik_1333</t>
  </si>
  <si>
    <t>AND25420001634</t>
  </si>
  <si>
    <t>MR.SUNDEEP DIAS (47YM)</t>
  </si>
  <si>
    <t>GEN_T_2.0.spik_1334</t>
  </si>
  <si>
    <t>AND25750004070</t>
  </si>
  <si>
    <t>SURYA IVF CLINIC - MUMBAI</t>
  </si>
  <si>
    <t>PRASAD V N (42YM) - TRIO</t>
  </si>
  <si>
    <t>GEN_T_2.0.spik_1387</t>
  </si>
  <si>
    <t>AND25520000019</t>
  </si>
  <si>
    <t>SABINE HOSPITAL &amp; RESEARCH CENTRE PRIVATE LTD - KERALA</t>
  </si>
  <si>
    <t>31-07-2025</t>
  </si>
  <si>
    <t>MRS.MULLAIVENI W/O KARTHICK(27YF) - AF</t>
  </si>
  <si>
    <t>AND25360016915</t>
  </si>
  <si>
    <t>15/07/2025</t>
  </si>
  <si>
    <t>MR.GANGADHARAN (68Y|M)</t>
  </si>
  <si>
    <t>GEN_T_2.0.spik_1337</t>
  </si>
  <si>
    <t>AND25380066430</t>
  </si>
  <si>
    <t>MRS.NISHANTHY T (34YF) AF</t>
  </si>
  <si>
    <t>GEN_T_2.0.spik_AF1388</t>
  </si>
  <si>
    <t>AND25380074216</t>
  </si>
  <si>
    <t>THAAIMAI HOSPITAL-CHENNAI</t>
  </si>
  <si>
    <t>25/07/25</t>
  </si>
  <si>
    <t>BABY.SRI HARI (3Y|M)</t>
  </si>
  <si>
    <t>GEN_T_2.0.spik_1338</t>
  </si>
  <si>
    <t>AND25020022731</t>
  </si>
  <si>
    <t>30/07/25</t>
  </si>
  <si>
    <t>NAVEEN / PRIYA</t>
  </si>
  <si>
    <t>MISS.SUBAHARINI(11YF)</t>
  </si>
  <si>
    <t>GEN_T_2.0.spik_1339</t>
  </si>
  <si>
    <t>AND25020022730</t>
  </si>
  <si>
    <t>BABY.DHARSHAN (5Y|M)</t>
  </si>
  <si>
    <t>GEN_T_2.0.spik_1340</t>
  </si>
  <si>
    <t>AND25020021841</t>
  </si>
  <si>
    <t>27/07/25</t>
  </si>
  <si>
    <t>MISS.B NIVETHITHA(31YF)</t>
  </si>
  <si>
    <t>GEN_T_2.0.spik_1341</t>
  </si>
  <si>
    <t>AND25790005510</t>
  </si>
  <si>
    <t>28/07/25</t>
  </si>
  <si>
    <t>24-07-2024</t>
  </si>
  <si>
    <t>30-07-2026</t>
  </si>
  <si>
    <t>BABY.ADITYA BALAJI(3YM)</t>
  </si>
  <si>
    <t>GEN_T_2.0.spik_1342</t>
  </si>
  <si>
    <t>AND25740017378</t>
  </si>
  <si>
    <t>MARUTI HOSPITAL-TRICHY</t>
  </si>
  <si>
    <t>29-07-2025</t>
  </si>
  <si>
    <t>PRATHEEBA / DIWAKAR</t>
  </si>
  <si>
    <t>MRS.VALARMATHI(28YF)</t>
  </si>
  <si>
    <t>GEN_T_2.0.spik_1343</t>
  </si>
  <si>
    <t>AND25790005786</t>
  </si>
  <si>
    <t>SANDHIYA HOSPITAL - VELLORE</t>
  </si>
  <si>
    <t>DIWAKAR (history pending)</t>
  </si>
  <si>
    <t>MRS.JENEENA(AFSTY-356)(36YF)</t>
  </si>
  <si>
    <t>GEN_T_2.0.spik_1344</t>
  </si>
  <si>
    <t>AND25720010507</t>
  </si>
  <si>
    <t>23/07/2025</t>
  </si>
  <si>
    <t>MR.AMAL RAJ(AFSTY-357)(43YM)</t>
  </si>
  <si>
    <t>GEN_T_2.0.spik_1345</t>
  </si>
  <si>
    <t>AND25720010508</t>
  </si>
  <si>
    <t>DR.SANDEEP (36YM)</t>
  </si>
  <si>
    <t>GEN_T_2.0.spik_1346</t>
  </si>
  <si>
    <t>AND25380066186</t>
  </si>
  <si>
    <t>24/07/2025</t>
  </si>
  <si>
    <t>MRS.VISHNUPRIYA(30YF)</t>
  </si>
  <si>
    <t>GEN_T_2.0.spik_1347</t>
  </si>
  <si>
    <t>AND25380066185</t>
  </si>
  <si>
    <t>MS.KIRUTHIKA K(23YF)</t>
  </si>
  <si>
    <t>GEN_T_2.0.spik_1351</t>
  </si>
  <si>
    <t>AND25370010795</t>
  </si>
  <si>
    <t>SUDHA RATHNA PRABHU MBBS,DNB,PH.D</t>
  </si>
  <si>
    <t>MISS.ROOPA SHREE(28YF)</t>
  </si>
  <si>
    <t>GEN_T_2.0.spik_1352</t>
  </si>
  <si>
    <t>AND251R0006568</t>
  </si>
  <si>
    <t>26/07/2025</t>
  </si>
  <si>
    <t>MRS.DONOR/ GUDIYA DEVI - (HEG/0042/25)(25YF)</t>
  </si>
  <si>
    <t>GEN_T_2.0.spik_1348</t>
  </si>
  <si>
    <t>AND25420001658</t>
  </si>
  <si>
    <t>19/07/2025</t>
  </si>
  <si>
    <t>MR.KARRI CHANDRA SEKHAR H/O. M. MOUNICA- (HEG38675)(37YM)</t>
  </si>
  <si>
    <t>GEN_T_2.0.spik_1349</t>
  </si>
  <si>
    <t>AND25420001669</t>
  </si>
  <si>
    <t>25/07/2025</t>
  </si>
  <si>
    <t>25-08-2025</t>
  </si>
  <si>
    <t>MRS.MOTURU MOUNICA W/O. K. CHANDRA SEKHAR - (HEG 38675)(34YF)</t>
  </si>
  <si>
    <t>GEN_T_2.0.spik_1350</t>
  </si>
  <si>
    <t>AND25420001670</t>
  </si>
  <si>
    <r>
      <rPr>
        <rFont val="Calibri, sans-serif"/>
        <color rgb="FF000000"/>
        <sz val="11.0"/>
      </rPr>
      <t xml:space="preserve">MRS.SOUMYA W/O. P. SRIDHAR REDDY(32YF) </t>
    </r>
    <r>
      <rPr>
        <rFont val="Calibri, sans-serif"/>
        <b/>
        <color rgb="FF000000"/>
        <sz val="11.0"/>
      </rPr>
      <t>(wife of  AND25420000008)</t>
    </r>
  </si>
  <si>
    <t>GEN_T_2.0.spik_1353</t>
  </si>
  <si>
    <t>AND25420001672</t>
  </si>
  <si>
    <t>DR. PADMAJA DIVAKAR HOSPITALS - HYDERABAD .</t>
  </si>
  <si>
    <t>MRS.NANDINI M(34YF)</t>
  </si>
  <si>
    <t>GEN_T_2.0.spik_1354</t>
  </si>
  <si>
    <t>AND251R0006652</t>
  </si>
  <si>
    <t>PRATHEEBA/GAYATHRI</t>
  </si>
  <si>
    <t>MRS.PRAGYA VAISH(33YF)</t>
  </si>
  <si>
    <t>GEN_T_2.0.spik_1355</t>
  </si>
  <si>
    <t>AND251R0006653</t>
  </si>
  <si>
    <t>MR.AQSA(3YM)</t>
  </si>
  <si>
    <t>GEN_T_2.0.spik_1356</t>
  </si>
  <si>
    <t>AND25740018251</t>
  </si>
  <si>
    <t>AJ MEDICAL CENTRE AND HOSPITAL - TRICHY</t>
  </si>
  <si>
    <t>BABY.PRIYADHARSHINI (7MF)</t>
  </si>
  <si>
    <t>GEN_T_2.0.spik_1359</t>
  </si>
  <si>
    <t>AND25810008817</t>
  </si>
  <si>
    <t>MR.LAL SINGH(33YM)</t>
  </si>
  <si>
    <t>GEN_T_2.0.spik_1365</t>
  </si>
  <si>
    <t>AND25060003878</t>
  </si>
  <si>
    <t>DR.DEVI DGO, DNB (O&amp;G), MRCOG (UK), FMIGS</t>
  </si>
  <si>
    <t>29/07/25</t>
  </si>
  <si>
    <t>MRS.MALA SHREE(25YF)</t>
  </si>
  <si>
    <t>GEN_T_2.0.spik_1366</t>
  </si>
  <si>
    <t>AND25060003879</t>
  </si>
  <si>
    <t>MRS.NATASHA CHERYL D ROZARIO (32Y|F)</t>
  </si>
  <si>
    <t>GEN_T_2.0.spik_1367</t>
  </si>
  <si>
    <t>AND251R0006826</t>
  </si>
  <si>
    <t>GARBHAGUDI IVF CENTER KALYAN NAGAR</t>
  </si>
  <si>
    <t>30/07/2025</t>
  </si>
  <si>
    <t>MR.DEEPAK ANTHONY (41YM)</t>
  </si>
  <si>
    <t>GEN_T_2.0.spik_1368</t>
  </si>
  <si>
    <t>AND251R0006827</t>
  </si>
  <si>
    <t>MRS.UCKOO KEERTHANA W/O. Y. MANISH ( HEG 33567)(32YF)</t>
  </si>
  <si>
    <t>GEN_T_2.0.spik_1370</t>
  </si>
  <si>
    <t>AND25420001755</t>
  </si>
  <si>
    <t>14-08-2025</t>
  </si>
  <si>
    <t>MR.Y MANISH H/O. U. KEERTHANA - (HEG 33567)(39YM)</t>
  </si>
  <si>
    <t>GEN_T_2.0.spik_1371</t>
  </si>
  <si>
    <t>AND25420001756</t>
  </si>
  <si>
    <t>vamshi</t>
  </si>
  <si>
    <t>MS.ANUSHA N (25Y|F) AF - TRIO</t>
  </si>
  <si>
    <t>GEN_T_2.0.spik_AF1373</t>
  </si>
  <si>
    <t>AND25020019259</t>
  </si>
  <si>
    <t>SRI CHAITRA CLINIC - TIRUPATI</t>
  </si>
  <si>
    <t>17/07/25</t>
  </si>
  <si>
    <t>BABY OF.GAYATRI PRAVEEN M (20YF) POC/PB</t>
  </si>
  <si>
    <t>GEN_T_2.0.spik_1374</t>
  </si>
  <si>
    <t>AND25910011662</t>
  </si>
  <si>
    <t>PRATHEEBA/RAGHAVI</t>
  </si>
  <si>
    <t>MRS.ASHWINI(27YF) AF/PB</t>
  </si>
  <si>
    <t>GEN_T_2.0.spik_AF1375</t>
  </si>
  <si>
    <t>AND251R0006472</t>
  </si>
  <si>
    <t>AYUSH NETRADHAMA AND DIAGNOSTICS CENTRE - HARAPANAHALLI</t>
  </si>
  <si>
    <t>RISWANA PARVEEN (23YF) AF/PB</t>
  </si>
  <si>
    <t>GEN_T_2.0.spik_AF1376</t>
  </si>
  <si>
    <t>AND25360018400</t>
  </si>
  <si>
    <t>MR.LOGANATHAN T (UMR2506022321)(43YM)</t>
  </si>
  <si>
    <t>GEN_T_2.0.spik_1382</t>
  </si>
  <si>
    <t>AND25380070518</t>
  </si>
  <si>
    <t>31/07/2025</t>
  </si>
  <si>
    <t>MRS.RAJESWARI L (UMR2506022320)(34YF)</t>
  </si>
  <si>
    <t>GEN_T_2.0.spik_1383</t>
  </si>
  <si>
    <t>AND25380070517</t>
  </si>
  <si>
    <t>31/07/25</t>
  </si>
  <si>
    <t>BABY.RISHIKA(1YF)</t>
  </si>
  <si>
    <t>GEN_T_2.0.spik_1378</t>
  </si>
  <si>
    <t>AND25630001299</t>
  </si>
  <si>
    <t>MASTER.KABILESH(7YM)</t>
  </si>
  <si>
    <t>GEN_T_2.0.spik_1379</t>
  </si>
  <si>
    <t>AND25630001298</t>
  </si>
  <si>
    <t>BABY.JAISHNAVI(5YF)</t>
  </si>
  <si>
    <t>GEN_T_2.0.spik_1380</t>
  </si>
  <si>
    <t>AND25630001301</t>
  </si>
  <si>
    <t>ADSL .</t>
  </si>
  <si>
    <t>BABY.THIKSHA(4YF)</t>
  </si>
  <si>
    <t>GEN_T_2.0.spik_1381</t>
  </si>
  <si>
    <t>AND25630001300</t>
  </si>
  <si>
    <t>MR.ARUN (38YM)</t>
  </si>
  <si>
    <t>GEN_T_2.0.spik_1357</t>
  </si>
  <si>
    <t>AND25100001626</t>
  </si>
  <si>
    <t>LAIMAA HEALTHCARE IVF CLINIC - DELHI</t>
  </si>
  <si>
    <t>MRS.SHIKHA(36YF)</t>
  </si>
  <si>
    <t>GEN_T_2.0.spik_1358</t>
  </si>
  <si>
    <t>AND25100001625</t>
  </si>
  <si>
    <t>MRS.ANANYA MUKHERJEE (30Y|F)</t>
  </si>
  <si>
    <t>GEN_T_2.0.spik_1360</t>
  </si>
  <si>
    <t>AND25630001277</t>
  </si>
  <si>
    <t>RUKHAYAL FATHIMA</t>
  </si>
  <si>
    <t>MR.AKAITAB MUKHERJEE (37Y|M)</t>
  </si>
  <si>
    <t>GEN_T_2.0.spik_1361</t>
  </si>
  <si>
    <t>AND25630001278</t>
  </si>
  <si>
    <t>MS.HANNAH SAFFRINE (13Y|F)</t>
  </si>
  <si>
    <t>GEN_T_2.0.spik_1362</t>
  </si>
  <si>
    <t>AND25630001280</t>
  </si>
  <si>
    <t>Dr.SUDHA RATHNA PRABHU MBBS,DNB,PHD</t>
  </si>
  <si>
    <t>Raghavi</t>
  </si>
  <si>
    <t>MRS.NEHA MUKHERJEE(37YF)</t>
  </si>
  <si>
    <t>GEN_T_2.0.spik_1363</t>
  </si>
  <si>
    <t>AND25100001656</t>
  </si>
  <si>
    <t>CIFAR FERTILITY CENTRE - GURGAON</t>
  </si>
  <si>
    <t>MR.ABHIMANYU BHATIA (35YM)</t>
  </si>
  <si>
    <t>GEN_T_2.0.spik_1364</t>
  </si>
  <si>
    <t>AND25100001657</t>
  </si>
  <si>
    <t>MRS.ANJALI KASHYOP - (HEG 355528)(24YF) - DONOR</t>
  </si>
  <si>
    <t>GEN_T_2.0.spik_1369</t>
  </si>
  <si>
    <t>AND25420001757</t>
  </si>
  <si>
    <t>23/7/2025</t>
  </si>
  <si>
    <t>MRS.SHAIK SHAHEENA (31Y|F)</t>
  </si>
  <si>
    <t>GEN_T_2.0.spik_1386</t>
  </si>
  <si>
    <t>AND25420001813</t>
  </si>
  <si>
    <t>SANGHAMITRA HOSPITALS - ONGOLE</t>
  </si>
  <si>
    <t>MR.FIROZ H/O. SAIK SHAHEENA(33YM)</t>
  </si>
  <si>
    <t>GEN_T_2.0.spik_1385</t>
  </si>
  <si>
    <t>AND25420001814</t>
  </si>
  <si>
    <t>BABY.NIVITHA.R (250404148)(6MF)</t>
  </si>
  <si>
    <t>GEN_T_2.0.spik_1384</t>
  </si>
  <si>
    <t>AND25410009345</t>
  </si>
  <si>
    <t>19-7-2025</t>
  </si>
  <si>
    <t>BABY.DIYANIKA (7M|F)</t>
  </si>
  <si>
    <t>GEN_T_2.0.spik_1372</t>
  </si>
  <si>
    <t>AND25020023387</t>
  </si>
  <si>
    <t>25-7-2025</t>
  </si>
  <si>
    <t>SAI YATHISH KUMAR.S (21Y/M)</t>
  </si>
  <si>
    <t>GEN_T_2.0.spik_1377</t>
  </si>
  <si>
    <t>FRA0000000123</t>
  </si>
  <si>
    <t>AYAPPAKKAM FRANCHISEE CENTRE</t>
  </si>
  <si>
    <t>26-7-2025</t>
  </si>
  <si>
    <t>LAKSHMISRI (5YF)</t>
  </si>
  <si>
    <t>AND25020023654</t>
  </si>
  <si>
    <t>GEN_T_2.0.spik_1389</t>
  </si>
  <si>
    <t>24.07.25</t>
  </si>
  <si>
    <t>S.SASHMITHA (5M/F)</t>
  </si>
  <si>
    <t>AND25020024026</t>
  </si>
  <si>
    <t>GEN_T_2.0.spik_1390</t>
  </si>
  <si>
    <t>26.07.25</t>
  </si>
  <si>
    <t>13-08-2025</t>
  </si>
  <si>
    <t>BABY.VISHNU PRIYA(1YF)</t>
  </si>
  <si>
    <t>AND25020023671</t>
  </si>
  <si>
    <t>GEN_T_2.0.spik_1391</t>
  </si>
  <si>
    <t>MRS.HAZURA BEGAM(30YF)</t>
  </si>
  <si>
    <t>AND25380070040</t>
  </si>
  <si>
    <t>GEN_T_2.0.spik_1392</t>
  </si>
  <si>
    <t>18-08-2025</t>
  </si>
  <si>
    <t>MR.MOHAMED DHAHA(38YM)</t>
  </si>
  <si>
    <t>AND25380070041</t>
  </si>
  <si>
    <t>GEN_T_2.0.spik_1393</t>
  </si>
  <si>
    <t>MRS.DONOR OF DIVYA JYOTHI THANGALLAPALLY VISHAL KUMAR(24YF)</t>
  </si>
  <si>
    <t>AND25420001840</t>
  </si>
  <si>
    <t>GEN_T_2.0.spik_1394</t>
  </si>
  <si>
    <t>29/07/2025</t>
  </si>
  <si>
    <t>MRS.KOKILA KARTHIKEYAN(35YF)</t>
  </si>
  <si>
    <t>AND25810009272</t>
  </si>
  <si>
    <t>GEN_T_2.0.spik_1395</t>
  </si>
  <si>
    <t>BABY.NIYANSH(10MM)</t>
  </si>
  <si>
    <t>AND251H0001525</t>
  </si>
  <si>
    <t>GEN_T_2.0.spik_1396</t>
  </si>
  <si>
    <t>MRS.LAXMI TARASINGH GOUDAR (SHJFC0034)(32YF)</t>
  </si>
  <si>
    <t>AND25910012829</t>
  </si>
  <si>
    <t>GEN_T_2.0.spik_1397</t>
  </si>
  <si>
    <t>SPANDAN HOSPITAL- HUBLI</t>
  </si>
  <si>
    <t>MR.TARASINGH BANU GOUDAR (SHJFC01627)(43YM)</t>
  </si>
  <si>
    <t>AND25910012830</t>
  </si>
  <si>
    <t>GEN_T_2.0.spik_1398</t>
  </si>
  <si>
    <t>ROSHAN.S.B (13YM)</t>
  </si>
  <si>
    <t>AND25020024025</t>
  </si>
  <si>
    <t>GEN_T_2.0.spik_1399</t>
  </si>
  <si>
    <t>20-08-2025</t>
  </si>
  <si>
    <t>MRS.SK.KHADARUNNISA W/O SK.KARIMULLA (34Y|F)</t>
  </si>
  <si>
    <t>Couple carrier screening by Clinical Exome Sequencing</t>
  </si>
  <si>
    <t>AND25480017094</t>
  </si>
  <si>
    <t>GEN_T_2.0.spik_1400</t>
  </si>
  <si>
    <t>BLIV MULTI SPECIALITY HOSPITAL-NELLORE</t>
  </si>
  <si>
    <t>SK.KARIMULLA (37/M)</t>
  </si>
  <si>
    <t>GEN_T_2.0.spik_1401</t>
  </si>
  <si>
    <t>MASTER.MANOJ SADHASIVAM(14YM)</t>
  </si>
  <si>
    <t>AND25380071426</t>
  </si>
  <si>
    <t>GEN_T_2.0.spik_1402</t>
  </si>
  <si>
    <t>DR. RELA INSTITUTE - REDHILLS</t>
  </si>
  <si>
    <t>MRS.MEENAKSHI(28YF)</t>
  </si>
  <si>
    <t>AND25810009454</t>
  </si>
  <si>
    <t>GEN_T_2.0.spik_1403</t>
  </si>
  <si>
    <t>MR.MOHAN BABU(37YM)</t>
  </si>
  <si>
    <t>AND25810009455</t>
  </si>
  <si>
    <t>GEN_T_2.0.spik_1404</t>
  </si>
  <si>
    <t>Surfseq-Run-10</t>
  </si>
  <si>
    <t>MRS.HARISUDHA SASI KUMAR(25YF)POC</t>
  </si>
  <si>
    <t>GEN_T_2.0.spik_1405</t>
  </si>
  <si>
    <t>AND25410009567</t>
  </si>
  <si>
    <t>CSI MISSION HOSPITAL NAGERCOIL</t>
  </si>
  <si>
    <t>MASTER.ANIMESH JOSHI(8YM)</t>
  </si>
  <si>
    <t>GEN_T_2.0.spik_1406</t>
  </si>
  <si>
    <t>AND25750004552</t>
  </si>
  <si>
    <t>RAJE PATHOLOGY - MADHYA PRADESH</t>
  </si>
  <si>
    <t>MR.VARUNBHARATH K(24YM)</t>
  </si>
  <si>
    <t>GEN_T_2.0.spik_1407</t>
  </si>
  <si>
    <t>AND25370011610</t>
  </si>
  <si>
    <t>LAKSHMI NARASIMHAN</t>
  </si>
  <si>
    <t>Not available</t>
  </si>
  <si>
    <t>MRS.TRISHIKA PRANAV(29YF)</t>
  </si>
  <si>
    <t>GEN_T_2.0.spik_1408</t>
  </si>
  <si>
    <t>AND251R0007121</t>
  </si>
  <si>
    <t>AKANKSHA CENTER FOR RESEARCH IN REPRODUCTIVE MEDICINE PVT LTD - HSR LAYOUT - BANGALORE</t>
  </si>
  <si>
    <t>MR.PRANAV ANBUVANAN(30YM)</t>
  </si>
  <si>
    <t>GEN_T_2.0.spik_1409</t>
  </si>
  <si>
    <t>AND251R0007122</t>
  </si>
  <si>
    <t>MRS.ABARNA MAHENDRAN(24YF)</t>
  </si>
  <si>
    <t>GEN_T_2.0.spik_AF_1410</t>
  </si>
  <si>
    <t>AND25970004926</t>
  </si>
  <si>
    <t>BABY.HAMSHIGA (8YF)</t>
  </si>
  <si>
    <t>GEN_T_2.0.spik_1411</t>
  </si>
  <si>
    <t>AND25360019489</t>
  </si>
  <si>
    <t>MR.MUTHULINGAM(41YM)</t>
  </si>
  <si>
    <t>GEN_T_2.0.spik_1413</t>
  </si>
  <si>
    <t>AND25380073113</t>
  </si>
  <si>
    <t>PEARL SINGAPORE FERTILITY CENTRE AND RESEARCH INSTITUTE</t>
  </si>
  <si>
    <t>MRS.SANDHYA (30YF)</t>
  </si>
  <si>
    <t>GEN_T_2.0.spik_1412</t>
  </si>
  <si>
    <t>AND25380073114</t>
  </si>
  <si>
    <t>PEARL SINGAPORE FERTILITY CENTRE AND RESEARCH INSTITUTE .</t>
  </si>
  <si>
    <r>
      <rPr>
        <rFont val="Calibri"/>
        <color theme="1"/>
        <sz val="11.0"/>
      </rPr>
      <t xml:space="preserve">MR.RAJASEKARAN(34YM) </t>
    </r>
    <r>
      <rPr>
        <rFont val="Calibri"/>
        <b/>
        <color theme="1"/>
        <sz val="11.0"/>
      </rPr>
      <t>(Father of AND25150014265 Kavin Nilavan)</t>
    </r>
  </si>
  <si>
    <t>GEN_T_2.0.spik_1414</t>
  </si>
  <si>
    <t>AND25150033631</t>
  </si>
  <si>
    <t>SUDHA RATHNA PRABHU MBBS,DNB,PH.D.,</t>
  </si>
  <si>
    <r>
      <rPr>
        <rFont val="Calibri"/>
        <color theme="1"/>
        <sz val="11.0"/>
      </rPr>
      <t xml:space="preserve">MRS.ANJANA DEVI(31YF) </t>
    </r>
    <r>
      <rPr>
        <rFont val="Calibri"/>
        <b/>
        <color theme="1"/>
        <sz val="11.0"/>
      </rPr>
      <t>(Mother of AND25150014265 Kavin Nilavan)</t>
    </r>
  </si>
  <si>
    <t>GEN_T_2.0.spik_1415</t>
  </si>
  <si>
    <t>AND25150033633</t>
  </si>
  <si>
    <t>MRS.BHAVYA B R (29YF)POC</t>
  </si>
  <si>
    <t>GEN_T_2.0.spik_1416</t>
  </si>
  <si>
    <t>AND251R0007172</t>
  </si>
  <si>
    <t>SHRADDHA CLINIC - BANGALORE</t>
  </si>
  <si>
    <t>Diwakar / Raghavi</t>
  </si>
  <si>
    <t>13-08-2025 / 18-08-2025</t>
  </si>
  <si>
    <t>MRS.SAI DEEPTHI - HEG 00783 (34Y|F)</t>
  </si>
  <si>
    <t>GEN_T_2.0.spik_1417</t>
  </si>
  <si>
    <t>AND25420001937</t>
  </si>
  <si>
    <t>HEGDE HEALTHCARE PVT LTD .</t>
  </si>
  <si>
    <t>MR.K. NAGA KOTESWARA RAO- (HEG 38730) (38Y|M)</t>
  </si>
  <si>
    <t>GEN_T_2.0.spik_1418</t>
  </si>
  <si>
    <t>AND25420001938</t>
  </si>
  <si>
    <t>MRS.SREE DEVI (32Y|F) PB/CVS - MOTHER OF Sathya DEV - GEN_T_2.0.spik_1423</t>
  </si>
  <si>
    <t>GEN_T_2.0.spik_1419</t>
  </si>
  <si>
    <t>AND25360019951</t>
  </si>
  <si>
    <t>MR.ROHITH V B (14Y|M)</t>
  </si>
  <si>
    <t>GEN_T_2.0.spik_1420</t>
  </si>
  <si>
    <t>AND25020024264</t>
  </si>
  <si>
    <t>ICF HOSPITAL</t>
  </si>
  <si>
    <t>MISS.THANSIKKA V B (8Y|F)</t>
  </si>
  <si>
    <t>GEN_T_2.0.spik_1421</t>
  </si>
  <si>
    <t>AND25020024262</t>
  </si>
  <si>
    <t>ICF HOSPITAL -</t>
  </si>
  <si>
    <t>MR.SURENDER GUPTA (67Y|M) (NEED URGENT REPORT)</t>
  </si>
  <si>
    <t>GEN_T_2.0.spik_1422</t>
  </si>
  <si>
    <t>AND25100001814</t>
  </si>
  <si>
    <t>NIVEDITA .</t>
  </si>
  <si>
    <t>21/07/2025</t>
  </si>
  <si>
    <t>MASTER.SATHYA DEV (5Y|M) - Son OF SREE DEVI - GEN_T_2.0.spik_1419</t>
  </si>
  <si>
    <t>GEN_T_2.0.spik_1423</t>
  </si>
  <si>
    <t>AND25360019952</t>
  </si>
  <si>
    <t>MR.RAMARAJ (35Y|M)</t>
  </si>
  <si>
    <t>GEN_T_2.0.spik_1424</t>
  </si>
  <si>
    <t>AND25970005003</t>
  </si>
  <si>
    <t>26-08-2025</t>
  </si>
  <si>
    <t>MRS.KANNAKI RAMARAJI (26Y|F)</t>
  </si>
  <si>
    <t>GEN_T_2.0.spik_1425</t>
  </si>
  <si>
    <t>AND25970005002</t>
  </si>
  <si>
    <t>SIVANIRANJAN (33YM)</t>
  </si>
  <si>
    <t>GEN_T_2.0.spik_1426</t>
  </si>
  <si>
    <t>AND25720011536</t>
  </si>
  <si>
    <t>KOVAI SCAN CENTRE - COIMBATORE</t>
  </si>
  <si>
    <t>MR.NANDALUR AMARNATH REDDY H/O. SINDHU MUNI(35YM) - priority</t>
  </si>
  <si>
    <t>GEN_T_2.0.spik_1427</t>
  </si>
  <si>
    <t>AND25420001993</t>
  </si>
  <si>
    <t>ADVANCED DIAGNOSTICS (A UNIT OF TRINITY FERTILITY SERVICES PVT LTD) - SECUNDERABAD</t>
  </si>
  <si>
    <t>MRS.SINDHU W/O. N. AMARNATH REDDY(32YF) - priority</t>
  </si>
  <si>
    <t>GEN_T_2.0.spik_1428</t>
  </si>
  <si>
    <t>AND25420001995</t>
  </si>
  <si>
    <t>MR.YUVARAJ (40YM)</t>
  </si>
  <si>
    <t>GEN_T_2.0.spik_1429</t>
  </si>
  <si>
    <t>AND25380075650</t>
  </si>
  <si>
    <t>MR.CHETAN V JANTAKAL (7329,30,31,32)(25YM)</t>
  </si>
  <si>
    <t>GEN_T_2.0.spik_1430</t>
  </si>
  <si>
    <t>AAKANKSH IVF CENTRE-HUBLI</t>
  </si>
  <si>
    <t>23-08-2025</t>
  </si>
  <si>
    <t>MR.RAGUVARAN(36YM)</t>
  </si>
  <si>
    <t>WES Mito</t>
  </si>
  <si>
    <t>GEN_T_2.0.spik_1431</t>
  </si>
  <si>
    <t>AND25410010107</t>
  </si>
  <si>
    <t>AGP NEURO CLINIC-KARAVILAI</t>
  </si>
  <si>
    <t>MASTER.ABUTHALA(4YM)</t>
  </si>
  <si>
    <t>GEN_T_2.0.spik_1432</t>
  </si>
  <si>
    <t>AND25810010149</t>
  </si>
  <si>
    <t>MRS.PRIYA CHASKAR(34YF)POC</t>
  </si>
  <si>
    <t>GEN_T_2.0.spik_1433</t>
  </si>
  <si>
    <t>AND25750004643</t>
  </si>
  <si>
    <t>19-08-2025</t>
  </si>
  <si>
    <t>MRS.MADHU B(51YF)</t>
  </si>
  <si>
    <t>GEN_T_2.0.spik_1434</t>
  </si>
  <si>
    <t>AND25370012201</t>
  </si>
  <si>
    <t>KALPANA GOWRISHANKAR MBBS DCH PH.D</t>
  </si>
  <si>
    <t>13/08/2025</t>
  </si>
  <si>
    <t>MASTER.KARTIK KUSHWAHA(2YM)</t>
  </si>
  <si>
    <t>GEN_T_2.0.spik_1435</t>
  </si>
  <si>
    <t>AND25750004727</t>
  </si>
  <si>
    <t>MRS.MANJULA M (27YF)</t>
  </si>
  <si>
    <t>GEN_T_2.0.spik_AF_1436</t>
  </si>
  <si>
    <t>AND251R0007668</t>
  </si>
  <si>
    <t>Mr.Ashish Tiwari</t>
  </si>
  <si>
    <t>GEN_T_2.0.spik_1437</t>
  </si>
  <si>
    <t>AND25750004760</t>
  </si>
  <si>
    <t>23-07-2024</t>
  </si>
  <si>
    <t>MRS.JEEVITHA SHREE D (30YF)</t>
  </si>
  <si>
    <t>GEN_T_2.0.spik_1438</t>
  </si>
  <si>
    <t>AND251R0007568</t>
  </si>
  <si>
    <t>16-08-2025</t>
  </si>
  <si>
    <t>MR.HARI HARA SUDHAN M(32YM)</t>
  </si>
  <si>
    <t>GEN_T_2.0.spik_1439</t>
  </si>
  <si>
    <t>AND25730005213</t>
  </si>
  <si>
    <t>BHANU K DNB (GEN. MEDICINE), D. M(NEURO) FMMC, FRCP</t>
  </si>
  <si>
    <t>MRS.MAMATHA R(29YF)</t>
  </si>
  <si>
    <t>GEN_T_2.0.spik_1440</t>
  </si>
  <si>
    <t>AND25510005450</t>
  </si>
  <si>
    <t>SCAN ME HEALTH - TIRUPATI</t>
  </si>
  <si>
    <t>MR.RAJ KAMAL(42YM)</t>
  </si>
  <si>
    <t>GEN_T_2.0.spik_1441</t>
  </si>
  <si>
    <t>AND25510005451</t>
  </si>
  <si>
    <t>MRS.DEVI(21YF)</t>
  </si>
  <si>
    <t>GEN_T_2.0.spik_1442</t>
  </si>
  <si>
    <t>AND25630001388</t>
  </si>
  <si>
    <t>MR.VAITHIYALINGAM H/O DEVI(27YM)</t>
  </si>
  <si>
    <t>GEN_T_2.0.spik_1443</t>
  </si>
  <si>
    <t>AND25630001389</t>
  </si>
  <si>
    <t>BABY.HASHIK(7MM)</t>
  </si>
  <si>
    <t>GEN_T_2.0.spik_1444</t>
  </si>
  <si>
    <t>AND25630001390</t>
  </si>
  <si>
    <t>Surfseq-Run-11</t>
  </si>
  <si>
    <t>MRS.DEBASHREE AMIT(36YF)</t>
  </si>
  <si>
    <t>GEN_T_2.0.spik_1445</t>
  </si>
  <si>
    <t>AND251R0007785</t>
  </si>
  <si>
    <t>SANTASA MYSORE IVF &amp; ENDOSURGERY INSTITUTE - MYSORE</t>
  </si>
  <si>
    <t>MRS.PAVITHRA(25YF) CVS/PB</t>
  </si>
  <si>
    <t>GEN_T_2.0.spik_AF_1446</t>
  </si>
  <si>
    <t>AND25360020324</t>
  </si>
  <si>
    <t>MRS.UMABHARATHI RAGUNATH(31YF) AF/PB</t>
  </si>
  <si>
    <t>GEN_T_2.0.spik_AF_1447</t>
  </si>
  <si>
    <t>AND25970005175</t>
  </si>
  <si>
    <t>VAMSHI/PRATHEEBA</t>
  </si>
  <si>
    <t>MRS.NISHA MADHELE(41YF)</t>
  </si>
  <si>
    <t>GEN_T_2.0.spik_1448</t>
  </si>
  <si>
    <t>AND25AE0000154</t>
  </si>
  <si>
    <t>MR.JITENDRA PAKHURIYA(42YM)</t>
  </si>
  <si>
    <t>GEN_T_2.0.spik_1449</t>
  </si>
  <si>
    <t>AND25AE0000155</t>
  </si>
  <si>
    <t>MR.FAIZAL NAWAZ(AFOMR -2217)(28YM)</t>
  </si>
  <si>
    <t>GEN_T_2.0.spik_1450</t>
  </si>
  <si>
    <t>AND25720012207</t>
  </si>
  <si>
    <t>BABY OF.ANITHA (250706354698)(40DF)</t>
  </si>
  <si>
    <t>GEN_T_2.0.spik_1451</t>
  </si>
  <si>
    <t>AND25380078503</t>
  </si>
  <si>
    <t>SAVEETHA MEDICAL COLLEGE (CC) - CHENNAI</t>
  </si>
  <si>
    <r>
      <rPr>
        <rFont val="Calibri, sans-serif"/>
        <color rgb="FF000000"/>
        <sz val="11.0"/>
      </rPr>
      <t>MRS.KOMAL SINGH ( HEG A0002839)(34YF) -</t>
    </r>
    <r>
      <rPr>
        <rFont val="Calibri, sans-serif"/>
        <b/>
        <color rgb="FF000000"/>
        <sz val="11.0"/>
      </rPr>
      <t xml:space="preserve"> (wife of prathik singh raw data received from medgenome)</t>
    </r>
  </si>
  <si>
    <t>GEN_T_2.0.spik_1453</t>
  </si>
  <si>
    <t>AND25420002073</t>
  </si>
  <si>
    <t>MRS. SABINA BIBI - HEG 38529 (39Y|F)</t>
  </si>
  <si>
    <t>Advat Focus Carrier Screening</t>
  </si>
  <si>
    <t>GEN_T_2.0.spik_1454</t>
  </si>
  <si>
    <t>AND25420002071</t>
  </si>
  <si>
    <t>MR.SABIRUL ISLAM - (HEG 38530)(42YM)</t>
  </si>
  <si>
    <t>GEN_T_2.0.spik_1455</t>
  </si>
  <si>
    <t>AND25420002072</t>
  </si>
  <si>
    <t>MASTER.NIDHRUVA(5YM)</t>
  </si>
  <si>
    <t>GEN_T_2.0.spik_1456</t>
  </si>
  <si>
    <t>AND25380081089</t>
  </si>
  <si>
    <t>SELF .</t>
  </si>
  <si>
    <t>29-08-2025</t>
  </si>
  <si>
    <t>MR.DINESH P(43YM)</t>
  </si>
  <si>
    <t>GEN_T_2.0.spik_1458</t>
  </si>
  <si>
    <t>AND25020023316</t>
  </si>
  <si>
    <t>LAKSHMINARASIMHAN R MD.,DNB, (INT MED) , DM, DNB(NEURO).,FAAN.,FRCP(LONDON)</t>
  </si>
  <si>
    <t>22-08-2025</t>
  </si>
  <si>
    <t>MR.RAVIKUMAR(31YM)</t>
  </si>
  <si>
    <t>GEN_T_2.0.spik_1459</t>
  </si>
  <si>
    <t>AND251R0007986</t>
  </si>
  <si>
    <t>LOTUS HOSPITAL &amp; FERTILITY CENTRE - KALABURAGI</t>
  </si>
  <si>
    <t>13/8/2025</t>
  </si>
  <si>
    <t>23 days</t>
  </si>
  <si>
    <t>MRS.SUDHARANI (26YF)</t>
  </si>
  <si>
    <t>GEN_T_2.0.spik_1460</t>
  </si>
  <si>
    <t>AND251R0007985</t>
  </si>
  <si>
    <t>BABY.GIRI DHARAN(1YM)</t>
  </si>
  <si>
    <t>GEN_T_2.0.spik_1461</t>
  </si>
  <si>
    <t>AND25630001454</t>
  </si>
  <si>
    <t>21-08-2025</t>
  </si>
  <si>
    <t>BABY.PRIYADHARSHINI(1YM)</t>
  </si>
  <si>
    <t>GEN_T_2.0.spik_1462</t>
  </si>
  <si>
    <t>AND25630001455</t>
  </si>
  <si>
    <t>Diwakr</t>
  </si>
  <si>
    <t>MASTER.VENKATA NAGA ROHITH(6YM) ( do wmgs also in report)</t>
  </si>
  <si>
    <t>GEN_T_2.0.spik_1463</t>
  </si>
  <si>
    <t>AND25630001456</t>
  </si>
  <si>
    <t>MASTER.HARISH(1YM) / MOHAMED HAARIS</t>
  </si>
  <si>
    <t>GEN_T_2.0.spik_1457</t>
  </si>
  <si>
    <t>AND25400016125</t>
  </si>
  <si>
    <t>NEERAJ-DBS</t>
  </si>
  <si>
    <t>NEERAJ_DBS</t>
  </si>
  <si>
    <t>MRS.AYESHA NADAF(13YF)</t>
  </si>
  <si>
    <t>GEN_T_2.0.spik_1452</t>
  </si>
  <si>
    <t>AND25750004831</t>
  </si>
  <si>
    <t>ZERO TO NINE WOMEN'S CARE AND FERTILITY CENTER - PUNE</t>
  </si>
  <si>
    <t>MRS.DEBASHREE AMIT(36YF) DILUTED</t>
  </si>
  <si>
    <t>GEN_T_2.0.spik_1445V</t>
  </si>
  <si>
    <t>ADB0000001471</t>
  </si>
  <si>
    <t>BABY.INIYAN K (2Y|M)</t>
  </si>
  <si>
    <t>GEN_T_2.0.spik_1496</t>
  </si>
  <si>
    <t>AND25630001474</t>
  </si>
  <si>
    <t>15/08/25</t>
  </si>
  <si>
    <t>MRS.SHUBRA MALVIYA(33YF)</t>
  </si>
  <si>
    <t>GEN_T_2.0.spik_AF_1497</t>
  </si>
  <si>
    <t>AND25750004952</t>
  </si>
  <si>
    <t>HARMONY INSTITUTE OF EXCELLENCE IN REPRODUCTIVE HEALTH - BHOPAL</t>
  </si>
  <si>
    <t>13/08/25</t>
  </si>
  <si>
    <t>MRS.BHAGYASHREE KOKARE (27Y|F)</t>
  </si>
  <si>
    <t>GEN_T_2.0.spik_1498</t>
  </si>
  <si>
    <t>AND25750005131</t>
  </si>
  <si>
    <t>CITY FERTILITY CENTER - PUNE</t>
  </si>
  <si>
    <t>MR.SHRIYOG KOKARE (31Y|M)</t>
  </si>
  <si>
    <t>GEN_T_2.0.spik_1499</t>
  </si>
  <si>
    <t>AND25750005132</t>
  </si>
  <si>
    <t>MR.PARASAPPA S HUGAR (7234,35)(54YM)</t>
  </si>
  <si>
    <t>GEN_T_2.0.spik_1500</t>
  </si>
  <si>
    <t>AND25910014899</t>
  </si>
  <si>
    <t>19/08/2025</t>
  </si>
  <si>
    <t>28-08-2025</t>
  </si>
  <si>
    <t>MRS.AMUTHAPRIYA(43YF)</t>
  </si>
  <si>
    <t>GEN_T_2.0.spik_1501</t>
  </si>
  <si>
    <t>AND25040000092</t>
  </si>
  <si>
    <t>20/8/2025</t>
  </si>
  <si>
    <t>MRS.PRIYANKA SINGH(31YF)</t>
  </si>
  <si>
    <t>GEN_T_2.0.spik_1502</t>
  </si>
  <si>
    <t>AND25020026959</t>
  </si>
  <si>
    <t>CENTRAL GOVERNMENT HEALTH SCHEME</t>
  </si>
  <si>
    <t>MR.ANIL SINGH(36YM)</t>
  </si>
  <si>
    <t>GEN_T_2.0.spik_1503</t>
  </si>
  <si>
    <t>AND25020026960</t>
  </si>
  <si>
    <t>MASTER.JAYDEN SAMINEEDI(4YM)</t>
  </si>
  <si>
    <t>GEN_T_2.0.spik_1504</t>
  </si>
  <si>
    <t>AND25150038398</t>
  </si>
  <si>
    <t>MRS.JENNIFER STANISLAUS(33YF)</t>
  </si>
  <si>
    <t>GEN_T_2.0.spik_1505</t>
  </si>
  <si>
    <t>AND25150038399</t>
  </si>
  <si>
    <t>MR.DEVAN SAMINEEDI(37YM)</t>
  </si>
  <si>
    <t>GEN_T_2.0.spik_1506</t>
  </si>
  <si>
    <t>AND25150038400</t>
  </si>
  <si>
    <t>MRS.SHARMILA (42YF)</t>
  </si>
  <si>
    <t>GEN_T_2.0.spik_1507</t>
  </si>
  <si>
    <t>AND25380083833</t>
  </si>
  <si>
    <t>MR.REDDY MUPPIRI (47YM)</t>
  </si>
  <si>
    <t>GEN_T_2.0.spik_1508</t>
  </si>
  <si>
    <t>AND25380083834</t>
  </si>
  <si>
    <t>GBR FERTILITY CLINIC - MUGAPPAIR WEST .</t>
  </si>
  <si>
    <t>MR.BALAJI S(36YM)</t>
  </si>
  <si>
    <t>GEN_T_2.0.spik_1509</t>
  </si>
  <si>
    <t>AND25850002988</t>
  </si>
  <si>
    <t>ARUNA ASHOK M.S(O&amp;G) DNB (O&amp;G)</t>
  </si>
  <si>
    <t>16/08/25</t>
  </si>
  <si>
    <t>Dr. Meera</t>
  </si>
  <si>
    <t>17/08/2025</t>
  </si>
  <si>
    <t>MR.SHALU GHOSI(34YM)</t>
  </si>
  <si>
    <t>GEN_T_2.0.spik_1510</t>
  </si>
  <si>
    <t>AND25AE0000171</t>
  </si>
  <si>
    <t>MRS.ALISHA GHOSI(28YF)</t>
  </si>
  <si>
    <t>GEN_T_2.0.spik_1511</t>
  </si>
  <si>
    <t>AND25AE0000172</t>
  </si>
  <si>
    <t>BABY.SOMWRITA N(2YF)</t>
  </si>
  <si>
    <t>GEN_T_2.0.spik_1512</t>
  </si>
  <si>
    <t>AND25150039038</t>
  </si>
  <si>
    <t>THANGAVEL .</t>
  </si>
  <si>
    <t>17/08/25</t>
  </si>
  <si>
    <t>Dr. Meera / PRiya Nandhini</t>
  </si>
  <si>
    <t>16/08/2025</t>
  </si>
  <si>
    <t>RASHID ABOOBACKER (22YM)</t>
  </si>
  <si>
    <t>GEN_T_2.0.spik_1513</t>
  </si>
  <si>
    <t>AND25380085299</t>
  </si>
  <si>
    <t>Dr. Meera / Diwakar</t>
  </si>
  <si>
    <t>18/08/2025</t>
  </si>
  <si>
    <t>AMAL.S (29YM)</t>
  </si>
  <si>
    <t>GEN_T_2.0.spik_1514</t>
  </si>
  <si>
    <t>AND25380085298</t>
  </si>
  <si>
    <t>SARALA (25YF)</t>
  </si>
  <si>
    <t>GEN_T_2.0.spik_1515</t>
  </si>
  <si>
    <t>AND25630001501</t>
  </si>
  <si>
    <t>MRS.SHWETA MAHAJAN (33YF) POC</t>
  </si>
  <si>
    <t>GEN_T_2.0.spik_1516</t>
  </si>
  <si>
    <t>AND25750005181</t>
  </si>
  <si>
    <t>Dr. Meera / Priya Nandhini</t>
  </si>
  <si>
    <t>HEMENDRA (9YM)</t>
  </si>
  <si>
    <t>GEN_T_2.0.spik_1536</t>
  </si>
  <si>
    <t>AND25020028533</t>
  </si>
  <si>
    <t>CHIEF MINISTERS COMPREHENSIVE HEALTH INSURANCE SCHEME .</t>
  </si>
  <si>
    <t>21/08/25</t>
  </si>
  <si>
    <t>26/8/2025</t>
  </si>
  <si>
    <t>MRS.SIMA BIRADAR(23YF) POC</t>
  </si>
  <si>
    <t>GEN_T_2.0.spik_1537</t>
  </si>
  <si>
    <t>AND25910016140</t>
  </si>
  <si>
    <t>SHRI SANGAMESHWAR HOSPITAL - VIJAYAPURA</t>
  </si>
  <si>
    <t>24/08/2025</t>
  </si>
  <si>
    <t>MISS.MADHUMITHA (10Y|F)</t>
  </si>
  <si>
    <t>GEN_T_2.0.spik_1538</t>
  </si>
  <si>
    <t>AND25020027800</t>
  </si>
  <si>
    <t>18/08/25</t>
  </si>
  <si>
    <t>MRS.ANTONY REHISTA(19YF) AF</t>
  </si>
  <si>
    <t>GEN_T_2.0.spik_AF1539</t>
  </si>
  <si>
    <t>AND25360022415</t>
  </si>
  <si>
    <t>MRS.SHWETHA K B (4980)(37YF)</t>
  </si>
  <si>
    <t>GEN_T_2.0.spik_AF1540</t>
  </si>
  <si>
    <t>AND25910015404</t>
  </si>
  <si>
    <t>20/08/25</t>
  </si>
  <si>
    <t>MRS.SAREENA (AMNIOTIC FLUID)(23YF)</t>
  </si>
  <si>
    <t>GEN_T_2.0.spik_AF1541</t>
  </si>
  <si>
    <t>AND25810011612</t>
  </si>
  <si>
    <t>SALEM POLYCLINIC (THE RAO FERTILITY FOUNDATION) - SALEM</t>
  </si>
  <si>
    <t>MR.ROHAN M(13YM)</t>
  </si>
  <si>
    <t>GEN_T_2.0.spik_1542</t>
  </si>
  <si>
    <t>AND251H0001794</t>
  </si>
  <si>
    <t>MR.SILAMBARASAN(32YM)</t>
  </si>
  <si>
    <t>GEN_T_2.0.spik_1543</t>
  </si>
  <si>
    <t>AND25970005861</t>
  </si>
  <si>
    <t>14/08/2025</t>
  </si>
  <si>
    <t>MRS.ABINAYA(26YF)</t>
  </si>
  <si>
    <t>GEN_T_2.0.spik_1544</t>
  </si>
  <si>
    <t>AND25970005860</t>
  </si>
  <si>
    <t>MR.LAKSHMI NARAYANAN N(46YM)</t>
  </si>
  <si>
    <t>GEN_T_2.0.spik_1545</t>
  </si>
  <si>
    <t>AND25370013752</t>
  </si>
  <si>
    <t>LAKSHMI NARASIMMAN P SUR ONCO</t>
  </si>
  <si>
    <t>MRS.RANJANI(29YF)</t>
  </si>
  <si>
    <t>GEN_T_2.0.spik_1547</t>
  </si>
  <si>
    <t>AND25720013327</t>
  </si>
  <si>
    <t>KRITHIK MEDICAL CENTRE - COIMBATORE</t>
  </si>
  <si>
    <t>MR.MANOJ KUMAR(32YM)</t>
  </si>
  <si>
    <t>GEN_T_2.0.spik_1548</t>
  </si>
  <si>
    <t>AND25720013328</t>
  </si>
  <si>
    <r>
      <rPr>
        <rFont val="Calibri, sans-serif"/>
        <color rgb="FF000000"/>
        <sz val="11.0"/>
      </rPr>
      <t xml:space="preserve">MRS.KETAN KAPOOR RATTAN BHAKHRY(47YF) </t>
    </r>
    <r>
      <rPr>
        <rFont val="Calibri, sans-serif"/>
        <b/>
        <color rgb="FF000000"/>
        <sz val="11.0"/>
      </rPr>
      <t>- (Priority sample)</t>
    </r>
  </si>
  <si>
    <t>GEN_T_2.0.spik_1549</t>
  </si>
  <si>
    <t>AND25750005259</t>
  </si>
  <si>
    <t>DR. AABHA NEMIVANT - PUNE</t>
  </si>
  <si>
    <t>MR.BALAJI (AFC0041025)(44YM) husband of karthika bakaji GEN_T_2.0.spik_1584</t>
  </si>
  <si>
    <t>GEN_T_2.0.spik_1550</t>
  </si>
  <si>
    <t>AND25380086793</t>
  </si>
  <si>
    <t>25/08/2025</t>
  </si>
  <si>
    <t>SELVI.YOGADHARANI (8Y|F)</t>
  </si>
  <si>
    <t>GEN_T_2.0.spik_1551</t>
  </si>
  <si>
    <t>AND25630001519</t>
  </si>
  <si>
    <t>MRS.MADHUMITHA GAUTAM (32YF)</t>
  </si>
  <si>
    <t>GEN_T_2.0.spik_1552</t>
  </si>
  <si>
    <t>AND25380087830</t>
  </si>
  <si>
    <t>ACCUMED SPECIALITY CLINIC AND SCANS - VALASARAVAKKAM</t>
  </si>
  <si>
    <t>MR.GOTHANDAPANI (36YM)</t>
  </si>
  <si>
    <t>GEN_T_2.0.spik_1553</t>
  </si>
  <si>
    <t>AND25380087831</t>
  </si>
  <si>
    <t>MR.G PRAVEEN H/O. MUNDRU RAJA SRI(32YM)</t>
  </si>
  <si>
    <t>GEN_T_2.0.spik_1554</t>
  </si>
  <si>
    <t>AND25420002303</t>
  </si>
  <si>
    <t>BOON IVF FERTILITY CENTER - HYDERABAD</t>
  </si>
  <si>
    <t>MRS.MUNDRU RAJA SRI W/O. G PRAVEEN(26YF)</t>
  </si>
  <si>
    <t>GEN_T_2.0.spik_1555</t>
  </si>
  <si>
    <t>AND25420002302</t>
  </si>
  <si>
    <t>BABY.AYISHA MUFIR NADAGOUDA (8314,15)(6YF)</t>
  </si>
  <si>
    <t>GEN_T_2.0.spik_1565</t>
  </si>
  <si>
    <t>AND25910015845</t>
  </si>
  <si>
    <t>BIDARI'S ASHWINI HOSPITAL (LABORATORY) - BIJAPUR</t>
  </si>
  <si>
    <t>22/08/25</t>
  </si>
  <si>
    <t>BABY.NITHISH(1YM)</t>
  </si>
  <si>
    <t>GEN_T_2.0.spik_1560</t>
  </si>
  <si>
    <t>AND25810011800</t>
  </si>
  <si>
    <t>MMM CHILDREN &amp; SKIN CARE HOSPITAL - DHARMAPURI</t>
  </si>
  <si>
    <t>30/8/2025</t>
  </si>
  <si>
    <t>BABY.VIVIN RAJ(1YM)</t>
  </si>
  <si>
    <t>GEN_T_2.0.spik_1561</t>
  </si>
  <si>
    <t>AND25630001557</t>
  </si>
  <si>
    <t>MASTER.SHANAV V(6YM)</t>
  </si>
  <si>
    <t>GEN_T_2.0.spik_1562</t>
  </si>
  <si>
    <t>AND25630001556</t>
  </si>
  <si>
    <t>21/08/2025</t>
  </si>
  <si>
    <t>26/08/2025</t>
  </si>
  <si>
    <t>RATHNA (43YF)</t>
  </si>
  <si>
    <t>GEN_T_2.0.spik_1563</t>
  </si>
  <si>
    <t>ADB0000000753</t>
  </si>
  <si>
    <t>VRIKSH LABORATORIES - BANGALORE</t>
  </si>
  <si>
    <t>PARTHA (46YM)</t>
  </si>
  <si>
    <t>GEN_T_2.0.spik_1564</t>
  </si>
  <si>
    <t>ADB0000000754</t>
  </si>
  <si>
    <t>MASTER.ARAV KHATIK (8YM)</t>
  </si>
  <si>
    <t>GEN_T_2.0.spik_1556</t>
  </si>
  <si>
    <t>AND25AE0000176</t>
  </si>
  <si>
    <t>20/08/2025</t>
  </si>
  <si>
    <t>MR.RAHUL KHATIK (37YM)</t>
  </si>
  <si>
    <t>GEN_T_2.0.spik_1557</t>
  </si>
  <si>
    <t>AND25AE0000177</t>
  </si>
  <si>
    <t>MRS.SHUBHI KHATIK (28YF)</t>
  </si>
  <si>
    <t>GEN_T_2.0.spik_1558</t>
  </si>
  <si>
    <t>AND25AE0000178</t>
  </si>
  <si>
    <t>MISS.SUBASRI D/O MURUGAN (17YF)</t>
  </si>
  <si>
    <t>GEN_T_2.0.spik_1559</t>
  </si>
  <si>
    <t>AND25990020814</t>
  </si>
  <si>
    <t>SRI MANAKULA VINAYAGAR MEDICAL COLLAGE AND HOSPITAL - PONDICHERY .</t>
  </si>
  <si>
    <t>SURFseq- Run-13B</t>
  </si>
  <si>
    <t>MRS.SAPNA PAL(25YF)</t>
  </si>
  <si>
    <t>GEN_T_2.0.spik_1566</t>
  </si>
  <si>
    <t>ANDERSON LABS - PRAYAGRAJ</t>
  </si>
  <si>
    <t>24/08/25</t>
  </si>
  <si>
    <t>MRS.SHILPA W/O DEVANDRA (1351,52,53,54)(28YF)</t>
  </si>
  <si>
    <t>GEN_T_2.0.spik_1567</t>
  </si>
  <si>
    <t>AND25910016007</t>
  </si>
  <si>
    <t>ADITI DIAGNOSTIC LABORATORY - KALABURAGI</t>
  </si>
  <si>
    <t>MR.DEVANDRA (1355,56,57,58)(31YM)</t>
  </si>
  <si>
    <t>GEN_T_2.0.spik_1568</t>
  </si>
  <si>
    <t>AND25910016008</t>
  </si>
  <si>
    <t>MRS.LEKHYA SHRI V</t>
  </si>
  <si>
    <t>GEN_T_2.0.spik_1569</t>
  </si>
  <si>
    <t>ADB0000000755</t>
  </si>
  <si>
    <t>CHAITHANYA INTEGRATED HEALTH CARE PVT LTD - BANGALORE</t>
  </si>
  <si>
    <t>MRS.JAMUNA DEVI - (DONOR OF SWAPNA AKULA)(28YF) - Priority</t>
  </si>
  <si>
    <t>GEN_T_2.0.spik_1570</t>
  </si>
  <si>
    <t>AND25420002342</t>
  </si>
  <si>
    <t>MR.RAJINDER KUMAR (46YM) - Priority</t>
  </si>
  <si>
    <t>GEN_T_2.0.spik_1571</t>
  </si>
  <si>
    <t>AND25100002131</t>
  </si>
  <si>
    <t>AASHAKIRAN IVF PVT LTD - PUNJAB</t>
  </si>
  <si>
    <t>MRS.VITHIYA(27YF) - wife of MR.KANNAN(38YM) GEN_T_2.0.spik_1578</t>
  </si>
  <si>
    <t>GEN_T_2.0.spik_1572</t>
  </si>
  <si>
    <t>AND25060004953</t>
  </si>
  <si>
    <t>MS.CATHERINE(11YF)</t>
  </si>
  <si>
    <t>GEN_T_2.0.spik_1576</t>
  </si>
  <si>
    <t>AND25630001584</t>
  </si>
  <si>
    <t>23/08/25</t>
  </si>
  <si>
    <t>Diwakar / Dr. Meera</t>
  </si>
  <si>
    <t>22/08/2025</t>
  </si>
  <si>
    <t>BABY OF.ADIYAT PARSA (9YF)</t>
  </si>
  <si>
    <t>GEN_T_2.0.spik_1573</t>
  </si>
  <si>
    <t>AND25380089790</t>
  </si>
  <si>
    <t>JEEVAN MITHRA FERTILITY AND WOMEN CARE CENTRE - CHENNAI</t>
  </si>
  <si>
    <t>MRS.SHAMIMA ASHADUZZAMAN (42YF)</t>
  </si>
  <si>
    <t>GEN_T_2.0.spik_1574</t>
  </si>
  <si>
    <t>AND25380089788</t>
  </si>
  <si>
    <t>MR.ASHA DUZZAMAN KHOKAN (45Y|M</t>
  </si>
  <si>
    <t>GEN_T_2.0.spik_1575</t>
  </si>
  <si>
    <t>AND25380089789</t>
  </si>
  <si>
    <t>SUDHARANI ABHISHEK (26YF)</t>
  </si>
  <si>
    <t>GEN_T_2.0.spik_1577</t>
  </si>
  <si>
    <t>ADB0000000834</t>
  </si>
  <si>
    <t>MR.KANNAN(38YM) - Husband of MRS.VITHIYA(27YF) GEN_T_2.0.spik_1572</t>
  </si>
  <si>
    <t>GEN_T_2.0.spik_1578</t>
  </si>
  <si>
    <t>AND25060004954</t>
  </si>
  <si>
    <t>MASTER.MOHAMED HATIM (250605956)(4YM)</t>
  </si>
  <si>
    <t>GEN_T_2.0.spik_1579</t>
  </si>
  <si>
    <t>AND25410011599</t>
  </si>
  <si>
    <t>MRS.RUPALI PRASHANT HATAGALE(29YF)</t>
  </si>
  <si>
    <t>GEN_T_2.0.spik_1580</t>
  </si>
  <si>
    <t>AND25420002359</t>
  </si>
  <si>
    <t>Dr.Sudha; VAMSHI</t>
  </si>
  <si>
    <t>28/08/2025</t>
  </si>
  <si>
    <t>MASTER.DEEPESH VINAYAGAM (158573)(9YM)</t>
  </si>
  <si>
    <t>GEN_T_2.0.spik_1581</t>
  </si>
  <si>
    <t>AND25150041546</t>
  </si>
  <si>
    <t>SAI FERTILITY CENTRE AND HOSPITAL - CHENGALPATTU</t>
  </si>
  <si>
    <t>30/08/2025</t>
  </si>
  <si>
    <t>BABY.GEETHA(4MF)</t>
  </si>
  <si>
    <t>GEN_T_2.0.spik_1582</t>
  </si>
  <si>
    <t>AND25630001597</t>
  </si>
  <si>
    <t>BABY.RAHIM(10MM)</t>
  </si>
  <si>
    <t>GEN_T_2.0.spik_1583</t>
  </si>
  <si>
    <t>AND25630001598</t>
  </si>
  <si>
    <t>MRS.KARTHIKA BALAJI(43YF) -  wife of balaji  GEN_T_2.0.spik_1550</t>
  </si>
  <si>
    <t>GEN_T_2.0.spik_1584</t>
  </si>
  <si>
    <t>AND25380091361</t>
  </si>
  <si>
    <t>25/08/25</t>
  </si>
  <si>
    <t>MR.SUDHARSHAN H/O. MANASA(36YM)</t>
  </si>
  <si>
    <t>GEN_T_2.0.spik_1585</t>
  </si>
  <si>
    <t>AND25420002449</t>
  </si>
  <si>
    <t>SHUBHA FERTILITY CENTRE PVT LTD-HYDERABAD</t>
  </si>
  <si>
    <t>27/08/25</t>
  </si>
  <si>
    <t>MRS.MANASA W/O. SUDHARSHAN(28YF)</t>
  </si>
  <si>
    <t>GEN_T_2.0.spik_1586</t>
  </si>
  <si>
    <t>AND25420002450</t>
  </si>
  <si>
    <t>MRS.MUNMUNKAR (33yF)</t>
  </si>
  <si>
    <t>GEN_T_2.0.spik_1587</t>
  </si>
  <si>
    <t>ADB00000011151</t>
  </si>
  <si>
    <t>VRIKSH DIAGNOSTICS BANGLORE</t>
  </si>
  <si>
    <t>MR.ABHIJEET DATTA (37ym)</t>
  </si>
  <si>
    <t>GEN_T_2.0.spik_1588</t>
  </si>
  <si>
    <t>ADB00000011152</t>
  </si>
  <si>
    <t>MISS.SANGEETHA.B(22YF)</t>
  </si>
  <si>
    <t>GEN_T_2.0.spik_1589</t>
  </si>
  <si>
    <t>AND25970006300</t>
  </si>
  <si>
    <t>DR.SACHIN .</t>
  </si>
  <si>
    <t>MASTER.KARTIK CHAURASIYA (8Y|M)</t>
  </si>
  <si>
    <t>GEN_T_2.0.spik_1546</t>
  </si>
  <si>
    <t>AND25750005224</t>
  </si>
  <si>
    <t>23/08/2025</t>
  </si>
  <si>
    <t>BABY.SHAGANA J(5YF)</t>
  </si>
  <si>
    <t>GEN_T_2.0.spik_1590</t>
  </si>
  <si>
    <t>AND25630001610</t>
  </si>
  <si>
    <t>MRS.GOWSIKA(26YF)</t>
  </si>
  <si>
    <t>GEN_T_2.0.spik_1591</t>
  </si>
  <si>
    <t>AND25970006244</t>
  </si>
  <si>
    <t>MRS.REVATHI(22Y/F)</t>
  </si>
  <si>
    <t>FEMALE INFERTILITY NGS PANEL</t>
  </si>
  <si>
    <t>GEN_T_2.0.spik_1592</t>
  </si>
  <si>
    <t>ADB0000001129</t>
  </si>
  <si>
    <t>115721#ENT AND WOMEN S CARE CENTRE - BANGALORE</t>
  </si>
  <si>
    <t>29/08/2025</t>
  </si>
  <si>
    <t>MISS.KALAIVANI(15YF)</t>
  </si>
  <si>
    <t>GEN_T_2.0.spik_1593</t>
  </si>
  <si>
    <t>AND25060005098</t>
  </si>
  <si>
    <t>INDIRA GANDHI GOVERNMENT GENERAL HOSPITAL -PUDUCHERRY</t>
  </si>
  <si>
    <t>29/08/25</t>
  </si>
  <si>
    <t>BABY.DHEEKSHAN(1YM)</t>
  </si>
  <si>
    <t>GEN_T_2.0.spik_1594</t>
  </si>
  <si>
    <t>AND25970006447</t>
  </si>
  <si>
    <t>MR.GEDELA DHANUNJAYA(38YM)</t>
  </si>
  <si>
    <t>GEN_T_2.0.spik_1595</t>
  </si>
  <si>
    <t>AND251H0001948</t>
  </si>
  <si>
    <t>MRS.GEDELA JHANSI RANI(39YF)</t>
  </si>
  <si>
    <t>GEN_T_2.0.spik_1596</t>
  </si>
  <si>
    <t>AND251H0001949</t>
  </si>
  <si>
    <t>BABY.SHIVASHINI(6YF)</t>
  </si>
  <si>
    <t>GEN_T_2.0.spik_1597</t>
  </si>
  <si>
    <t>AND25630001626</t>
  </si>
  <si>
    <t>28/08/25</t>
  </si>
  <si>
    <t>BABY.SUGANTH(4YM)</t>
  </si>
  <si>
    <t>GEN_T_2.0.spik_1598</t>
  </si>
  <si>
    <t>AND25630001627</t>
  </si>
  <si>
    <t>BABY.ABINAYA B(5YF)</t>
  </si>
  <si>
    <t>GEN_T_2.0.spik_1599</t>
  </si>
  <si>
    <t>AND25630001628</t>
  </si>
  <si>
    <t>BABY.ADHAVAN(1YM)</t>
  </si>
  <si>
    <t>GEN_T_2.0.spik_1600</t>
  </si>
  <si>
    <t>AND25630001625</t>
  </si>
  <si>
    <t>MASTER.KARAN BANSOD(1YM)</t>
  </si>
  <si>
    <t>GEN_T_2.0.spik_1601</t>
  </si>
  <si>
    <t>AND25750005622</t>
  </si>
  <si>
    <t>MRS.ASHADEVI(29YF)</t>
  </si>
  <si>
    <t>GEN_T_2.0.spik_1602</t>
  </si>
  <si>
    <t>AND25150043079</t>
  </si>
  <si>
    <t>LAKSHYA FERTILITY AND WOMENS CENTRE</t>
  </si>
  <si>
    <t>MRS.PANDI(40YF)</t>
  </si>
  <si>
    <t>GEN_T_2.0.spik_1603</t>
  </si>
  <si>
    <t>AND25150043080</t>
  </si>
  <si>
    <t>MASTER.DEBANJAN MONDAL B(6YM)</t>
  </si>
  <si>
    <t>GEN_T_2.0.spik_1604</t>
  </si>
  <si>
    <t>AND25630001624</t>
  </si>
  <si>
    <t>MS.BANUMATHI B (23Y|F)</t>
  </si>
  <si>
    <t>GEN_T_2.0.spik_1606</t>
  </si>
  <si>
    <t>AND25630001599</t>
  </si>
  <si>
    <t>BABY.SASHTIYUGAN(45DM)</t>
  </si>
  <si>
    <t>GEN_T_2.0.spik_1605</t>
  </si>
  <si>
    <t>AND25020030714</t>
  </si>
  <si>
    <t>MS.POOJA E (11Y|F)</t>
  </si>
  <si>
    <t>GEN_T_2.0.spik_1607</t>
  </si>
  <si>
    <t>AND25630001583</t>
  </si>
  <si>
    <t>MISS.RAKSHITHA (12Y|F)</t>
  </si>
  <si>
    <t>GEN_T_2.0.spik_1608</t>
  </si>
  <si>
    <t>AND25020030306</t>
  </si>
  <si>
    <t xml:space="preserve">         </t>
  </si>
  <si>
    <t>BABY.DHANUSHYA (9Y|F)</t>
  </si>
  <si>
    <t>GEN_T_2.0.spik_1609</t>
  </si>
  <si>
    <t>AND25020030309</t>
  </si>
  <si>
    <t>BABY.PRINCY (6Y|F)</t>
  </si>
  <si>
    <t>GEN_T_2.0.spik_1610</t>
  </si>
  <si>
    <t>AND25020030307</t>
  </si>
  <si>
    <t>BABY.PRATHIP (3Y|M)</t>
  </si>
  <si>
    <t>GEN_T_2.0.spik_1611</t>
  </si>
  <si>
    <t>AND25020030308</t>
  </si>
  <si>
    <t>MASTER.YOGADEEPAN (10Y|M)</t>
  </si>
  <si>
    <t>GEN_T_2.0.spik_1612</t>
  </si>
  <si>
    <t>AND25020030310</t>
  </si>
  <si>
    <t>SURFseq- Run-14A</t>
  </si>
  <si>
    <t>TAT(30 Days)</t>
  </si>
  <si>
    <t>MASTER.R V PAVIN (6Y|M)</t>
  </si>
  <si>
    <t>WES+WMGS</t>
  </si>
  <si>
    <t>GEN_T_2.0.spik_1613</t>
  </si>
  <si>
    <t>AND25020030900</t>
  </si>
  <si>
    <t>Meera</t>
  </si>
  <si>
    <t>MRS.RUKSAR BEE (29Y|F)</t>
  </si>
  <si>
    <t>GEN_T_2.0.spik_1614</t>
  </si>
  <si>
    <t>AND25AE0000199</t>
  </si>
  <si>
    <t>MR.PRITAM YADAV (35YM)</t>
  </si>
  <si>
    <t>GEN_T_2.0.spik_1615</t>
  </si>
  <si>
    <t>AND25750005962</t>
  </si>
  <si>
    <t>PATHAK HOSPITAL - CHHATTISGARH</t>
  </si>
  <si>
    <t>MRS.ASHKUMARI YADAV (30YF)</t>
  </si>
  <si>
    <t>AND25750005963</t>
  </si>
  <si>
    <t>27/08/2025</t>
  </si>
  <si>
    <t>MRS.REKHA K N (36Y|F)</t>
  </si>
  <si>
    <t>Single gene mutation analysis + DMD</t>
  </si>
  <si>
    <t>GEN_T_2.0.spik_1617</t>
  </si>
  <si>
    <t>AND25910017644</t>
  </si>
  <si>
    <t>MRS.SATHYA DEVI H (40Y|F)</t>
  </si>
  <si>
    <t>GEN_T_2.0.spik_1618</t>
  </si>
  <si>
    <t>AND25020030716</t>
  </si>
  <si>
    <t>SHEIK SULTHAN ALAVUDEEN MD.,DM.,(NEPHRO)</t>
  </si>
  <si>
    <t>MR. DEVBRAT ROUT (39YM)</t>
  </si>
  <si>
    <t>MALE INFERTILITY NGS PANEL</t>
  </si>
  <si>
    <t>GEN_T_2.0.spik_1619</t>
  </si>
  <si>
    <t>ADB0000001359</t>
  </si>
  <si>
    <t>VRIKSH FERTILITY PVT LTD-WHITEFIELD</t>
  </si>
  <si>
    <t>30/08/25</t>
  </si>
  <si>
    <t>16-09-2025</t>
  </si>
  <si>
    <t>MRS.SWAGATIKA SWAIN (38YF)</t>
  </si>
  <si>
    <t>GEN_T_2.0.spik_1620</t>
  </si>
  <si>
    <t>ADB0000001358</t>
  </si>
  <si>
    <t>MANASA DUGGANA PALLE (34YF)</t>
  </si>
  <si>
    <t>GEN_T_2.0.spik_1621</t>
  </si>
  <si>
    <t>ADB0000001364</t>
  </si>
  <si>
    <t>13-09-2025</t>
  </si>
  <si>
    <t>MR.M MAHARSHI RAJ YADAV - (HEG 39639)(37YM)</t>
  </si>
  <si>
    <t>ADVAT focussed carrier screening</t>
  </si>
  <si>
    <t>GEN_T_2.0.spik_1622</t>
  </si>
  <si>
    <t>AND25420002525</t>
  </si>
  <si>
    <t>MRS.PUSHPAM KOLUSU - (HEG 39638)(33YF)</t>
  </si>
  <si>
    <t>GEN_T_2.0.spik_1623</t>
  </si>
  <si>
    <t>AND25420002526</t>
  </si>
  <si>
    <t>BABY.VANISRI K(4MF)</t>
  </si>
  <si>
    <t>GEN_T_2.0.spik_1624</t>
  </si>
  <si>
    <t>AND25630001650</t>
  </si>
  <si>
    <t>MRS.SATHIYAVATHI(38YF)</t>
  </si>
  <si>
    <t>GEN_T_2.0.spik_1625</t>
  </si>
  <si>
    <t>AND25150044088</t>
  </si>
  <si>
    <t>15-09-2026</t>
  </si>
  <si>
    <t>MR.BHUVANESH (39YM)</t>
  </si>
  <si>
    <t>GEN_T_2.0.spik_1626</t>
  </si>
  <si>
    <t>AND25150044089</t>
  </si>
  <si>
    <t>15-09-2025</t>
  </si>
  <si>
    <t>MISS.ARSHAD HUSSAIN J(10YF)</t>
  </si>
  <si>
    <t>GEN_T_2.0.spik_1627</t>
  </si>
  <si>
    <t>AND25020031333</t>
  </si>
  <si>
    <t>BABY.VIDULA T(1YF)</t>
  </si>
  <si>
    <t>GEN_T_2.0.spik_1628</t>
  </si>
  <si>
    <t>AND25630001653</t>
  </si>
  <si>
    <t>31/08/25</t>
  </si>
  <si>
    <t>MRS.CHARUMATHI (43Y|F) mother of KAVINKUMAR (11YM)</t>
  </si>
  <si>
    <t>GEN_T_2.0.spik_1629</t>
  </si>
  <si>
    <t>AND25360026457</t>
  </si>
  <si>
    <t>ANNAI HOSPITAL &amp; SRI TEST TUBE BABY CENTER - MADURAI</t>
  </si>
  <si>
    <t>31/08/2025</t>
  </si>
  <si>
    <t>KAVINKUMAR (11YM) son of MRS.CHARUMATHI (43Y|F)</t>
  </si>
  <si>
    <t>GEN_T_2.0.spik_1630</t>
  </si>
  <si>
    <t>AND25360026456</t>
  </si>
  <si>
    <t xml:space="preserve"> ANNAI HOSPITAL &amp; SRI TEST TUBE BABY CENTER - MADURAI</t>
  </si>
  <si>
    <t>BABY.KEERTHISHREE(1YF)</t>
  </si>
  <si>
    <t>GEN_T_2.0.spik_1631</t>
  </si>
  <si>
    <t>AND25020030903</t>
  </si>
  <si>
    <t>BABY.MUTHU ADHITHYA (3Y|M)</t>
  </si>
  <si>
    <t>GEN_T_2.0.spik_1632</t>
  </si>
  <si>
    <t>AND25020031521</t>
  </si>
  <si>
    <t>BABY.CHANDRA SHEKHAR (3YM)</t>
  </si>
  <si>
    <t>GEN_T_2.0.spik_1633</t>
  </si>
  <si>
    <t>AND25100002318</t>
  </si>
  <si>
    <t>ALLAHBAD CHILD DEVELOPMENT CENTRE - PRAYAGRAJ</t>
  </si>
  <si>
    <t xml:space="preserve">MRS.SACHIMA DAS - (DONOR OF. HIMA BINDU) (29Y|F) (Priority) </t>
  </si>
  <si>
    <t>GEN_T_2.0.spik_1634</t>
  </si>
  <si>
    <t>AND25420002581</t>
  </si>
  <si>
    <t>DR.VANDANA R.R (37Y|F)</t>
  </si>
  <si>
    <t>GEN_T_2.0.spik_1636</t>
  </si>
  <si>
    <t>AND25520000022</t>
  </si>
  <si>
    <t>SABINE HOSPITAL &amp; RESEARCH CENTRE PRIVATE LTD - KERALA .</t>
  </si>
  <si>
    <t>MR.SINOJ S (43Y|M)</t>
  </si>
  <si>
    <t>GEN_T_2.0.spik_1637</t>
  </si>
  <si>
    <t>AND25520000023</t>
  </si>
  <si>
    <t>BABY OF.SURYA D/O MANIKANDAN(29DF)</t>
  </si>
  <si>
    <t>GEN_T_2.0.spik_1635</t>
  </si>
  <si>
    <t>AND25810012795</t>
  </si>
  <si>
    <t>MRS.TUYA CHATTERJEE (27Y|F)</t>
  </si>
  <si>
    <t>GEN_T_2.0.spik_1638</t>
  </si>
  <si>
    <t>AND25630001660</t>
  </si>
  <si>
    <t>ABDUL BASITH S F MD(OG)F.MAS D.MAS C.IVF(SINGAPORE)</t>
  </si>
  <si>
    <t>MR.TUHIN BANERJEE(38YM)</t>
  </si>
  <si>
    <t>GEN_T_2.0.spik_1639</t>
  </si>
  <si>
    <t>AND25630001659</t>
  </si>
  <si>
    <t>MR.SANTOSH R (16Y|M)</t>
  </si>
  <si>
    <t>GEN_T_2.0.spik_1640</t>
  </si>
  <si>
    <t>AND25380098469</t>
  </si>
  <si>
    <t>MR.CHIRANJEEVI V (37Y|M)</t>
  </si>
  <si>
    <t>GEN_T_2.0.spik_1641</t>
  </si>
  <si>
    <t>AND25290006623</t>
  </si>
  <si>
    <t>DEEPAK ARJUNDAS MD (MED) D.M (NEURO) FRCP</t>
  </si>
  <si>
    <t>MR.SOHIDUL ISLAM (SN00851558) (43Y|M)</t>
  </si>
  <si>
    <t>GEN_T_2.0.spik_1642</t>
  </si>
  <si>
    <t>AND251S0001642</t>
  </si>
  <si>
    <t>SRI NARAYANI HOSPITAL &amp; RESEARCH CENTRE - VELLORE .</t>
  </si>
  <si>
    <t>17/09/2025</t>
  </si>
  <si>
    <t>MRS.SANGEETHA(AFSLM-7919) (29Y|F) - DONOR</t>
  </si>
  <si>
    <t>GEN_T_2.0.spik_1643</t>
  </si>
  <si>
    <t>AND25720014798</t>
  </si>
  <si>
    <t>28/08/2025 AND 03-09-2025</t>
  </si>
  <si>
    <t>SURFseq- Run-15B</t>
  </si>
  <si>
    <t>MR.PRAVEEN PATNAM (36Y|M)</t>
  </si>
  <si>
    <t>GEN_T_2.0.spik_1644</t>
  </si>
  <si>
    <t>AND25850003500</t>
  </si>
  <si>
    <t>INDIGO WOMEN'S CENTER - ANNA NAGAR .</t>
  </si>
  <si>
    <t>MRS.GUMPARLAPATI SRIKALA (27Y|F)</t>
  </si>
  <si>
    <t>GEN_T_2.0.spik_1645</t>
  </si>
  <si>
    <t>AND25850003501</t>
  </si>
  <si>
    <t>BABY OF.KEERTHIKA(2DF)</t>
  </si>
  <si>
    <t>GEN_T_2.0.spik_1646</t>
  </si>
  <si>
    <t>AND25810012964</t>
  </si>
  <si>
    <t>BABY.IFZA AIMAN(3YF)</t>
  </si>
  <si>
    <t>GEN_T_2.0.spik_1647</t>
  </si>
  <si>
    <t>AND25020032224</t>
  </si>
  <si>
    <t>ABDUL AHAD MBBS(OSMANIA),MD,PEDIATRICS</t>
  </si>
  <si>
    <t>Meera, VAMSHI</t>
  </si>
  <si>
    <t>30/08/2025; 09-9-2025</t>
  </si>
  <si>
    <t>MR.RAVI SHEKHAR VERMA(40YM)</t>
  </si>
  <si>
    <t>GEN_T_2.0.spik_1648</t>
  </si>
  <si>
    <t>AND25100002351</t>
  </si>
  <si>
    <t>ASTHA GUPTA</t>
  </si>
  <si>
    <t>16-09-2026</t>
  </si>
  <si>
    <t>MRS.SUGANDHA RISHI(39YF)</t>
  </si>
  <si>
    <t>GEN_T_2.0.spik_1649</t>
  </si>
  <si>
    <t>AND25100002350</t>
  </si>
  <si>
    <t>BABY.NIKILAN(1YM)</t>
  </si>
  <si>
    <t>GEN_T_2.0.spik_1650</t>
  </si>
  <si>
    <t>AND25630001703</t>
  </si>
  <si>
    <t xml:space="preserve">Meera </t>
  </si>
  <si>
    <t>MISS.SHYMALA(16YF)</t>
  </si>
  <si>
    <t>GEN_T_2.0.spik_1651</t>
  </si>
  <si>
    <t>AND25630001702</t>
  </si>
  <si>
    <t>MRS.HAWWA FAZULA(26YF)</t>
  </si>
  <si>
    <t>GEN_T_2.0.spik_1652</t>
  </si>
  <si>
    <t>AND25380100182</t>
  </si>
  <si>
    <t>MR.AHMED AZNEEL(32YM)</t>
  </si>
  <si>
    <t>GEN_T_2.0.spik_1653</t>
  </si>
  <si>
    <t>AND25380100181</t>
  </si>
  <si>
    <t>BABY.RITHESH(1MM)</t>
  </si>
  <si>
    <t>GEN_T_2.0.spik_1654</t>
  </si>
  <si>
    <t>AND25020032306</t>
  </si>
  <si>
    <t>MISS.BIJAYA BISTA (4Y|F)</t>
  </si>
  <si>
    <t>GEN_T_2.0.spik_1695</t>
  </si>
  <si>
    <t>AND251O0000038</t>
  </si>
  <si>
    <t>ANGEL FERTILITY CLINIC - KATHMANDU</t>
  </si>
  <si>
    <t>Vamshi</t>
  </si>
  <si>
    <t>17-09-2025</t>
  </si>
  <si>
    <t>20-09-2025</t>
  </si>
  <si>
    <t>MRS.K. MADHAVI W/O. T. BHARATH - (HEG M0035082)(24YF)</t>
  </si>
  <si>
    <t>GEN_T_2.0.spik_1656</t>
  </si>
  <si>
    <t>AND25420002657</t>
  </si>
  <si>
    <t>18/09/2025</t>
  </si>
  <si>
    <t>MR.T. BHARATH W/O. K. MADHAVI - (HEG M0035083)(39YM)</t>
  </si>
  <si>
    <t>GEN_T_2.0.spik_1657</t>
  </si>
  <si>
    <t>AND25420002658</t>
  </si>
  <si>
    <t>BABY OF.SUGA PRIYA (230912128901)(0YO)</t>
  </si>
  <si>
    <t>GEN_T_2.0.spik_1658</t>
  </si>
  <si>
    <t>AND25380101417</t>
  </si>
  <si>
    <t>MR.RAMESH S (SN00851496)(38YM)</t>
  </si>
  <si>
    <t>GEN_T_2.0.spik_1659</t>
  </si>
  <si>
    <t>AND251S0001683</t>
  </si>
  <si>
    <t>DR.SRAVAN KUMAR (37YM)</t>
  </si>
  <si>
    <t>GEN_T_2.0.spik_1660</t>
  </si>
  <si>
    <t>AND25420002621</t>
  </si>
  <si>
    <t>History available in TRF, Writeup not available</t>
  </si>
  <si>
    <t>MRS.DR. SHRUTHI TEDLA(35YF)</t>
  </si>
  <si>
    <t>GEN_T_2.0.spik_1655</t>
  </si>
  <si>
    <t>AND25420002620</t>
  </si>
  <si>
    <t>MR.PRAKASH GAIKWAD(35YM)</t>
  </si>
  <si>
    <t>GEN_T_2.0.spik_1661</t>
  </si>
  <si>
    <t>AND25750006092</t>
  </si>
  <si>
    <t>EMBRYONIC FERTILITY AND IVF CENTRE - PUNE</t>
  </si>
  <si>
    <t>MRS.SEEMA PRAKASH GAIKWAD(33YF)</t>
  </si>
  <si>
    <t>GEN_T_2.0.spik_1662</t>
  </si>
  <si>
    <t>AND25750006119</t>
  </si>
  <si>
    <t>MRS.NAVIS(26YF)</t>
  </si>
  <si>
    <t>GEN_T_2.0.spik_1663</t>
  </si>
  <si>
    <t>AND25740027480</t>
  </si>
  <si>
    <t>SRI BALAJI NURSING HOME AND CLINIC - TRICHY</t>
  </si>
  <si>
    <t>BABY.HARSHINI M(1YF)</t>
  </si>
  <si>
    <t>GEN_T_2.0.spik_1664</t>
  </si>
  <si>
    <t>AND25630001725</t>
  </si>
  <si>
    <t>BABY.SHIVANESAN(11MM)</t>
  </si>
  <si>
    <t>GEN_T_2.0.spik_1665</t>
  </si>
  <si>
    <t>AND25630001726</t>
  </si>
  <si>
    <t>MASTER.GOPINATH(7YM)</t>
  </si>
  <si>
    <t>GEN_T_2.0.spik_1666</t>
  </si>
  <si>
    <t>AND25630001727</t>
  </si>
  <si>
    <t>MASTER.DHARSHAN(6YM)</t>
  </si>
  <si>
    <t>GEN_T_2.0.spik_1667</t>
  </si>
  <si>
    <t>AND25630001728</t>
  </si>
  <si>
    <t>BABY.ADHEERA(3YM)</t>
  </si>
  <si>
    <t>GEN_T_2.0.spik_1668</t>
  </si>
  <si>
    <t>AND25630001729</t>
  </si>
  <si>
    <t>Diwakar/Naveen</t>
  </si>
  <si>
    <t>19/09/2025</t>
  </si>
  <si>
    <t>MR.PRIYANSHU SUKHDEVE(23YM)</t>
  </si>
  <si>
    <t>GEN_T_2.0.spik_1669</t>
  </si>
  <si>
    <t>AND25750006149</t>
  </si>
  <si>
    <t>DR. SWADHA GAURAV'S AURADALE - NAGPUR</t>
  </si>
  <si>
    <t>MASTER.OBIOHA CHIDUBEM</t>
  </si>
  <si>
    <t>GEN_T_2.0.spik_1670</t>
  </si>
  <si>
    <t>AB0000001928</t>
  </si>
  <si>
    <t>ANDERSON DIAGNOSTICS BANGALORE</t>
  </si>
  <si>
    <t>MASTER.AJITHAN(6YM)</t>
  </si>
  <si>
    <t>GEN_T_2.0.spik_1671</t>
  </si>
  <si>
    <t>AND25020033073</t>
  </si>
  <si>
    <t>BABY.JESSIMA(1YF)</t>
  </si>
  <si>
    <t>GEN_T_2.0.spik_1672</t>
  </si>
  <si>
    <t>AND25020033074</t>
  </si>
  <si>
    <t>MASTER.BHARATH(10YM)</t>
  </si>
  <si>
    <t>GEN_T_2.0.spik_1673</t>
  </si>
  <si>
    <t>AND25020033075</t>
  </si>
  <si>
    <t>MR.IYYAPPAN(27YM)</t>
  </si>
  <si>
    <t>GEN_T_2.0.spik_1674</t>
  </si>
  <si>
    <t>AND25020033078</t>
  </si>
  <si>
    <t>13/09/2025</t>
  </si>
  <si>
    <t>BABY.PARIVESH T(1YM)</t>
  </si>
  <si>
    <t>GEN_T_2.0.spik_1675</t>
  </si>
  <si>
    <t>AND25020033079</t>
  </si>
  <si>
    <t>MRS.SK.ASIFA(27YF) (POC)</t>
  </si>
  <si>
    <t>GEN_T_2.0.spik_1676</t>
  </si>
  <si>
    <t>AND25480024211</t>
  </si>
  <si>
    <t>SAIRAM HOSPITAL &amp; IVF CENTRE -NELLORE .</t>
  </si>
  <si>
    <t>15/09/2025</t>
  </si>
  <si>
    <t>MISS.SAYADA AFSAR(11YF)</t>
  </si>
  <si>
    <t>GEN_T_2.0.spik_1677</t>
  </si>
  <si>
    <t>AND25020033307</t>
  </si>
  <si>
    <t>23/9/2025</t>
  </si>
  <si>
    <t>BABY.ANBU CHEZHIYAN(3MM)</t>
  </si>
  <si>
    <t>GEN_T_2.0.spik_1678</t>
  </si>
  <si>
    <t>AND25020033308</t>
  </si>
  <si>
    <t>MR.VINEET KAUL(42YM)</t>
  </si>
  <si>
    <t>GEN_T_2.0.spik_1679</t>
  </si>
  <si>
    <t>AND25100002400</t>
  </si>
  <si>
    <t>APOLLO FERTILITY CENTRE (P) LTD - NOIDA</t>
  </si>
  <si>
    <t>MRS.PINKI(25YF) donor of vineet wife</t>
  </si>
  <si>
    <t>GEN_T_2.0.spik_1680</t>
  </si>
  <si>
    <t>AND25100002401</t>
  </si>
  <si>
    <t>MR.GOUTHAMMURARI(33YM)</t>
  </si>
  <si>
    <t>GEN_T_2.0.spik_1681</t>
  </si>
  <si>
    <t>AND25630001740</t>
  </si>
  <si>
    <t>GOPINATH P M MD.,DGO.,FMMC.,FICS.,FICOG.,MBA (HSM)</t>
  </si>
  <si>
    <t>MRS.KIRUTHIKA GOUTHAM(29YF)</t>
  </si>
  <si>
    <t>GEN_T_2.0.spik_1682</t>
  </si>
  <si>
    <t>AND25630001739</t>
  </si>
  <si>
    <t>MASTER.MITHRAN (240404247)(3YM)</t>
  </si>
  <si>
    <t>GEN_T_2.0.spik_1685</t>
  </si>
  <si>
    <t>AND25410012945</t>
  </si>
  <si>
    <t>MRS.JYOTHI PAVANIGUNDLA - (HEG 39669)(29YF)</t>
  </si>
  <si>
    <t>GEN_T_2.0.spik_1683</t>
  </si>
  <si>
    <t>AND25420002718</t>
  </si>
  <si>
    <t>MR.VIJAYAKUMAR GOUD H/O. P. JYOTHI - (HEG 39670)(35YM)</t>
  </si>
  <si>
    <t>GEN_T_2.0.spik_1684</t>
  </si>
  <si>
    <t>AND25420002719</t>
  </si>
  <si>
    <t>MR.NAVEEN O(31YM)</t>
  </si>
  <si>
    <t>GEN_T_2.0.spik_1686</t>
  </si>
  <si>
    <t>AND25250000975</t>
  </si>
  <si>
    <t>ANIL NEURO &amp; TRAUMA CENTRE - VIJAYAWADA</t>
  </si>
  <si>
    <t>MRS.MUKTA GUPTA</t>
  </si>
  <si>
    <t>GEN_T_2.0.spik_1687</t>
  </si>
  <si>
    <t>ADB0000002112</t>
  </si>
  <si>
    <t>BABY.SIARA P DAS (466081) (8M|F</t>
  </si>
  <si>
    <t>GEN_T_2.0.spik_1688</t>
  </si>
  <si>
    <t>AND25720015511</t>
  </si>
  <si>
    <t>MR.AUROBINDO MONDAL</t>
  </si>
  <si>
    <t>GEN_T_2.0.spik_1689</t>
  </si>
  <si>
    <t>ADB0000002155</t>
  </si>
  <si>
    <t>MISS.SANJANA SRI K (6Y|F)</t>
  </si>
  <si>
    <t>GEN_T_2.0.spik_1690</t>
  </si>
  <si>
    <t>AND25020033396</t>
  </si>
  <si>
    <t>BABY.JASHVITHA S (2Y|F)</t>
  </si>
  <si>
    <t>GEN_T_2.0.spik_1691</t>
  </si>
  <si>
    <t>AND25020033401</t>
  </si>
  <si>
    <t>BABY.VARSHITH E (4M|M)</t>
  </si>
  <si>
    <t>GEN_T_2.0.spik_1692</t>
  </si>
  <si>
    <t>AND25020033402</t>
  </si>
  <si>
    <t>MISS.JOTHIKA M (10Y|F)</t>
  </si>
  <si>
    <t>GEN_T_2.0.spik_1693</t>
  </si>
  <si>
    <t>AND25020033404</t>
  </si>
  <si>
    <t>23/09/2025</t>
  </si>
  <si>
    <t>BABY.DHURUV AAKASH A (4Y|M)</t>
  </si>
  <si>
    <t>GEN_T_2.0.spik_1694</t>
  </si>
  <si>
    <t>AND25020033399</t>
  </si>
  <si>
    <r>
      <rPr>
        <rFont val="Times New Roman"/>
        <b/>
        <color rgb="FFFF0000"/>
        <sz val="26.0"/>
      </rPr>
      <t xml:space="preserve">SURFseq- Run-16B </t>
    </r>
    <r>
      <rPr>
        <rFont val="Times New Roman"/>
        <b/>
        <color rgb="FFFF0000"/>
        <sz val="26.0"/>
      </rPr>
      <t>QC FAIL</t>
    </r>
  </si>
  <si>
    <t>Bioinfo Analysis Time</t>
  </si>
  <si>
    <t>BABY.MAHALAKSHMI (7Y|F)</t>
  </si>
  <si>
    <t>GEN_T_2.0.spik_1696A</t>
  </si>
  <si>
    <t>MRS.SNEHAL BADGUJKAR(29YF)</t>
  </si>
  <si>
    <t>GEN_T_2.0.spik_1697A</t>
  </si>
  <si>
    <t>AND25750006224</t>
  </si>
  <si>
    <t>UJWALA HEALTHCARE OMKAR KHALANE HOSPITAL - RAHATAN</t>
  </si>
  <si>
    <t>MRS.SULOCHANA NAGESH BHAJANTRI (27YF)</t>
  </si>
  <si>
    <t>GEN_T_2.0.spik_1698A</t>
  </si>
  <si>
    <t>AND25910018746</t>
  </si>
  <si>
    <t>SHRI SAI SPECIALTY HOSPITAL-RANEBENNUR</t>
  </si>
  <si>
    <t>MRS.SHILPA.K.J (33Y 2M 24D)</t>
  </si>
  <si>
    <t>GEN_T_2.0.spik_1699A</t>
  </si>
  <si>
    <t>ADB0000002319</t>
  </si>
  <si>
    <t>BABY OF.SIVASHREE(4YF)</t>
  </si>
  <si>
    <t>GEN_T_2.0.spik_1700A</t>
  </si>
  <si>
    <t>AND25630001784</t>
  </si>
  <si>
    <t>BABY.TAMIZH YAZHINI(5YF)</t>
  </si>
  <si>
    <t>GEN_T_2.0.spik_1701A</t>
  </si>
  <si>
    <t>AND25630001785</t>
  </si>
  <si>
    <t>BABY.NARCHEZHIYAN.A(3YM)</t>
  </si>
  <si>
    <t>GEN_T_2.0.spik_1702A</t>
  </si>
  <si>
    <t>AND25630001786</t>
  </si>
  <si>
    <t>BABY.PAUL JOEL(4YM)</t>
  </si>
  <si>
    <t>GEN_T_2.0.spik_1703A</t>
  </si>
  <si>
    <t>AND25630001787</t>
  </si>
  <si>
    <t>MR.FAHEEM AHMED(37YM)</t>
  </si>
  <si>
    <t>GEN_T_2.0.spik_1704A</t>
  </si>
  <si>
    <t>AND25100002512</t>
  </si>
  <si>
    <t>LAIMAA FERTILITY LLP - NEW DELHI</t>
  </si>
  <si>
    <t>MRS.NAGEENA(36YF)</t>
  </si>
  <si>
    <t>GEN_T_2.0.spik_1705A</t>
  </si>
  <si>
    <t>AND25100002513</t>
  </si>
  <si>
    <t>MRS.RUCHIKA RANI W/O. MELREN STEPHEN - (HEG C002810)(31YF)</t>
  </si>
  <si>
    <t>GEN_T_2.0.spik_1706A</t>
  </si>
  <si>
    <t>AND25420002759</t>
  </si>
  <si>
    <t>MR.VIRANSH MAHENDRAKAR(6YM)</t>
  </si>
  <si>
    <t>GEN_T_2.0.spik_1707A</t>
  </si>
  <si>
    <t>AND25750006330</t>
  </si>
  <si>
    <t>BABY.HARSHATH P A(3YM)</t>
  </si>
  <si>
    <t>GEN_T_2.0.spik_1708A</t>
  </si>
  <si>
    <t>AND25020034067</t>
  </si>
  <si>
    <t>BABY.DHAYA T(5YM)</t>
  </si>
  <si>
    <t>GEN_T_2.0.spik_1709A</t>
  </si>
  <si>
    <t>AND25020034068</t>
  </si>
  <si>
    <t>BABY.KARTHIKEYAN S(1YM)</t>
  </si>
  <si>
    <t>GEN_T_2.0.spik_1710A</t>
  </si>
  <si>
    <t>AND25020034069</t>
  </si>
  <si>
    <t>MISS.VINOTHINI D(12YF)</t>
  </si>
  <si>
    <t>GEN_T_2.0.spik_1711A</t>
  </si>
  <si>
    <t>AND25020034380</t>
  </si>
  <si>
    <t>BABY.MOSHIGAN S(9YM)</t>
  </si>
  <si>
    <t>GEN_T_2.0.spik_1712A</t>
  </si>
  <si>
    <t>AND25020034381</t>
  </si>
  <si>
    <t>MASTER.SABARISH M(12YM)</t>
  </si>
  <si>
    <t>GEN_T_2.0.spik_1713A</t>
  </si>
  <si>
    <t>AND25020034382</t>
  </si>
  <si>
    <t>BABY.LAKSHNA V(1YF)</t>
  </si>
  <si>
    <t>GEN_T_2.0.spik_1714A</t>
  </si>
  <si>
    <t>AND25020034383</t>
  </si>
  <si>
    <t>M.SARVESHWARAN (3MON/M)</t>
  </si>
  <si>
    <t>GEN_T_2.0.spik_1715A</t>
  </si>
  <si>
    <t>AND25020034626</t>
  </si>
  <si>
    <t>14/09/2025</t>
  </si>
  <si>
    <t>MRS.DURGA (24YF)</t>
  </si>
  <si>
    <t>GEN_T_2.0.spik_1716A</t>
  </si>
  <si>
    <t>AND25970007308</t>
  </si>
  <si>
    <t>MR.RAMPRASATH(27YM)</t>
  </si>
  <si>
    <t>GEN_T_2.0.spik_1717A</t>
  </si>
  <si>
    <t>AND25970007309</t>
  </si>
  <si>
    <t>MRS.MAYANA FAHIDA BEGUM - (HGE M0035553)(45YF)</t>
  </si>
  <si>
    <t>GEN_T_2.0.spik_1718A</t>
  </si>
  <si>
    <t>AND25420002814</t>
  </si>
  <si>
    <t>MR.M. MANSOOR KHAN H/O. M FAHIDA BEGUM(44YM)</t>
  </si>
  <si>
    <t>GEN_T_2.0.spik_1719A</t>
  </si>
  <si>
    <t>AND25420002815</t>
  </si>
  <si>
    <t>MRS.MALLESWARI K (28Y|F)</t>
  </si>
  <si>
    <t>GEN_T_2.0.spik_1722A</t>
  </si>
  <si>
    <t>AND251H0002208</t>
  </si>
  <si>
    <t>SOWDAMINI . B MBBS, M.D.(OBG)</t>
  </si>
  <si>
    <t>CMA report available, Writeup not available</t>
  </si>
  <si>
    <t>BABY.VINAYKUMAR HORATTI(3YM)</t>
  </si>
  <si>
    <t>GEN_T_2.0.spik_1723A</t>
  </si>
  <si>
    <t>AND25910019455</t>
  </si>
  <si>
    <t>MRS.SHAJITHA BEGUM(31YF)</t>
  </si>
  <si>
    <t>GEN_T_2.0.spik_1724A</t>
  </si>
  <si>
    <t>AND25850003798</t>
  </si>
  <si>
    <t>SURESH KUMAR S MD DM</t>
  </si>
  <si>
    <t>History available in TRF, Writeup not available (Child Medgenome report available )</t>
  </si>
  <si>
    <t>MR.NAZAR U(37YM)</t>
  </si>
  <si>
    <t>GEN_T_2.0.spik_1725A</t>
  </si>
  <si>
    <t>AND25850003799</t>
  </si>
  <si>
    <t>MR.THAYUMANAVAN S(18YM)</t>
  </si>
  <si>
    <t>GEN_T_2.0.spik_1726A</t>
  </si>
  <si>
    <t>AND25540000646</t>
  </si>
  <si>
    <t>INDRANIL BANERJEE MBBS MD(RESP MED) DNB (RESP MED)DIP AAI (CMC VELLORE)</t>
  </si>
  <si>
    <t>MRS.ANUSHA 26Y / F</t>
  </si>
  <si>
    <t>GEN_T_2.0.spik_1727A</t>
  </si>
  <si>
    <t>ADB0000002663</t>
  </si>
  <si>
    <t xml:space="preserve">History available in TRF, Writeup not available </t>
  </si>
  <si>
    <t>MR.ADARSH 34 Y / M</t>
  </si>
  <si>
    <t>GEN_T_2.0.spik_1728A</t>
  </si>
  <si>
    <t>ADB0000002664</t>
  </si>
  <si>
    <t>SHAAN RAYAN.M.S (60 DAY/M)</t>
  </si>
  <si>
    <t>GEN_T_2.0.spik_1729A</t>
  </si>
  <si>
    <t>AND25020035131</t>
  </si>
  <si>
    <t>16/09/2025</t>
  </si>
  <si>
    <t>A.KIRUTHIKA (11YF)</t>
  </si>
  <si>
    <t>GEN_T_2.0.spik_1730A</t>
  </si>
  <si>
    <t>AND25020034971</t>
  </si>
  <si>
    <t>VIDHUNYA.R (7 MON/F)</t>
  </si>
  <si>
    <t>GEN_T_2.0.spik_1731A</t>
  </si>
  <si>
    <t>AND25020034972</t>
  </si>
  <si>
    <t>BABY.PUZHALENTHI M (4Y|M)</t>
  </si>
  <si>
    <t>GEN_T_2.0.spik_1732A</t>
  </si>
  <si>
    <t>AND25020034975</t>
  </si>
  <si>
    <t>MISS.ESHAL NIYAZ (471393)(9YF)</t>
  </si>
  <si>
    <t>GEN_T_2.0.spik_1733A</t>
  </si>
  <si>
    <t>AND25720016529</t>
  </si>
  <si>
    <t>BABY.IRENE ANNA GEORGE (471367)(7YF)</t>
  </si>
  <si>
    <t>GEN_T_2.0.spik_1734A</t>
  </si>
  <si>
    <t>AND25720016531</t>
  </si>
  <si>
    <t>MISS.ISABEL CECILIA GEORGE (471366)(9YF)</t>
  </si>
  <si>
    <t>GEN_T_2.0.spik_1735A</t>
  </si>
  <si>
    <t>AND25720016530</t>
  </si>
  <si>
    <t>BABY OF.NISHA MADHELE(0YO) AF</t>
  </si>
  <si>
    <t>GEN_T_2.0.spik_AF1736A</t>
  </si>
  <si>
    <t>AND25AE0000233</t>
  </si>
  <si>
    <t>BABY.GURU RUDHRAN (3Y|M)</t>
  </si>
  <si>
    <t>GEN_T_2.0.spik_1737A</t>
  </si>
  <si>
    <t>AND25020035638</t>
  </si>
  <si>
    <t>MRS.SAHITHI 27Y/F (POC)</t>
  </si>
  <si>
    <t>GEN_T_2.0.spik_1738A</t>
  </si>
  <si>
    <t>ADB0000002304</t>
  </si>
  <si>
    <t>TRF Not available, CMA report available</t>
  </si>
  <si>
    <t>MRS.SNEHA TUKARAM JOKAR (21Y|F) (POC)</t>
  </si>
  <si>
    <t>GEN_T_2.0.spik_1739A</t>
  </si>
  <si>
    <t>AND25750006417</t>
  </si>
  <si>
    <t>PADMINI NURSING HOME PVT LTD - SOLAPUR</t>
  </si>
  <si>
    <t>MRS.MADHU S KUMAR (POC)</t>
  </si>
  <si>
    <t>GEN_T_2.0.spik_1740A</t>
  </si>
  <si>
    <t>ADB0000002778</t>
  </si>
  <si>
    <t>MISS.SAMYUKTHA S(25YF)</t>
  </si>
  <si>
    <t>GEN_T_2.0.spik_1741A</t>
  </si>
  <si>
    <t>AND25150048667</t>
  </si>
  <si>
    <t>MR.MITHANSH R JAIN(17YM)</t>
  </si>
  <si>
    <t>GEN_T_2.0.spik_1742A</t>
  </si>
  <si>
    <t>AND25540000676</t>
  </si>
  <si>
    <t>MANOJ SATYAWANI M.D.(MEDICINE) D.M.(NEUROLOGY)</t>
  </si>
  <si>
    <t>SURFseq- Run-17B</t>
  </si>
  <si>
    <t>MRS.SNEHAL BADGUJKAR(29YF) POC</t>
  </si>
  <si>
    <t>24/09/2025</t>
  </si>
  <si>
    <t>MRS.SULOCHANA NAGESH BHAJANTRI (27YF) POC</t>
  </si>
  <si>
    <t>GEN_T_2.0.spik_1700</t>
  </si>
  <si>
    <t>16/09/2024</t>
  </si>
  <si>
    <t>25-09-2025</t>
  </si>
  <si>
    <t>16/09/2026</t>
  </si>
  <si>
    <t>16/09/2027</t>
  </si>
  <si>
    <t>23-09-2025</t>
  </si>
  <si>
    <t>22/09/2025</t>
  </si>
  <si>
    <t>26/09/2025</t>
  </si>
  <si>
    <t>25/09/2025</t>
  </si>
  <si>
    <t>27/09/2025</t>
  </si>
  <si>
    <t>Franklin - Diwakar - Arulmani acc</t>
  </si>
  <si>
    <t>27-09-2025</t>
  </si>
  <si>
    <t>SURFseq- Run-18A</t>
  </si>
  <si>
    <t xml:space="preserve">Repeat Expansion </t>
  </si>
  <si>
    <t>Franklin update</t>
  </si>
  <si>
    <t>GEN_T_2.0.spik_1723</t>
  </si>
  <si>
    <t>GEN_T_2.0.spik_1724</t>
  </si>
  <si>
    <t>GEN_T_2.0.spik_1725</t>
  </si>
  <si>
    <t>GEN_T_2.0.spik_1726</t>
  </si>
  <si>
    <t>19-09-2025</t>
  </si>
  <si>
    <t>GEN_T_2.0.spik_1727</t>
  </si>
  <si>
    <t>GEN_T_2.0.spik_1728</t>
  </si>
  <si>
    <t>BABY.SHAAN RAYAN M S</t>
  </si>
  <si>
    <t>GEN_T_2.0.spik_1729</t>
  </si>
  <si>
    <t>22-09-2025</t>
  </si>
  <si>
    <t>29/09/2025</t>
  </si>
  <si>
    <t>Sanjay (Arulmani A/c)</t>
  </si>
  <si>
    <t>MISS.KIRUTHIKA A (11Y|F)</t>
  </si>
  <si>
    <t>GEN_T_2.0.spik_1730</t>
  </si>
  <si>
    <t>22-09-2026</t>
  </si>
  <si>
    <t>Jana (Prem Account)</t>
  </si>
  <si>
    <t>BABY.VIDHUNYA</t>
  </si>
  <si>
    <t>GEN_T_2.0.spik_1731</t>
  </si>
  <si>
    <t>22-09-2027</t>
  </si>
  <si>
    <t>29/9/2025</t>
  </si>
  <si>
    <t>Prem (Neha account)</t>
  </si>
  <si>
    <t>BABY.PUZHALENTHI M</t>
  </si>
  <si>
    <t>GEN_T_2.0.spik_1732</t>
  </si>
  <si>
    <t>24-09-2025</t>
  </si>
  <si>
    <t>MISS.ESHAL NIYAZ (471393) (9Y|F)</t>
  </si>
  <si>
    <t>GEN_T_2.0.spik_1733</t>
  </si>
  <si>
    <t>BABY.IRENE ANNA GEORGE (471367) (7Y|F)</t>
  </si>
  <si>
    <t>GEN_T_2.0.spik_1734</t>
  </si>
  <si>
    <t>MISS.ISABEL CECILIA GEORGE (471366) (9Y|F)</t>
  </si>
  <si>
    <t>GEN_T_2.0.spik_1735</t>
  </si>
  <si>
    <t>BABY OF.NISHA MADHELE (0Y|O)</t>
  </si>
  <si>
    <t>GEN_T_2.0.spik_AF1736</t>
  </si>
  <si>
    <t>Jana</t>
  </si>
  <si>
    <t>BABY.GURU RUDHRAN</t>
  </si>
  <si>
    <t>GEN_T_2.0.spik_1737</t>
  </si>
  <si>
    <t>SAHITHI (27YF) POC</t>
  </si>
  <si>
    <t>GEN_T_2.0.spik_1738</t>
  </si>
  <si>
    <t>MRS.SNEHA TUKARAM JOKAR (21YF) POC</t>
  </si>
  <si>
    <t>GEN_T_2.0.spik_1739</t>
  </si>
  <si>
    <t>MRS.MADHU S KUMAR POC</t>
  </si>
  <si>
    <t>GEN_T_2.0.spik_1740</t>
  </si>
  <si>
    <t>Normal</t>
  </si>
  <si>
    <t>MISS.SAMYUKTHA S (25Y|F)</t>
  </si>
  <si>
    <t>GEN_T_2.0.spik_1741</t>
  </si>
  <si>
    <t>MR.MITHANSH R JAIN (17Y|M)</t>
  </si>
  <si>
    <t>GEN_T_2.0.spik_1742</t>
  </si>
  <si>
    <t>BABY.MONA SRI(3MF)</t>
  </si>
  <si>
    <t>GEN_T_2.0.spik_1743</t>
  </si>
  <si>
    <t>AND25020035900</t>
  </si>
  <si>
    <t>29-09-2025</t>
  </si>
  <si>
    <t>DEEPA BUYYA (30 Y 4 M 9D) POC</t>
  </si>
  <si>
    <t>GEN_T_2.0.spik_1744</t>
  </si>
  <si>
    <t>ADB0000002660</t>
  </si>
  <si>
    <t>MRS.SAVITA SEN (44Y|F)</t>
  </si>
  <si>
    <t>GEN_T_2.0.spik_1745</t>
  </si>
  <si>
    <t>AND25AE0000237</t>
  </si>
  <si>
    <t>Vamshi / Dr.Sudha</t>
  </si>
  <si>
    <t xml:space="preserve">Pratheeba </t>
  </si>
  <si>
    <t>MR.UMESH SEN (44Y|M)</t>
  </si>
  <si>
    <t>GEN_T_2.0.spik_1746</t>
  </si>
  <si>
    <t>AND25AE0000236</t>
  </si>
  <si>
    <t>MRS.ROJA RANI B (25Y|F)</t>
  </si>
  <si>
    <t>GEN_T_2.0.spik_1747</t>
  </si>
  <si>
    <t>AND251H0002324</t>
  </si>
  <si>
    <t>SRAVANTHI IVF CENTRE - SRIKAKULAM</t>
  </si>
  <si>
    <t>MR.VENKATA RAMANA B (33Y|M)</t>
  </si>
  <si>
    <t>GEN_T_2.0.spik_1748</t>
  </si>
  <si>
    <t>AND251H0002323</t>
  </si>
  <si>
    <t>MR. BENEKA PRASHANTH</t>
  </si>
  <si>
    <t>GEN_T_2.0.spik_1749</t>
  </si>
  <si>
    <t>ADB0000002890</t>
  </si>
  <si>
    <t>HOPE FERTILITY AND WOMEN S HEALTHCARE - BANGALORE</t>
  </si>
  <si>
    <t xml:space="preserve">MS.2292 (32Y|F)  - Priority (donor) Mr. Hitesh  - Mrs. Monika Choudhary </t>
  </si>
  <si>
    <t>GEN_T_2.0.spik_1750</t>
  </si>
  <si>
    <t>AND25750006694</t>
  </si>
  <si>
    <t>INDORE INFERTILITY CLINIC - INDORE</t>
  </si>
  <si>
    <t>20/09/2025</t>
  </si>
  <si>
    <t>MR.MOHAN (AFPOL-539) (32Y|M)</t>
  </si>
  <si>
    <t>GEN_T_2.0.spik_1751</t>
  </si>
  <si>
    <t>AND25720016734</t>
  </si>
  <si>
    <t>MR.AYASH SUKUL (SN00854431) (23Y|M)</t>
  </si>
  <si>
    <t>GEN_T_2.0.spik_1752</t>
  </si>
  <si>
    <t>AND251S0001891</t>
  </si>
  <si>
    <t>BABY.SAI SANJITH KUMAR (10Y|M)</t>
  </si>
  <si>
    <t>GEN_T_2.0.spik_1753</t>
  </si>
  <si>
    <t>AND25630001908</t>
  </si>
  <si>
    <t>BABY.MOHITHA SRI (10Y|F)</t>
  </si>
  <si>
    <t>GEN_T_2.0.spik_1754</t>
  </si>
  <si>
    <t>AND25020036028</t>
  </si>
  <si>
    <t>26-09-2025</t>
  </si>
  <si>
    <t>MASTER.DEVID KUMAR (11Y|M)</t>
  </si>
  <si>
    <t>GEN_T_2.0.spik_1755</t>
  </si>
  <si>
    <t>AND25020036146</t>
  </si>
  <si>
    <t>21/09/2025</t>
  </si>
  <si>
    <t>30/09/2025</t>
  </si>
  <si>
    <t>MRS.SATHIYA VENKATESHWARAN (UMR2508026840)(36YF)</t>
  </si>
  <si>
    <t>GEN_T_2.0.spik_1756</t>
  </si>
  <si>
    <t>AND25380112537</t>
  </si>
  <si>
    <t>MR.VENKATESHWARAN (UMR2508026840) (38YM)</t>
  </si>
  <si>
    <t>GEN_T_2.0.spik_1757</t>
  </si>
  <si>
    <t>AND25380112538</t>
  </si>
  <si>
    <t>BABY.LOGANATHAN(10YM)</t>
  </si>
  <si>
    <t>GEN_T_2.0.spik_1758</t>
  </si>
  <si>
    <t>AND25020036533</t>
  </si>
  <si>
    <t>MRS.SUMA V</t>
  </si>
  <si>
    <t>GEN_T_2.0.spik_1759</t>
  </si>
  <si>
    <t>ADB0000003026</t>
  </si>
  <si>
    <t>Gayathri/Pratheeba</t>
  </si>
  <si>
    <t>MR.VINAYAGAM (AFVPAL-231)(37YM)</t>
  </si>
  <si>
    <t>GEN_T_2.0.spik_1760</t>
  </si>
  <si>
    <t>AND25720016867</t>
  </si>
  <si>
    <t>21-09-2025</t>
  </si>
  <si>
    <t>MRS.INDIRA (AFVPAL-230)(34YF)</t>
  </si>
  <si>
    <t>GEN_T_2.0.spik_1761</t>
  </si>
  <si>
    <t>AND25720016868</t>
  </si>
  <si>
    <t>MR.PAARTH CHHEDA(35YM)</t>
  </si>
  <si>
    <t>GEN_T_2.0.spik_1762</t>
  </si>
  <si>
    <t>AND25750006723</t>
  </si>
  <si>
    <t>MR.ASHKA CHHEDA(35YM)</t>
  </si>
  <si>
    <t>GEN_T_2.0.spik_1763</t>
  </si>
  <si>
    <t>AND25750006724</t>
  </si>
  <si>
    <t>MRS.REJI S NAIR (52YF)</t>
  </si>
  <si>
    <t>GEN_T_2.0.spik_1764</t>
  </si>
  <si>
    <t>AND25630001941</t>
  </si>
  <si>
    <t>MR.DASARI JOGIRAJU H/O. DASARI LOVA LAKSHMI(40YM)</t>
  </si>
  <si>
    <t>GEN_T_2.0.spik_1765</t>
  </si>
  <si>
    <t>AND25420002952</t>
  </si>
  <si>
    <t>OASIS FERTILITY - KAKINADA</t>
  </si>
  <si>
    <t>MRS.DASARI LOVA LAKSHMI(34YF)</t>
  </si>
  <si>
    <t>GEN_T_2.0.spik_1766</t>
  </si>
  <si>
    <t>AND25420002953</t>
  </si>
  <si>
    <t>MRS.HEMALATHA(27YF)</t>
  </si>
  <si>
    <t>GEN_T_2.0.spik_1767</t>
  </si>
  <si>
    <t>AND25630001924</t>
  </si>
  <si>
    <t>Dr, Meera</t>
  </si>
  <si>
    <t>(HISTORY PENDING)</t>
  </si>
  <si>
    <t xml:space="preserve">GC report available </t>
  </si>
  <si>
    <t>MR.VINITH(27YM)</t>
  </si>
  <si>
    <t>GEN_T_2.0.spik_1768</t>
  </si>
  <si>
    <t>AND25630001925</t>
  </si>
  <si>
    <t>BABY.SUHASINI(4YF)</t>
  </si>
  <si>
    <t>GEN_T_2.0.spik_1769</t>
  </si>
  <si>
    <t>AND25020036815</t>
  </si>
  <si>
    <t>BABY.AKILAN(1YM)</t>
  </si>
  <si>
    <t>GEN_T_2.0.spik_1770</t>
  </si>
  <si>
    <t>AND25020037060</t>
  </si>
  <si>
    <t>Dr.Meera</t>
  </si>
  <si>
    <t>MRS.AUROSHIKHA KOUR - (HEG 24737)(32YF)</t>
  </si>
  <si>
    <t>GEN_T_2.0.spik_1771</t>
  </si>
  <si>
    <t>AND25420002964</t>
  </si>
  <si>
    <t>MR.GUNRAJ SINGH KHANDPUR - (HEG 39620)(29YM)</t>
  </si>
  <si>
    <t>GEN_T_2.0.spik_1772</t>
  </si>
  <si>
    <t>AND25420002965</t>
  </si>
  <si>
    <t>MRS.AMRUTHA KUMARI DUTHALURI(55YF)</t>
  </si>
  <si>
    <t>Whole Exome Sequencing + Mitochondrial Genome Sequencing</t>
  </si>
  <si>
    <t>GEN_T_2.0.spik_1773</t>
  </si>
  <si>
    <t>AND25030010586</t>
  </si>
  <si>
    <t>MR.SAI KRISHNA RAKESH R(26YM)</t>
  </si>
  <si>
    <t>GEN_T_2.0.spik_1774</t>
  </si>
  <si>
    <t>AND25250001090</t>
  </si>
  <si>
    <t>MRS.RAJ KUMARI SAHU(27YF)</t>
  </si>
  <si>
    <t>GEN_T_2.0.spik_1775</t>
  </si>
  <si>
    <t>AND251H0002338</t>
  </si>
  <si>
    <t>LIFE FERTILITY - VISAKHAPATNAM</t>
  </si>
  <si>
    <t>MR.KAMAL PRASAD SAHU(39YM)</t>
  </si>
  <si>
    <t>GEN_T_2.0.spik_1776</t>
  </si>
  <si>
    <t>AND251H0002339</t>
  </si>
  <si>
    <t>BABY OF.YASHAVI SAHU(6YF)</t>
  </si>
  <si>
    <t>GEN_T_2.0.spik_1777</t>
  </si>
  <si>
    <t>AND251H0002340</t>
  </si>
  <si>
    <t>MRS.SAI YAMINI P(23YF)</t>
  </si>
  <si>
    <t>GEN_T_2.0.spik_1778</t>
  </si>
  <si>
    <t>AND25850004024</t>
  </si>
  <si>
    <t>26/05/2025</t>
  </si>
  <si>
    <t>MR.VAMSI SAI C(33YM)</t>
  </si>
  <si>
    <t>GEN_T_2.0.spik_1779</t>
  </si>
  <si>
    <t>AND25850004025</t>
  </si>
  <si>
    <t>MRS.DONOR OF GOWTHAMI RAMESH(30YF) - Priority</t>
  </si>
  <si>
    <t>GEN_T_2.0.spik_1780</t>
  </si>
  <si>
    <t>AND25420002998</t>
  </si>
  <si>
    <t>SREE SWAPNA FERTILITY CENTRE - KONDAPUR</t>
  </si>
  <si>
    <t>History available in TRF, Writeup not available,Reports available</t>
  </si>
  <si>
    <t>MRS.PAGGIREDDY SWATHI (GG44/00078) (26 Y F)</t>
  </si>
  <si>
    <t>GEN_T_2.0.spik_1781</t>
  </si>
  <si>
    <t>ADB0000003170</t>
  </si>
  <si>
    <t>GARBHAGUDI IVF CENTER YELAHANKA -BANGALORE</t>
  </si>
  <si>
    <t>MR.KISAN B N (37YM)</t>
  </si>
  <si>
    <t>MALE INFERTILITY NGS PANE</t>
  </si>
  <si>
    <t>GEN_T_2.0.spik_1782</t>
  </si>
  <si>
    <t>ADB0000003193</t>
  </si>
  <si>
    <t>MR.SAKTHIVEL (26YM)</t>
  </si>
  <si>
    <t>GEN_T_2.0.spik_1783</t>
  </si>
  <si>
    <t>AND25380115464</t>
  </si>
  <si>
    <t>VKMAMF HOSPITALS PRIVATE LIMITED .</t>
  </si>
  <si>
    <t>Greyzone (TCF4)</t>
  </si>
  <si>
    <t>MRS.SIVASHAKTHI (VI803379)(25YF)</t>
  </si>
  <si>
    <t>GEN_T_2.0.spik_1784</t>
  </si>
  <si>
    <t>AND25380115465</t>
  </si>
  <si>
    <t>DR.RAMYA RAVICHANDAR(36YF)</t>
  </si>
  <si>
    <t>GEN_T_2.0.spik_1785</t>
  </si>
  <si>
    <t>AND25760000956</t>
  </si>
  <si>
    <t>ZAREEN MOHAMED MBBS.M MED., DAA</t>
  </si>
  <si>
    <t>MR.UMESHA C ( 41Y M)</t>
  </si>
  <si>
    <t>GEN_T_2.0.spik_1786</t>
  </si>
  <si>
    <t>ADB0000003069</t>
  </si>
  <si>
    <t>ARCHISH FERTILITY &amp; IVF CENTRE - HSR LAYOUT - BANGALORE</t>
  </si>
  <si>
    <t>MRS.ASHWINI N (29YF)</t>
  </si>
  <si>
    <t>GEN_T_2.0.spik_1787</t>
  </si>
  <si>
    <t>ADB0000003070</t>
  </si>
  <si>
    <t>MRS.NITHYA (35YF) - Priority</t>
  </si>
  <si>
    <t>SINGLE GENE – FULL GENE SEQUENCING BY NGS</t>
  </si>
  <si>
    <t>GEN_T_2.0.spik_1788</t>
  </si>
  <si>
    <t>ADB0000003084</t>
  </si>
  <si>
    <t>PROACTIVE FOR HER - BANGALORE</t>
  </si>
  <si>
    <t>MR.RAMACHANDRAN (43YM)</t>
  </si>
  <si>
    <t>GEN_T_2.0.spik_1789</t>
  </si>
  <si>
    <t>ADB0000003231</t>
  </si>
  <si>
    <t xml:space="preserve">Vamshi </t>
  </si>
  <si>
    <t>THAMARAISELVI CVS</t>
  </si>
  <si>
    <t>GEN_T_2.0.spik_AF1790</t>
  </si>
  <si>
    <t xml:space="preserve">AND25630002286 </t>
  </si>
  <si>
    <t>MASTER.AYUSHKUAMR(10YM)</t>
  </si>
  <si>
    <t>GEN_T_2.0.spik_1791</t>
  </si>
  <si>
    <t>AND25790009932</t>
  </si>
  <si>
    <t>MRS.D DIVYA W/O. D AKHIL(29YF)</t>
  </si>
  <si>
    <t>GEN_T_2.0.spik_1792</t>
  </si>
  <si>
    <t>AND25420003007</t>
  </si>
  <si>
    <t>MR.D AKHIL W/O. D DIVYA(30YM)</t>
  </si>
  <si>
    <t>GEN_T_2.0.spik_1793</t>
  </si>
  <si>
    <t>AND25420003008</t>
  </si>
  <si>
    <t>MR.SURESH (30YM) - Priority</t>
  </si>
  <si>
    <t>GEN_T_2.0.spik_1794</t>
  </si>
  <si>
    <t>AND25810015244</t>
  </si>
  <si>
    <t>MRS.BHUVANESHWARI (22YF) - Priority</t>
  </si>
  <si>
    <t>GEN_T_2.0.spik_1795</t>
  </si>
  <si>
    <t>AND25810015245</t>
  </si>
  <si>
    <t>MR.MOHIT VERMA(31YM)</t>
  </si>
  <si>
    <t>GEN_T_2.0.spik_1796</t>
  </si>
  <si>
    <t>AND25750006941</t>
  </si>
  <si>
    <t>OASIS FERTILITY - NASHIK (A UNIT OF SADGURU HEALTHCARE SERVICES PVT LTD )</t>
  </si>
  <si>
    <t>MRS.ANJUM(32YF)</t>
  </si>
  <si>
    <t>GEN_T_2.0.spik_1797</t>
  </si>
  <si>
    <t>AND25510008285</t>
  </si>
  <si>
    <t>VIJAYALAKSHMI MEDICAL CENTRE - KOCHI</t>
  </si>
  <si>
    <t>MR.WAQAR YUNIS(32YM)</t>
  </si>
  <si>
    <t>GEN_T_2.0.spik_1798</t>
  </si>
  <si>
    <t>AND25510008286</t>
  </si>
  <si>
    <t>BABY OF.DIVYAPRIYA (22D|F)</t>
  </si>
  <si>
    <t>GEN_T_2.0.spik_1799</t>
  </si>
  <si>
    <t>AND25630002012</t>
  </si>
  <si>
    <t>Dr.Sudha</t>
  </si>
  <si>
    <t>MR.SHIVKUMAR GUPTA(40YM)</t>
  </si>
  <si>
    <t>GEN_T_2.0.spik_1800</t>
  </si>
  <si>
    <t>AND25100002852</t>
  </si>
  <si>
    <t>RHEA HEALTHCARE PRIVATE LIMITED - GORAKHPUR (NOVA IVF)</t>
  </si>
  <si>
    <t>MR.J SRIKANTH H/O. K. SRUJANA (31YM)</t>
  </si>
  <si>
    <t>GEN_T_2.0.spik_1801</t>
  </si>
  <si>
    <t>AND25420003088</t>
  </si>
  <si>
    <t>28/09/2025</t>
  </si>
  <si>
    <t>BABY.YUGAN(4MM)</t>
  </si>
  <si>
    <t>GEN_T_2.0.spik_1802</t>
  </si>
  <si>
    <t>AND25630002034</t>
  </si>
  <si>
    <t>MRS.SUSMITHA D(35YF)</t>
  </si>
  <si>
    <t>GEN_T_2.0.spik_1803</t>
  </si>
  <si>
    <t>AND25630002033</t>
  </si>
  <si>
    <t>MR.BHARATH KUMAR(23YM)</t>
  </si>
  <si>
    <t>GEN_T_2.0.spik_1804</t>
  </si>
  <si>
    <t>AND25970008056</t>
  </si>
  <si>
    <t>MRS.DIVYA W/O GIRISH(28YF)</t>
  </si>
  <si>
    <t>GEN_T_2.0.spik_1805</t>
  </si>
  <si>
    <t>AND25150054032</t>
  </si>
  <si>
    <t>MR.GIRISH (29YM)</t>
  </si>
  <si>
    <t>GEN_T_2.0.spik_1806</t>
  </si>
  <si>
    <t>AND25150054033</t>
  </si>
  <si>
    <t>BABY OF.SHARDA(10MM)</t>
  </si>
  <si>
    <t>GEN_T_2.0.spik_1807</t>
  </si>
  <si>
    <t>AND25100002819</t>
  </si>
  <si>
    <t>MRS.ANUSHA SIDDAVENI(33YF)</t>
  </si>
  <si>
    <t>GEN_T_2.0.spik_1808</t>
  </si>
  <si>
    <t>AND25520000027</t>
  </si>
  <si>
    <t>23/10/2025</t>
  </si>
  <si>
    <t>MR.RAJASHEKHAR GOUD K(36YM)</t>
  </si>
  <si>
    <t>GEN_T_2.0.spik_1809</t>
  </si>
  <si>
    <t>AND25520000028</t>
  </si>
  <si>
    <t>GENOLAB-M Run 58B</t>
  </si>
  <si>
    <t>BABY.JAIGANESH(5YM)</t>
  </si>
  <si>
    <t>GEN_T_2.0.spik_1814</t>
  </si>
  <si>
    <t>AND25020038110</t>
  </si>
  <si>
    <t>Sethu (Neha ac)</t>
  </si>
  <si>
    <t>BABY.KRITHVIK(1YM)</t>
  </si>
  <si>
    <t>GEN_T_2.0.spik_1815</t>
  </si>
  <si>
    <t>AND25020038109</t>
  </si>
  <si>
    <t>BABY.SENTHIL KUMARAN(5YM)</t>
  </si>
  <si>
    <t>GEN_T_2.0.spik_1816</t>
  </si>
  <si>
    <t>AND25020038108</t>
  </si>
  <si>
    <t>BABY.JASHWIN (9Y|M)</t>
  </si>
  <si>
    <t>GEN_T_2.0.spik_1817</t>
  </si>
  <si>
    <t>AND25630002011</t>
  </si>
  <si>
    <t>MR.LOKESH K(36YM)</t>
  </si>
  <si>
    <t>GEN_T_2.0.spik_1818</t>
  </si>
  <si>
    <t>AND25020038019</t>
  </si>
  <si>
    <t>KAMALESHWARI</t>
  </si>
  <si>
    <t>MRS.MANJULA K(34YF)</t>
  </si>
  <si>
    <t>GEN_T_2.0.spik_1819</t>
  </si>
  <si>
    <t>AND25020038020</t>
  </si>
  <si>
    <t>MR.BHIMARAYA POLICEPATIL(40YM)</t>
  </si>
  <si>
    <t>GEN_T_2.0.spik_1820</t>
  </si>
  <si>
    <t>AND25750007060</t>
  </si>
  <si>
    <t>NAVAL MATERNITY ENDOSCOPY &amp; INFERTILITY CENTRE - SOLAPUR</t>
  </si>
  <si>
    <t>MRS.AISHWARYA POLICEPATIL(29YF)</t>
  </si>
  <si>
    <t>GEN_T_2.0.spik_1821</t>
  </si>
  <si>
    <t>AND25750007061</t>
  </si>
  <si>
    <t>BABY.AK18961(5MF)</t>
  </si>
  <si>
    <t>GEN_T_2.0.spik_1830</t>
  </si>
  <si>
    <t>AND25790010245</t>
  </si>
  <si>
    <t>Vikram/ Naveen</t>
  </si>
  <si>
    <t>MRS.AK 08068(32YF)</t>
  </si>
  <si>
    <t>GEN_T_2.0.spik_1831</t>
  </si>
  <si>
    <t>AND25790010246</t>
  </si>
  <si>
    <t>BABY.AK 20781(1YM)</t>
  </si>
  <si>
    <t>GEN_T_2.0.spik_1832</t>
  </si>
  <si>
    <t>AND25790010247</t>
  </si>
  <si>
    <t>MR.SIVARAJ(46YM)</t>
  </si>
  <si>
    <t>GEN_T_2.0.spik_1833</t>
  </si>
  <si>
    <t>AND25360032886</t>
  </si>
  <si>
    <t>ANBU HOSPITAL AND FERTILITY CENTRE - PALANI</t>
  </si>
  <si>
    <t>DR.SHARATH CHANDRA K S(34YM)</t>
  </si>
  <si>
    <t>GEN_T_2.0.spik_1834</t>
  </si>
  <si>
    <t>ADB0000003703</t>
  </si>
  <si>
    <t>MASTER.SAIDHRUVAN M S(4YM) Son of manikandan and Swetha gopi</t>
  </si>
  <si>
    <t>GEN_T_2.0.spik_1835</t>
  </si>
  <si>
    <t>AND25020038517</t>
  </si>
  <si>
    <t>BABY.TAMIZH ADHINI S(7MF)</t>
  </si>
  <si>
    <t>GEN_T_2.0.spik_1836</t>
  </si>
  <si>
    <t>AND25850004293</t>
  </si>
  <si>
    <t>BFCC CHILD CLINIC</t>
  </si>
  <si>
    <t>MRS.LAKSHMI P W/O ASHOK KUMAR (25YF) POC</t>
  </si>
  <si>
    <t>GEN_T_2.0.spik_1837</t>
  </si>
  <si>
    <t>AND25480027943</t>
  </si>
  <si>
    <t>CR REDDY HOSPITAL - GUDUR .</t>
  </si>
  <si>
    <t>16/10/2025</t>
  </si>
  <si>
    <t>SURFseq- Run-19B</t>
  </si>
  <si>
    <t>MASTER.SHAHJAHAN(15YM)</t>
  </si>
  <si>
    <t>GEN_T_2.0.spik_1822</t>
  </si>
  <si>
    <t>AND25740032428</t>
  </si>
  <si>
    <t>SABRAINATH</t>
  </si>
  <si>
    <t>MR.ROHITH (39YM)</t>
  </si>
  <si>
    <t>GEN_T_2.0.spik_1823</t>
  </si>
  <si>
    <t>ADB0000003662</t>
  </si>
  <si>
    <t>HISTORY PENDING</t>
  </si>
  <si>
    <t>Sethu(Neha ACC)</t>
  </si>
  <si>
    <t>GOWTHAMI.V (34 Y F)</t>
  </si>
  <si>
    <t>GEN_T_2.0.spik_1824</t>
  </si>
  <si>
    <t>ADB0000003663</t>
  </si>
  <si>
    <t>16.10.2025</t>
  </si>
  <si>
    <t>MR.DARSHAN RAJ DEVAN (474395)(39YM)</t>
  </si>
  <si>
    <t>GEN_T_2.0.spik_1825</t>
  </si>
  <si>
    <t>AND25720017926</t>
  </si>
  <si>
    <t>17/10/2025</t>
  </si>
  <si>
    <t>MR.SHARAN N(27YM)</t>
  </si>
  <si>
    <t>GEN_T_2.0.spik_1826</t>
  </si>
  <si>
    <t>AND25370019119</t>
  </si>
  <si>
    <t>14/10/2025</t>
  </si>
  <si>
    <t>MRS.HEMALATHA S(26YF)</t>
  </si>
  <si>
    <t>GEN_T_2.0.spik_1827</t>
  </si>
  <si>
    <t>AND25370019120</t>
  </si>
  <si>
    <t>MRS.A PRIYANKA W/O. A. NARESH (HEG M0036625)(20YF)</t>
  </si>
  <si>
    <t>GEN_T_2.0.spik_1828</t>
  </si>
  <si>
    <t>AND25420003169</t>
  </si>
  <si>
    <t>MR.A NARESH H/O. A. PRIYANKA (26YM)</t>
  </si>
  <si>
    <t>GEN_T_2.0.spik_1829</t>
  </si>
  <si>
    <t>AND25420003170</t>
  </si>
  <si>
    <t>MR.MANOSHKUMAR (SN00856701)(32YM)</t>
  </si>
  <si>
    <t>GEN_T_2.0.spik_1838</t>
  </si>
  <si>
    <t>AND251S0002058</t>
  </si>
  <si>
    <t>MRS.NAJMA BEGUM W/O. MOHAMMED ARSHAD (HEG A0002488)(31YF)</t>
  </si>
  <si>
    <t>GEN_T_2.0.spik_1839</t>
  </si>
  <si>
    <t>AND25420003197</t>
  </si>
  <si>
    <t>Naveen/ Pratheeba</t>
  </si>
  <si>
    <t>MR.MOHAMMED ARSHAD _ (HEG A0002489)(33YM)</t>
  </si>
  <si>
    <t>GEN_T_2.0.spik_1840</t>
  </si>
  <si>
    <t>AND25420003198</t>
  </si>
  <si>
    <t>Greyzone (HTT)</t>
  </si>
  <si>
    <t>MRS.SITA TIMMARAJU (43YF)</t>
  </si>
  <si>
    <t>GEN_T_2.0.spik_1841</t>
  </si>
  <si>
    <t>ADB0000003821</t>
  </si>
  <si>
    <t>MASTER.THIRUMALA A(9YM)</t>
  </si>
  <si>
    <t>GEN_T_2.0.spik_1842</t>
  </si>
  <si>
    <t>AND25630002135</t>
  </si>
  <si>
    <t>Drr. Meera</t>
  </si>
  <si>
    <t>MRS.SAISATHYA NAVANEETHA KRISHNAN(38YF)</t>
  </si>
  <si>
    <t>Comprehensive Hereditary cancer Panel ( NGS+MLPA)</t>
  </si>
  <si>
    <t>GEN_T_2.0.spik_1843</t>
  </si>
  <si>
    <t>AND25150056026</t>
  </si>
  <si>
    <t>CHITHRA N MD., O &amp; G., FRM</t>
  </si>
  <si>
    <t>Sethu</t>
  </si>
  <si>
    <t>DR.CHITHRA N(51YF)</t>
  </si>
  <si>
    <t>GEN_T_2.0.spik_1844</t>
  </si>
  <si>
    <t>AND25150056030</t>
  </si>
  <si>
    <t>MR.GOUTHAM K [2038](34YM)</t>
  </si>
  <si>
    <t>GEN_T_2.0.spik_1846</t>
  </si>
  <si>
    <t>AND25430000982</t>
  </si>
  <si>
    <t>MRS.ABINAYA [2038](29YF)</t>
  </si>
  <si>
    <t>GEN_T_2.0.spik_1847</t>
  </si>
  <si>
    <t>AND25430000983</t>
  </si>
  <si>
    <t>DR.MAKIREDDY REKHA</t>
  </si>
  <si>
    <t>GEN_T_2.0.spik_1848</t>
  </si>
  <si>
    <t>ADB0000003926</t>
  </si>
  <si>
    <t>BABY.YUGABALAN B(4MM)</t>
  </si>
  <si>
    <t>GEN_T_2.0.spik_1850</t>
  </si>
  <si>
    <t>AND25020038975</t>
  </si>
  <si>
    <t>BABY.HEMASHREE K V(8MF)</t>
  </si>
  <si>
    <t>GEN_T_2.0.spik_1851</t>
  </si>
  <si>
    <t>AND25020039621</t>
  </si>
  <si>
    <t>BABY.ANTHITHA SERENA S(9YF)</t>
  </si>
  <si>
    <t>GEN_T_2.0.spik_1852</t>
  </si>
  <si>
    <t>AND25020038977</t>
  </si>
  <si>
    <t>BABY.ASHIF M(6MM)</t>
  </si>
  <si>
    <t>GEN_T_2.0.spik_1853</t>
  </si>
  <si>
    <t>AND25020039623</t>
  </si>
  <si>
    <t>SURFseq- Run-20A</t>
  </si>
  <si>
    <t>MRS.SYEDA ASFIA TABASSUM _ (HEG M030193)(30YF)</t>
  </si>
  <si>
    <t>GEN_T_2.0.spik_1854</t>
  </si>
  <si>
    <t>AND25420003213</t>
  </si>
  <si>
    <t>13/10/2025</t>
  </si>
  <si>
    <t>MR.MOHAMMED JALEEL HUSSAIN H/O. SYEDA ASFIA TABASSUM(45YM)</t>
  </si>
  <si>
    <t>GEN_T_2.0.spik_1855</t>
  </si>
  <si>
    <t>AND25420003214</t>
  </si>
  <si>
    <t>BABY.RAMESH(0MM) - Cancelled</t>
  </si>
  <si>
    <t>WES  + Mito</t>
  </si>
  <si>
    <t>GEN_T_2.0.spik_1856</t>
  </si>
  <si>
    <t>AND25020039619</t>
  </si>
  <si>
    <t>BABY.SADHNA R(2YF)</t>
  </si>
  <si>
    <t>GEN_T_2.0.spik_1857</t>
  </si>
  <si>
    <t>AND25630002181</t>
  </si>
  <si>
    <t>Raghavi (Arulmani acc)</t>
  </si>
  <si>
    <t>MRS.SUMATHI D(28YF)</t>
  </si>
  <si>
    <t>GEN_T_2.0.spik_1858</t>
  </si>
  <si>
    <t>AND25020039226</t>
  </si>
  <si>
    <t>SARAT BATINA MD DGO</t>
  </si>
  <si>
    <t>MR.ARUNKUMAR D(39YM)</t>
  </si>
  <si>
    <t>GEN_T_2.0.spik_1859</t>
  </si>
  <si>
    <t>AND25020039227</t>
  </si>
  <si>
    <t>MRS.PRATHIBHA (27YF) (wife of navaneeth)</t>
  </si>
  <si>
    <t>GEN_T_2.0.spik_1860</t>
  </si>
  <si>
    <t>AND25590002178</t>
  </si>
  <si>
    <t>DR. BHAGYASHREE A BALIGA - B. C. ROAD (MANGALORE)</t>
  </si>
  <si>
    <t>25-10-2025</t>
  </si>
  <si>
    <t>28-10-2025</t>
  </si>
  <si>
    <t>MISS.FARHEEN NIHAR.S(20YF)</t>
  </si>
  <si>
    <t>GEN_T_2.0.spik_1861</t>
  </si>
  <si>
    <t>AND25410015784</t>
  </si>
  <si>
    <t>SMART MEDICAL CENTRE - PARASSALA</t>
  </si>
  <si>
    <t>28/10/2025</t>
  </si>
  <si>
    <t>MRS.SHARMILA(26YF)</t>
  </si>
  <si>
    <t>GEN_T_2.0.spik_1862</t>
  </si>
  <si>
    <t>AND25060006534</t>
  </si>
  <si>
    <t>V. GANESH MD., DM., ( NEURO )</t>
  </si>
  <si>
    <t>MR.SAGAR(27YM)</t>
  </si>
  <si>
    <t>GEN_T_2.0.spik_1863</t>
  </si>
  <si>
    <t>AND25380126239</t>
  </si>
  <si>
    <t>VKMAMF HOSPITALS PRIVATE LIMITED</t>
  </si>
  <si>
    <t>MRS.USHA (29YF)</t>
  </si>
  <si>
    <t>GEN_T_2.0.spik_1864</t>
  </si>
  <si>
    <t>AND25380126240</t>
  </si>
  <si>
    <t>MR.SRIRAM (YU24081239)(36YM)</t>
  </si>
  <si>
    <t>GEN_T_2.0.spik_1865</t>
  </si>
  <si>
    <t>AND25150057048</t>
  </si>
  <si>
    <t>MRS.ANUPRIYA(UMR2412004987)(32YF)</t>
  </si>
  <si>
    <t>GEN_T_2.0.spik_1866</t>
  </si>
  <si>
    <t>AND25150057049</t>
  </si>
  <si>
    <t>MR.PRATHIK BAGRODIA (33YM)</t>
  </si>
  <si>
    <t>GEN_T_2.0.spik_1867</t>
  </si>
  <si>
    <t>ADB0000003922</t>
  </si>
  <si>
    <t>MR.SUNDARAMOORTHY(53YM)</t>
  </si>
  <si>
    <t>GEN_T_2.0.spik_1868</t>
  </si>
  <si>
    <t>AND25060006636</t>
  </si>
  <si>
    <t>MRS.R ARUNA(34YF)</t>
  </si>
  <si>
    <t>GEN_T_2.0.spik_1869</t>
  </si>
  <si>
    <t>AND25420003275</t>
  </si>
  <si>
    <t>PN IVF ACCESS PVT LTD - HYDERABAD</t>
  </si>
  <si>
    <t>15/10/2025</t>
  </si>
  <si>
    <t>MR.NANDHAKUMAR(30YM)</t>
  </si>
  <si>
    <t>GEN_T_2.0.spik_1870</t>
  </si>
  <si>
    <t>AND25630002218</t>
  </si>
  <si>
    <t>27/10/2025</t>
  </si>
  <si>
    <t>MRS.RAMYA(27YF)</t>
  </si>
  <si>
    <t>GEN_T_2.0.spik_1871</t>
  </si>
  <si>
    <t>AND25630002217</t>
  </si>
  <si>
    <t>BABY.KABILAN P(9MM)</t>
  </si>
  <si>
    <t>GEN_T_2.0.spik_1872</t>
  </si>
  <si>
    <t>AND25630002224</t>
  </si>
  <si>
    <t>BABY OF.DURGA DEVI(47DM)</t>
  </si>
  <si>
    <t>GEN_T_2.0.spik_1873</t>
  </si>
  <si>
    <t>AND25630002225</t>
  </si>
  <si>
    <t>MR.NARAYANA SWAMY T. K. R(24YM)</t>
  </si>
  <si>
    <t>GEN_T_2.0.spik_1874</t>
  </si>
  <si>
    <t>AND25250001251</t>
  </si>
  <si>
    <t>MR.MANIYARASAN(45YM)</t>
  </si>
  <si>
    <t>GEN_T_2.0.spik_1875</t>
  </si>
  <si>
    <t>AND25630002221</t>
  </si>
  <si>
    <t>MRS.PRIYADHARSHINI(40YF)</t>
  </si>
  <si>
    <t>GEN_T_2.0.spik_1876</t>
  </si>
  <si>
    <t>AND25630002222</t>
  </si>
  <si>
    <t>MASTER.KAVIN MUKILAN(10YM)</t>
  </si>
  <si>
    <t>GEN_T_2.0.spik_1877</t>
  </si>
  <si>
    <t>AND25630002223</t>
  </si>
  <si>
    <t>MR.HARIHARAN(25YM)</t>
  </si>
  <si>
    <t>GEN_T_2.0.spik_1845</t>
  </si>
  <si>
    <t>AND25370019411</t>
  </si>
  <si>
    <t>LAKSHMI NARASASHIMAN</t>
  </si>
  <si>
    <t>Diwakar (Prem acc)</t>
  </si>
  <si>
    <t>MRS.VEDIKA CHAUDHARY</t>
  </si>
  <si>
    <t>GEN_T_2.0.spik_1849</t>
  </si>
  <si>
    <t>ADB0000003924</t>
  </si>
  <si>
    <t>MRS.AFRA (AFOMR-2268)(27YF)</t>
  </si>
  <si>
    <t>GEN_T_2.0.spik_1878</t>
  </si>
  <si>
    <t>AND25720018580</t>
  </si>
  <si>
    <t>MR.PENMETSA SUNEENDRA VARMA(33YM)</t>
  </si>
  <si>
    <t>GEN_T_2.0.spik_1879</t>
  </si>
  <si>
    <t>AND25420003283</t>
  </si>
  <si>
    <t>APOLLO FERTILITY - KOMPALLY - HYD</t>
  </si>
  <si>
    <t>MRS.MANTHENA SOWJANYA(28YF)</t>
  </si>
  <si>
    <t>GEN_T_2.0.spik_1880</t>
  </si>
  <si>
    <t>AND25420003284</t>
  </si>
  <si>
    <t>MRS.SANDHYA MURUGESH (33YM)</t>
  </si>
  <si>
    <t>GEN_T_2.0.spik_1881</t>
  </si>
  <si>
    <t>ADB0000004199</t>
  </si>
  <si>
    <t>MR.RAJKUMAR SAANA GANI (29 Y 10 M 12 D /M)</t>
  </si>
  <si>
    <t>GEN_T_2.0.spik_1882</t>
  </si>
  <si>
    <t>ADB0000004198</t>
  </si>
  <si>
    <t>MRS.REVA ADHIKARLA (5 Y 0 M 0 D /F)</t>
  </si>
  <si>
    <t>GEN_T_2.0.spik_1885</t>
  </si>
  <si>
    <t>ADB0000004241</t>
  </si>
  <si>
    <t>MR.MANOJ (33 Y 2 M 3 D /M)</t>
  </si>
  <si>
    <t>GEN_T_2.0.spik_1883</t>
  </si>
  <si>
    <t>ADB0000004201</t>
  </si>
  <si>
    <t>MRS.SHRAVANI MANOJ (27 Y 5 M 9 D /F)</t>
  </si>
  <si>
    <t>GEN_T_2.0.spik_1884</t>
  </si>
  <si>
    <t>ADB0000004202</t>
  </si>
  <si>
    <t>MRS.CHAITRA M (31 Y 6 M 13 D /F) AF</t>
  </si>
  <si>
    <t>GEN_T_2.0.spik_AF1886</t>
  </si>
  <si>
    <t>ADB0000004163</t>
  </si>
  <si>
    <t>BABY.KAVINESH S(8YM)</t>
  </si>
  <si>
    <t>GEN_T_2.0.spik_1887</t>
  </si>
  <si>
    <t>AND25020040080</t>
  </si>
  <si>
    <t>MUBENA RAHMATHI (6MON/F)</t>
  </si>
  <si>
    <t>GEN_T_2.0.spik_1888</t>
  </si>
  <si>
    <t>AND25020040169</t>
  </si>
  <si>
    <t>17-10-2025</t>
  </si>
  <si>
    <t>BABY.TANISHKA DUBEY(6YF)</t>
  </si>
  <si>
    <t>GEN_T_2.0.spik_1889</t>
  </si>
  <si>
    <t>AND25AE0000263</t>
  </si>
  <si>
    <t>MRS.HEMAMALINI R(51YF)</t>
  </si>
  <si>
    <t>GEN_T_2.0.spik_1890</t>
  </si>
  <si>
    <t>AND25030011494</t>
  </si>
  <si>
    <t>BHUVANESHWARI RAJENDRAN . MBBS MRCP</t>
  </si>
  <si>
    <t>MRS.MEENA(44YF)</t>
  </si>
  <si>
    <t>GEN_T_2.0.spik_1894</t>
  </si>
  <si>
    <t>AND25360034593</t>
  </si>
  <si>
    <t>18-10-2025</t>
  </si>
  <si>
    <t>MR.536303P(0YM)</t>
  </si>
  <si>
    <t>GEN_T_2.0.spik_1891</t>
  </si>
  <si>
    <t>CMC Vellore</t>
  </si>
  <si>
    <t>MR.BILU CHATTERJEE(36YM)</t>
  </si>
  <si>
    <t>GEN_T_2.0.spik_1892</t>
  </si>
  <si>
    <t>VAMSHI/ PRATHEEBA</t>
  </si>
  <si>
    <t>MR.PAYEL CHATTERJEE(27YM)</t>
  </si>
  <si>
    <t>GEN_T_2.0.spik_1893</t>
  </si>
  <si>
    <t>MR.T. VENKANNA H/O. INDIRA JYOTHI(52YM)</t>
  </si>
  <si>
    <t>GEN_T_2.0.spik_1895</t>
  </si>
  <si>
    <t>AND25420003322</t>
  </si>
  <si>
    <t>MRS.INDIRA JYOTHI W/O. T. VENKANA(52YF)</t>
  </si>
  <si>
    <t>GEN_T_2.0.spik_1896</t>
  </si>
  <si>
    <t>AND25420003325</t>
  </si>
  <si>
    <t>BABY.LITHIKA SRI P(10MF)</t>
  </si>
  <si>
    <t>GEN_T_2.0.spik_1897</t>
  </si>
  <si>
    <t>AND25020040626</t>
  </si>
  <si>
    <t>BABY.PRATHI SRI P(1YF)</t>
  </si>
  <si>
    <t>GEN_T_2.0.spik_1898</t>
  </si>
  <si>
    <t>AND25020040627</t>
  </si>
  <si>
    <t>MRS.DEVI KAMATCHI W/O MARI MUTHU(37YF) AF</t>
  </si>
  <si>
    <t>GEN_T_2.0.spik_AF1899</t>
  </si>
  <si>
    <t>AND25360033721</t>
  </si>
  <si>
    <t>MR.NAVANEETH (32Y M) (wife of prathiba)</t>
  </si>
  <si>
    <t>GEN_T_2.0.spik_1900</t>
  </si>
  <si>
    <t>ADB0000004268</t>
  </si>
  <si>
    <t>MRS.NANDHINI G (33 Y 10 M 24 D /F) POC</t>
  </si>
  <si>
    <t>GEN_T_2.0.spik_1901</t>
  </si>
  <si>
    <t>ADB0000004016</t>
  </si>
  <si>
    <t>SURFseq- Run-21B</t>
  </si>
  <si>
    <t>SAANVI (21 Y/F)</t>
  </si>
  <si>
    <t>GEN_T_2.0.spik_1902</t>
  </si>
  <si>
    <t>DCC0000000147</t>
  </si>
  <si>
    <t>ANDERSON DELHI NCR</t>
  </si>
  <si>
    <t>Not available/CMA  report available</t>
  </si>
  <si>
    <t>Prem(Neha acc)</t>
  </si>
  <si>
    <t>MS-PRATHYANKA S(21YF)</t>
  </si>
  <si>
    <t>GEN_T_2.0.spik_1903</t>
  </si>
  <si>
    <t>AND25290008502</t>
  </si>
  <si>
    <t>SOMASUNDARAM A C MD,DM,PHD</t>
  </si>
  <si>
    <t>MRS-ANJUM IFAN MULLA(29YF) AF</t>
  </si>
  <si>
    <t>GEN_T_2.0.spik_AF1904</t>
  </si>
  <si>
    <t>AND25910023472</t>
  </si>
  <si>
    <t>ANDERSON DIAGNOSTIC SERVICES PVT LTD - BELGAUM</t>
  </si>
  <si>
    <t>MR-JAYA KUMAR (SN00405973)(28YM)</t>
  </si>
  <si>
    <t>GEN_T_2.0.spik_1905</t>
  </si>
  <si>
    <t>AND251S0002219</t>
  </si>
  <si>
    <t>Greyzone (HTT),Greyzone (TBP)</t>
  </si>
  <si>
    <t>MR-ABHIJITH C (27YM)</t>
  </si>
  <si>
    <t>GEN_T_2.0.spik_1906</t>
  </si>
  <si>
    <t>AND25380131242</t>
  </si>
  <si>
    <t>13-10-2025</t>
  </si>
  <si>
    <t>MRS-VALAYAPATHI(38YF)</t>
  </si>
  <si>
    <t>GEN_T_2.0.spik_1907</t>
  </si>
  <si>
    <t>AND25060006874</t>
  </si>
  <si>
    <t>Pathogenic (TCF4)</t>
  </si>
  <si>
    <t>MASTER-RISHVAN-P (17-00820)(9YM)</t>
  </si>
  <si>
    <t>GEN_T_2.0.spik_1908</t>
  </si>
  <si>
    <t>AND25410016366</t>
  </si>
  <si>
    <t>Prem({Prem acc)</t>
  </si>
  <si>
    <t>MRS-NISHA PARVEEN(33YF) AF</t>
  </si>
  <si>
    <t>GEN_T_2.0.spik_AF1909</t>
  </si>
  <si>
    <t>AND25360035500</t>
  </si>
  <si>
    <t>BABY-HARSHATH A(9MM)</t>
  </si>
  <si>
    <t>GEN_T_2.0.spik_1910</t>
  </si>
  <si>
    <t>AND25020040772</t>
  </si>
  <si>
    <t>DIYA-P (3 1/2 YF)</t>
  </si>
  <si>
    <t>GEN_T_2.0.spik_1911</t>
  </si>
  <si>
    <t>AND25020041358</t>
  </si>
  <si>
    <t>18/10/2025</t>
  </si>
  <si>
    <t>D-HABEEBULLA (12Y/M)</t>
  </si>
  <si>
    <t>GEN_T_2.0.spik_1912</t>
  </si>
  <si>
    <t>AND25020041357</t>
  </si>
  <si>
    <t>S-ROSHAN (3YM)</t>
  </si>
  <si>
    <t>GEN_T_2.0.spik_1913</t>
  </si>
  <si>
    <t>AND25020041356</t>
  </si>
  <si>
    <t>MRS-FETUS OF RAMEESH FATHIMA (32YF) POC</t>
  </si>
  <si>
    <t>GEN_T_2.0.spik_1914</t>
  </si>
  <si>
    <t>AND25360033714</t>
  </si>
  <si>
    <t>MRS-TEJAS PRAKASH HARNE(29YF)</t>
  </si>
  <si>
    <t>GEN_T_2.0.spik_1915</t>
  </si>
  <si>
    <t>AND25420003338</t>
  </si>
  <si>
    <t>Pathogenic (HTT)</t>
  </si>
  <si>
    <t>24/10/2025</t>
  </si>
  <si>
    <t>MRS-RAJA VINEETHA(28YF)</t>
  </si>
  <si>
    <t>GEN_T_2.0.spik_1916</t>
  </si>
  <si>
    <t>AND25420003339</t>
  </si>
  <si>
    <t>MRS-GEETHA A S (43Y/F)</t>
  </si>
  <si>
    <t>GEN_T_2.0.spik_1917</t>
  </si>
  <si>
    <t>ADB0000004862</t>
  </si>
  <si>
    <t>MR-SAYOUJ BALARAMAN (38 YM)</t>
  </si>
  <si>
    <t>GEN_T_2.0.spik_1918</t>
  </si>
  <si>
    <t>ADB0000004840</t>
  </si>
  <si>
    <t>BABY-DIVIKSHAN D(7MM)</t>
  </si>
  <si>
    <t>GEN_T_2.0.spik_1919</t>
  </si>
  <si>
    <t>AND25630002409</t>
  </si>
  <si>
    <t>BABY-PRANESH E(9MM)</t>
  </si>
  <si>
    <t>GEN_T_2.0.spik_1920</t>
  </si>
  <si>
    <t>AND25630002408</t>
  </si>
  <si>
    <t>MR-RGS - 342(0YM)</t>
  </si>
  <si>
    <t>GEN_T_2.0.spik_1921</t>
  </si>
  <si>
    <t>AND25630002427</t>
  </si>
  <si>
    <t>CHRISTIAN MEDICAL COLLEGE - NEPHROLOGY</t>
  </si>
  <si>
    <t>MR-RGS - 343(0YM)</t>
  </si>
  <si>
    <t>GEN_T_2.0.spik_1922</t>
  </si>
  <si>
    <t>AND25630002428</t>
  </si>
  <si>
    <t>MR-RGS - 344(0YM)</t>
  </si>
  <si>
    <t>GEN_T_2.0.spik_1923</t>
  </si>
  <si>
    <t>AND25630002429</t>
  </si>
  <si>
    <t>MR-RGS - 345(0YM)</t>
  </si>
  <si>
    <t>GEN_T_2.0.spik_1924</t>
  </si>
  <si>
    <t>AND25630002430</t>
  </si>
  <si>
    <t>MR-RGS - 346(0YM)</t>
  </si>
  <si>
    <t>GEN_T_2.0.spik_1925</t>
  </si>
  <si>
    <t>AND25630002431</t>
  </si>
  <si>
    <t>MR-RGS - 347(0YM)</t>
  </si>
  <si>
    <t>GEN_T_2.0.spik_1926</t>
  </si>
  <si>
    <t>AND25630002432</t>
  </si>
  <si>
    <t>MR-RGS - 348(0YM)</t>
  </si>
  <si>
    <t>GEN_T_2.0.spik_1927</t>
  </si>
  <si>
    <t>AND25630002433</t>
  </si>
  <si>
    <t>MR-RGS - 349(0YM)</t>
  </si>
  <si>
    <t>GEN_T_2.0.spik_1928</t>
  </si>
  <si>
    <t>AND25630002434</t>
  </si>
  <si>
    <t>MR-RGS - 350(0YM)</t>
  </si>
  <si>
    <t>GEN_T_2.0.spik_1929</t>
  </si>
  <si>
    <t>AND25630002435</t>
  </si>
  <si>
    <t>MR-RGS - 351(0YM)</t>
  </si>
  <si>
    <t>GEN_T_2.0.spik_1930</t>
  </si>
  <si>
    <t>AND25630002436</t>
  </si>
  <si>
    <t>MR-RGS - 352(0YM)</t>
  </si>
  <si>
    <t>GEN_T_2.0.spik_1931</t>
  </si>
  <si>
    <t>AND25630002437</t>
  </si>
  <si>
    <t>MR-RGS - 353(0YM)</t>
  </si>
  <si>
    <t>GEN_T_2.0.spik_1932</t>
  </si>
  <si>
    <t>AND25630002438</t>
  </si>
  <si>
    <t>MR-RGS - 354(0YM)</t>
  </si>
  <si>
    <t>GEN_T_2.0.spik_1933</t>
  </si>
  <si>
    <t>AND25630002439</t>
  </si>
  <si>
    <t>MR-RGS - 355(0YM)</t>
  </si>
  <si>
    <t>GEN_T_2.0.spik_1934</t>
  </si>
  <si>
    <t>AND25630002440</t>
  </si>
  <si>
    <t>MR-RGS - 356(0YM)</t>
  </si>
  <si>
    <t>GEN_T_2.0.spik_1935</t>
  </si>
  <si>
    <t>AND25630002441</t>
  </si>
  <si>
    <t>MR-RGS - 357(0YM)</t>
  </si>
  <si>
    <t>GEN_T_2.0.spik_1936</t>
  </si>
  <si>
    <t>AND25630002442</t>
  </si>
  <si>
    <t>MR-RGS - 358(0YM)</t>
  </si>
  <si>
    <t>GEN_T_2.0.spik_1937</t>
  </si>
  <si>
    <t>AND25630002443</t>
  </si>
  <si>
    <t>MR-RGS - 359(0YM)</t>
  </si>
  <si>
    <t>GEN_T_2.0.spik_1938</t>
  </si>
  <si>
    <t>AND25630002444</t>
  </si>
  <si>
    <t>MR-RGS - 360(0YM)</t>
  </si>
  <si>
    <t>GEN_T_2.0.spik_1939</t>
  </si>
  <si>
    <t>AND25630002445</t>
  </si>
  <si>
    <t>MR-RGS - 361(0YM)</t>
  </si>
  <si>
    <t>GEN_T_2.0.spik_1940</t>
  </si>
  <si>
    <t>AND25630002446</t>
  </si>
  <si>
    <t>MR-RGS - 362(0YM)</t>
  </si>
  <si>
    <t>GEN_T_2.0.spik_1941</t>
  </si>
  <si>
    <t>AND25630002447</t>
  </si>
  <si>
    <t>MR-RGS - 363(0YM)</t>
  </si>
  <si>
    <t>GEN_T_2.0.spik_1942</t>
  </si>
  <si>
    <t>AND25630002448</t>
  </si>
  <si>
    <t>MRS-PAVITRA H (20YF) POC</t>
  </si>
  <si>
    <t>GEN_T_2.0.spik_1943</t>
  </si>
  <si>
    <t>AND25910023185</t>
  </si>
  <si>
    <t>Naveena</t>
  </si>
  <si>
    <t>MASTER-ANISH KUMAR(17YM)</t>
  </si>
  <si>
    <t>GEN_T_2.0.spik_1944</t>
  </si>
  <si>
    <t>AND25630002415</t>
  </si>
  <si>
    <t>CHRISTIAN MEDICAL COLLEGE - MEDICAL GENTICS</t>
  </si>
  <si>
    <t>SURFseq- Run-22A</t>
  </si>
  <si>
    <t>MRS.JAYASHREE PRASHANT</t>
  </si>
  <si>
    <t>GEN_T_2.0.spik_AF1945</t>
  </si>
  <si>
    <t>AND25910024844</t>
  </si>
  <si>
    <t>Diwakar/Pratheeba</t>
  </si>
  <si>
    <t>GEN_T_2.0.spik_AF1946</t>
  </si>
  <si>
    <t>AND25540000840</t>
  </si>
  <si>
    <t>DEVI DGO, DNB (O&amp;G), MRCOG (UK), FMIGS</t>
  </si>
  <si>
    <t>MR.HEMANTH KUMAR M S(8YM)</t>
  </si>
  <si>
    <t>GEN_T_2.0.spik_1947</t>
  </si>
  <si>
    <t>AND25020042412</t>
  </si>
  <si>
    <t>BABY.PRANAV M(2YM)</t>
  </si>
  <si>
    <t>GEN_T_2.0.spik_1948</t>
  </si>
  <si>
    <t>AND25030005604</t>
  </si>
  <si>
    <t>21-10-2025</t>
  </si>
  <si>
    <t>MR.JOHN BRITTO(30YM)</t>
  </si>
  <si>
    <t>GEN_T_2.0.spik_1949</t>
  </si>
  <si>
    <t>AND25420003423</t>
  </si>
  <si>
    <t>POORNIMA BATTALA .</t>
  </si>
  <si>
    <t>15-10-2025</t>
  </si>
  <si>
    <t>MRS.S.J.KEERTHANA(31YF)</t>
  </si>
  <si>
    <t>GEN_T_2.0.spik_1950</t>
  </si>
  <si>
    <t>AND25420003424</t>
  </si>
  <si>
    <t>BABY.DHAKSHAY G(2YM)</t>
  </si>
  <si>
    <t>GEN_T_2.0.spik_1951</t>
  </si>
  <si>
    <t>AND25630002417</t>
  </si>
  <si>
    <t>BABY.THRISHIKA(6MF)</t>
  </si>
  <si>
    <t>GEN_T_2.0.spik_1952</t>
  </si>
  <si>
    <t>AND25630002420</t>
  </si>
  <si>
    <t>BABY.SHASHTIK MANIK(4MM)</t>
  </si>
  <si>
    <t>GEN_T_2.0.spik_1953</t>
  </si>
  <si>
    <t>AND25630002421</t>
  </si>
  <si>
    <t xml:space="preserve">PREM  </t>
  </si>
  <si>
    <t>BABY.PON MUKUNDAN R(3MM)</t>
  </si>
  <si>
    <t>GEN_T_2.0.spik_1954</t>
  </si>
  <si>
    <t>AND25020041991</t>
  </si>
  <si>
    <t>JANA</t>
  </si>
  <si>
    <t>MR.KESHAV KUMAR (AK34434)(0YM)</t>
  </si>
  <si>
    <t>GEN_T_2.0.spik_1955</t>
  </si>
  <si>
    <t>AND25630002452</t>
  </si>
  <si>
    <t>MRS.SUHASINI VERMA ( 28Y/F)</t>
  </si>
  <si>
    <t>GEN_T_2.0.spik_1956</t>
  </si>
  <si>
    <t>AMB0000000677</t>
  </si>
  <si>
    <t>18-10-2024</t>
  </si>
  <si>
    <t>MR.JAGADEESH V(56YM)</t>
  </si>
  <si>
    <t>GEN_T_2.0.spik_1957</t>
  </si>
  <si>
    <t>AND25370021694</t>
  </si>
  <si>
    <t>AJAY CHANDRASEKAR</t>
  </si>
  <si>
    <t>MR.GOPALKRISHNA SHANBHAG (7299,300)(68YM)</t>
  </si>
  <si>
    <t>GEN_T_2.0.spik_1958</t>
  </si>
  <si>
    <t>AND25910024685</t>
  </si>
  <si>
    <t>KALGHATGI HOSPITAL - HUBLI</t>
  </si>
  <si>
    <t>MR.ANIMA DAS AK25051(31YM)</t>
  </si>
  <si>
    <t>GEN_T_2.0.spik_1959</t>
  </si>
  <si>
    <t>AND25630002533</t>
  </si>
  <si>
    <t>MR.ASHISH KUMAR DAS(44YM)</t>
  </si>
  <si>
    <t>GEN_T_2.0.spik_1960</t>
  </si>
  <si>
    <t>AND25630002534</t>
  </si>
  <si>
    <t>UMME HANI (24 Y 9 M 28 D /F)</t>
  </si>
  <si>
    <t>GEN_T_2.0.spik_AF1961</t>
  </si>
  <si>
    <t>ADB0000004162</t>
  </si>
  <si>
    <t>MRS.P GANGA BHAVANI W/O. SUBRAHMANYAM(28YF) AF</t>
  </si>
  <si>
    <t>GEN_T_2.0.spik_AF1962</t>
  </si>
  <si>
    <t>AND25420003555</t>
  </si>
  <si>
    <t>DR. M. RADHIKA - SRI LAASYA HOSPITAL .</t>
  </si>
  <si>
    <t>MRS.FATHI MUNNISHA(32YF) POC</t>
  </si>
  <si>
    <t>GEN_T_2.0.spik_1963</t>
  </si>
  <si>
    <t>AND25810017920</t>
  </si>
  <si>
    <t>24-10-2025</t>
  </si>
  <si>
    <t>MRS.RAMYA(242507072)(30YF)</t>
  </si>
  <si>
    <t>GEN_T_2.0.spik_1964</t>
  </si>
  <si>
    <t>AND25720019985</t>
  </si>
  <si>
    <t>RHEA HEALTHCARE PRIVATE LIMITED - COIMBATORE</t>
  </si>
  <si>
    <t>19-10-2025</t>
  </si>
  <si>
    <t>MR.NATARAJ GANESAN(242507072)(33YM)</t>
  </si>
  <si>
    <t>GEN_T_2.0.spik_1965</t>
  </si>
  <si>
    <t>AND25720019986</t>
  </si>
  <si>
    <t>MR.SIDDESWARAN(242307334)(31YM)</t>
  </si>
  <si>
    <t>GEN_T_2.0.spik_1966</t>
  </si>
  <si>
    <t>AND25720020001</t>
  </si>
  <si>
    <t>MRS.SASMITHA(242307334) (28Y|F)</t>
  </si>
  <si>
    <t>GEN_T_2.0.spik_1967</t>
  </si>
  <si>
    <t>AND25720020000</t>
  </si>
  <si>
    <t>BABY.VIVITHA D J(10YF)</t>
  </si>
  <si>
    <t>GEN_T_2.0.spik_1968</t>
  </si>
  <si>
    <t>AND25020042761</t>
  </si>
  <si>
    <t>BABY.SRUJAN S(4YM)</t>
  </si>
  <si>
    <t>GEN_T_2.0.spik_1969</t>
  </si>
  <si>
    <t>AND25020043330</t>
  </si>
  <si>
    <t>22-10-2025</t>
  </si>
  <si>
    <t>BABY.RIYAN ISMAIL(5YM)</t>
  </si>
  <si>
    <t>GEN_T_2.0.spik_1970</t>
  </si>
  <si>
    <t>AND25020043331</t>
  </si>
  <si>
    <t>BABY.AADHAV D(8MM)</t>
  </si>
  <si>
    <t>GEN_T_2.0.spik_1971</t>
  </si>
  <si>
    <t>AND25020043336</t>
  </si>
  <si>
    <t>DR.FEMIN (467451) (34Y|F)</t>
  </si>
  <si>
    <t>GEN_T_2.0.spik_1972</t>
  </si>
  <si>
    <t>AND25720019764</t>
  </si>
  <si>
    <t>20-10-2025</t>
  </si>
  <si>
    <t>Vamshi /Pratheeba</t>
  </si>
  <si>
    <t>BABY OF.TULASI(10MM)</t>
  </si>
  <si>
    <t>GEN_T_2.0.spik_1973</t>
  </si>
  <si>
    <t>AND25630002538</t>
  </si>
  <si>
    <t>MRS.ARYA H (2Y/F)</t>
  </si>
  <si>
    <t>GEN_T_2.0.spik_1974</t>
  </si>
  <si>
    <t>ADB0000005483</t>
  </si>
  <si>
    <t>MRS.SIVASANKARI R (34Y/F)</t>
  </si>
  <si>
    <t>GEN_T_2.0.spik_1975</t>
  </si>
  <si>
    <t>ADB0000005471</t>
  </si>
  <si>
    <t>MR. RAGHAVARAJAN T (35Y/M)</t>
  </si>
  <si>
    <t>GEN_T_2.0.spik_1976</t>
  </si>
  <si>
    <t>ADB0000005470</t>
  </si>
  <si>
    <t>BABY.VISHAGAN S (11M|M)</t>
  </si>
  <si>
    <t>GEN_T_2.0.spik_1977</t>
  </si>
  <si>
    <t>AND25630002559</t>
  </si>
  <si>
    <t>BABY.KRISHVIK(5MM)</t>
  </si>
  <si>
    <t>GEN_T_2.0.spik_1978</t>
  </si>
  <si>
    <t>AND25630002558</t>
  </si>
  <si>
    <t>BABY.NISHANTH(2YM)</t>
  </si>
  <si>
    <t>GEN_T_2.0.spik_1979</t>
  </si>
  <si>
    <t>AND25630002557</t>
  </si>
  <si>
    <t>MR.AKSHAY VARTAK (37Y/M) (Urgent report)</t>
  </si>
  <si>
    <t>GEN_T_2.0.spik_1980</t>
  </si>
  <si>
    <t>AMB0000000831</t>
  </si>
  <si>
    <t>APOLLO SPECIALTY HOSPITALS PVT.LTD. - BORIVALI SWAPNIL JOIL 2147 9867992510</t>
  </si>
  <si>
    <t>MRS.CHANDRIKA S (21YF)</t>
  </si>
  <si>
    <t>GEN_T_2.0.spik_1981</t>
  </si>
  <si>
    <t>AND25910025332</t>
  </si>
  <si>
    <t>| SRI VINAYAKA HI-TECH DIAGNOSTIC CENTER</t>
  </si>
  <si>
    <t>MR.RAVIVARMAN (UMR2409001247)(33YM)</t>
  </si>
  <si>
    <t>GEN_T_2.0.spik_1982</t>
  </si>
  <si>
    <t>AND25380142072</t>
  </si>
  <si>
    <t>23-10-2025</t>
  </si>
  <si>
    <t>BABY. SRI NATCHATHIRA D/O SIVA SANKAR ( 5Y|F )</t>
  </si>
  <si>
    <t>GEN_T_2.0.spik_1983</t>
  </si>
  <si>
    <t>AND25990031742</t>
  </si>
  <si>
    <t>SELVI.YAGNASHVA M (6Y|F)</t>
  </si>
  <si>
    <t>GEN_T_2.0.spik_1984</t>
  </si>
  <si>
    <t>AND25630002580</t>
  </si>
  <si>
    <t>25/10/2025</t>
  </si>
  <si>
    <t>MRS.HEMALATHA(26YF) - wife of murali krishnan GEN_T_2.0.spik_2021</t>
  </si>
  <si>
    <t>GEN_T_2.0.spik_1985</t>
  </si>
  <si>
    <t>AND25020043731</t>
  </si>
  <si>
    <t>31/10/2025</t>
  </si>
  <si>
    <t>BABY OF.PAVITHRA(21DM)</t>
  </si>
  <si>
    <t>GEN_T_2.0.spik_1986</t>
  </si>
  <si>
    <t>BABY.GUGANEESHWARAN (4Y|M)</t>
  </si>
  <si>
    <t>GEN_T_2.0.spik_1987</t>
  </si>
  <si>
    <t>AND25020043909</t>
  </si>
  <si>
    <t>BABY.CHRISTINA R (1Y|F)</t>
  </si>
  <si>
    <t>GEN_T_2.0.spik_1988</t>
  </si>
  <si>
    <t>AND25020043526</t>
  </si>
  <si>
    <t>SURFseq- Run-23B</t>
  </si>
  <si>
    <t>MRS.SUMA (20YF) poc</t>
  </si>
  <si>
    <t>GEN_T_2.0.spik_1989</t>
  </si>
  <si>
    <t>AND25910025756</t>
  </si>
  <si>
    <t>DISHA DIAGNOSTICS - HOSAPET</t>
  </si>
  <si>
    <t>26-10-2025</t>
  </si>
  <si>
    <t>MRS.AARTI DEHARIYA(30YF) CVS</t>
  </si>
  <si>
    <t>GEN_T_2.0.spik_AF1990</t>
  </si>
  <si>
    <t>AND25AE0000295</t>
  </si>
  <si>
    <t>MRS.RUBI ( 29Y/F) POC (In TRF witten urgent report)</t>
  </si>
  <si>
    <t>GEN_T_2.0.spik_1991</t>
  </si>
  <si>
    <t>DCC0000000382</t>
  </si>
  <si>
    <t>WOMEN WELLNESS CLINIC - NOIDA SHAILENDRA PRATAB SINGH 9582498144</t>
  </si>
  <si>
    <t>MR.VAMSI KRISHNA(41YM)</t>
  </si>
  <si>
    <t>GEN_T_2.0.spik_1992</t>
  </si>
  <si>
    <t>AND25420003622</t>
  </si>
  <si>
    <t>KIMS HOSPITAL - BEGUMPET</t>
  </si>
  <si>
    <t>MR.KAMARUDHEEN C P(72YM)</t>
  </si>
  <si>
    <t>GEN_T_2.0.spik_1993</t>
  </si>
  <si>
    <t>AND25720020603</t>
  </si>
  <si>
    <t>MASTER.GAGAN T(7YM)</t>
  </si>
  <si>
    <t>GEN_T_2.0.spik_1994</t>
  </si>
  <si>
    <t>AND25630002643</t>
  </si>
  <si>
    <t>ICH EGMORE .</t>
  </si>
  <si>
    <t>BABY.FATHIMA ZAISHA (479065)(6MF)</t>
  </si>
  <si>
    <t>GEN_T_2.0.spik_1995</t>
  </si>
  <si>
    <t>AND25720020722</t>
  </si>
  <si>
    <t>NAINIKA.K (1Y/F)</t>
  </si>
  <si>
    <t>GEN_T_2.0.spik_1996</t>
  </si>
  <si>
    <t>AND25150039508</t>
  </si>
  <si>
    <t>SABARINATH M MD DM., RHEUMATOLOGY</t>
  </si>
  <si>
    <t>MRS.BHAVANA K P (2056,59,67)(23YF) AF</t>
  </si>
  <si>
    <t>GEN_T_2.0.spik_AF1997</t>
  </si>
  <si>
    <t>AND25910025869</t>
  </si>
  <si>
    <t>PRACHI SPECIALITY CLINIC - DAVANGERE .</t>
  </si>
  <si>
    <t>MRS.G BALA KRISHNA(38YF)</t>
  </si>
  <si>
    <t>GEN_T_2.0.spik_1998</t>
  </si>
  <si>
    <t>AND25420003638</t>
  </si>
  <si>
    <t>MRS.SANTHOSH REKHA[2074](31YF)</t>
  </si>
  <si>
    <t>GEN_T_2.0.spik_1999</t>
  </si>
  <si>
    <t>AND25430001118</t>
  </si>
  <si>
    <t>MR.MOHANA KRISHNAN[2074](40YM)</t>
  </si>
  <si>
    <t>GEN_T_2.0.spik_2000</t>
  </si>
  <si>
    <t>AND25430001119</t>
  </si>
  <si>
    <t>MRS.SWATHI RAHUL (31Y/F) POC</t>
  </si>
  <si>
    <t>GEN_T_2.0.spik_2001</t>
  </si>
  <si>
    <t>ADB0000006048</t>
  </si>
  <si>
    <t>29-10-2025</t>
  </si>
  <si>
    <t>30/10/2025</t>
  </si>
  <si>
    <t>MRS.PRIYA VINAY(30Y/F)</t>
  </si>
  <si>
    <t>GEN_T_2.0.spik_2002</t>
  </si>
  <si>
    <t>ADB0000006046</t>
  </si>
  <si>
    <t>28-10-25</t>
  </si>
  <si>
    <t>MR.VASANSETTI SRINIVAS(36YM)</t>
  </si>
  <si>
    <t>GEN_T_2.0.spik_2003</t>
  </si>
  <si>
    <t>AND25420003678</t>
  </si>
  <si>
    <t>27-10-2025</t>
  </si>
  <si>
    <t>History available in TRF, Writeup not available/writeup given bu Deepika mam</t>
  </si>
  <si>
    <t>MS.DEEPA KUMARI(29YF)</t>
  </si>
  <si>
    <t>GEN_T_2.0.spik_2004</t>
  </si>
  <si>
    <t>AND25630002680</t>
  </si>
  <si>
    <t>MRS.SATYBHAMA KURMI (23YF) - Will receive AF analyze as trio need to analyzed under dermatological conditions</t>
  </si>
  <si>
    <t>GEN_T_2.0.spik_2005</t>
  </si>
  <si>
    <t>AND25AE0000292</t>
  </si>
  <si>
    <t>MR.VEERENDRA KURMI (24YM) - - Will receive AF analyze as trio need to analyzed under dermatological conditions</t>
  </si>
  <si>
    <t>GEN_T_2.0.spik_2006</t>
  </si>
  <si>
    <t>AND25AE0000293</t>
  </si>
  <si>
    <t>P.SWASTHIKA ( 4Y/F)</t>
  </si>
  <si>
    <t>GEN_T_2.0.spik_2007</t>
  </si>
  <si>
    <t>AND25020044697</t>
  </si>
  <si>
    <t>BABY.VARSHITH A(1YM)</t>
  </si>
  <si>
    <t>GEN_T_2.0.spik_2008</t>
  </si>
  <si>
    <t>AND25630002711</t>
  </si>
  <si>
    <t>MASTER.HARITHA SREE(6YM)</t>
  </si>
  <si>
    <t>GEN_T_2.0.spik_2009</t>
  </si>
  <si>
    <t>AND25630002712</t>
  </si>
  <si>
    <t>BABY.INBARAJ(7YM)</t>
  </si>
  <si>
    <t>GEN_T_2.0.spik_2010</t>
  </si>
  <si>
    <t>AND25020045022</t>
  </si>
  <si>
    <t>BABY.SAISHA S(1YF)</t>
  </si>
  <si>
    <t>GEN_T_2.0.spik_2011</t>
  </si>
  <si>
    <t>AND25630002739</t>
  </si>
  <si>
    <t>BABY OF.AJISHA K (414500)(1YM)</t>
  </si>
  <si>
    <t>GEN_T_2.0.spik_2012</t>
  </si>
  <si>
    <t>AND25720021136</t>
  </si>
  <si>
    <t>MRS.VIJAYALAKSHMI W/O BOOPATHY (5606)(33YF)</t>
  </si>
  <si>
    <t>GEN_T_2.0.spik_2013</t>
  </si>
  <si>
    <t>AND25680007265</t>
  </si>
  <si>
    <t>EMM ESS CLINICAL LAB - KANCHIPURAM</t>
  </si>
  <si>
    <t>MR.SHAIK HYDER BASHA(31YM)</t>
  </si>
  <si>
    <t>GEN_T_2.0.spik_2014</t>
  </si>
  <si>
    <t>AND251H0002881</t>
  </si>
  <si>
    <t>MR.BALAKRISHNAN A(28YM)</t>
  </si>
  <si>
    <t>GEN_T_2.0.spik_2015</t>
  </si>
  <si>
    <t>AND25540000943</t>
  </si>
  <si>
    <t>DINESH JOTHIMANI HEPATOLOGY</t>
  </si>
  <si>
    <t>MRS.NISHANTI ANUSUYA(29YF)</t>
  </si>
  <si>
    <t>GEN_T_2.0.spik_2016</t>
  </si>
  <si>
    <t>AND25380147057</t>
  </si>
  <si>
    <t>MRS.ANU PRIYAMVADA ( 33Y/F)</t>
  </si>
  <si>
    <t>GEN_T_2.0.spik_2017</t>
  </si>
  <si>
    <t>AMB0000001095</t>
  </si>
  <si>
    <t>MR.KUMAR DIVYENDU SHEKHAR ( 37Y/M)</t>
  </si>
  <si>
    <t>GEN_T_2.0.spik_2018</t>
  </si>
  <si>
    <t>AMB0000001094</t>
  </si>
  <si>
    <t>MRS.KARUNA JAIN (32Y/F)</t>
  </si>
  <si>
    <t>GEN_T_2.0.spik_2019</t>
  </si>
  <si>
    <t>ADB0000006086</t>
  </si>
  <si>
    <t>BABY.SAKTHI S(10MF)</t>
  </si>
  <si>
    <t>GEN_T_2.0.spik_2020</t>
  </si>
  <si>
    <t>MR.MURALI KRISHNAN(31YM) - Husband of hemalatha  GEN_T_2.0.spik_1985</t>
  </si>
  <si>
    <t>GEN_T_2.0.spik_2021</t>
  </si>
  <si>
    <t>AND25630002738</t>
  </si>
  <si>
    <t>MASTER.ATHVIK K(10YM)</t>
  </si>
  <si>
    <t>GEN_T_2.0.spik_2022</t>
  </si>
  <si>
    <t>AND25630002740</t>
  </si>
  <si>
    <t>RANJITH KUMAR MANOKARAN II NPK II MD, DM, MRCP (UK)</t>
  </si>
  <si>
    <t>DR.RAVIKUMAR R(67YM)</t>
  </si>
  <si>
    <t>GEN_T_2.0.spik_2023</t>
  </si>
  <si>
    <t>AND25030013001</t>
  </si>
  <si>
    <t>31-10-2025</t>
  </si>
  <si>
    <t>MR.ANAND (41Y/M)</t>
  </si>
  <si>
    <t>GEN_T_2.0.spik_2024</t>
  </si>
  <si>
    <t>ADB0000006209</t>
  </si>
  <si>
    <t>DEEPSHIKA (29Y/F)</t>
  </si>
  <si>
    <t>GEN_T_2.0.spik_2025</t>
  </si>
  <si>
    <t>ADB0000006210</t>
  </si>
  <si>
    <t>MR.EWILIN(0YM)</t>
  </si>
  <si>
    <t>GEN_T_2.0.spik_2026</t>
  </si>
  <si>
    <t>AND25630002777</t>
  </si>
  <si>
    <t>MR.CLINTON(0YM)</t>
  </si>
  <si>
    <t>GEN_T_2.0.spik_2027</t>
  </si>
  <si>
    <t>AND25630002778</t>
  </si>
  <si>
    <t>SURFseq- Run-24A</t>
  </si>
  <si>
    <t>MRS.PERIVI HEMA(23YF)</t>
  </si>
  <si>
    <t>GEN_T_2.0.spik_AF2028</t>
  </si>
  <si>
    <t>AND25020045315</t>
  </si>
  <si>
    <t>CHAITANYA SRAVANTHI.K MBBS.,MS.(OBG)</t>
  </si>
  <si>
    <t>BABY.GOKULRAJ MADHAVAN R (1Y|M)</t>
  </si>
  <si>
    <t>GEN_T_2.0.spik_2029</t>
  </si>
  <si>
    <t>AND25020034627</t>
  </si>
  <si>
    <t>BABY.SHANGANIDHI M D (2Y|M)</t>
  </si>
  <si>
    <t>GEN_T_2.0.spik_2030</t>
  </si>
  <si>
    <t>AND25020031890</t>
  </si>
  <si>
    <t>BABY.KRISHANTH S (1Y|M)</t>
  </si>
  <si>
    <t>GEN_T_2.0.spik_2031</t>
  </si>
  <si>
    <t>AND25020031891</t>
  </si>
  <si>
    <t>MRS.DIVYA V (30Y|F) 10-04-1995</t>
  </si>
  <si>
    <t>GEN_T_2.0.spik_2032</t>
  </si>
  <si>
    <t>AND25030013022</t>
  </si>
  <si>
    <t>KMC LABOUR WARD-KILPAUK</t>
  </si>
  <si>
    <t>MR.PRADEEP KUMAR (AK34517) (0Y|M)</t>
  </si>
  <si>
    <t>GEN_T_2.0.spik_2033</t>
  </si>
  <si>
    <t>AND25630002790</t>
  </si>
  <si>
    <t>22/10/2025</t>
  </si>
  <si>
    <t>BABY OF.MURAPAKA SANTHU (14D|F) 18-09-2025</t>
  </si>
  <si>
    <t>GEN_T_2.0.spik_2034</t>
  </si>
  <si>
    <t>AND251H0002939</t>
  </si>
  <si>
    <t>BABY.KANISHKA (7M|F)</t>
  </si>
  <si>
    <t>GEN_T_2.0.spik_2035</t>
  </si>
  <si>
    <t>AND25020045693</t>
  </si>
  <si>
    <t>MRS.ROJA P(31Y/F)</t>
  </si>
  <si>
    <t>GEN_T_2.0.spik_2036</t>
  </si>
  <si>
    <t>ADB0000006326</t>
  </si>
  <si>
    <t>MR.RAJARAM V(38Y/M)</t>
  </si>
  <si>
    <t>GEN_T_2.0.spik_2037</t>
  </si>
  <si>
    <t>ADB0000006327</t>
  </si>
  <si>
    <t>ANKIT GARG (33Y/M)</t>
  </si>
  <si>
    <t>GEN_T_2.0.spik_2038</t>
  </si>
  <si>
    <t>DCC0000000535</t>
  </si>
  <si>
    <t>SONU (32Y/F)</t>
  </si>
  <si>
    <t>GEN_T_2.0.spik_2039</t>
  </si>
  <si>
    <t>DCC0000000526</t>
  </si>
  <si>
    <t>04.11.2025</t>
  </si>
  <si>
    <t>BABY.LITHVIK M (4Y|M)</t>
  </si>
  <si>
    <t>WES +Mito</t>
  </si>
  <si>
    <t>GEN_T_2.0.spik_2040</t>
  </si>
  <si>
    <t>AND25020034484</t>
  </si>
  <si>
    <t>MR.M.MALAI RAMAN (32Y|M)</t>
  </si>
  <si>
    <t>GEN_T_2.0.spik_2041</t>
  </si>
  <si>
    <t>AND25360041188</t>
  </si>
  <si>
    <t>INFANT JESUS &amp; JESUS VINEYARD HOSPITAL MBBS MS (GEN SURG)</t>
  </si>
  <si>
    <t>MRS.R.JEYA MATHI (21Y|F)</t>
  </si>
  <si>
    <t>GEN_T_2.0.spik_2042</t>
  </si>
  <si>
    <t>AND25360041187</t>
  </si>
  <si>
    <t>MR.VINOTH KUMAR (36Y|M)</t>
  </si>
  <si>
    <t>GEN_T_2.0.spik_2043</t>
  </si>
  <si>
    <t>AND25150068753</t>
  </si>
  <si>
    <t>AL-WE-W-420</t>
  </si>
  <si>
    <t>GEN_T_2.0.spik_2044</t>
  </si>
  <si>
    <t>AND25630002892</t>
  </si>
  <si>
    <t>CHRISTIAN MEDICAL COLLEGE - HAEMOTOLOGY</t>
  </si>
  <si>
    <t>AL-WE-W-421</t>
  </si>
  <si>
    <t>GEN_T_2.0.spik_2045</t>
  </si>
  <si>
    <t>AND25630002893</t>
  </si>
  <si>
    <t>AL-WE-W-422</t>
  </si>
  <si>
    <t>GEN_T_2.0.spik_2046</t>
  </si>
  <si>
    <t>AND25630002895</t>
  </si>
  <si>
    <t>AL-WE-CD-25-178</t>
  </si>
  <si>
    <t>GEN_T_2.0.spik_2047</t>
  </si>
  <si>
    <t>AND25630002896</t>
  </si>
  <si>
    <t>AL-WE-W-426</t>
  </si>
  <si>
    <t>GEN_T_2.0.spik_2048</t>
  </si>
  <si>
    <t>AND25630002897</t>
  </si>
  <si>
    <t>AL-WE-WES-W-430</t>
  </si>
  <si>
    <t>GEN_T_2.0.spik_2049</t>
  </si>
  <si>
    <t>AND25630002894</t>
  </si>
  <si>
    <t>SOHANA KHATUM (16Y/F)</t>
  </si>
  <si>
    <t>GEN_T_2.0.spik_2050</t>
  </si>
  <si>
    <t>AND25630002898</t>
  </si>
  <si>
    <t>MR.SHANTANU PHATE (36/M)</t>
  </si>
  <si>
    <t>GEN_T_2.0.spik_2051</t>
  </si>
  <si>
    <t>AMB0000001388</t>
  </si>
  <si>
    <t>MUMBAI B2B CENTRE</t>
  </si>
  <si>
    <t>BABY.YASHIK DEV M (2Y|M)</t>
  </si>
  <si>
    <t>GEN_T_2.0.spik_2052</t>
  </si>
  <si>
    <t>AND25020046221</t>
  </si>
  <si>
    <t>BABY.SANJANA K K(1YF)</t>
  </si>
  <si>
    <t>GEN_T_2.0.spik_2053</t>
  </si>
  <si>
    <t>AND25020046222</t>
  </si>
  <si>
    <t>BABY.PRATHVIN(4YM)</t>
  </si>
  <si>
    <t>GEN_T_2.0.spik_2054</t>
  </si>
  <si>
    <t>AND25020046223</t>
  </si>
  <si>
    <t>29/10/2025</t>
  </si>
  <si>
    <t>MR.ANILKUMAR PATIL (44/M)</t>
  </si>
  <si>
    <t>GEN_T_2.0.spik_2055</t>
  </si>
  <si>
    <t>AMB0000001398</t>
  </si>
  <si>
    <t>24-11-2025</t>
  </si>
  <si>
    <t>MRS.NAGALAXMI PATIL (36/F)</t>
  </si>
  <si>
    <t>GEN_T_2.0.spik_2056</t>
  </si>
  <si>
    <t>AMB0000001397</t>
  </si>
  <si>
    <t>MR.AMRUTGOUDA PATIL (11/M)</t>
  </si>
  <si>
    <t>GEN_T_2.0.spik_2057</t>
  </si>
  <si>
    <t>AMB0000001396</t>
  </si>
  <si>
    <t>MR.RIYAZ YALIGAR (31Y/M)</t>
  </si>
  <si>
    <t>GEN_T_2.0.spik_2058</t>
  </si>
  <si>
    <t>AMB0000001310</t>
  </si>
  <si>
    <t>MRS.SANIYA YALIGAR (23Y/F)</t>
  </si>
  <si>
    <t>GEN_T_2.0.spik_2059</t>
  </si>
  <si>
    <t>AMB0000001308</t>
  </si>
  <si>
    <t>MRS.SWETA SURPUR (30Y/F)</t>
  </si>
  <si>
    <t>GEN_T_2.0.spik_2060</t>
  </si>
  <si>
    <t>AMB0000001314</t>
  </si>
  <si>
    <t>MR.MALLIKARJUN SURPUR (46Y/F)</t>
  </si>
  <si>
    <t>GEN_T_2.0.spik_2061</t>
  </si>
  <si>
    <t>AMB0000001315</t>
  </si>
  <si>
    <t>RANI KANOJIYA (DONOR OF SALONI RAGHUWANSHI (R.K) 28y/F)</t>
  </si>
  <si>
    <t>GEN_T_2.0.spik_2062</t>
  </si>
  <si>
    <t>AMB0000000547</t>
  </si>
  <si>
    <t>BABY.LOSHITH (4Y/M)</t>
  </si>
  <si>
    <t>GEN_T_2.0.spik_2063</t>
  </si>
  <si>
    <t>AND25630002843</t>
  </si>
  <si>
    <t>MRS.SUNITA JAYDEEPKUMAR BHAVSAR (33Y/F)</t>
  </si>
  <si>
    <t>GEN_T_2.0.spik_2064</t>
  </si>
  <si>
    <t>ADB0000006480</t>
  </si>
  <si>
    <t>18-11-2025</t>
  </si>
  <si>
    <t>MR.JAYDIP BHAVSAR (31Y/M)</t>
  </si>
  <si>
    <t>GEN_T_2.0.spik_2065</t>
  </si>
  <si>
    <t>ADB0000006481</t>
  </si>
  <si>
    <t>MRS.SHAIK IRFANA BEGUM W/O. SHAIK ABDUL SAMEER(26YF)</t>
  </si>
  <si>
    <t>GEN_T_2.0.spik_2066</t>
  </si>
  <si>
    <t>AND25420003883</t>
  </si>
  <si>
    <t>MR.SHAIK ABDUL SAMEER H/O. SHAIK IRFANA BEGUM(29YM)</t>
  </si>
  <si>
    <t>GEN_T_2.0.spik_2067</t>
  </si>
  <si>
    <t>AND25420003884</t>
  </si>
  <si>
    <t>Greyzone (TBP)</t>
  </si>
  <si>
    <t>SURFseq- Run-25B</t>
  </si>
  <si>
    <t>MRS.SAHANA P G (1924,05)(27Y/F) poc</t>
  </si>
  <si>
    <t>GEN_T_2.0.spik_2068</t>
  </si>
  <si>
    <t>AND25910027117</t>
  </si>
  <si>
    <t>Navven</t>
  </si>
  <si>
    <t>MRS.SEETHALAKSHMI SENTHILKUMAR</t>
  </si>
  <si>
    <t>GEN_T_2.0.spik_AF2069</t>
  </si>
  <si>
    <t>ATV0000002108</t>
  </si>
  <si>
    <t>ANDERSON DIAGNOSTICS THANJAVUR</t>
  </si>
  <si>
    <t>23/20/2025</t>
  </si>
  <si>
    <t>BABY.PAARI VENDHAN S D (3Y|M) 29-11-2021</t>
  </si>
  <si>
    <t>GEN_T_2.0.spik_2070</t>
  </si>
  <si>
    <t>AND25630002872</t>
  </si>
  <si>
    <t>BABY.SRI HARIHARAN (10Y|M)</t>
  </si>
  <si>
    <t>GEN_T_2.0.spik_2071</t>
  </si>
  <si>
    <t>AND25020047169</t>
  </si>
  <si>
    <r>
      <rPr>
        <rFont val="Arial"/>
        <color rgb="FFB45F06"/>
      </rPr>
      <t>Greyzone (ATN1)</t>
    </r>
    <r>
      <rPr>
        <rFont val="Arial"/>
        <color rgb="FFFF0000"/>
      </rPr>
      <t>,Pathogenic (TCF4)</t>
    </r>
  </si>
  <si>
    <t>MR.CHANDRASEKAR (34Y|M)</t>
  </si>
  <si>
    <t>GEN_T_2.0.spik_2072</t>
  </si>
  <si>
    <t>AND25810020223</t>
  </si>
  <si>
    <t>MRS.TAMILARASI (28Y|F)</t>
  </si>
  <si>
    <t>GEN_T_2.0.spik_2073</t>
  </si>
  <si>
    <t>AND25810020222</t>
  </si>
  <si>
    <t>MR.SAIPURANA CHANDU PAPPU (26Y|M)</t>
  </si>
  <si>
    <t>GEN_T_2.0.spik_2074</t>
  </si>
  <si>
    <t>AND25020047007</t>
  </si>
  <si>
    <t>SUJIT KUMAR</t>
  </si>
  <si>
    <t>GEN_T_2.0.spik_2075</t>
  </si>
  <si>
    <t>CMC-sujit-kumar</t>
  </si>
  <si>
    <t>CHRISTIAN MEDICAL COLLEGE</t>
  </si>
  <si>
    <t>MR.AFTHAR ALI (480459)(60Y/M)</t>
  </si>
  <si>
    <t>GEN_T_2.0.spik_2076</t>
  </si>
  <si>
    <t>AND25720022236</t>
  </si>
  <si>
    <t>MR.KARAN SHAILESH DESAI (36/M)</t>
  </si>
  <si>
    <t>GEN_T_2.0.spik_2077</t>
  </si>
  <si>
    <t>AMB0000001426</t>
  </si>
  <si>
    <t>MRS.RIDDHI KOTHARI (35/F)</t>
  </si>
  <si>
    <t>GEN_T_2.0.spik_2078</t>
  </si>
  <si>
    <t>AMB0000001417</t>
  </si>
  <si>
    <t>MRS.G SUKANYA ( 32y/F)</t>
  </si>
  <si>
    <t>GEN_T_2.0.spik_2079</t>
  </si>
  <si>
    <t>ADB0000006724</t>
  </si>
  <si>
    <t>MR.RISHI KUMAR (SN00861698) (26/M)</t>
  </si>
  <si>
    <t>GEN_T_2.0.spik_2080</t>
  </si>
  <si>
    <t>AND251S0002614</t>
  </si>
  <si>
    <t>30-10-2026</t>
  </si>
  <si>
    <t>MRS.MAHANKALI GOWRI (HEG M0035707)(26YF)</t>
  </si>
  <si>
    <t>GEN_T_2.0.spik_2081</t>
  </si>
  <si>
    <t>AND25420003952</t>
  </si>
  <si>
    <t>MRS.KANCHAN MULEY(34 Y 0 M 0 D /Female)</t>
  </si>
  <si>
    <t>GEN_T_2.0.spik_2083</t>
  </si>
  <si>
    <t>AMB0000001512</t>
  </si>
  <si>
    <t>SURFseq- Run-26A</t>
  </si>
  <si>
    <t>AL-WE2-W-448 (13Y/M)</t>
  </si>
  <si>
    <t>GEN_T_2.0.spik_2084</t>
  </si>
  <si>
    <t>AND25630003053</t>
  </si>
  <si>
    <t>CMC - HAEMOTOLOGY</t>
  </si>
  <si>
    <t>AL-WE2-W-449 (5Y/F)</t>
  </si>
  <si>
    <t>GEN_T_2.0.spik_2085</t>
  </si>
  <si>
    <t>AND25630003054</t>
  </si>
  <si>
    <t>AL-WE2-W-453 (29Y/M)</t>
  </si>
  <si>
    <t>GEN_T_2.0.spik_2086</t>
  </si>
  <si>
    <t>AND25630003055</t>
  </si>
  <si>
    <t>AL-WE2-W-454 (37Y/F)</t>
  </si>
  <si>
    <t>GEN_T_2.0.spik_2087</t>
  </si>
  <si>
    <t>AND25630003056</t>
  </si>
  <si>
    <t>AL-WE2-W-465 (25Y/M)</t>
  </si>
  <si>
    <t>GEN_T_2.0.spik_2088</t>
  </si>
  <si>
    <t>AND25630003057</t>
  </si>
  <si>
    <t>AL-WE2-W-469 (11Y/M)</t>
  </si>
  <si>
    <t>GEN_T_2.0.spik_2089</t>
  </si>
  <si>
    <t>AND25630003058</t>
  </si>
  <si>
    <t>AL-WE2-W-466 (31Y/M)</t>
  </si>
  <si>
    <t>GEN_T_2.0.spik_2090</t>
  </si>
  <si>
    <t>AND25630003059</t>
  </si>
  <si>
    <t>YAAZHACHARAN</t>
  </si>
  <si>
    <t>GEN_T_2.0.spik_2091</t>
  </si>
  <si>
    <t>AND25630003052</t>
  </si>
  <si>
    <t>CMC -- MEDICAL GENTICS</t>
  </si>
  <si>
    <t>MR.VIRAG JAIN( 33 Y 1 M 3 D /Male)</t>
  </si>
  <si>
    <t>GEN_T_2.0.spik_2092</t>
  </si>
  <si>
    <t>AMB0000000501</t>
  </si>
  <si>
    <t>13/10/25</t>
  </si>
  <si>
    <t>MRS.SHUBHRA MALVIYA (33 Y 7 M 10 D /Female)</t>
  </si>
  <si>
    <t>GEN_T_2.0.spik_2093</t>
  </si>
  <si>
    <t>AMB0000000502</t>
  </si>
  <si>
    <t>BABY.MITHRA B(3YF)</t>
  </si>
  <si>
    <t>GEN_T_2.0.spik_2094</t>
  </si>
  <si>
    <t>AND25020047552</t>
  </si>
  <si>
    <t>MRS.BHAGASHREE</t>
  </si>
  <si>
    <t>Hereditary cancer gene panel</t>
  </si>
  <si>
    <t>GEN_T_2.0.spik_2095</t>
  </si>
  <si>
    <t>AND25910027817</t>
  </si>
  <si>
    <t>MRS.QUEENIE(51YF)</t>
  </si>
  <si>
    <t>GEN_T_2.0.spik_2096</t>
  </si>
  <si>
    <t>AND25150071927</t>
  </si>
  <si>
    <t>LAKSHMI NARASIMHAN R</t>
  </si>
  <si>
    <t>MRS.SIDDA HEMA SREE(25YF) POC</t>
  </si>
  <si>
    <t>GEN_T_2.0.spik_2097</t>
  </si>
  <si>
    <t>AND251H0003083</t>
  </si>
  <si>
    <t>ASHA MULTI-SPECIALITY HOSPITAL - TADIPATRI</t>
  </si>
  <si>
    <t>16/11/2025</t>
  </si>
  <si>
    <t>PRIYANKA (26Y/F)</t>
  </si>
  <si>
    <t>GEN_T_2.0.spik_2098</t>
  </si>
  <si>
    <t>AND25720022607</t>
  </si>
  <si>
    <t>25/10/25</t>
  </si>
  <si>
    <t>MISS.NAISHA FATHIMA M(7YF)</t>
  </si>
  <si>
    <t>GEN_T_2.0.spik_2099</t>
  </si>
  <si>
    <t>AND25720022662</t>
  </si>
  <si>
    <t>MR.KRISHNA YADAV H/O. JYOTHI (HEG M0035681)(40YM)</t>
  </si>
  <si>
    <t>GEN_T_2.0.spik_2100</t>
  </si>
  <si>
    <t>AND25420003954</t>
  </si>
  <si>
    <t>MR.KUMARAN G(42YM)</t>
  </si>
  <si>
    <t>GEN_T_2.0.spik_2101</t>
  </si>
  <si>
    <t>AND25020047936</t>
  </si>
  <si>
    <t>BABY.LAKSHITHA S(8MF)</t>
  </si>
  <si>
    <t>GEN_T_2.0.spik_2102</t>
  </si>
  <si>
    <t>AND25020047937</t>
  </si>
  <si>
    <t>D.JEEVITHA (10Y/F)</t>
  </si>
  <si>
    <t>GEN_T_2.0.spik_2103</t>
  </si>
  <si>
    <t>AND25020048232</t>
  </si>
  <si>
    <t>13/11/25</t>
  </si>
  <si>
    <t>MRS.VANKA BATHEMMA PRIMI (32YF) POC</t>
  </si>
  <si>
    <t>GEN_T_2.0.spik_2104</t>
  </si>
  <si>
    <t>AND25380156806</t>
  </si>
  <si>
    <t>MRS.ANLET S(35YF) AF</t>
  </si>
  <si>
    <t>GEN_T_2.0.spik_2105</t>
  </si>
  <si>
    <t>AND25410020868</t>
  </si>
  <si>
    <t>SPRING FERTILITY-NAGERCOIL .</t>
  </si>
  <si>
    <t>HANNAH BLOOM</t>
  </si>
  <si>
    <t>carrier screening</t>
  </si>
  <si>
    <t>GEN_T_2.0.spik_2106</t>
  </si>
  <si>
    <t>Not Registered</t>
  </si>
  <si>
    <t>20-11-2025</t>
  </si>
  <si>
    <t>DAVID CHARPAK</t>
  </si>
  <si>
    <t>GEN_T_2.0.spik_2107</t>
  </si>
  <si>
    <t>ELLEN ANDERS</t>
  </si>
  <si>
    <t>GEN_T_2.0.spik_2108</t>
  </si>
  <si>
    <t>GARETH MATTHEWS</t>
  </si>
  <si>
    <t>GEN_T_2.0.spik_2109</t>
  </si>
  <si>
    <t>MRS.HIMABINDU (40Y|F)</t>
  </si>
  <si>
    <t>GEN_T_2.0.spik_2110</t>
  </si>
  <si>
    <t>AND25380159309</t>
  </si>
  <si>
    <t>JOSE HOME COLLECTION</t>
  </si>
  <si>
    <t>14-11-2025</t>
  </si>
  <si>
    <t>MR.KARTHIKEYAN (47/M)</t>
  </si>
  <si>
    <t>GEN_T_2.0.spik_2111</t>
  </si>
  <si>
    <t>AND25380159310</t>
  </si>
  <si>
    <t>BABY.YUVA RAMPRASAD (2/M)</t>
  </si>
  <si>
    <t>GEN_T_2.0.spik_2112</t>
  </si>
  <si>
    <t>AND25380159311</t>
  </si>
  <si>
    <t>MRS.SANDHIYA M(25YF)</t>
  </si>
  <si>
    <t>GEN_T_2.0.spik_2113</t>
  </si>
  <si>
    <t>AND25370025515</t>
  </si>
  <si>
    <t>ARUNA R .</t>
  </si>
  <si>
    <t>Naveen/ Gayathri</t>
  </si>
  <si>
    <t>BABY.TAMILARASAN (5Y|M)</t>
  </si>
  <si>
    <t>GEN_T_2.0.spik_2114</t>
  </si>
  <si>
    <t>AND25020048126</t>
  </si>
  <si>
    <t>MRS.SHRUTI PRASANNA KULKARNI (33Y/F)</t>
  </si>
  <si>
    <t>GEN_T_2.0.spik_2115</t>
  </si>
  <si>
    <t>ADB0000007144</t>
  </si>
  <si>
    <t>MR.K.VISWANATH(31YM)</t>
  </si>
  <si>
    <t>GEN_T_2.0.spik_2116</t>
  </si>
  <si>
    <t>AND25480036629</t>
  </si>
  <si>
    <t>K.LALITHA SHIRDISA ...</t>
  </si>
  <si>
    <t>14/11/25</t>
  </si>
  <si>
    <t>MRS.K.VANI(21YF)</t>
  </si>
  <si>
    <t>GEN_T_2.0.spik_2117</t>
  </si>
  <si>
    <t>AND25480036630</t>
  </si>
  <si>
    <t>MR.VADDURI VIVEK H/O. POOJANA (HEG 0002382) (32/M)</t>
  </si>
  <si>
    <t>GEN_T_2.0.spik_2118</t>
  </si>
  <si>
    <t>AND25420004132</t>
  </si>
  <si>
    <t>MRS.Y. POOJANA W/O. V. VIVEK (HEG 0002381) (28/F)</t>
  </si>
  <si>
    <t>GEN_T_2.0.spik_2119</t>
  </si>
  <si>
    <t>AND25420004131</t>
  </si>
  <si>
    <t>MR.SHIVA PRASAD (42/M)</t>
  </si>
  <si>
    <t>GEN_T_2.0.spik_2120</t>
  </si>
  <si>
    <t>ADB0000006983</t>
  </si>
  <si>
    <t>Naveen / Gayathrir</t>
  </si>
  <si>
    <t>MR.PRABHU R(37YM)</t>
  </si>
  <si>
    <t>GEN_T_2.0.spik_2121</t>
  </si>
  <si>
    <t>AND25630003007</t>
  </si>
  <si>
    <t>SURFseq- Run-27B</t>
  </si>
  <si>
    <t>MRS.BRAJWATI KUMRE(32YF) AF</t>
  </si>
  <si>
    <t>GEN_T_2.0.spik_AF2122</t>
  </si>
  <si>
    <t>AND25AE0000317</t>
  </si>
  <si>
    <t>13/11/2025</t>
  </si>
  <si>
    <t>BABY OF.VINODHINI(0M/F) POC</t>
  </si>
  <si>
    <t>GEN_T_2.0.spik_2123</t>
  </si>
  <si>
    <t>AND25720022090</t>
  </si>
  <si>
    <t>ORBITO ASIA DIAGNOSTICS - COIMBATORE</t>
  </si>
  <si>
    <t>Vignesh</t>
  </si>
  <si>
    <t>MISS.KIRTHANA SAINATH(35YF)</t>
  </si>
  <si>
    <t>GEN_T_2.0.spik_2124</t>
  </si>
  <si>
    <t>AND25290010125</t>
  </si>
  <si>
    <t>LAKSHMI NARASIMHAN R NEUROLOGIST</t>
  </si>
  <si>
    <t>14/11/2025</t>
  </si>
  <si>
    <t>BABY.SATHYADEV S(5YM)</t>
  </si>
  <si>
    <t>GEN_T_2.0.spik_2125</t>
  </si>
  <si>
    <t>AND25020048627</t>
  </si>
  <si>
    <t>MR.MELVEN STEPHEN H/O. RUCHIKA RANI (HEG C002811)(43YM)</t>
  </si>
  <si>
    <t>GEN_T_2.0.spik_2126</t>
  </si>
  <si>
    <t>AND25420004177</t>
  </si>
  <si>
    <t>15/11/2025</t>
  </si>
  <si>
    <t>BABY.DHEKSHITH R(1YM)</t>
  </si>
  <si>
    <t>GEN_T_2.0.spik_2127</t>
  </si>
  <si>
    <t>AND25020048628</t>
  </si>
  <si>
    <t>MR.BIJAY KUMAR JENA (35YM)</t>
  </si>
  <si>
    <t>GEN_T_2.0.spik_2128</t>
  </si>
  <si>
    <t>AND25380161467</t>
  </si>
  <si>
    <t>MRS.JHUNULATHA JENA(29YF)</t>
  </si>
  <si>
    <t>GEN_T_2.0.spik_2129</t>
  </si>
  <si>
    <t>AND25380161468</t>
  </si>
  <si>
    <t>MRS.PRADEEP SAHITHYA(38 Y 0 M 0 D /Female)</t>
  </si>
  <si>
    <t>GEN_T_2.0.spik_2130</t>
  </si>
  <si>
    <t>ADB0000007436</t>
  </si>
  <si>
    <t>MR.ANJINAPPA K (1883,87) (34/M)</t>
  </si>
  <si>
    <t>GEN_T_2.0.spik_2131</t>
  </si>
  <si>
    <t>AND25910029075</t>
  </si>
  <si>
    <t>17/11/2025</t>
  </si>
  <si>
    <t>MRS.LAKSHMI (1788,91) (20/F)</t>
  </si>
  <si>
    <t>GEN_T_2.0.spik_2132</t>
  </si>
  <si>
    <t>AND25910029076</t>
  </si>
  <si>
    <t>MRS.KOMATHI E (AJ37405) (55Y|F)</t>
  </si>
  <si>
    <t>GEN_T_2.0.spik_2133</t>
  </si>
  <si>
    <t>AND25630003091</t>
  </si>
  <si>
    <t>MR.BASAVARAJ A(34YM)</t>
  </si>
  <si>
    <t>GEN_T_2.0.spik_2134</t>
  </si>
  <si>
    <t>AND25910029128</t>
  </si>
  <si>
    <t>MRS.POOJA BASAVARAJ (28Y/F)</t>
  </si>
  <si>
    <t>GEN_T_2.0.spik_2135</t>
  </si>
  <si>
    <t>AND25910029283</t>
  </si>
  <si>
    <t>BABY.IMMANUEL(2YM)</t>
  </si>
  <si>
    <t>GEN_T_2.0.spik_2136</t>
  </si>
  <si>
    <t>AND25020049209</t>
  </si>
  <si>
    <t>20/11/2025</t>
  </si>
  <si>
    <t>19-11-2025</t>
  </si>
  <si>
    <t>MRS.SUNANDA (27/F) AF</t>
  </si>
  <si>
    <t>GEN_T_2.0.spik_AF2137</t>
  </si>
  <si>
    <t>ADB0000007287</t>
  </si>
  <si>
    <r>
      <rPr>
        <rFont val="Arial"/>
        <color rgb="FFFF0000"/>
      </rPr>
      <t>Pathogenic (AR)</t>
    </r>
    <r>
      <rPr>
        <rFont val="Arial"/>
        <color theme="1"/>
      </rPr>
      <t>,</t>
    </r>
    <r>
      <rPr>
        <rFont val="Arial"/>
        <color rgb="FFB45F06"/>
      </rPr>
      <t>Greyzone (TBP)</t>
    </r>
  </si>
  <si>
    <t>MRS.SHALINI (31/F) poc</t>
  </si>
  <si>
    <t>GEN_T_2.0.spik_2138</t>
  </si>
  <si>
    <t>DCC0000000717</t>
  </si>
  <si>
    <t>KANPUR METRO HOSPITAL PVT LTD - KANPUR</t>
  </si>
  <si>
    <t>Raghavi/ Naveen</t>
  </si>
  <si>
    <t>BABY.SATYBHAMA KURMI (0YO)</t>
  </si>
  <si>
    <t>GEN_T_2.0.spik_AF2139</t>
  </si>
  <si>
    <t>AND25AE0000294</t>
  </si>
  <si>
    <t>Pathogenic (AR)</t>
  </si>
  <si>
    <t>MRS.HETAVI MAJMUDAR (28 Y 6 M 28 D /Female)POC</t>
  </si>
  <si>
    <t>GEN_T_2.0.spik_2140</t>
  </si>
  <si>
    <t>AMB0000001823</t>
  </si>
  <si>
    <t>19/11/2026</t>
  </si>
  <si>
    <t>MRS.MUTHU SELVI(20YF) CVS</t>
  </si>
  <si>
    <t>GEN_T_2.0.spik_AF2141</t>
  </si>
  <si>
    <t>AND25360044099</t>
  </si>
  <si>
    <t>MRS.ABOOJA M PRADEEP (29YF)</t>
  </si>
  <si>
    <t>GEN_T_2.0.spik_2142</t>
  </si>
  <si>
    <t>AND25380162932</t>
  </si>
  <si>
    <t>MR.SHYAMRAJ G S (30YM)</t>
  </si>
  <si>
    <t>GEN_T_2.0.spik_2143</t>
  </si>
  <si>
    <t>AND25380162931</t>
  </si>
  <si>
    <t>MRS.2282(31Y/F)</t>
  </si>
  <si>
    <t>GEN_T_2.0.spik_2144</t>
  </si>
  <si>
    <t>AMB0000001888</t>
  </si>
  <si>
    <t>19/11/2025</t>
  </si>
  <si>
    <t>MRS.RAMYA P(30 Y 0 M 0 D /F)</t>
  </si>
  <si>
    <t>GEN_T_2.0.spik_2145</t>
  </si>
  <si>
    <t>ADB0000007690</t>
  </si>
  <si>
    <t>21-11-2025</t>
  </si>
  <si>
    <t>MRS.DEVANSH S(9 Y 7 M 8 D /F)</t>
  </si>
  <si>
    <t>GEN_T_2.0.spik_2146</t>
  </si>
  <si>
    <t>ADB0000007644</t>
  </si>
  <si>
    <t>18/11/2025</t>
  </si>
  <si>
    <t>MR.RAKESH(AK69976) (16Y|M)</t>
  </si>
  <si>
    <t>GEN_T_2.0.spik_2147</t>
  </si>
  <si>
    <t>AND25630003161</t>
  </si>
  <si>
    <t>DR. SUJITH KUMAR(36 Y 0 M 0 D /M)</t>
  </si>
  <si>
    <t>GEN_T_2.0.spik_2148</t>
  </si>
  <si>
    <t>ADB0000007640</t>
  </si>
  <si>
    <t xml:space="preserve">Naveen  </t>
  </si>
  <si>
    <t>DR.ANUSEKHA(31 Y 0 M 0 D /F)</t>
  </si>
  <si>
    <t>GEN_T_2.0.spik_2149</t>
  </si>
  <si>
    <t>ADB0000007639</t>
  </si>
  <si>
    <t>MR.KARUNAMOORTHI B(36YM)</t>
  </si>
  <si>
    <t>GEN_T_2.0.spik_2150</t>
  </si>
  <si>
    <t>AND25290010286</t>
  </si>
  <si>
    <t>ABRAHAM OOMMAN MD,DM,DNB,MNAMS</t>
  </si>
  <si>
    <t>15-11-2025</t>
  </si>
  <si>
    <t>MASTER.CHARVIK BHONAGIR (7/M)</t>
  </si>
  <si>
    <t>GEN_T_2.0.spik_2151</t>
  </si>
  <si>
    <t>AND25420004223</t>
  </si>
  <si>
    <t>CONTINENTAL FERTILITY CENTER - CONTINENTAL HOSPITALS PVT LTD - GACHIBOWLI</t>
  </si>
  <si>
    <t>MRS.ANUSHA(31YF)</t>
  </si>
  <si>
    <t>GEN_T_2.0.spik_2152</t>
  </si>
  <si>
    <t>AND25910029661</t>
  </si>
  <si>
    <t>ANDERSON DIAGNOSTICS - SHIMOGA</t>
  </si>
  <si>
    <t>Dr. Meera (13-11-2025)</t>
  </si>
  <si>
    <t>MR.SIDDU(35YM)</t>
  </si>
  <si>
    <t>GEN_T_2.0.spik_2153</t>
  </si>
  <si>
    <t>AND25910029660</t>
  </si>
  <si>
    <t>MR.P DHRUVAHARSHA H/O. K. NAVYA SREE(36YM)</t>
  </si>
  <si>
    <t>GEN_T_2.0.spik_2154</t>
  </si>
  <si>
    <t>AND25420004281</t>
  </si>
  <si>
    <r>
      <rPr>
        <rFont val="Arial"/>
        <color rgb="FF34A853"/>
      </rPr>
      <t xml:space="preserve">Writeup available, </t>
    </r>
    <r>
      <rPr>
        <rFont val="Arial"/>
        <color rgb="FFF10D0C"/>
      </rPr>
      <t>TRF not available</t>
    </r>
  </si>
  <si>
    <t>MR.DURAIRAJU.V (74Y|M)</t>
  </si>
  <si>
    <t>Alzheimers Disease and Dementia NGS Panel Genes</t>
  </si>
  <si>
    <t>GEN_T_2.0.spik_2155</t>
  </si>
  <si>
    <t>AND25740044252</t>
  </si>
  <si>
    <t>ROCKFORT NEURO CENTRE - TRICHY</t>
  </si>
  <si>
    <t>MRS.APEKSHA SHUKLA(35 Y 7 M 27 D /F) AF</t>
  </si>
  <si>
    <t>GEN_T_2.0.spik_AF2156</t>
  </si>
  <si>
    <t>AMB0000001882</t>
  </si>
  <si>
    <t>BABY.SAJIVAN V(3YM)</t>
  </si>
  <si>
    <t>GEN_T_2.0.spik_2157</t>
  </si>
  <si>
    <t>AND25630003131</t>
  </si>
  <si>
    <t>21/11/2025</t>
  </si>
  <si>
    <t>MRS.MEGALA W/O SURIYA (6323)(28YF)</t>
  </si>
  <si>
    <t>GEN_T_2.0.spik_2158</t>
  </si>
  <si>
    <t>AND25680008357</t>
  </si>
  <si>
    <t>EMM ESS CLINICAL LAB - KANCHIPURAM .</t>
  </si>
  <si>
    <t>MR.SURIYA S/O LOGANATHAN (6324)(31YM)</t>
  </si>
  <si>
    <t>GEN_T_2.0.spik_2159</t>
  </si>
  <si>
    <t>AND25680008358</t>
  </si>
  <si>
    <t>SURFseq- Run-29B</t>
  </si>
  <si>
    <t>PRIMARY REVIWER (DIWAKAR/NAVEEN)</t>
  </si>
  <si>
    <t>MASTER.RINOSHAN ARIYATHAS (10Y|M) 04-09-2015</t>
  </si>
  <si>
    <t>GEN_T_2.0.spik_2160</t>
  </si>
  <si>
    <t>AND25020049467</t>
  </si>
  <si>
    <t>22/11/2025</t>
  </si>
  <si>
    <t>MASTER.R. ANSAR ALI(6YM)</t>
  </si>
  <si>
    <t>GEN_T_2.0.spik_2161</t>
  </si>
  <si>
    <t>AND25400028988</t>
  </si>
  <si>
    <t>ESIC HOSPITAL - TIRUNELVELI</t>
  </si>
  <si>
    <t>Greyzone (CNBP)</t>
  </si>
  <si>
    <t>MRS.UDAYANI PATHAPATI(37YF)</t>
  </si>
  <si>
    <t>GEN_T_2.0.spik_2162</t>
  </si>
  <si>
    <t>AND25420004339</t>
  </si>
  <si>
    <t>sample on hold, waiting for husband's sample</t>
  </si>
  <si>
    <t>History available in TRF, Writeup available-Deepika mam</t>
  </si>
  <si>
    <t>MRS.SIVA SANKARI(31YF)</t>
  </si>
  <si>
    <t>GEN_T_2.0.spik_2163</t>
  </si>
  <si>
    <t>AND25740045584</t>
  </si>
  <si>
    <t>23/11/2025</t>
  </si>
  <si>
    <t>13-12-2025</t>
  </si>
  <si>
    <t>SURFseq- Run-30A</t>
  </si>
  <si>
    <t>MISS.SHERLYN PAUL(13YF)</t>
  </si>
  <si>
    <t>GEN_T_2.0.spik_2165</t>
  </si>
  <si>
    <t>AND25030014279</t>
  </si>
  <si>
    <t>EEPAK ARJUNDAS MD (MED) D.M (NEURO) FRCP</t>
  </si>
  <si>
    <t>MRS.SWAPNA ADHIKARLA(37 Y 8 M 27 D /Female)</t>
  </si>
  <si>
    <t>GEN_T_2.0.spik_2166</t>
  </si>
  <si>
    <t>ADB0000007883</t>
  </si>
  <si>
    <t>BANGALORE - PROCESSING LAB - KARNATAKA</t>
  </si>
  <si>
    <t>Dr. Meera (18/11)</t>
  </si>
  <si>
    <t>26-11-2025</t>
  </si>
  <si>
    <t>MR.RAVI S ADHIKARLA(39 Y 5 M 22 D /Male)</t>
  </si>
  <si>
    <t>GEN_T_2.0.spik_2167</t>
  </si>
  <si>
    <t>ADB0000007884</t>
  </si>
  <si>
    <t>BABY.OF DEEPIKA(0 Y 0 M 15 D /Male)</t>
  </si>
  <si>
    <t>GEN_T_2.0.spik_2168</t>
  </si>
  <si>
    <t>DCC0000000831</t>
  </si>
  <si>
    <t>ANDERSON DELHI NCR - CC - DELHI</t>
  </si>
  <si>
    <t>MRS.PRASANNA (126332P) (26Y|F)</t>
  </si>
  <si>
    <t>GEN_T_2.0.spik_2169</t>
  </si>
  <si>
    <t>AND25630003174</t>
  </si>
  <si>
    <t>Naveen / Vikram</t>
  </si>
  <si>
    <t>MR.GOWTHAM KUMAR (AK76322) (31Y|M)</t>
  </si>
  <si>
    <t>GEN_T_2.0.spik_2170</t>
  </si>
  <si>
    <t>AND25630003173</t>
  </si>
  <si>
    <t>BABY.VEDANSH (145055P) (3Y|M)</t>
  </si>
  <si>
    <t>GEN_T_2.0.spik_2171</t>
  </si>
  <si>
    <t>AND25630003175</t>
  </si>
  <si>
    <t>MR.NANDISH(36YM)</t>
  </si>
  <si>
    <t>GEN_T_2.0.spik_2172</t>
  </si>
  <si>
    <t>AND25910030087</t>
  </si>
  <si>
    <t>SARJI FERTILITY AND RESEARCH CENTRE - SHIMOGA</t>
  </si>
  <si>
    <t>24/11/2025</t>
  </si>
  <si>
    <t>Vamshi (13-11-2025)</t>
  </si>
  <si>
    <t>MRS.RADHA NANDISH(37YF)</t>
  </si>
  <si>
    <t>GEN_T_2.0.spik_2173</t>
  </si>
  <si>
    <t>AND25910030086</t>
  </si>
  <si>
    <t>WES-303/25</t>
  </si>
  <si>
    <t>GEN_T_2.0.spik_2174</t>
  </si>
  <si>
    <t>AND25630003201</t>
  </si>
  <si>
    <t>CHRISTIAN MEDICAL COLLEGE - CYTOGENETICS</t>
  </si>
  <si>
    <t>MRS.DEEPALI (DONOR OF DIVYA JYOTHI)(29YF) - (Priority)</t>
  </si>
  <si>
    <t>GEN_T_2.0.spik_2175</t>
  </si>
  <si>
    <t>AND25420004413</t>
  </si>
  <si>
    <t>MS.REKHA S (612589B)(0YF) AF (rapid exome) CMC</t>
  </si>
  <si>
    <t>GEN_T_2.0.spik_AF2176</t>
  </si>
  <si>
    <t>AND25630003178</t>
  </si>
  <si>
    <t>SUMITA DANDA MD, DM (MEDICAL GENETICS)</t>
  </si>
  <si>
    <t xml:space="preserve">MRS.BHUVANESHWARI SURESH(22YF) AF of AND25810015244 and AND25810015245 </t>
  </si>
  <si>
    <t>Clinical Exome Sequencing - NGS</t>
  </si>
  <si>
    <t>GEN_T_2.0.spik_AF2177</t>
  </si>
  <si>
    <t>AND25810020649</t>
  </si>
  <si>
    <t>MRS.SANDHYA ASHISH SINGH(28 Y 5 M 5 D /Female) POC</t>
  </si>
  <si>
    <t>GEN_T_2.0.spik_2178</t>
  </si>
  <si>
    <t>AMB0000001932</t>
  </si>
  <si>
    <t>MUMBAI - CC - MAHARASHTRA</t>
  </si>
  <si>
    <t>MRS.BASAMMA G T (33YF)</t>
  </si>
  <si>
    <t>GEN_T_2.0.spik_AF2179</t>
  </si>
  <si>
    <t>AND25910029651</t>
  </si>
  <si>
    <t>MRS.R.RENUKA DEVI (2506114) (38Y|F) HCGP</t>
  </si>
  <si>
    <t>GEN_T_2.0.spik_2180</t>
  </si>
  <si>
    <t>AND25360043734</t>
  </si>
  <si>
    <t>BHARATHI INFINITITY HOSPITAL (A UNIT OF BHARATHI HOSPITALS PVT LTD) - MADURAI .</t>
  </si>
  <si>
    <t>BABY.BHARGAVI SREE (4M|F)</t>
  </si>
  <si>
    <t>GEN_T_2.0.spik_2181</t>
  </si>
  <si>
    <t>AND25020049687</t>
  </si>
  <si>
    <t xml:space="preserve">Dr. Meera    </t>
  </si>
  <si>
    <t>MRS.PRIYANKA VARTAK (36 Y 3 M 3 D /Female) wife of AMB0000000831</t>
  </si>
  <si>
    <t>GEN_T_2.0.spik_2182</t>
  </si>
  <si>
    <t>AMB0000002042</t>
  </si>
  <si>
    <t>25/11/2025</t>
  </si>
  <si>
    <t>Dr. Meera (11/11)</t>
  </si>
  <si>
    <t>BABY.LAKSHITHA H(1YF)</t>
  </si>
  <si>
    <t>GEN_T_2.0.spik_2183</t>
  </si>
  <si>
    <t>AND25020050288</t>
  </si>
  <si>
    <t>26/11/2025</t>
  </si>
  <si>
    <t>Dr. MEera</t>
  </si>
  <si>
    <t>MRS.RESHMA R ( 33 Y 0 M 0 D /Female)</t>
  </si>
  <si>
    <t>GEN_T_2.0.spik_2184</t>
  </si>
  <si>
    <t>ADB0000008080</t>
  </si>
  <si>
    <t>18-11-25</t>
  </si>
  <si>
    <t>Naveen / Gayathri</t>
  </si>
  <si>
    <t>BABY.RITHISH(5M/M)</t>
  </si>
  <si>
    <t>GEN_T_2.0.spik_2185</t>
  </si>
  <si>
    <t>AND25680008514</t>
  </si>
  <si>
    <t>NIVETHITHA M.D.</t>
  </si>
  <si>
    <t>MRS.SAVITHA K (33Y/F) AF</t>
  </si>
  <si>
    <t>GEN_T_2.0.spik_AF2186</t>
  </si>
  <si>
    <t>AND25910030162</t>
  </si>
  <si>
    <t>MRS.VARSHA TRIPATHI(30YF)</t>
  </si>
  <si>
    <t>GEN_T_2.0.spik_AF2187</t>
  </si>
  <si>
    <t>AND25AE0000330</t>
  </si>
  <si>
    <t>27/11/2025</t>
  </si>
  <si>
    <t>BABY OF.MOHANAPRIYA S/O AJITHKUMAR(13D/M)</t>
  </si>
  <si>
    <t>GEN_T_2.0.spik_2188</t>
  </si>
  <si>
    <t>AND25810022624</t>
  </si>
  <si>
    <t>MS.FETAL OF SIVARANJINI (884368P)(30YF)</t>
  </si>
  <si>
    <t>GEN_T_2.0.spik_AF2189</t>
  </si>
  <si>
    <t>AND25630003240</t>
  </si>
  <si>
    <t>BABY OF.SREEVANI NALLAM SETTY (43Y/F) (POC)</t>
  </si>
  <si>
    <t>GEN_T_2.0.spik_2190</t>
  </si>
  <si>
    <t>ATR0000003022</t>
  </si>
  <si>
    <t>TIRUPATHI - PROCESSING LAB - AP</t>
  </si>
  <si>
    <t>28/11/2025</t>
  </si>
  <si>
    <t>Dr. MEera (15/11)</t>
  </si>
  <si>
    <t>25-11-2025</t>
  </si>
  <si>
    <t>WES 304/25</t>
  </si>
  <si>
    <t>GEN_T_2.0.spik_2191</t>
  </si>
  <si>
    <t>AND25630003248</t>
  </si>
  <si>
    <t>MS.AL-WE3-W-527(30YF)</t>
  </si>
  <si>
    <t>GEN_T_2.0.spik_2192</t>
  </si>
  <si>
    <t>AND25630003241</t>
  </si>
  <si>
    <t>MR.AL-WE3-W-529(22YM)</t>
  </si>
  <si>
    <t>GEN_T_2.0.spik_2193</t>
  </si>
  <si>
    <t>AND25630003242</t>
  </si>
  <si>
    <t>MR.AL-WE3-W-538(41YM)</t>
  </si>
  <si>
    <t>GEN_T_2.0.spik_2194</t>
  </si>
  <si>
    <t>AND25630003243</t>
  </si>
  <si>
    <t>MR.AL-WE3-W-539(22YM)</t>
  </si>
  <si>
    <t>GEN_T_2.0.spik_2195</t>
  </si>
  <si>
    <t>AND25630003244</t>
  </si>
  <si>
    <t>MR.AL-WE3-CD-25-192(13YM)</t>
  </si>
  <si>
    <t>GEN_T_2.0.spik_2196</t>
  </si>
  <si>
    <t>AND25630003245</t>
  </si>
  <si>
    <t>VINOD S-HPT-0004</t>
  </si>
  <si>
    <t>GEN_T_2.0.spik_2197</t>
  </si>
  <si>
    <t>CMC not billed</t>
  </si>
  <si>
    <t>GUMMIDI SATISH KUMAR-HPT-0008</t>
  </si>
  <si>
    <t>GEN_T_2.0.spik_2198</t>
  </si>
  <si>
    <t>RAJENDAR-HPT-0016</t>
  </si>
  <si>
    <t>GEN_T_2.0.spik_2199</t>
  </si>
  <si>
    <t>NOUSHAD P-HPT-0019</t>
  </si>
  <si>
    <t>GEN_T_2.0.spik_2200</t>
  </si>
  <si>
    <t>TARUN ROY-HPT-0020</t>
  </si>
  <si>
    <t>GEN_T_2.0.spik_2201</t>
  </si>
  <si>
    <t>GEETHA RANI-HBD-69</t>
  </si>
  <si>
    <t>GEN_T_2.0.spik_2202</t>
  </si>
  <si>
    <t>SK SALMA-HBD-71</t>
  </si>
  <si>
    <t>GEN_T_2.0.spik_2203</t>
  </si>
  <si>
    <t>SHWANA ASFA-HBD-73</t>
  </si>
  <si>
    <t>GEN_T_2.0.spik_2204</t>
  </si>
  <si>
    <t>SHAKEENA TULFATHA-HBD-75</t>
  </si>
  <si>
    <t>GEN_T_2.0.spik_2205</t>
  </si>
  <si>
    <t>RAMESH-HBD-76</t>
  </si>
  <si>
    <t>GEN_T_2.0.spik_2206</t>
  </si>
  <si>
    <t>KARTHI R-HBD-77</t>
  </si>
  <si>
    <t>GEN_T_2.0.spik_2207</t>
  </si>
  <si>
    <t>SANGEETHA D-HBD-78</t>
  </si>
  <si>
    <t>GEN_T_2.0.spik_2208</t>
  </si>
  <si>
    <t>HARINI-HBD-79</t>
  </si>
  <si>
    <t>GEN_T_2.0.spik_2209</t>
  </si>
  <si>
    <t>MADHAN-HBD-84</t>
  </si>
  <si>
    <t>GEN_T_2.0.spik_2210</t>
  </si>
  <si>
    <t>HALEEMA SATHYA-HBD-85</t>
  </si>
  <si>
    <t>GEN_T_2.0.spik_2211</t>
  </si>
  <si>
    <t>PANYE PIKA</t>
  </si>
  <si>
    <t>GEN_T_2.0.spik_2212</t>
  </si>
  <si>
    <t>ZALALUDDIN AHMED</t>
  </si>
  <si>
    <t>GEN_T_2.0.spik_2213</t>
  </si>
  <si>
    <t>SURFseq- Run-31B</t>
  </si>
  <si>
    <t>MR.HARIN (22Y|M)</t>
  </si>
  <si>
    <t>GEN_T_2.0.spik_2214</t>
  </si>
  <si>
    <t>AND25850005804</t>
  </si>
  <si>
    <t>30/11/25</t>
  </si>
  <si>
    <t>Dr. MEera (18/11)</t>
  </si>
  <si>
    <r>
      <rPr>
        <rFont val="Arial"/>
        <color rgb="FF34A853"/>
      </rPr>
      <t xml:space="preserve">Writeup available, </t>
    </r>
    <r>
      <rPr>
        <rFont val="Arial"/>
        <color rgb="FFF10D0C"/>
      </rPr>
      <t>TRF not available</t>
    </r>
  </si>
  <si>
    <t>MS.ELISHA (22Y|F)</t>
  </si>
  <si>
    <t>GEN_T_2.0.spik_2215</t>
  </si>
  <si>
    <t>AND25850005805</t>
  </si>
  <si>
    <r>
      <rPr>
        <rFont val="Arial"/>
        <color rgb="FF34A853"/>
      </rPr>
      <t xml:space="preserve">Writeup available, </t>
    </r>
    <r>
      <rPr>
        <rFont val="Arial"/>
        <color rgb="FFF10D0C"/>
      </rPr>
      <t>TRF not available</t>
    </r>
  </si>
  <si>
    <t>MRS.SANGEETHA KARTHIK(49YF)</t>
  </si>
  <si>
    <t>GEN_T_2.0.spik_2216</t>
  </si>
  <si>
    <t>AND25270018567</t>
  </si>
  <si>
    <t>28/11/25</t>
  </si>
  <si>
    <t>MRS.BACKIYALAKSHMI(21YF)</t>
  </si>
  <si>
    <t>GEN_T_2.0.spik_2217</t>
  </si>
  <si>
    <t>AND25360046780</t>
  </si>
  <si>
    <t>DOPPLER SCAN – MADURAI</t>
  </si>
  <si>
    <t>29/11/25</t>
  </si>
  <si>
    <t>17-11-2025</t>
  </si>
  <si>
    <t>MR.SELVAKUMAR(28YM)</t>
  </si>
  <si>
    <t>GEN_T_2.0.spik_2218</t>
  </si>
  <si>
    <t>AND25360046781</t>
  </si>
  <si>
    <t xml:space="preserve">MRS.NIDHI S. SAJAN(AA54740) (6Y|F) </t>
  </si>
  <si>
    <t>GEN_T_2.0.spik_2219</t>
  </si>
  <si>
    <t>AND25630003264</t>
  </si>
  <si>
    <t>20/11/25</t>
  </si>
  <si>
    <t>Naveen/Vikram</t>
  </si>
  <si>
    <t>MRS.VINMATHI(33YF)</t>
  </si>
  <si>
    <t>GEN_T_2.0.spik_2220</t>
  </si>
  <si>
    <t>AND25370027872</t>
  </si>
  <si>
    <t>29/12/2025</t>
  </si>
  <si>
    <t>MR.DINAKARAN(34YM)</t>
  </si>
  <si>
    <t>GEN_T_2.0.spik_2221</t>
  </si>
  <si>
    <t>AND25370027873</t>
  </si>
  <si>
    <t>MASTER.GOWSHIK(11YM)</t>
  </si>
  <si>
    <t>GEN_T_2.0.spik_2222</t>
  </si>
  <si>
    <t>AND25410023252</t>
  </si>
  <si>
    <t>PADHUVAI HOSPITAL – THUCKALAY</t>
  </si>
  <si>
    <t>MASTER.VIKASHDEEPAN(2YM)</t>
  </si>
  <si>
    <t>GEN_T_2.0.spik_2223</t>
  </si>
  <si>
    <t>AND25370027991</t>
  </si>
  <si>
    <t>JASS HEALTH CARE CENTRE AND HOSPITAL - KOLATHUR</t>
  </si>
  <si>
    <t>Dr. Meera (21/11)</t>
  </si>
  <si>
    <t>22-11-2025</t>
  </si>
  <si>
    <r>
      <rPr>
        <rFont val="Arial"/>
        <color rgb="FF34A853"/>
      </rPr>
      <t xml:space="preserve">Writeup available, </t>
    </r>
    <r>
      <rPr>
        <rFont val="Arial"/>
        <color rgb="FFF10D0C"/>
      </rPr>
      <t>TRF not available</t>
    </r>
  </si>
  <si>
    <t>MRS.KASISWARI(25YF)</t>
  </si>
  <si>
    <t>GEN_T_2.0.spik_2224</t>
  </si>
  <si>
    <t>AND25420004551</t>
  </si>
  <si>
    <t>SUKEERTHI ELURI DR</t>
  </si>
  <si>
    <t>29-11-2025</t>
  </si>
  <si>
    <t>MR.MUGESH(22Y/M)</t>
  </si>
  <si>
    <t>GEN_T_2.0.spik_2225</t>
  </si>
  <si>
    <t>AND25630003262</t>
  </si>
  <si>
    <t>FUTUREVISION ART BANK - CHENNAI</t>
  </si>
  <si>
    <t>27-11-2025</t>
  </si>
  <si>
    <t xml:space="preserve">MR.DR SHIVKUMAR SAHU (35/M) </t>
  </si>
  <si>
    <t>GEN_T_2.0.spik_2226</t>
  </si>
  <si>
    <t>AND25AE0000340</t>
  </si>
  <si>
    <t>Dr. MEera (17/11)</t>
  </si>
  <si>
    <t>MRS.DR DEEPSHIKHA SAHU (35/F)</t>
  </si>
  <si>
    <t>GEN_T_2.0.spik_2227</t>
  </si>
  <si>
    <t>AND25AE0000341</t>
  </si>
  <si>
    <t>MRS.SUGANTHI N(55YF)</t>
  </si>
  <si>
    <t>GEN_T_2.0.spik_2228</t>
  </si>
  <si>
    <t>AND25290010841</t>
  </si>
  <si>
    <t>28-11-2025</t>
  </si>
  <si>
    <t>MRS.REGINA PAULRAJ.G(60YF)</t>
  </si>
  <si>
    <t>GEN_T_2.0.spik_2229</t>
  </si>
  <si>
    <t>AND25790014435</t>
  </si>
  <si>
    <t>MADRAS MEDICAL MISSION</t>
  </si>
  <si>
    <t>SURFseq- Run-32A</t>
  </si>
  <si>
    <t>MASTER.J.M.ARYAN(11MM)</t>
  </si>
  <si>
    <t>GEN_T_2.0.spik_2230</t>
  </si>
  <si>
    <t>AND25990039750</t>
  </si>
  <si>
    <t>MR.AROUL ROBERT(83YM)</t>
  </si>
  <si>
    <t>GEN_T_2.0.spik_2231</t>
  </si>
  <si>
    <t>AND25060009130</t>
  </si>
  <si>
    <t>BASKARAN SRINIVASAN MBBS,DNB,(MEDICINE) DNB CARDIOLOGY</t>
  </si>
  <si>
    <t>Dr. meera (21/11)</t>
  </si>
  <si>
    <t>MRS.AMRUTHA HARITHA B N (33 Y 0 M 0 D /Female)</t>
  </si>
  <si>
    <t>GEN_T_2.0.spik_2232</t>
  </si>
  <si>
    <t>ADB0000008695</t>
  </si>
  <si>
    <t>24-11-25</t>
  </si>
  <si>
    <t>MRS.CHANDINI M (27 Y 3 M 23 D /Female) POC</t>
  </si>
  <si>
    <t>GEN_T_2.0.spik_2233</t>
  </si>
  <si>
    <t>ADB0000008641</t>
  </si>
  <si>
    <t>DR.MRINALINI SINGH (35/F)AF</t>
  </si>
  <si>
    <t>GEN_T_2.0.spik_AF2234</t>
  </si>
  <si>
    <t>AMB0000002176</t>
  </si>
  <si>
    <t>MRS.TAMILSELVI (26Y/F)</t>
  </si>
  <si>
    <t>GEN_T_2.0.spik_2235</t>
  </si>
  <si>
    <t>AND25380175211</t>
  </si>
  <si>
    <t>YOGANA HOSPITAL(A UNIT OF A4 HOSPITAL) - URAPAKKAM</t>
  </si>
  <si>
    <t>MR.VENKATESAN (35Y/M)</t>
  </si>
  <si>
    <t>GEN_T_2.0.spik_2236</t>
  </si>
  <si>
    <t>AND25380175212</t>
  </si>
  <si>
    <t>BABY.KHUSHVANTH NAIDU V(1YM)</t>
  </si>
  <si>
    <t>GEN_T_2.0.spik_2237</t>
  </si>
  <si>
    <t>AND251H0003425</t>
  </si>
  <si>
    <t>BADANA RAMA KOTESWARA RAO MBBS DCH DNB (PAEDATRICS)</t>
  </si>
  <si>
    <t>BABY OF.BRINDHA(1DM) POC</t>
  </si>
  <si>
    <t>GEN_T_2.0.spik_2238</t>
  </si>
  <si>
    <t>AND25410023729</t>
  </si>
  <si>
    <t>MJ HOSPITAL - NAGERCOIL</t>
  </si>
  <si>
    <t>MR.NIKHIL JOY BHASKAR (32/M)</t>
  </si>
  <si>
    <t>GEN_T_2.0.spik_2239</t>
  </si>
  <si>
    <t>ADB0000008707</t>
  </si>
  <si>
    <t>MRS.PRANJAL JAWALKAR (30/F)</t>
  </si>
  <si>
    <t>GEN_T_2.0.spik_2240</t>
  </si>
  <si>
    <t>ADB0000008708</t>
  </si>
  <si>
    <t>MASTER.KIRTHIK(5Y/M)</t>
  </si>
  <si>
    <t>GEN_T_2.0.spik_2241</t>
  </si>
  <si>
    <t>AND25630003318</t>
  </si>
  <si>
    <t>MRS.SANIYA RIYAZ SHAIKH(25 Y 10 M 4 D /Female) - Donor of AND25750005131</t>
  </si>
  <si>
    <t>GEN_T_2.0.spik_2242</t>
  </si>
  <si>
    <t>AMB0000002342</t>
  </si>
  <si>
    <t>21-11-25</t>
  </si>
  <si>
    <t>BABY.LAKSHANA J B(6Y/F)</t>
  </si>
  <si>
    <t>GEN_T_2.0.spik_2243</t>
  </si>
  <si>
    <t>AND25020051139</t>
  </si>
  <si>
    <t>MRS.MONICA NEELAM(36 Y 2 M 4 D /Female)</t>
  </si>
  <si>
    <t>GEN_T_2.0.spik_2244</t>
  </si>
  <si>
    <t>ADB0000008912</t>
  </si>
  <si>
    <t>MR.DEEPAN(37 Y 0 M 7 D /Male)</t>
  </si>
  <si>
    <t>GEN_T_2.0.spik_2245</t>
  </si>
  <si>
    <t>ADB0000008914</t>
  </si>
  <si>
    <t>AL-WE4-W-559 (6Y/M)</t>
  </si>
  <si>
    <t>GEN_T_2.0.spik_2246</t>
  </si>
  <si>
    <t>AL-WE4-W-560 (38Y/M)</t>
  </si>
  <si>
    <t>GEN_T_2.0.spik_2247</t>
  </si>
  <si>
    <t>AL-WE4-W-562 (1Y/M)</t>
  </si>
  <si>
    <t>GEN_T_2.0.spik_2248</t>
  </si>
  <si>
    <t>AL-WE4-W-568 (22Y/F)</t>
  </si>
  <si>
    <t>GEN_T_2.0.spik_2249</t>
  </si>
  <si>
    <t>AL-WE4-W-570 (3Y/F)</t>
  </si>
  <si>
    <t>GEN_T_2.0.spik_2250</t>
  </si>
  <si>
    <t>AL-WE4-W-571 (17Y/M)</t>
  </si>
  <si>
    <t>GEN_T_2.0.spik_2251</t>
  </si>
  <si>
    <t>BABY.THAHASEEN TABASSUM M S (973896H) (5Y|M)</t>
  </si>
  <si>
    <t>GEN_T_2.0.spik_2252</t>
  </si>
  <si>
    <t>AND25630003344</t>
  </si>
  <si>
    <t>MS.KALIGIRI PARVATHAMMA (AK83286) (27Y|F)</t>
  </si>
  <si>
    <t>GEN_T_2.0.spik_2253</t>
  </si>
  <si>
    <t>AND25630003347</t>
  </si>
  <si>
    <t>SURFseq- Run-33B</t>
  </si>
  <si>
    <t>MR.NACHIAPPAN(35Y/M)</t>
  </si>
  <si>
    <t>GEN_T_2.0.spik_2256</t>
  </si>
  <si>
    <t>AND25150081018</t>
  </si>
  <si>
    <t>S J SPECIALITY CLINIC - CHENNAI</t>
  </si>
  <si>
    <t>MRS.GAYATHRI(30Y/F)</t>
  </si>
  <si>
    <t>GEN_T_2.0.spik_2257</t>
  </si>
  <si>
    <t>AND25150081019</t>
  </si>
  <si>
    <t>MR. PEERAPPA KAPALI(35 Y 10 M 3 D /Male)</t>
  </si>
  <si>
    <t>GEN_T_2.0.spik_2258</t>
  </si>
  <si>
    <t>ADH0000000390</t>
  </si>
  <si>
    <t>HUBLI - PROCESSING LAB - KARNATAKA</t>
  </si>
  <si>
    <t>Dr. Meera (26-11-2025)</t>
  </si>
  <si>
    <t>MRS.LAXMI PEERAPPA KAPALI (23 Y 3 M 18 D /Female)</t>
  </si>
  <si>
    <t>GEN_T_2.0.spik_2259</t>
  </si>
  <si>
    <t>ADH0000000391</t>
  </si>
  <si>
    <t>MRS.GANGAVVA ADAGIMANI (7724) (25) (24 Y 1 M 28 D /Female) POC</t>
  </si>
  <si>
    <t>GEN_T_2.0.spik_2260</t>
  </si>
  <si>
    <t>ADH0000000413</t>
  </si>
  <si>
    <t>MR.SRIRAM M(26YM)</t>
  </si>
  <si>
    <t>GEN_T_2.0.spik_2261</t>
  </si>
  <si>
    <t>AND25730007302</t>
  </si>
  <si>
    <t>MRS.JENITHA(35YF)</t>
  </si>
  <si>
    <t>Female Infertility NGS pane</t>
  </si>
  <si>
    <t>GEN_T_2.0.spik_2262</t>
  </si>
  <si>
    <t>AND25740049049</t>
  </si>
  <si>
    <t>JANANI - TRICHY FERTILITY CENTRE</t>
  </si>
  <si>
    <t>29-11-25</t>
  </si>
  <si>
    <t>Gayathri/ Naveen</t>
  </si>
  <si>
    <t>MRS. DONOR OF SAUMYA PRASAD (k) (24 Y 10 M 4 D /Female) ( KAJAL 26Y/F) (AND25100002400)</t>
  </si>
  <si>
    <t>GEN_T_2.0.spik_2263</t>
  </si>
  <si>
    <t>DCC0000001044</t>
  </si>
  <si>
    <t>MRS.SHEELEKKA(28YF)</t>
  </si>
  <si>
    <t>GEN_T_2.0.spik_2264</t>
  </si>
  <si>
    <t>AND25380178134</t>
  </si>
  <si>
    <t>Vamshi (28-11-2025)</t>
  </si>
  <si>
    <t>15-12-2025</t>
  </si>
  <si>
    <t>MR.RAMAKRISHNAN (29YM)</t>
  </si>
  <si>
    <t>GEN_T_2.0.spik_2265</t>
  </si>
  <si>
    <t>AND25380178135</t>
  </si>
  <si>
    <t>MISS.ABARNA R (17-07393)(9YF)</t>
  </si>
  <si>
    <t>GEN_T_2.0.spik_2266</t>
  </si>
  <si>
    <t>AND25410024213</t>
  </si>
  <si>
    <t>Greyzone (ATXN7)</t>
  </si>
  <si>
    <t>BABY.MUTHU A (221211825)(3YM)</t>
  </si>
  <si>
    <t>GEN_T_2.0.spik_2267</t>
  </si>
  <si>
    <t>AND25410024214</t>
  </si>
  <si>
    <t>MRS.DONOR SUNAYANA DEVIDAS (HEG 34733)(24YF)</t>
  </si>
  <si>
    <t>GEN_T_2.0.spik_2268</t>
  </si>
  <si>
    <t>AND25420004673</t>
  </si>
  <si>
    <t>MR.T SAI THARUN H/O. A. VAISHNAVI (HEG 37981)(32YM)</t>
  </si>
  <si>
    <t>GEN_T_2.0.spik_2269</t>
  </si>
  <si>
    <t>AND25420004674</t>
  </si>
  <si>
    <t>MR.RUPESH KUMAR JHA(28YM)</t>
  </si>
  <si>
    <t>GEN_T_2.0.spik_2270</t>
  </si>
  <si>
    <t>AND25630003360</t>
  </si>
  <si>
    <t>BABY OF.LIKITHA(18DM)</t>
  </si>
  <si>
    <t>GEN_T_2.0.spik_2271</t>
  </si>
  <si>
    <t>AND251H0003500</t>
  </si>
  <si>
    <t>VISWABHARATHI HOSPITAL - KURNOOL</t>
  </si>
  <si>
    <t>BABY.LOGESHWARI .A(7YF)</t>
  </si>
  <si>
    <t>GEN_T_2.0.spik_2272</t>
  </si>
  <si>
    <t>AND25020052716</t>
  </si>
  <si>
    <t>BABY.THARUN .L(2YM)</t>
  </si>
  <si>
    <t>GEN_T_2.0.spik_2273</t>
  </si>
  <si>
    <t>AND25020052718</t>
  </si>
  <si>
    <t>BABY.GOKULA PRIYAN .V(5MM)</t>
  </si>
  <si>
    <t>GEN_T_2.0.spik_2274</t>
  </si>
  <si>
    <t>AND25020052717</t>
  </si>
  <si>
    <t>MRS.PARLAPELLY MEGHANA (29YF)</t>
  </si>
  <si>
    <t>GEN_T_2.0.spik_2275</t>
  </si>
  <si>
    <t>AND25420004751</t>
  </si>
  <si>
    <t>MRS.PARALAPELLY LAXMAN(32YF)</t>
  </si>
  <si>
    <t>GEN_T_2.0.spik_2276</t>
  </si>
  <si>
    <t>AND25420004752</t>
  </si>
  <si>
    <t>SANJOY BISWAS (30Y|M)</t>
  </si>
  <si>
    <t>GEN_T_2.0.spik_2277</t>
  </si>
  <si>
    <t>AND25370029346</t>
  </si>
  <si>
    <t>ABDUL MBBS MD, OBG INFERTILITY SPECIALIST</t>
  </si>
  <si>
    <t>Dhananjoy BISWAS (32Y/M)</t>
  </si>
  <si>
    <t>GEN_T_2.0.spik_2278</t>
  </si>
  <si>
    <t>AND25370029347</t>
  </si>
  <si>
    <t>MASTER.THARUN PRASANTH S/O MUTHUSAMY (4YM)</t>
  </si>
  <si>
    <t>GEN_T_2.0.spik_2279</t>
  </si>
  <si>
    <t>AND25990040607</t>
  </si>
  <si>
    <t>MAHALAKSHMI HOSPITAL ULUNDURPET</t>
  </si>
  <si>
    <t>Diwakar (general analysis)</t>
  </si>
  <si>
    <t>MRS.POOJA DUBEY(37YF) CVS</t>
  </si>
  <si>
    <t>GEN_T_2.0.spik_AF2280</t>
  </si>
  <si>
    <t>AND25AE0000349</t>
  </si>
  <si>
    <t>BABY.VARSHIKA SREE (3M|F)</t>
  </si>
  <si>
    <t>GEN_T_2.0.spik_2281</t>
  </si>
  <si>
    <t>AND25630003380</t>
  </si>
  <si>
    <t>MRS.AYISHA (29YF)</t>
  </si>
  <si>
    <t>GEN_T_2.0.spik_2282</t>
  </si>
  <si>
    <t>AND25380180788</t>
  </si>
  <si>
    <t>LIFE CARE ORTHO CLINIC - MANNADY</t>
  </si>
  <si>
    <t>MR.AZARUDEEN(35YM)</t>
  </si>
  <si>
    <t>GEN_T_2.0.spik_2283</t>
  </si>
  <si>
    <t>AND25380180789</t>
  </si>
  <si>
    <t>BABY.ARHAM .S(1YM)</t>
  </si>
  <si>
    <t>GEN_T_2.0.spik_2284</t>
  </si>
  <si>
    <t>AND25630003376</t>
  </si>
  <si>
    <t>MR.ANBAZHAGAN(36YM) - husband  of  MRS.MONIKA(31Y/F) - AND25020053900</t>
  </si>
  <si>
    <t>GEN_T_2.0.spik_2285</t>
  </si>
  <si>
    <t>AND25630003377</t>
  </si>
  <si>
    <t>MRS.LATHA T S (33 Y 0 M 0 D /Female)</t>
  </si>
  <si>
    <t>GEN_T_2.0.spik_2286</t>
  </si>
  <si>
    <t>ADB0000009451</t>
  </si>
  <si>
    <t>MR.LINGARAJU C H (40 Y 0 M 0 D /Male)</t>
  </si>
  <si>
    <t>GEN_T_2.0.spik_2287</t>
  </si>
  <si>
    <t>ADB0000009452</t>
  </si>
  <si>
    <t>SURFseq- Run-34A</t>
  </si>
  <si>
    <t xml:space="preserve"> MRS.BRINDHA RAGHAVEE (900031387)(34YF) </t>
  </si>
  <si>
    <t>GEN_T_2.0.spik_2289</t>
  </si>
  <si>
    <t>AND25380181049</t>
  </si>
  <si>
    <t>PRASHANTH HOSPITAL &amp; RESEARCH CENTRE - CHETPET</t>
  </si>
  <si>
    <t>History available in TRF, Writeup available- Deepika mam</t>
  </si>
  <si>
    <t>MR.BHARANI THARAN (900038302)(34YM)</t>
  </si>
  <si>
    <t>GEN_T_2.0.spik_2290</t>
  </si>
  <si>
    <t>AND25380181050</t>
  </si>
  <si>
    <t>BABY.AHIL REHMAN S(5YM)</t>
  </si>
  <si>
    <t>GEN_T_2.0.spik_2291</t>
  </si>
  <si>
    <t>AND251H0003563</t>
  </si>
  <si>
    <t>KIMS HOSPITAL - KURNOOL</t>
  </si>
  <si>
    <t>MRS.D RATNA SNEHASRI W/O. BHAGATH (30Y|F)</t>
  </si>
  <si>
    <t>GEN_T_2.0.spik_2292</t>
  </si>
  <si>
    <t>AND25420004797</t>
  </si>
  <si>
    <t>Vamsi</t>
  </si>
  <si>
    <t>MR.BHAGATH H/O. D RATNA SNEHASRI(33YM)</t>
  </si>
  <si>
    <t>GEN_T_2.0.spik_2293</t>
  </si>
  <si>
    <t>AND25420004798</t>
  </si>
  <si>
    <t>BABY.GUNADEV PAGADALA(6YF)</t>
  </si>
  <si>
    <t>GEN_T_2.0.spik_2294</t>
  </si>
  <si>
    <t>AND25420004799</t>
  </si>
  <si>
    <t>MR.SHARAN KUMAR(35YM)</t>
  </si>
  <si>
    <t>GEN_T_2.0.spik_2295</t>
  </si>
  <si>
    <t>AND25850006023</t>
  </si>
  <si>
    <t>DR.LATHA JAWAHAR MD DGO</t>
  </si>
  <si>
    <t>MRS.YUVA BHARATHI(34YF)</t>
  </si>
  <si>
    <t>GEN_T_2.0.spik_2296</t>
  </si>
  <si>
    <t>AND25850006024</t>
  </si>
  <si>
    <t>MASTER.ZAYAN C 479688(13YM)</t>
  </si>
  <si>
    <t>GEN_T_2.0.spik_2297</t>
  </si>
  <si>
    <t>AND25720026246</t>
  </si>
  <si>
    <t>Dr. Meera (28-11-2025)</t>
  </si>
  <si>
    <t>BABY.HARI HARAN(9MM)</t>
  </si>
  <si>
    <t>GEN_T_2.0.spik_2298</t>
  </si>
  <si>
    <t>AND25630003433</t>
  </si>
  <si>
    <t>MRS.SOJA U C(57YF)</t>
  </si>
  <si>
    <t>GEN_T_2.0.spik_2299</t>
  </si>
  <si>
    <t>AND25030015378</t>
  </si>
  <si>
    <t>MRS.MURAM SUDARSHANA REDDY (HEG 40023)(35YF)</t>
  </si>
  <si>
    <t>GEN_T_2.0.spik_2300</t>
  </si>
  <si>
    <t>AND25420004804</t>
  </si>
  <si>
    <t>17-12-2025</t>
  </si>
  <si>
    <t>MR.VENKATA NAGARJU S(VIJAYA LAKSHMI R) (34Y|M)</t>
  </si>
  <si>
    <t>GEN_T_2.0.spik_2301</t>
  </si>
  <si>
    <t>AND251H0003584</t>
  </si>
  <si>
    <t>Dr. Meera (01-12-2025)</t>
  </si>
  <si>
    <t>MS.MONICA(23YF)</t>
  </si>
  <si>
    <t>GEN_T_2.0.spik_2302</t>
  </si>
  <si>
    <t>AND25630003435</t>
  </si>
  <si>
    <t>Vignesh (29-11-2025)</t>
  </si>
  <si>
    <t>MISS. AARADHYA TOMAR (0 Y 11 M 22 D /Female)</t>
  </si>
  <si>
    <t>GEN_T_2.0.spik_2303</t>
  </si>
  <si>
    <t>DCC0000001140</t>
  </si>
  <si>
    <t>KUNAL KALRA</t>
  </si>
  <si>
    <t>MR.BALA MURALI KRISHNA A (55Y|M)</t>
  </si>
  <si>
    <t>GEN_T_2.0.spik_2304</t>
  </si>
  <si>
    <t>AND251H0003608</t>
  </si>
  <si>
    <t>SURFseq- Run-35B</t>
  </si>
  <si>
    <t>BABY.MITHRA(6YF)</t>
  </si>
  <si>
    <t>GEN_T_2.0.spik_2305</t>
  </si>
  <si>
    <t>AND25020054019</t>
  </si>
  <si>
    <t>13/12/2025</t>
  </si>
  <si>
    <t>Dr. Meera (02-12-2025)</t>
  </si>
  <si>
    <t>BABY.MEETHRAN S (8Y|M)</t>
  </si>
  <si>
    <t>GEN_T_2.0.spik_2306</t>
  </si>
  <si>
    <t>AND25020054472</t>
  </si>
  <si>
    <t>15/12/2025</t>
  </si>
  <si>
    <t>MRS.MALLESWARI T(TIISUE)(29YF) POC</t>
  </si>
  <si>
    <t>GEN_T_2.0.spik_2307</t>
  </si>
  <si>
    <t>AND251H0003548</t>
  </si>
  <si>
    <t>MEDICURE HOSPITALS - ANANTAPURAM</t>
  </si>
  <si>
    <t>BABY.MOHAMMAD ARFAM A (2M|M)</t>
  </si>
  <si>
    <t>GEN_T_2.0.spik_2308</t>
  </si>
  <si>
    <t>AND25020053906</t>
  </si>
  <si>
    <t>vamshi (01-12-2025)</t>
  </si>
  <si>
    <t>MASTER.VETRIMARAN (7Y|M)</t>
  </si>
  <si>
    <t>GEN_T_2.0.spik_2309</t>
  </si>
  <si>
    <t>AND25020053899</t>
  </si>
  <si>
    <t>MRS.MONIKA(31Y/F) - wife of AND25630003377</t>
  </si>
  <si>
    <t>GEN_T_2.0.spik_2310</t>
  </si>
  <si>
    <t>AND25020053900</t>
  </si>
  <si>
    <t>Diwakar/ Naveen</t>
  </si>
  <si>
    <t>MRS.YUVARANI (33Y|F) 18-05-1992 - Mother of AND25630001908</t>
  </si>
  <si>
    <t>Single gene mutation analysis</t>
  </si>
  <si>
    <t>GEN_T_2.0.spik_2311</t>
  </si>
  <si>
    <t>AND25630003050</t>
  </si>
  <si>
    <t>BILLED FOR SGM, DNA RECEIVED FROM SANGERS. GIVEN FOR WES BY ANAND SIR ON 13-11-2025</t>
  </si>
  <si>
    <t>MR.SENTHIL (43Y|M) 04-06-1982 - Father of AND25630001908</t>
  </si>
  <si>
    <t>GEN_T_2.0.spik_2312</t>
  </si>
  <si>
    <t>AND25630003051</t>
  </si>
  <si>
    <t>BABY.PACKIYA LAKSHMI S (251011595) (9M|F)</t>
  </si>
  <si>
    <t>GEN_T_2.0.spik_2313</t>
  </si>
  <si>
    <t>AND25410025022</t>
  </si>
  <si>
    <t>MASTER.JENISH (231214036) (6Y|M)</t>
  </si>
  <si>
    <t>GEN_T_2.0.spik_2314</t>
  </si>
  <si>
    <t>AND25410025023</t>
  </si>
  <si>
    <t>MASTER.KOWSHIK(6YM)</t>
  </si>
  <si>
    <t>GEN_T_2.0.spik_2315</t>
  </si>
  <si>
    <t>AND25630003443</t>
  </si>
  <si>
    <t>Vamshi (02-12-2025)</t>
  </si>
  <si>
    <t>MISS.AYISHA FARVEEN D/O NOORUL AMEEN (14YF)</t>
  </si>
  <si>
    <t>GEN_T_2.0.spik_2316</t>
  </si>
  <si>
    <t>AND25990041906</t>
  </si>
  <si>
    <t>SRI MANAKULA VINAYAGAR MEDICAL COLLAGE AND HOSPITAL - PONDICHERY</t>
  </si>
  <si>
    <t>Dhivya</t>
  </si>
  <si>
    <t>MRS.KALAIVANI (2511036492)(36YF)</t>
  </si>
  <si>
    <t>GEN_T_2.0.spik_2317</t>
  </si>
  <si>
    <t>AND25150084640</t>
  </si>
  <si>
    <t>MR.RAJKAMAL (2511036492)(39YM)</t>
  </si>
  <si>
    <t>GEN_T_2.0.spik_2318</t>
  </si>
  <si>
    <t>AND25150084641</t>
  </si>
  <si>
    <t>BABY.ANTRO SIONIKA A (250707049)(3YF)</t>
  </si>
  <si>
    <t>GEN_T_2.0.spik_2319</t>
  </si>
  <si>
    <t>AND25410025195</t>
  </si>
  <si>
    <t>Vamshi (03-12-2025)</t>
  </si>
  <si>
    <t xml:space="preserve">Diwakar </t>
  </si>
  <si>
    <t>MR.SOURAV ADAK (29Y|M)</t>
  </si>
  <si>
    <t>GEN_T_2.0.spik_2320</t>
  </si>
  <si>
    <t>AND25850006111</t>
  </si>
  <si>
    <t>Dr.BALASUBRAMANIAM S MD., {INTERNAL MED} DM {NEUROLOGY}</t>
  </si>
  <si>
    <t>MRS.DONOR OF SREEDEVI W/O. VENKATA PHANI (PL)(27YF) - donor of AND25420001089</t>
  </si>
  <si>
    <t>GEN_T_2.0.spik_2321</t>
  </si>
  <si>
    <t>AND25420004839</t>
  </si>
  <si>
    <t>Naveen/ Raghavi</t>
  </si>
  <si>
    <t>MR.RAFIQ S (35/M)</t>
  </si>
  <si>
    <t>GEN_T_2.0.spik_2322</t>
  </si>
  <si>
    <t>AND251H0003629</t>
  </si>
  <si>
    <t>14/12/2025</t>
  </si>
  <si>
    <t>AL-WES-W-616 (28Y/F)</t>
  </si>
  <si>
    <t>GEN_T_2.0.spik_2323</t>
  </si>
  <si>
    <t>AL-WES-W-627 (16Y/M)</t>
  </si>
  <si>
    <t>GEN_T_2.0.spik_2324</t>
  </si>
  <si>
    <t>AL-WES-W-628 (23Y/M)</t>
  </si>
  <si>
    <t>GEN_T_2.0.spik_2325</t>
  </si>
  <si>
    <t>MEL-1.130</t>
  </si>
  <si>
    <t>GEN_T_2.0.spik_2326</t>
  </si>
  <si>
    <t>MRS.SUGUNA(40YF)</t>
  </si>
  <si>
    <t>GEN_T_2.0.spik_2327</t>
  </si>
  <si>
    <t>AND25060009689</t>
  </si>
  <si>
    <t>MASTER.KAMALESH .N(12YM)</t>
  </si>
  <si>
    <t>GEN_T_2.0.spik_2328</t>
  </si>
  <si>
    <t>AND25630003464</t>
  </si>
  <si>
    <t>Dr. Meera (05.12.2025)</t>
  </si>
  <si>
    <t>16-12-2025</t>
  </si>
  <si>
    <t>MR.THANIGAIVEL V(33YM)</t>
  </si>
  <si>
    <t>GEN_T_2.0.spik_2329</t>
  </si>
  <si>
    <t>AND25680009359</t>
  </si>
  <si>
    <t>DR.SUDHA RATHNA PRABHU M.B.B.S.,D.N.B.</t>
  </si>
  <si>
    <t>Vamshi (29-11-2025)</t>
  </si>
  <si>
    <t>22/12/2025</t>
  </si>
  <si>
    <t>MRS.SHANMUGA PRIYA(25YF)</t>
  </si>
  <si>
    <t>GEN_T_2.0.spik_2330</t>
  </si>
  <si>
    <t>AND25680009360</t>
  </si>
  <si>
    <t>FETUS OF JANANI CVS</t>
  </si>
  <si>
    <t>GEN_T_2.0.spik_AF2331</t>
  </si>
  <si>
    <t>AND25630003475</t>
  </si>
  <si>
    <t>MRS.DONOR OF PRINSI SHIVKUMAR GUPTA (28 Y 10 M 13 D /Female) - Male partenr donor of AND25100002852</t>
  </si>
  <si>
    <t>GEN_T_2.0.spik_2332</t>
  </si>
  <si>
    <t>DCC0000001203</t>
  </si>
  <si>
    <t>30/11/2025</t>
  </si>
  <si>
    <t>BABY.ATHARV SINGH (4Y|M)</t>
  </si>
  <si>
    <t>GEN_T_2.0.spik_2333</t>
  </si>
  <si>
    <t>AND25020018689</t>
  </si>
  <si>
    <t>Dr.CENTRAL GOVERNMENT HEALTH SCHEME .</t>
  </si>
  <si>
    <t>History available in TRF, Writeup available - Deepika mam</t>
  </si>
  <si>
    <t>MRS.DAMODAR REDDY - (HEG M 35922)(41YF)</t>
  </si>
  <si>
    <t>GEN_T_2.0.spik_2334</t>
  </si>
  <si>
    <t>AND25420004871</t>
  </si>
  <si>
    <t>History available in TRF, Writeup  available - deepika mam</t>
  </si>
  <si>
    <t>MRS.KALYANI - (HEG M0035921)(34YF)</t>
  </si>
  <si>
    <t>GEN_T_2.0.spik_2335</t>
  </si>
  <si>
    <t>AND25420004870</t>
  </si>
  <si>
    <t>MRS.NAVYA KUMARI (35 Y 5 M 2 D /Female) poc</t>
  </si>
  <si>
    <t>GEN_T_2.0.spik_2336</t>
  </si>
  <si>
    <t>ADB0000009949</t>
  </si>
  <si>
    <t>MRS.BASAVVA BHEEMAPPA NARI (4793)(94)(95) (28 Y 3 M 4 D /Female) AF</t>
  </si>
  <si>
    <t>GEN_T_2.0.spik_AF2337</t>
  </si>
  <si>
    <t>ADH0000001666</t>
  </si>
  <si>
    <t>SARVODAYA WOMEN S HOSPITAL &amp; FERTILITY CENTRE - DHARWAD</t>
  </si>
  <si>
    <t>BABY.DEVA SHREE(8YF)</t>
  </si>
  <si>
    <t>GEN_T_2.0.spik_2338</t>
  </si>
  <si>
    <t>AND25630003465</t>
  </si>
  <si>
    <t>19-12-2025</t>
  </si>
  <si>
    <t>MR.MAHESH K (32Y/M)</t>
  </si>
  <si>
    <t>GEN_T_2.0.spik_2339</t>
  </si>
  <si>
    <t>ATR0000004002</t>
  </si>
  <si>
    <t>Dr. Meera (29-11-2025)</t>
  </si>
  <si>
    <t>MRS.DEEPTHI A (30/F)</t>
  </si>
  <si>
    <t>GEN_T_2.0.spik_2340</t>
  </si>
  <si>
    <t>ATR0000004001</t>
  </si>
  <si>
    <t>BABY OF.BHAVYA SAI M (0 Y 0 M 0 D /Female)</t>
  </si>
  <si>
    <t>GEN_T_2.0.spik_2341</t>
  </si>
  <si>
    <t>ATR0000003951</t>
  </si>
  <si>
    <t>MOTHER HOSPITAL</t>
  </si>
  <si>
    <t>Diwakar - general analysis</t>
  </si>
  <si>
    <t>MRS.SHEETAL PATTANASHATTI (7834)(38) (34 Y 6 M 9 D /Female)</t>
  </si>
  <si>
    <t>GEN_T_2.0.spik_2342</t>
  </si>
  <si>
    <t>ADH0000001760</t>
  </si>
  <si>
    <t>DR SHIRUR HOSPITAL - BAGALKOT</t>
  </si>
  <si>
    <t>16/12/2025</t>
  </si>
  <si>
    <t>MR.KAILASHA ARABBI (7837)(35) (40 Y 6 M 18 D /Male)</t>
  </si>
  <si>
    <t>GEN_T_2.0.spik_2343</t>
  </si>
  <si>
    <t>ADH0000001761</t>
  </si>
  <si>
    <t>MISS.ANISHKA RATHEE (10 Y 0 M 17 D /Female)</t>
  </si>
  <si>
    <t>GEN_T_2.0.spik_2344</t>
  </si>
  <si>
    <t>AMB0000002698</t>
  </si>
  <si>
    <t>MR.AJAY P (30/M)</t>
  </si>
  <si>
    <t>GEN_T_2.0.spik_2345</t>
  </si>
  <si>
    <t>ADB0000010298</t>
  </si>
  <si>
    <t>MRS.NANDITHA J K (26/F)</t>
  </si>
  <si>
    <t>GEN_T_2.0.spik_2346</t>
  </si>
  <si>
    <t>ADB0000010299</t>
  </si>
  <si>
    <t>MRS.LAKSHMI KALYANI K(46YF)</t>
  </si>
  <si>
    <t>GEN_T_2.0.spik_2347</t>
  </si>
  <si>
    <t>AND251H0003707</t>
  </si>
  <si>
    <t>Vamshi (09-12-2025)</t>
  </si>
  <si>
    <t>MRS.LAKSHMI DEVI G (PASALA LAKSHMI DEIVI)(30YF)</t>
  </si>
  <si>
    <t>GEN_T_2.0.spik_2348</t>
  </si>
  <si>
    <t>AND251H0003708</t>
  </si>
  <si>
    <t>Dr. Meera 18th dec</t>
  </si>
  <si>
    <t>MRS.SAMREEN FATHIMA W/O. MD. ABDUL KALEEL(30YF)</t>
  </si>
  <si>
    <t>GEN_T_2.0.spik_2349</t>
  </si>
  <si>
    <t>AND25420004980</t>
  </si>
  <si>
    <t>MR.MD ABDUL KALEEL H/O. SAMREEN FATHIMA(41YM)</t>
  </si>
  <si>
    <t>GEN_T_2.0.spik_2350</t>
  </si>
  <si>
    <t>AND25420004981</t>
  </si>
  <si>
    <t>MR.SOORAJ BALASUBRAMANIAM (34/M)</t>
  </si>
  <si>
    <t>GEN_T_2.0.spik_2351</t>
  </si>
  <si>
    <t>ADB0000010313</t>
  </si>
  <si>
    <t>SOPHIA DEVI</t>
  </si>
  <si>
    <t>17/12/2025</t>
  </si>
  <si>
    <t>MRS.ANUSHASHRI RAJAPPAN (32/F)</t>
  </si>
  <si>
    <t>GEN_T_2.0.spik_2352</t>
  </si>
  <si>
    <t>ADB0000010314</t>
  </si>
  <si>
    <t>SURFseq- Run-36A</t>
  </si>
  <si>
    <t>MRS.ROSHANI KHODE (27/F)</t>
  </si>
  <si>
    <t>GEN_T_2.0.spik_AF2353</t>
  </si>
  <si>
    <t>AMB0000002681</t>
  </si>
  <si>
    <t>Vamshi (26-11-2025)</t>
  </si>
  <si>
    <t>MRS.SWATHI W/O RAGUPATHY(31YF)</t>
  </si>
  <si>
    <t>GEN_T_2.0.spik_AF2354</t>
  </si>
  <si>
    <t>AND25360051247</t>
  </si>
  <si>
    <t>MRS.SHIVAKANYA (1235)(36)(37)(38) (25/F) poc</t>
  </si>
  <si>
    <t>GEN_T_2.0.spik_2355</t>
  </si>
  <si>
    <t>ADH0000001957</t>
  </si>
  <si>
    <t>Dr. MEera (05-12-2025)</t>
  </si>
  <si>
    <t>18-12-2025</t>
  </si>
  <si>
    <t>MRS.PRIYA(39YF)</t>
  </si>
  <si>
    <t>GEN_T_2.0.spik_2356</t>
  </si>
  <si>
    <t>AND25360051639</t>
  </si>
  <si>
    <t>BHARATHI INFINITITY HOSPITAL (A UNIT OF BHARATHI HOSPITALS PVT LTD) – MADURAI</t>
  </si>
  <si>
    <t>18/12/2025</t>
  </si>
  <si>
    <t>Diwakar (08-12-2025)</t>
  </si>
  <si>
    <t>23-12-2025</t>
  </si>
  <si>
    <t>DR.CHETHANA N H (34 Y 0 M 0 D /Female)</t>
  </si>
  <si>
    <t>GEN_T_2.0.spik_2357</t>
  </si>
  <si>
    <t>ADB0000010388</t>
  </si>
  <si>
    <t xml:space="preserve">Gayathri S </t>
  </si>
  <si>
    <t>(05-12-25)</t>
  </si>
  <si>
    <t>MR.NAZEER AHMED P (59/M)</t>
  </si>
  <si>
    <t>GEN_T_2.0.spik_2358</t>
  </si>
  <si>
    <t>AND251H0003732</t>
  </si>
  <si>
    <t>MRS.B DEBASREE (HEG 40215) W/O. PINAKI(38YF)</t>
  </si>
  <si>
    <t>GEN_T_2.0.spik_2359</t>
  </si>
  <si>
    <t>AND25420005054</t>
  </si>
  <si>
    <t>19/12/2025</t>
  </si>
  <si>
    <t xml:space="preserve">Naveen </t>
  </si>
  <si>
    <t>MR.PINAKI BHATTA (HEG 40216) H/O. B. DEBASHREE(42YM)</t>
  </si>
  <si>
    <t>GEN_T_2.0.spik_2360</t>
  </si>
  <si>
    <t>AND25420005055</t>
  </si>
  <si>
    <t>MRS.UMA MEHTA (HEG 15051) W/O. SAUHARD PANDE(35YF)</t>
  </si>
  <si>
    <t>GEN_T_2.0.spik_2361</t>
  </si>
  <si>
    <t>AND25420005056</t>
  </si>
  <si>
    <t>MR.SAUHARD PANDE (HEG 40349) H/O. UMA MEHTA(35YM)</t>
  </si>
  <si>
    <t>GEN_T_2.0.spik_2362</t>
  </si>
  <si>
    <t>AND25420005057</t>
  </si>
  <si>
    <t>AL-WE6-W-648 (13Y/M)</t>
  </si>
  <si>
    <t>GEN_T_2.0.spik_2363</t>
  </si>
  <si>
    <t>AL-WE6-W-643 (8Y/M)</t>
  </si>
  <si>
    <t>GEN_T_2.0.spik_2364</t>
  </si>
  <si>
    <t>AL-WE6-W-647 (33Y/F)</t>
  </si>
  <si>
    <t>GEN_T_2.0.spik_2365</t>
  </si>
  <si>
    <t>AL-WE6-W-646 (63Y/F)</t>
  </si>
  <si>
    <t>GEN_T_2.0.spik_2367</t>
  </si>
  <si>
    <t>AL-WE6-CD-25-198 (21Y/M)</t>
  </si>
  <si>
    <t>MR.DHIRENDRA KUMAR H/O. SUMAN SINGH(41YM)</t>
  </si>
  <si>
    <t>GEN_T_2.0.spik_2368</t>
  </si>
  <si>
    <t>AND25420005058</t>
  </si>
  <si>
    <t>MR.KARTHIK(33YM)</t>
  </si>
  <si>
    <t>GEN_T_2.0.spik_2369</t>
  </si>
  <si>
    <t>AND25810025311</t>
  </si>
  <si>
    <t>MRS.PRIYANKA KARTHICK(28YF)</t>
  </si>
  <si>
    <t>GEN_T_2.0.spik_2370</t>
  </si>
  <si>
    <t>AND25810025312</t>
  </si>
  <si>
    <t>MRS.K R ANUSHA (32 Y 11 M 1 D /Female)</t>
  </si>
  <si>
    <t>GEN_T_2.0.spik_2371</t>
  </si>
  <si>
    <t>ADB0000010814</t>
  </si>
  <si>
    <t>Vamshi (15-12-2025)</t>
  </si>
  <si>
    <t>MR.VIKAS M (38 Y 2 M 17 D /Male)</t>
  </si>
  <si>
    <t>GEN_T_2.0.spik_2372</t>
  </si>
  <si>
    <t>ADB0000010813</t>
  </si>
  <si>
    <t>UTKARSH VIKAS (4Y/M)</t>
  </si>
  <si>
    <t>GEN_T_2.0.spik_2373</t>
  </si>
  <si>
    <t>not billed</t>
  </si>
  <si>
    <t xml:space="preserve">Vikram </t>
  </si>
  <si>
    <t>SADMAN AHMED SAFI</t>
  </si>
  <si>
    <t>GEN_T_2.0.spik_2374</t>
  </si>
  <si>
    <t>PRIYA.K</t>
  </si>
  <si>
    <t>GEN_T_2.0.spik_2375</t>
  </si>
  <si>
    <t>GenolabM- Run-59A</t>
  </si>
  <si>
    <t>MASTER.AL7-CD-25-199(8YM)</t>
  </si>
  <si>
    <t>GEN_T_2.0.spik_2377</t>
  </si>
  <si>
    <t>AND25630003587</t>
  </si>
  <si>
    <t>BABY.AL7-W-660(1YF)</t>
  </si>
  <si>
    <t>GEN_T_2.0.spik_2378</t>
  </si>
  <si>
    <t>AND25630003588</t>
  </si>
  <si>
    <t>BABY.AL7-W-661(1YF)</t>
  </si>
  <si>
    <t>GEN_T_2.0.spik_2379</t>
  </si>
  <si>
    <t>AND25630003589</t>
  </si>
  <si>
    <t>MRS.AL7-CD-25-200(52YF)</t>
  </si>
  <si>
    <t>GEN_T_2.0.spik_2380</t>
  </si>
  <si>
    <t>AND25630003590</t>
  </si>
  <si>
    <t>MR.AL7-WES-W-656(0YM)</t>
  </si>
  <si>
    <t>GEN_T_2.0.spik_2381</t>
  </si>
  <si>
    <t>AND25630003591</t>
  </si>
  <si>
    <t>MASTER.AL7-W-653(9YM)</t>
  </si>
  <si>
    <t>GEN_T_2.0.spik_2382</t>
  </si>
  <si>
    <t>AND25630003595</t>
  </si>
  <si>
    <t>MR.AL7-W-654(40YM)</t>
  </si>
  <si>
    <t>GEN_T_2.0.spik_2383</t>
  </si>
  <si>
    <t>AND25630003596</t>
  </si>
  <si>
    <t>MS.AL7-W-657(23YF)</t>
  </si>
  <si>
    <t>GEN_T_2.0.spik_2384</t>
  </si>
  <si>
    <t>AND25630003597</t>
  </si>
  <si>
    <t>GenolabM- Run-59B</t>
  </si>
  <si>
    <t>KATAMREDDY KARTAIK (31/M)</t>
  </si>
  <si>
    <t>GEN_T_2.0.spik_2385</t>
  </si>
  <si>
    <t>ADB0000010695</t>
  </si>
  <si>
    <t>Prem</t>
  </si>
  <si>
    <t>MR.RAGHAVENDRA M P (31/M)</t>
  </si>
  <si>
    <t>GEN_T_2.0.spik_2386</t>
  </si>
  <si>
    <t>ADB0000010649</t>
  </si>
  <si>
    <t>20/12/2025</t>
  </si>
  <si>
    <t>dr. meera (09-12-2025)</t>
  </si>
  <si>
    <t>27-12-2025</t>
  </si>
  <si>
    <t>MRS.SHILPAKALA M (25/F)</t>
  </si>
  <si>
    <t>GEN_T_2.0.spik_2387</t>
  </si>
  <si>
    <t>ADB0000010650</t>
  </si>
  <si>
    <t>BABY.ITHAZHINIYAN .T (1/M)</t>
  </si>
  <si>
    <t>GEN_T_2.0.spik_2388</t>
  </si>
  <si>
    <t>AND25630003525</t>
  </si>
  <si>
    <t>Dr.Sudha (06-12-2025)</t>
  </si>
  <si>
    <t>Diwakar/ Dr.Sudha</t>
  </si>
  <si>
    <t>MRS.STELLA MARGARAT (AFTRY-1921)(23YF)</t>
  </si>
  <si>
    <t>GEN_T_2.0.spik_2389</t>
  </si>
  <si>
    <t>AND25720027945</t>
  </si>
  <si>
    <t>Greyzone (TBP),Pathogenic (TCF4)</t>
  </si>
  <si>
    <t>MR.KARTHIKEYAN AFTRY-1922(41YM)</t>
  </si>
  <si>
    <t>GEN_T_2.0.spik_2390</t>
  </si>
  <si>
    <t>AND25720027944</t>
  </si>
  <si>
    <t>MR.RATHNAVEL(20YM)</t>
  </si>
  <si>
    <t>GEN_T_2.0.spik_2391</t>
  </si>
  <si>
    <t>AND25060009977</t>
  </si>
  <si>
    <t>21/12/2025</t>
  </si>
  <si>
    <t>22-12-2025</t>
  </si>
  <si>
    <t>BABY.DEV SASHVIK S(70DM)</t>
  </si>
  <si>
    <t>GEN_T_2.0.spik_2392</t>
  </si>
  <si>
    <t>AND25020055610</t>
  </si>
  <si>
    <t>MS.NADHUMITHA(11Y/F)</t>
  </si>
  <si>
    <t>GEN_T_2.0.spik_2393</t>
  </si>
  <si>
    <t>AND25990043378</t>
  </si>
  <si>
    <t>JAYA SUJAN COMPUTRISED LAB - CUDDALORE</t>
  </si>
  <si>
    <t>Greyzone (ATN1)</t>
  </si>
  <si>
    <t>MRS.JAYASHREE (28YF) POC</t>
  </si>
  <si>
    <t>GEN_T_2.0.spik_2394</t>
  </si>
  <si>
    <t>AND25150088109</t>
  </si>
  <si>
    <t>Dr. Meera (09-12-2025)</t>
  </si>
  <si>
    <t>MRS.AMANDEEP MALHOTRA (43 Y 5 M 7 D /Female) POC</t>
  </si>
  <si>
    <t>GEN_T_2.0.spik_2395</t>
  </si>
  <si>
    <t>AMB0000002860</t>
  </si>
  <si>
    <t>MUMBAI - CC – MAHARASHTRA</t>
  </si>
  <si>
    <t>MRS.SMITA KUMARI MAHAPATRA(38 Y 9 M 2 D /Female)</t>
  </si>
  <si>
    <t>GEN_T_2.0.spik_2396</t>
  </si>
  <si>
    <t>ADB0000010981</t>
  </si>
  <si>
    <t>23/12/2025</t>
  </si>
  <si>
    <t>MR.PRADEEP M K (38 Y 5 M 29 D /Male)</t>
  </si>
  <si>
    <t>GEN_T_2.0.spik_2397</t>
  </si>
  <si>
    <t>ADB0000010982</t>
  </si>
  <si>
    <t>DR.SHANATH (32 Y 0 M 0 D /Male)</t>
  </si>
  <si>
    <t>GEN_T_2.0.spik_2398</t>
  </si>
  <si>
    <t>ADB0000010986</t>
  </si>
  <si>
    <t>DR.SANJANA(32 Y 0 M 0 D /Female)</t>
  </si>
  <si>
    <t>GEN_T_2.0.spik_2399</t>
  </si>
  <si>
    <t>ADB0000010987</t>
  </si>
  <si>
    <t>BABY.RIYANA BEGAM A(2YF)</t>
  </si>
  <si>
    <t>GEN_T_2.0.spik_2400</t>
  </si>
  <si>
    <t>AND25020056078</t>
  </si>
  <si>
    <t>24/12/2025</t>
  </si>
  <si>
    <t>sent to medgenome, will receive report before 26th dec</t>
  </si>
  <si>
    <t>30-12-2025</t>
  </si>
  <si>
    <t>BABY.JOSHINI K(1YF)</t>
  </si>
  <si>
    <t>GEN_T_2.0.spik_2401</t>
  </si>
  <si>
    <t>AND25020055613</t>
  </si>
  <si>
    <t>Dr. MEera (11-12-2025)</t>
  </si>
  <si>
    <t>MRS.BHARGAVI C P(30YF)</t>
  </si>
  <si>
    <t>GEN_T_2.0.spik_2402</t>
  </si>
  <si>
    <t>AND25AJ0008685</t>
  </si>
  <si>
    <t>BABY.THANISKA SRI M(6YF)</t>
  </si>
  <si>
    <t>GEN_T_2.0.spik_2403</t>
  </si>
  <si>
    <t>AND25020055609</t>
  </si>
  <si>
    <t>26-12-2025</t>
  </si>
  <si>
    <t>RATNA KHEDE</t>
  </si>
  <si>
    <t>PRE-PGT WORKUP</t>
  </si>
  <si>
    <t>GEN_T_2.0.spik_2404</t>
  </si>
  <si>
    <t>Her Health Hospital, Bhopal</t>
  </si>
  <si>
    <t>TUSHAR ( 31Y/M)</t>
  </si>
  <si>
    <t>GEN_T_2.0.spik_2405</t>
  </si>
  <si>
    <t>MRS.RADHA J(37YF)</t>
  </si>
  <si>
    <t>GEN_T_2.0.spik_2406</t>
  </si>
  <si>
    <t>AND251H0003782</t>
  </si>
  <si>
    <t>Dr. Meera (12-12-2025)</t>
  </si>
  <si>
    <t>MR.RAMESH KUMAR G(51YM)</t>
  </si>
  <si>
    <t>GEN_T_2.0.spik_2407</t>
  </si>
  <si>
    <t>AND251H0003783</t>
  </si>
  <si>
    <t>MASTER.RISHIKA R (4 Y 8 M 0 D /Male)</t>
  </si>
  <si>
    <t>GEN_T_2.0.spik_2408</t>
  </si>
  <si>
    <t>ADB0000010906</t>
  </si>
  <si>
    <t>DR.SMITHA D S |,,|</t>
  </si>
  <si>
    <t>BABY.MITHRAN P(9YM)</t>
  </si>
  <si>
    <t>WES+mito</t>
  </si>
  <si>
    <t>GEN_T_2.0.spik_2409</t>
  </si>
  <si>
    <t>MRS.SAPTAMI RAO MANGAJ (35 Y 9 M 17 D /Female)</t>
  </si>
  <si>
    <t>GEN_T_2.0.spik_2410</t>
  </si>
  <si>
    <t>ADB0000010927</t>
  </si>
  <si>
    <t>SRI HARI DIAGNOSTICS - BANGALORE</t>
  </si>
  <si>
    <t>13/12-2025</t>
  </si>
  <si>
    <t>MR.YOGESH MANGAJ(35 Y 5 M 12 D /Male)</t>
  </si>
  <si>
    <t>GEN_T_2.0.spik_2411</t>
  </si>
  <si>
    <t>ADB0000010926</t>
  </si>
  <si>
    <t>MR.MOHAN RAJ P(32YM)</t>
  </si>
  <si>
    <t>GEN_T_2.0.spik_2412</t>
  </si>
  <si>
    <t>AND25020055742</t>
  </si>
  <si>
    <t>BABY.DHAYAZHINI(2MF)</t>
  </si>
  <si>
    <t>GEN_T_2.0.spik_2413</t>
  </si>
  <si>
    <t>AND25020055743</t>
  </si>
  <si>
    <t>B/O RAJESHWARI</t>
  </si>
  <si>
    <t>GEN_T_2.0.spik_2414</t>
  </si>
  <si>
    <t>AND25020055829</t>
  </si>
  <si>
    <t>MRS.FATHIMATH BIFA (27YF)</t>
  </si>
  <si>
    <t>GEN_T_2.0.spik_2415</t>
  </si>
  <si>
    <t>AND25380192402</t>
  </si>
  <si>
    <t>MR.MOHAMED FAIZ (32YM)</t>
  </si>
  <si>
    <t>GEN_T_2.0.spik_2416</t>
  </si>
  <si>
    <t>AND25380192403</t>
  </si>
  <si>
    <t>BABY.VENISHA .P(2MF)</t>
  </si>
  <si>
    <t>GEN_T_2.0.spik_2417</t>
  </si>
  <si>
    <t>AND25020056516</t>
  </si>
  <si>
    <t>MRS.PRIYA RAJPUT(27 Y 10 M 29 D /Female) POC</t>
  </si>
  <si>
    <t>GEN_T_2.0.spik_2418</t>
  </si>
  <si>
    <t>AMB0000002987</t>
  </si>
  <si>
    <t>ANDERSON LABS - INDORE</t>
  </si>
  <si>
    <t>Dr. Meera (16-12-2025)</t>
  </si>
  <si>
    <t>MRS.SAVITRI DEVANAGANVA (20 Y 4 M 12 D /Female) POC</t>
  </si>
  <si>
    <t>WES+ 16 MARKER MCC AS PER ACMG GUIDELINES</t>
  </si>
  <si>
    <t>GEN_T_2.0.spik_2419</t>
  </si>
  <si>
    <t>ADH0000002506</t>
  </si>
  <si>
    <t>SANJEEV HOSPITAL - BIJAPUR</t>
  </si>
  <si>
    <t>Dr. Meera 18th december</t>
  </si>
  <si>
    <t>BABY.AL8-W-667(2YM)</t>
  </si>
  <si>
    <t>GEN_T_2.0.spik_2420</t>
  </si>
  <si>
    <t>AND25630003685</t>
  </si>
  <si>
    <t>MS.AL8-W-668(12YF)</t>
  </si>
  <si>
    <t>GEN_T_2.0.spik_2421</t>
  </si>
  <si>
    <t>AND25630003684</t>
  </si>
  <si>
    <t>BABY.AL8-W-669(1YM)</t>
  </si>
  <si>
    <t>GEN_T_2.0.spik_2422</t>
  </si>
  <si>
    <t>AND25630003686</t>
  </si>
  <si>
    <t>MS.AL8-W-664(9YF)</t>
  </si>
  <si>
    <t>GEN_T_2.0.spik_2423</t>
  </si>
  <si>
    <t>AND25630003677</t>
  </si>
  <si>
    <t>MASTER.AL8-W-665(13YM)</t>
  </si>
  <si>
    <t>GEN_T_2.0.spik_2424</t>
  </si>
  <si>
    <t>AND25630003678</t>
  </si>
  <si>
    <t>MS.AL8-W-673(11YF)</t>
  </si>
  <si>
    <t>GEN_T_2.0.spik_2425</t>
  </si>
  <si>
    <t>AND25630003679</t>
  </si>
  <si>
    <t>BABY.AL8-W-674(5YM)</t>
  </si>
  <si>
    <t>GEN_T_2.0.spik_2426</t>
  </si>
  <si>
    <t>AND25630003680</t>
  </si>
  <si>
    <t>MR.AL8-W-675(34YM)</t>
  </si>
  <si>
    <t>GEN_T_2.0.spik_2427</t>
  </si>
  <si>
    <t>AND25630003682</t>
  </si>
  <si>
    <t>AL- CD-25-201 ( 31Y/F)</t>
  </si>
  <si>
    <t>GEN_T_2.0.spik_2428</t>
  </si>
  <si>
    <t>AND25630003681</t>
  </si>
  <si>
    <t>BABY.A8-CD-25-202(8YM)</t>
  </si>
  <si>
    <t>GEN_T_2.0.spik_2429</t>
  </si>
  <si>
    <t>AND25630003683</t>
  </si>
  <si>
    <t>MR.VIJAY KUMAR (35 Y 10 M 25 D /Male)</t>
  </si>
  <si>
    <t>GEN_T_2.0.spik_2430</t>
  </si>
  <si>
    <t>ADB0000011294</t>
  </si>
  <si>
    <t>SARJI FERTILITY AND RESEARCH CENTRE - KARNATAKA</t>
  </si>
  <si>
    <t>MR.ARUN KUMAR(39YM)</t>
  </si>
  <si>
    <t>GEN_T_2.0.spik_2431</t>
  </si>
  <si>
    <t>AND251D0001111</t>
  </si>
  <si>
    <t>GOPALAKRISHNAN N MD DM (NEPHRO)</t>
  </si>
  <si>
    <t>Dr. Meera (13-12-2025)</t>
  </si>
  <si>
    <t>MRS.SAILI DHANAVADE( 25 Y 10 M 17 D /Female)</t>
  </si>
  <si>
    <t>GEN_T_2.0.spik_2432</t>
  </si>
  <si>
    <t>AMB0000003045</t>
  </si>
  <si>
    <t>NOVA IVF FERTILITY ( A UNIT OF RHEA HEALTHCARE PVT LTD ) - CHEMBUR</t>
  </si>
  <si>
    <t>Vamshi (22-12-2025)</t>
  </si>
  <si>
    <t>29-12-2026</t>
  </si>
  <si>
    <t>MRS.LAKSHMI DEVI (19 Y 11 M 29 D /Female) AF</t>
  </si>
  <si>
    <t>GEN_T_2.0.spik_AF2433</t>
  </si>
  <si>
    <t>ADH0000002783</t>
  </si>
  <si>
    <t>MRS.MONIKA BISHT (34 Y 10 M 15 D /Female) AF</t>
  </si>
  <si>
    <t>GEN_T_2.0.spik_AF2434</t>
  </si>
  <si>
    <t>DCC0000001349</t>
  </si>
  <si>
    <t>CLOUDNINE HOSPITAL INDIRAPURAM - GHAZIABAD</t>
  </si>
  <si>
    <t>MRS.RINKU KUMARI (92450)(33YF)</t>
  </si>
  <si>
    <t>GEN_T_2.0.spik_2435</t>
  </si>
  <si>
    <t>AND25380192805</t>
  </si>
  <si>
    <t>CHENNAI NATIONAL HOSPITAL - PARRY'S .</t>
  </si>
  <si>
    <t>29-12-2025</t>
  </si>
  <si>
    <t>MR.DHAMODHARAN.S(28YM)</t>
  </si>
  <si>
    <t>GEN_T_2.0.spik_2436</t>
  </si>
  <si>
    <t>AND25630003641</t>
  </si>
  <si>
    <t>MR.HIMANSHU CHATE (34YM)</t>
  </si>
  <si>
    <t>GEN_T_2.0.spik_2437</t>
  </si>
  <si>
    <t>AND25AE0000373</t>
  </si>
  <si>
    <t>MR.VINOD KUMAR SIKRI(53 Y 11 M 11 D /Male)</t>
  </si>
  <si>
    <t>GEN_T_2.0.spik_2438</t>
  </si>
  <si>
    <t>DCC0000001355</t>
  </si>
  <si>
    <t>ANUNAY GUPTA</t>
  </si>
  <si>
    <t>MR.MADHU KRISHNA V(28YM)</t>
  </si>
  <si>
    <t>GEN_T_2.0.spik_2439</t>
  </si>
  <si>
    <t>AND251H0003893</t>
  </si>
  <si>
    <t>28/12/2025</t>
  </si>
  <si>
    <t>19--12-2025</t>
  </si>
  <si>
    <t>MR.SHIBLAL G(14YM)</t>
  </si>
  <si>
    <t>GEN_T_2.0.spik_2440</t>
  </si>
  <si>
    <t>AND25630003729</t>
  </si>
  <si>
    <t>VINESHY KAA .</t>
  </si>
  <si>
    <t>MR.SONU SIGH(33YM)</t>
  </si>
  <si>
    <t>GEN_T_2.0.spik_2441</t>
  </si>
  <si>
    <t>AND25630003728</t>
  </si>
  <si>
    <t>VINESHY KAA .,</t>
  </si>
  <si>
    <t>BABY.KOWSALYA'S BABY /AL82484(0MF)</t>
  </si>
  <si>
    <t>GEN_T_2.0.spik_2442</t>
  </si>
  <si>
    <t>AND25630003735</t>
  </si>
  <si>
    <t>CMC - MEDICAL GENTICS</t>
  </si>
  <si>
    <t>MR.RGS-364(0YM)</t>
  </si>
  <si>
    <t>GEN_T_2.0.spik_2443</t>
  </si>
  <si>
    <t>AND25630003700</t>
  </si>
  <si>
    <t>CMC- NEPHROLOGY</t>
  </si>
  <si>
    <t>MR.RGS-365(0YM)</t>
  </si>
  <si>
    <t>GEN_T_2.0.spik_2444</t>
  </si>
  <si>
    <t>AND25630003701</t>
  </si>
  <si>
    <t>MR.RGS-366(0YM)</t>
  </si>
  <si>
    <t>GEN_T_2.0.spik_2445</t>
  </si>
  <si>
    <t>AND25630003702</t>
  </si>
  <si>
    <t>MR.RGS-367(0YM)</t>
  </si>
  <si>
    <t>GEN_T_2.0.spik_2446</t>
  </si>
  <si>
    <t>AND25630003703</t>
  </si>
  <si>
    <t>Greyzone (DMPK)</t>
  </si>
  <si>
    <t>MR.RGS-368(0YM)</t>
  </si>
  <si>
    <t>GEN_T_2.0.spik_2447</t>
  </si>
  <si>
    <t>AND25630003704</t>
  </si>
  <si>
    <t>15/12/25</t>
  </si>
  <si>
    <t>20-12-2025</t>
  </si>
  <si>
    <t>MR.RGS-369(0YM)</t>
  </si>
  <si>
    <t>GEN_T_2.0.spik_2448</t>
  </si>
  <si>
    <t>AND25630003705</t>
  </si>
  <si>
    <t>MR.RGS-370(0YM)</t>
  </si>
  <si>
    <t>GEN_T_2.0.spik_2449</t>
  </si>
  <si>
    <t>AND25630003706</t>
  </si>
  <si>
    <t>MR.RGS-371(0YM)</t>
  </si>
  <si>
    <t>GEN_T_2.0.spik_2450</t>
  </si>
  <si>
    <t>AND25630003707</t>
  </si>
  <si>
    <t>MR.RGS-372(0YM)</t>
  </si>
  <si>
    <t>GEN_T_2.0.spik_2451</t>
  </si>
  <si>
    <t>AND25630003708</t>
  </si>
  <si>
    <t>MR.RGS-373(0YM)</t>
  </si>
  <si>
    <t>GEN_T_2.0.spik_2452</t>
  </si>
  <si>
    <t>AND25630003709</t>
  </si>
  <si>
    <t>MR.RGS-374(0YM)</t>
  </si>
  <si>
    <t>GEN_T_2.0.spik_2453</t>
  </si>
  <si>
    <t>AND25630003710</t>
  </si>
  <si>
    <t>MR.RGS-375(0YM)</t>
  </si>
  <si>
    <t>GEN_T_2.0.spik_2454</t>
  </si>
  <si>
    <t>AND25630003711</t>
  </si>
  <si>
    <t>MR.RGS-376(0YM)</t>
  </si>
  <si>
    <t>GEN_T_2.0.spik_2455</t>
  </si>
  <si>
    <t>AND25630003712</t>
  </si>
  <si>
    <t>Greyzone (CSTB)</t>
  </si>
  <si>
    <t>Divya</t>
  </si>
  <si>
    <t>MR.RGS-377(0YM)</t>
  </si>
  <si>
    <t>GEN_T_2.0.spik_2456</t>
  </si>
  <si>
    <t>AND25630003713</t>
  </si>
  <si>
    <t>MR.RGS-378(0YM)</t>
  </si>
  <si>
    <t>GEN_T_2.0.spik_2457</t>
  </si>
  <si>
    <t>AND25630003714</t>
  </si>
  <si>
    <t>MR.RGS-379(0YM)</t>
  </si>
  <si>
    <t>GEN_T_2.0.spik_2458</t>
  </si>
  <si>
    <t>AND25630003715</t>
  </si>
  <si>
    <t>MR.RGS-380(0YM)</t>
  </si>
  <si>
    <t>GEN_T_2.0.spik_2459</t>
  </si>
  <si>
    <t>AND25630003716</t>
  </si>
  <si>
    <t>Vikram / Naveen</t>
  </si>
  <si>
    <t>MR.RGS-381(0YM)</t>
  </si>
  <si>
    <t>GEN_T_2.0.spik_2460</t>
  </si>
  <si>
    <t>AND25630003717</t>
  </si>
  <si>
    <t>MR.RGS-382(0YM)</t>
  </si>
  <si>
    <t>GEN_T_2.0.spik_2461</t>
  </si>
  <si>
    <t>AND25630003718</t>
  </si>
  <si>
    <t>MR.RGS-383(0YM)</t>
  </si>
  <si>
    <t>GEN_T_2.0.spik_2462</t>
  </si>
  <si>
    <t>AND25630003719</t>
  </si>
  <si>
    <t>MR.RGS-384(0YM)</t>
  </si>
  <si>
    <t>GEN_T_2.0.spik_2463</t>
  </si>
  <si>
    <t>AND25630003720</t>
  </si>
  <si>
    <t>MR.RGS-385(0YM)</t>
  </si>
  <si>
    <t>GEN_T_2.0.spik_2464</t>
  </si>
  <si>
    <t>AND25630003721</t>
  </si>
  <si>
    <t>MR.RGS-386(0YM)</t>
  </si>
  <si>
    <t>GEN_T_2.0.spik_2465</t>
  </si>
  <si>
    <t>AND25630003722</t>
  </si>
  <si>
    <t>MR.RGS-387(0YM)</t>
  </si>
  <si>
    <t>GEN_T_2.0.spik_2466</t>
  </si>
  <si>
    <t>AND25630003723</t>
  </si>
  <si>
    <t>MR.RGS-388(0YM)</t>
  </si>
  <si>
    <t>GEN_T_2.0.spik_2467</t>
  </si>
  <si>
    <t>AND25630003724</t>
  </si>
  <si>
    <t>MR.RGS-389(0YM)</t>
  </si>
  <si>
    <t>GEN_T_2.0.spik_2468</t>
  </si>
  <si>
    <t>AND25630003725</t>
  </si>
  <si>
    <t>MR.RGS-390(0YM)</t>
  </si>
  <si>
    <t>GEN_T_2.0.spik_2469</t>
  </si>
  <si>
    <t>AND25630003726</t>
  </si>
  <si>
    <t>MR.RGS-391(0YM)</t>
  </si>
  <si>
    <t>GEN_T_2.0.spik_2470</t>
  </si>
  <si>
    <t>AND25630003727</t>
  </si>
  <si>
    <t>SURFseq- Run-39B</t>
  </si>
  <si>
    <t>MR.THIRUPATHI RAO R (32 Y 0 M 0 D /Male)</t>
  </si>
  <si>
    <t>GEN_T_2.0.spik_2471</t>
  </si>
  <si>
    <t>ADN0000002913</t>
  </si>
  <si>
    <t>NELLORE - PROCESSING LAB - AP</t>
  </si>
  <si>
    <t>25/12/2025</t>
  </si>
  <si>
    <t>MRS.UMA MAHESHWARI(51YF)</t>
  </si>
  <si>
    <t>GEN_T_2.0.spik_2472</t>
  </si>
  <si>
    <t>AND25740054092</t>
  </si>
  <si>
    <t>Greyzone (CSTB),Pathogenic (HTT)</t>
  </si>
  <si>
    <t>Diwakar (16-12-2025)</t>
  </si>
  <si>
    <t>MRS.MOHAMMED D SARPARUJAL (35 Y 0 M 1 D /Female)</t>
  </si>
  <si>
    <t>GEN_T_2.0.spik_2473</t>
  </si>
  <si>
    <t>ADB0000011131</t>
  </si>
  <si>
    <t>BABY.YAZHINI(1YF)</t>
  </si>
  <si>
    <t>GEN_T_2.0.spik_2474</t>
  </si>
  <si>
    <t>AND25630003651</t>
  </si>
  <si>
    <t>BABY.SUDHAN(3MM)</t>
  </si>
  <si>
    <t>Mitochondrial DNA sequencing by NGS</t>
  </si>
  <si>
    <t>GEN_T_2.0.spik_2475</t>
  </si>
  <si>
    <t>AND25630003660</t>
  </si>
  <si>
    <t>MR.VENKATESH N J(43YM)</t>
  </si>
  <si>
    <t>GEN_T_2.0.spik_2476</t>
  </si>
  <si>
    <t>AND25380195326</t>
  </si>
  <si>
    <t>ESIC - EMPLOYEES STATE INSURANCE CORPORATION</t>
  </si>
  <si>
    <t>31-12-2025</t>
  </si>
  <si>
    <t>BABY. AL7-W-661 (1YF)</t>
  </si>
  <si>
    <t>GEN_T_2.0.spik_2379A</t>
  </si>
  <si>
    <t>MR.LAL BASHA S(30YM)</t>
  </si>
  <si>
    <t>GEN_T_2.0.spik_2477</t>
  </si>
  <si>
    <t>AND251H0003841</t>
  </si>
  <si>
    <t>26/12/2025</t>
  </si>
  <si>
    <t>Dr. Meera (30-12-2025)</t>
  </si>
  <si>
    <t>MR.S.MAHESWARAN(46YM) husband and father of AND25360026457 and  AND25360026456</t>
  </si>
  <si>
    <t>GEN_T_2.0.spik_2478</t>
  </si>
  <si>
    <t>AND25360053880</t>
  </si>
  <si>
    <t>MRS. REEYANSH REDDY D H (4 Y 9 M 22 D /male)</t>
  </si>
  <si>
    <t>GEN_T_2.0.spik_2479</t>
  </si>
  <si>
    <t>ADB0000011315</t>
  </si>
  <si>
    <t>MRS.P G SHARADA (HEG 40246)(37YF) -  Priority</t>
  </si>
  <si>
    <t>GEN_T_2.0.spik_2480</t>
  </si>
  <si>
    <t>AND25420005316</t>
  </si>
  <si>
    <t xml:space="preserve">Dr. Meera </t>
  </si>
  <si>
    <t>MR.M C NARAYANA MURTHY H/O. PG SHARADA(44YM) - Priority</t>
  </si>
  <si>
    <t>GEN_T_2.0.spik_2481</t>
  </si>
  <si>
    <t>AND25420005317</t>
  </si>
  <si>
    <t>15-12-2026</t>
  </si>
  <si>
    <t>BABY.MACLINE NATAL (HEG 4088)D/O. MR. MELVEN STEPHEN(3YF)</t>
  </si>
  <si>
    <t>GEN_T_2.0.spik_2482</t>
  </si>
  <si>
    <t>AND25420005318</t>
  </si>
  <si>
    <t>CMA ONGOING</t>
  </si>
  <si>
    <t>done analysis for parents, trio upload</t>
  </si>
  <si>
    <t>30/01/2026</t>
  </si>
  <si>
    <t>MRS.ROOPASHREE.BE(37YF)</t>
  </si>
  <si>
    <t>GEN_T_2.0.spik_2483</t>
  </si>
  <si>
    <t>AND25210001849</t>
  </si>
  <si>
    <t>AISWARYA PARTHASARATHY</t>
  </si>
  <si>
    <t>Dr. Meera (17-12-2025)</t>
  </si>
  <si>
    <t>MR.VIGNESH SHANKER(38YM)</t>
  </si>
  <si>
    <t>GEN_T_2.0.spik_2484</t>
  </si>
  <si>
    <t>AND25210001850</t>
  </si>
  <si>
    <t>MASTER.MUHAMMAD HAJITH M(5YM)</t>
  </si>
  <si>
    <t>GEN_T_2.0.spik_2485</t>
  </si>
  <si>
    <t>AND25540001350</t>
  </si>
  <si>
    <t>MR.CHERUKURI DHRUV KRISHNAA(21YM)</t>
  </si>
  <si>
    <t>GEN_T_2.0.spik_2486</t>
  </si>
  <si>
    <t>AND25380196508</t>
  </si>
  <si>
    <t>SRINIVASAPRIYA HOSPITAL .</t>
  </si>
  <si>
    <t>Dr. Meera (29-12-2025</t>
  </si>
  <si>
    <t>MASTER.ANVITH MADHAV 457465(3YM)</t>
  </si>
  <si>
    <t>GEN_T_2.0.spik_2487</t>
  </si>
  <si>
    <t>AND25720028752</t>
  </si>
  <si>
    <t>MRS.ADITI W/O VASANT (9834-35-36-37) (24/F)</t>
  </si>
  <si>
    <t>GEN_T_2.0.spik_2488</t>
  </si>
  <si>
    <t>ADH0000003597</t>
  </si>
  <si>
    <t>30/12/2025</t>
  </si>
  <si>
    <t>MR.VASANT PUROHIT (9838-39-40-41) (26/M)</t>
  </si>
  <si>
    <t>GEN_T_2.0.spik_2489</t>
  </si>
  <si>
    <t>ADH0000003598</t>
  </si>
  <si>
    <t>BABY.SARVESHVARAN V(3MM)</t>
  </si>
  <si>
    <t>GEN_T_2.0.spik_2490</t>
  </si>
  <si>
    <t>AND25020056945</t>
  </si>
  <si>
    <t>BABY.SARVESH G (2Y|M)</t>
  </si>
  <si>
    <t>GEN_T_2.0.spik_2491</t>
  </si>
  <si>
    <t>AND25020057071</t>
  </si>
  <si>
    <t>MR.PRAMOD KUMAR (38/M)</t>
  </si>
  <si>
    <t>GEN_T_2.0.spik_2492</t>
  </si>
  <si>
    <t>DCC0000001520</t>
  </si>
  <si>
    <t>Vamshi (02-01-2026)</t>
  </si>
  <si>
    <t>SURFseq- Run-40A</t>
  </si>
  <si>
    <t>BABY.AL9-W-689(2YF)</t>
  </si>
  <si>
    <t>GEN_T_2.0.spik_2493</t>
  </si>
  <si>
    <t>AND25630003788</t>
  </si>
  <si>
    <t>MR.AL9-W-694(72YM)</t>
  </si>
  <si>
    <t>GEN_T_2.0.spik_2494</t>
  </si>
  <si>
    <t>AND25630003789</t>
  </si>
  <si>
    <t>MRS.AL9-W-698(38YF)</t>
  </si>
  <si>
    <t>GEN_T_2.0.spik_2495</t>
  </si>
  <si>
    <t>AND25630003790</t>
  </si>
  <si>
    <t>BABY.AL9-W-677(9YF)</t>
  </si>
  <si>
    <t>GEN_T_2.0.spik_2496</t>
  </si>
  <si>
    <t>AND25630003791</t>
  </si>
  <si>
    <t>MR.AL9-W-676(42YM)</t>
  </si>
  <si>
    <t>GEN_T_2.0.spik_2497</t>
  </si>
  <si>
    <t>AND25630003792</t>
  </si>
  <si>
    <t>BABY.AL9-W-684(3YF)</t>
  </si>
  <si>
    <t>GEN_T_2.0.spik_2498</t>
  </si>
  <si>
    <t>AND25630003793</t>
  </si>
  <si>
    <t>AL9-W-697 (11Y/F)</t>
  </si>
  <si>
    <t>GEN_T_2.0.spik_2499</t>
  </si>
  <si>
    <t>AND25630003826</t>
  </si>
  <si>
    <t>MR.AL9-W-693(37YM)</t>
  </si>
  <si>
    <t>GEN_T_2.0.spik_2500</t>
  </si>
  <si>
    <t>AND25630003794</t>
  </si>
  <si>
    <t>MASTER.AL9-W-691(10YM)</t>
  </si>
  <si>
    <t>GEN_T_2.0.spik_2501</t>
  </si>
  <si>
    <t>AND25630003795</t>
  </si>
  <si>
    <t>AL9-W-700 (60Y/F)</t>
  </si>
  <si>
    <t>GEN_T_2.0.spik_2502</t>
  </si>
  <si>
    <t>AND25630003827</t>
  </si>
  <si>
    <t>MRS.POOJA DIWE (32/F)</t>
  </si>
  <si>
    <t>GEN_T_2.0.spik_2503</t>
  </si>
  <si>
    <t>AMB0000003377</t>
  </si>
  <si>
    <t>MRS.VARSHA DIWE (52/F)</t>
  </si>
  <si>
    <t>GEN_T_2.0.spik_2504</t>
  </si>
  <si>
    <t>AMB0000003376</t>
  </si>
  <si>
    <t>MRS.MUTHUKUMARI S W/O NAGARAJ R(29YF) POC</t>
  </si>
  <si>
    <t>GEN_T_2.0.spik_2505</t>
  </si>
  <si>
    <t>AND25150093648</t>
  </si>
  <si>
    <t>LAKSHYA FERTILITY AND WOMENS CENTRE .</t>
  </si>
  <si>
    <t>Vignesh (30-12-2025)</t>
  </si>
  <si>
    <t>Vignesh/ Naveen</t>
  </si>
  <si>
    <t>BABY.IMAZ KHAN(1YM)</t>
  </si>
  <si>
    <t>GEN_T_2.0.spik_2506</t>
  </si>
  <si>
    <t>AND25630003806</t>
  </si>
  <si>
    <t>BABY.ARULAMUDHAN(11MM)</t>
  </si>
  <si>
    <t>GEN_T_2.0.spik_2507</t>
  </si>
  <si>
    <t>AND25020057780</t>
  </si>
  <si>
    <t>Dr. Meera (24-122025)</t>
  </si>
  <si>
    <t>BABY.MIRACLIN OLIVIA A J(5YF)</t>
  </si>
  <si>
    <t>GEN_T_2.0.spik_2508</t>
  </si>
  <si>
    <t>AND25020057779</t>
  </si>
  <si>
    <t>MRS.VARSHA DWIVEDI (26 Y 4 M 26 D /Female) AF</t>
  </si>
  <si>
    <t>GEN_T_2.0.spik_AF2509</t>
  </si>
  <si>
    <t>AMB0000003159</t>
  </si>
  <si>
    <t>HAJELA MULTI SPECIALITY HOSPITAL- BHOPAL</t>
  </si>
  <si>
    <t>27/12/25</t>
  </si>
  <si>
    <t>BABY.PATHAN VUDHA(1YF)</t>
  </si>
  <si>
    <t>GEN_T_2.0.spik_2510</t>
  </si>
  <si>
    <t>AND251H0003891</t>
  </si>
  <si>
    <t>VIJAYALAKSHMI HOSPITAL - DHARMAVARAM</t>
  </si>
  <si>
    <t>28/12/25</t>
  </si>
  <si>
    <t>MRS.SHARMILA BANU W/O NAGURKANI (39Y|F) AF</t>
  </si>
  <si>
    <t>GEN_T_2.0.spik_AF2511</t>
  </si>
  <si>
    <t>AND25360053115</t>
  </si>
  <si>
    <t>23/12/25</t>
  </si>
  <si>
    <t>MRS.MUGDHA KURKURE (24 Y 2 M 10 D /Female)</t>
  </si>
  <si>
    <t>GEN_T_2.0.spik_2512</t>
  </si>
  <si>
    <t>AMB0000003232</t>
  </si>
  <si>
    <t>AKRUTI IVF CENTER LLP -DOMBIVALI</t>
  </si>
  <si>
    <t>29/12/25</t>
  </si>
  <si>
    <t>Dr. Meera (29-12)</t>
  </si>
  <si>
    <t>MR.GANESH K R(38YM)</t>
  </si>
  <si>
    <t>GEN_T_2.0.spik_2513</t>
  </si>
  <si>
    <t>AND25020057397</t>
  </si>
  <si>
    <t>SUJAYA RAGHAVENDRA MD DM NEUROLOGY</t>
  </si>
  <si>
    <t>31/12/25</t>
  </si>
  <si>
    <t>Pathogenic (PPP2R2B)</t>
  </si>
  <si>
    <t>MRS.JANANI(32YF)</t>
  </si>
  <si>
    <t>GEN_T_2.0.spik_2514</t>
  </si>
  <si>
    <t>AND25360055435</t>
  </si>
  <si>
    <t>MR.SUDHAGAR .V(39YM)</t>
  </si>
  <si>
    <t>GEN_T_2.0.spik_2515</t>
  </si>
  <si>
    <t>AND25990045642</t>
  </si>
  <si>
    <t>SRI VENKATESHWARAA MEDICAL COLLEGE - PONDY .</t>
  </si>
  <si>
    <t>MRS.SHALINI VINCHO SARANGAN W/O SURENDRABABU (34YF) POC</t>
  </si>
  <si>
    <t>GEN_T_2.0.spik_2516</t>
  </si>
  <si>
    <t>AND25150093108</t>
  </si>
  <si>
    <t>BABY OF.POOJA PANDIT (8413)(14) (0 Y 0 M 18 D /Male)</t>
  </si>
  <si>
    <t>GEN_T_2.0.spik_2517</t>
  </si>
  <si>
    <t>ADH0000003421</t>
  </si>
  <si>
    <t>METGUD HOSPITAL-BELGAUM</t>
  </si>
  <si>
    <t>BABY.YOGESH A(8MM)</t>
  </si>
  <si>
    <t>GEN_T_2.0.spik_2518</t>
  </si>
  <si>
    <t>AND25020057539</t>
  </si>
  <si>
    <t>MR.RAM KARNANI (31 Y 4 M 7 D /Male)</t>
  </si>
  <si>
    <t>GEN_T_2.0.spik_2519</t>
  </si>
  <si>
    <t>DCC0000001569</t>
  </si>
  <si>
    <t>HARITHA MANNAN</t>
  </si>
  <si>
    <t>30/12/25</t>
  </si>
  <si>
    <t>MRS.MANISHA SHARMA (32 Y 3 M 24 D /Female)</t>
  </si>
  <si>
    <t>GEN_T_2.0.spik_2520</t>
  </si>
  <si>
    <t>DCC0000001570</t>
  </si>
  <si>
    <t>MRS.MARAM REDDY DURGA MANISHA W/O. M SUDARSHANA (HEG 40022)(33YF)..</t>
  </si>
  <si>
    <t>GEN_T_2.0.spik_2521</t>
  </si>
  <si>
    <t>AND25420005402</t>
  </si>
  <si>
    <t>MR.ARIN DAS (12/M)</t>
  </si>
  <si>
    <t>GEN_T_2.0.spik_2522</t>
  </si>
  <si>
    <t>DCC0000001548</t>
  </si>
  <si>
    <t>KETAN PATEL</t>
  </si>
  <si>
    <t>MRS.NIRMALA(32YF)</t>
  </si>
  <si>
    <t>GEN_T_2.0.spik_2523</t>
  </si>
  <si>
    <t>AND25020057386</t>
  </si>
  <si>
    <t>MRS.DOLI KUMARI D/O. HIMA BINDU (HEG 38345)(HEG (24Y|F)</t>
  </si>
  <si>
    <t>GEN_T_2.0.spik_2524</t>
  </si>
  <si>
    <t>AND25420005440</t>
  </si>
  <si>
    <t>MR.VIVEK SRIVASTAVA (36/M)</t>
  </si>
  <si>
    <t>GEN_T_2.0.spik_2525</t>
  </si>
  <si>
    <t>ADB0000011951</t>
  </si>
  <si>
    <t>14-01-2026</t>
  </si>
  <si>
    <t>MRS.SHREYA SRIVASTAVA (33 Y 0 M 0 D /Female)</t>
  </si>
  <si>
    <t>GEN_T_2.0.spik_2526</t>
  </si>
  <si>
    <t>ADB0000012029</t>
  </si>
  <si>
    <t>MR.HIRSHAN MAMMU 339810(18YM)</t>
  </si>
  <si>
    <t>GEN_T_2.0.spik_2527</t>
  </si>
  <si>
    <t>AND25720029275</t>
  </si>
  <si>
    <t>MR.KADIRAPPA B K (39 Y 10 M 24 D /Male)</t>
  </si>
  <si>
    <t>GEN_T_2.0.spik_2529</t>
  </si>
  <si>
    <t>ADB0000012161</t>
  </si>
  <si>
    <t>SHALINI</t>
  </si>
  <si>
    <t>MRS.ASHWINI (33 Y 10 M 19 D /Female)</t>
  </si>
  <si>
    <t>GEN_T_2.0.spik_2530</t>
  </si>
  <si>
    <t>ADB0000012162</t>
  </si>
  <si>
    <t>MR.KUBIREDDI.CHAKRADHAR(23YM)</t>
  </si>
  <si>
    <t>GEN_T_2.0.spik_2531</t>
  </si>
  <si>
    <t>AND251H0003999</t>
  </si>
  <si>
    <t>Dr. Meera (19/12/2025)</t>
  </si>
  <si>
    <t>MRS.RAVADA.ALEKHYA(25YF)</t>
  </si>
  <si>
    <t>GEN_T_2.0.spik_2532</t>
  </si>
  <si>
    <t>AND251H0004000</t>
  </si>
  <si>
    <t>BABY.DARUK(AN08220)(5YM)</t>
  </si>
  <si>
    <t>GEN_T_2.0.spik_2533</t>
  </si>
  <si>
    <t>AND25630003832</t>
  </si>
  <si>
    <t>26/12/25</t>
  </si>
  <si>
    <t>24/12/25</t>
  </si>
  <si>
    <t>MR.AL10-W-702(31YM)</t>
  </si>
  <si>
    <t>GEN_T_2.0.spik_2534</t>
  </si>
  <si>
    <t>AND25630003822</t>
  </si>
  <si>
    <t>MR.AL10-W-713(36YM)</t>
  </si>
  <si>
    <t>GEN_T_2.0.spik_2535</t>
  </si>
  <si>
    <t>AND25630003823</t>
  </si>
  <si>
    <t>MR.AL10-W-719(27YM)</t>
  </si>
  <si>
    <t>GEN_T_2.0.spik_2536</t>
  </si>
  <si>
    <t>AND25630003824</t>
  </si>
  <si>
    <t>BABY.AL10-W-720(1YF)</t>
  </si>
  <si>
    <t>GEN_T_2.0.spik_2537</t>
  </si>
  <si>
    <t>AND25630003825</t>
  </si>
  <si>
    <t>MASTER.AL10-W-710(15YM)</t>
  </si>
  <si>
    <t>GEN_T_2.0.spik_2538</t>
  </si>
  <si>
    <t>AND25630003828</t>
  </si>
  <si>
    <t>MR.AL10-W-709(65YM)</t>
  </si>
  <si>
    <t>GEN_T_2.0.spik_2539</t>
  </si>
  <si>
    <t>AND25630003829</t>
  </si>
  <si>
    <t>MASTER.AL10-W-705(15YM)</t>
  </si>
  <si>
    <t>GEN_T_2.0.spik_2540</t>
  </si>
  <si>
    <t>AND25630003830</t>
  </si>
  <si>
    <t>Greyzone (AFF2)</t>
  </si>
  <si>
    <t>SURFseq- Run-41B</t>
  </si>
  <si>
    <t>AL11-CD-25-206 (16Y/M)</t>
  </si>
  <si>
    <t>GEN_T_2.0.spik_2541</t>
  </si>
  <si>
    <t>AND25630003870</t>
  </si>
  <si>
    <t>31/12/2025</t>
  </si>
  <si>
    <t>Dr.Sudha (30-12-25)</t>
  </si>
  <si>
    <t>AL11-W-738 (0Y/M)</t>
  </si>
  <si>
    <t>GEN_T_2.0.spik_2542</t>
  </si>
  <si>
    <t>AND25630003871</t>
  </si>
  <si>
    <t>AL11-W-727 (50Y/M)</t>
  </si>
  <si>
    <t>GEN_T_2.0.spik_2543</t>
  </si>
  <si>
    <t>AND25630003872</t>
  </si>
  <si>
    <t>AL11-W-733(2Y/M)</t>
  </si>
  <si>
    <t>GEN_T_2.0.spik_2544</t>
  </si>
  <si>
    <t>AND25630003873</t>
  </si>
  <si>
    <t>AL11-W-739 (22Y/M)</t>
  </si>
  <si>
    <t>GEN_T_2.0.spik_2545</t>
  </si>
  <si>
    <t>AND25630003874</t>
  </si>
  <si>
    <t>Dr.Sudha (31-12-25)</t>
  </si>
  <si>
    <t>AL11-W-721 (8Y/M)</t>
  </si>
  <si>
    <t>GEN_T_2.0.spik_2546</t>
  </si>
  <si>
    <t>AND25630003875</t>
  </si>
  <si>
    <t>AL11-W-730 (0Y/F)</t>
  </si>
  <si>
    <t>GEN_T_2.0.spik_2547</t>
  </si>
  <si>
    <t>AND25630003876</t>
  </si>
  <si>
    <t>AL11-W-724 (29Y/M)</t>
  </si>
  <si>
    <t>GEN_T_2.0.spik_2548</t>
  </si>
  <si>
    <t>AND25630003877</t>
  </si>
  <si>
    <t>HBD100 ( ARUN KUMAR)</t>
  </si>
  <si>
    <t>Not billed and No TRF</t>
  </si>
  <si>
    <t>GEN_T_2.0.spik_2549</t>
  </si>
  <si>
    <t xml:space="preserve">Dr.Sudha </t>
  </si>
  <si>
    <t>BABY.JITHAN R(11MM)</t>
  </si>
  <si>
    <t>GEN_T_2.0.spik_2550</t>
  </si>
  <si>
    <t>AND25020057973</t>
  </si>
  <si>
    <t>Dr. Meera (26-12-2025)</t>
  </si>
  <si>
    <t>MISS.YAMI HIREN BHAI BALAR (10 Y 1 M 18 D /Female)</t>
  </si>
  <si>
    <t>GEN_T_2.0.spik_2551</t>
  </si>
  <si>
    <t>DCC0000001568</t>
  </si>
  <si>
    <t>Dr. Meera (31-12-2025)</t>
  </si>
  <si>
    <t>MRS.GAYATHRI P(27YF)</t>
  </si>
  <si>
    <t>GEN_T_2.0.spik_2552</t>
  </si>
  <si>
    <t>AND25810027341</t>
  </si>
  <si>
    <t>A4 FERTILITY CENTRE - VIRUGAMBAKKAM</t>
  </si>
  <si>
    <t>MRS.SNEHA TUKARAM JOKAR (21 Y 8 M 22 D /Female)</t>
  </si>
  <si>
    <t>GEN_T_2.0.spik_2553</t>
  </si>
  <si>
    <t>AMB0000003467</t>
  </si>
  <si>
    <t>MR.TUKARAM DHULAPP JOKAR (26 Y 7 M 5 D /Male)</t>
  </si>
  <si>
    <t>GEN_T_2.0.spik_2554</t>
  </si>
  <si>
    <t>AMB0000003468</t>
  </si>
  <si>
    <t>MRS.PRAMILA P(34YF)</t>
  </si>
  <si>
    <t>GEN_T_2.0.spik_2555</t>
  </si>
  <si>
    <t>AND25250002148</t>
  </si>
  <si>
    <t>MASTER.MADHESH(11YM)</t>
  </si>
  <si>
    <t>GEN_T_2.0.spik_2556</t>
  </si>
  <si>
    <t>AND25370033561</t>
  </si>
  <si>
    <t>MRS.SOMYA SUCHANITA(33YF)</t>
  </si>
  <si>
    <t>GEN_T_2.0.spik_2557</t>
  </si>
  <si>
    <t>AND25420005566</t>
  </si>
  <si>
    <t>MRS.KUSHAL MISHRA(36YF)</t>
  </si>
  <si>
    <t>GEN_T_2.0.spik_2558</t>
  </si>
  <si>
    <t>AND25420005567</t>
  </si>
  <si>
    <t>MR.KIRESH KUMAR(35YM)</t>
  </si>
  <si>
    <t>GEN_T_2.0.spik_2559</t>
  </si>
  <si>
    <t>AND25150095221</t>
  </si>
  <si>
    <t>MRS.GAYATHRI (34YF)</t>
  </si>
  <si>
    <t>GEN_T_2.0.spik_2560</t>
  </si>
  <si>
    <t>AND25150095222</t>
  </si>
  <si>
    <t>BABY.VIDYASHREE (2 Y 3 M 28 D /Female)</t>
  </si>
  <si>
    <t>GEN_T_2.0.spik_2561</t>
  </si>
  <si>
    <t>ADH0000004655</t>
  </si>
  <si>
    <t>MR.T SRINIVASULU (33 Y 0 M 0 D /Male)</t>
  </si>
  <si>
    <t>GEN_T_2.0.spik_2562</t>
  </si>
  <si>
    <t>ADB0000012534</t>
  </si>
  <si>
    <t>MRS.S R VYSHNAVI (31 Y 0 M 0 D /Female)</t>
  </si>
  <si>
    <t>GEN_T_2.0.spik_2563</t>
  </si>
  <si>
    <t>ADB0000012535</t>
  </si>
  <si>
    <t>Naveen / Vignesh</t>
  </si>
  <si>
    <t>MR.PRAVEEN H/O KAMATCHI (29YM)</t>
  </si>
  <si>
    <t>GEN_T_2.0.spik_2564</t>
  </si>
  <si>
    <t>AND25380206273</t>
  </si>
  <si>
    <t>THE HIVE WOMEN FERTILITY CENTER - KOLATHUR MS</t>
  </si>
  <si>
    <t>BABY.ISHWARYA(5YF)</t>
  </si>
  <si>
    <t>GEN_T_2.0.spik_2565</t>
  </si>
  <si>
    <t>AND25630003851</t>
  </si>
  <si>
    <t>ICH EGMORE – CHENNAI</t>
  </si>
  <si>
    <t>MRS.SONALI SARKAR(31YF)</t>
  </si>
  <si>
    <t>GEN_T_2.0.spik_2566</t>
  </si>
  <si>
    <t>AND25850006643</t>
  </si>
  <si>
    <t>RAJENDRAN N M.D., D. DIAB.,FMMC D.SC</t>
  </si>
  <si>
    <t>MS.MONISHA (9YF)</t>
  </si>
  <si>
    <t>GEN_T_2.0.spik_2567</t>
  </si>
  <si>
    <t>AND25990046917</t>
  </si>
  <si>
    <t>Dr. Meera (01-01-2025)</t>
  </si>
  <si>
    <t>MR.VIGNESHKUMAR ALAIS PRAVEEN J(38YM)</t>
  </si>
  <si>
    <t>Whole Exome Sequencing : Covering all the coding regions (23,000 genes)</t>
  </si>
  <si>
    <t>GEN_T_2.0.spik_2568</t>
  </si>
  <si>
    <t>AND25680010399</t>
  </si>
  <si>
    <t>MRS.ANJALI RATHOR (32YF)</t>
  </si>
  <si>
    <t>GEN_T_2.0.spik_2569</t>
  </si>
  <si>
    <t>AND25AE0000386</t>
  </si>
  <si>
    <t>MRS.SUVARNA M(HARIJAN MARUTHAAMMA) (32Y|F)</t>
  </si>
  <si>
    <t>GEN_T_2.0.spik_2570</t>
  </si>
  <si>
    <t>AND251H0004054</t>
  </si>
  <si>
    <t>MRS.RENUKA SONNAD (40286)(87) (38 Y 5 M 3 D /Female)</t>
  </si>
  <si>
    <t>GEN_T_2.0.spik_2571</t>
  </si>
  <si>
    <t>ADH0000004754</t>
  </si>
  <si>
    <t>MR.BHIMAPPA SONNAD (40284)(85) (44 Y 6 M 8 D /Male)</t>
  </si>
  <si>
    <t>GEN_T_2.0.spik_2572</t>
  </si>
  <si>
    <t>ADH0000004755</t>
  </si>
  <si>
    <t>YOGESHWARAN (1Y/M)</t>
  </si>
  <si>
    <t>GEN_T_2.0.spik_2573</t>
  </si>
  <si>
    <t>AND25020058690</t>
  </si>
  <si>
    <t>BABY.ATHIKUMARAN G(3YM)</t>
  </si>
  <si>
    <t>GEN_T_2.0.spik_2574</t>
  </si>
  <si>
    <t>AND25020058176</t>
  </si>
  <si>
    <t>MRS.HALAMMA M (35 Y 6 M 25 D /Female) AF</t>
  </si>
  <si>
    <t>GEN_T_2.0.spik_AF2575</t>
  </si>
  <si>
    <t>ADH0000004155</t>
  </si>
  <si>
    <t>MRS.SHILPA D (31 Y 6 M 23 D /Female) poc</t>
  </si>
  <si>
    <t>POC / ABORTUS – WHOLE EXOME SEQUENCING + 16 MARKER MCC AS PER ACMG GUIDELINES</t>
  </si>
  <si>
    <t>GEN_T_2.0.spik_2576</t>
  </si>
  <si>
    <t>ADB0000012418</t>
  </si>
  <si>
    <t>Dr. Meera (02-01-2025)</t>
  </si>
  <si>
    <t>MRS.VINUTHA S W/O DEEPAK B N (35 Y 0 M 0 D /Female) POC</t>
  </si>
  <si>
    <t>GEN_T_2.0.spik_2577</t>
  </si>
  <si>
    <t>ADB0000012598</t>
  </si>
  <si>
    <t>Dr. Meera (05-01-2025)</t>
  </si>
  <si>
    <t>MRS.SHIKSHA URMALIYA (23YF) AF</t>
  </si>
  <si>
    <t>GEN_T_2.0.spik_AF2578</t>
  </si>
  <si>
    <t>AND25AE0000391</t>
  </si>
  <si>
    <t>MRS.ANAM ZAIN W/O. MOHAMMED AMANULLA KHAN (HEG M0034857)(27YF)</t>
  </si>
  <si>
    <t>GEN_T_2.0.spik_2579</t>
  </si>
  <si>
    <t>AND25420005638</t>
  </si>
  <si>
    <t>MR.MOHAMMED AMANULLA KHAN H/O. ANAM ZAIN(32YM)</t>
  </si>
  <si>
    <t>GEN_T_2.0.spik_2580</t>
  </si>
  <si>
    <t>AND25420005639</t>
  </si>
  <si>
    <t>MEL 13732</t>
  </si>
  <si>
    <t>GEN_T_2.0.spik_2581</t>
  </si>
  <si>
    <t>AND25630003892</t>
  </si>
  <si>
    <t>CHRISTIAN MEDICAL COLLEGE - MOLECULAR ENDOCRINOLOGY</t>
  </si>
  <si>
    <t>MEL 13652</t>
  </si>
  <si>
    <t>GEN_T_2.0.spik_2582</t>
  </si>
  <si>
    <t>AND25630003893</t>
  </si>
  <si>
    <t>Dr.Sudha G</t>
  </si>
  <si>
    <t>MEL 14033</t>
  </si>
  <si>
    <t>GEN_T_2.0.spik_2583</t>
  </si>
  <si>
    <t>AND25630003894</t>
  </si>
  <si>
    <t>MEL 15729</t>
  </si>
  <si>
    <t>GEN_T_2.0.spik_2584</t>
  </si>
  <si>
    <t>AND25630003895</t>
  </si>
  <si>
    <t>MEL 15764</t>
  </si>
  <si>
    <t>GEN_T_2.0.spik_2585</t>
  </si>
  <si>
    <t>AND25630003896</t>
  </si>
  <si>
    <t>MEL 15766</t>
  </si>
  <si>
    <t>GEN_T_2.0.spik_2586</t>
  </si>
  <si>
    <t>AND25630003897</t>
  </si>
  <si>
    <t>MEL 15795</t>
  </si>
  <si>
    <t>GEN_T_2.0.spik_2587</t>
  </si>
  <si>
    <t>AND25630003898</t>
  </si>
  <si>
    <t>BABY.SRINIKESH V(8YM)</t>
  </si>
  <si>
    <t>GEN_T_2.0.spik_2588</t>
  </si>
  <si>
    <t>AND25020058129</t>
  </si>
  <si>
    <t>SURFseq- Run-42A</t>
  </si>
  <si>
    <t>MRS.SHIREEN AKIB NATIKAR (24 Y 6 M 6 D /Female)</t>
  </si>
  <si>
    <t>GEN_T_2.0.spik_2589A</t>
  </si>
  <si>
    <t>ADH0000004687</t>
  </si>
  <si>
    <t>23/01/2026</t>
  </si>
  <si>
    <t>MRS.SHIRIN NATIKAR (23 Y 0 M 0 D /Female) POC</t>
  </si>
  <si>
    <t>WHOLE EXOME SEQUENCING + 16 MARKER MCC AS PER ACMG GUIDELINES</t>
  </si>
  <si>
    <t>GEN_T_2.0.spik_2590A</t>
  </si>
  <si>
    <t>ADH0000004750</t>
  </si>
  <si>
    <t>MR.AKIB ASHPAK NATIKAR (23 Y 8 M 1 D /Male)</t>
  </si>
  <si>
    <t>GEN_T_2.0.spik_2591A</t>
  </si>
  <si>
    <t>ADH0000004686</t>
  </si>
  <si>
    <t>MRS.DONOR OF SWAPNA AKULA(25YF) -  donor male partner AND25420000130</t>
  </si>
  <si>
    <t>GEN_T_2.0.spik_2592A</t>
  </si>
  <si>
    <t>AND25420005640</t>
  </si>
  <si>
    <t>MRS.TAMILSELVI VADIVELU (UMR2510035142)(26YF) CVS</t>
  </si>
  <si>
    <t>GEN_T_2.0.spik_AF2593A</t>
  </si>
  <si>
    <t>AND25150096858</t>
  </si>
  <si>
    <t>MRS.MANGALA K S (28 Y 8 M 16 D /Female)</t>
  </si>
  <si>
    <t>GEN_T_2.0.spik_2594A</t>
  </si>
  <si>
    <t>ADH0000004911</t>
  </si>
  <si>
    <t>MR.ANANDA B D (43 Y 6 M 9 D /Male)</t>
  </si>
  <si>
    <t>GEN_T_2.0.spik_2595A</t>
  </si>
  <si>
    <t>ADH0000004912</t>
  </si>
  <si>
    <t>MS.SUBHASRI (6YF)</t>
  </si>
  <si>
    <t>GEN_T_2.0.spik_2596A</t>
  </si>
  <si>
    <t>AND25990047409</t>
  </si>
  <si>
    <t>MRS.AKHILESHA (37Y|F)</t>
  </si>
  <si>
    <t>GEN_T_2.0.spik_2597A</t>
  </si>
  <si>
    <t>AND25850006752</t>
  </si>
  <si>
    <t>MR.RAHUL(37YM)</t>
  </si>
  <si>
    <t>GEN_T_2.0.spik_2598A</t>
  </si>
  <si>
    <t>AND25850006751</t>
  </si>
  <si>
    <t>INDIGO WOMEN'S CENTER - ANNA NAGAR</t>
  </si>
  <si>
    <t>MRS.MEERA AHIRWAR(28 Y 3 M 0 D /Female)</t>
  </si>
  <si>
    <t>GEN_T_2.0.spik_2599A</t>
  </si>
  <si>
    <t>AMB0000003660</t>
  </si>
  <si>
    <t>16-01-2026</t>
  </si>
  <si>
    <t>MRS.SAMANCHI SWETHA W/O. SAMANCHI RAVITEJA (HEG M026433)(35YF)</t>
  </si>
  <si>
    <t>GEN_T_2.0.spik_2600A</t>
  </si>
  <si>
    <t>AND25420005663</t>
  </si>
  <si>
    <t>Naveen/ Priya</t>
  </si>
  <si>
    <t>MR.SAMANCHI RAVITEJA(36YM)</t>
  </si>
  <si>
    <t>GEN_T_2.0.spik_2601A</t>
  </si>
  <si>
    <t>AND25420005664</t>
  </si>
  <si>
    <t>MRS.INSHA(26 Y 1 M 9 D /Female) poc</t>
  </si>
  <si>
    <t>GEN_T_2.0.spik_2602A</t>
  </si>
  <si>
    <t>AMB0000003647</t>
  </si>
  <si>
    <t>MR.SUNEEL D GONAL (33YM)</t>
  </si>
  <si>
    <t>GEN_T_2.0.spik_2603A</t>
  </si>
  <si>
    <t>AND25420005690</t>
  </si>
  <si>
    <t>Naveen. Raghavi</t>
  </si>
  <si>
    <t>MRS.AISHWARYA MAGI(29YF)</t>
  </si>
  <si>
    <t>GEN_T_2.0.spik_2604A</t>
  </si>
  <si>
    <t>AND25420005691</t>
  </si>
  <si>
    <t>BABY OF. SONALI MANE (0 Y 0 M 6 D /Male)</t>
  </si>
  <si>
    <t>POINT MUTATION TESTING</t>
  </si>
  <si>
    <t>GEN_T_2.0.spik_2605A</t>
  </si>
  <si>
    <t>AMB0000002891</t>
  </si>
  <si>
    <t>No need to release report</t>
  </si>
  <si>
    <t>PRONAY CHOWDHURY (22Y/M) HPT0001</t>
  </si>
  <si>
    <t>GEN_T_2.0.spik_2606A</t>
  </si>
  <si>
    <t>NOT BILLED CMC VELLORE</t>
  </si>
  <si>
    <t>Greyzone (ATXN1)</t>
  </si>
  <si>
    <t>AMITAVA CHATTERJEE (29Y/M) HPT0002</t>
  </si>
  <si>
    <t>GEN_T_2.0.spik_2607A</t>
  </si>
  <si>
    <t>RAGI REDDY RAMESH (38Y/M) HPT0003</t>
  </si>
  <si>
    <t>GEN_T_2.0.spik_2608A</t>
  </si>
  <si>
    <t>SENTHIL KUMAR (53Y/M) HPT0005</t>
  </si>
  <si>
    <t>GEN_T_2.0.spik_2609A</t>
  </si>
  <si>
    <t>NASHAR MOHAMED (36Y/M) HPT0006</t>
  </si>
  <si>
    <t>GEN_T_2.0.spik_2610A</t>
  </si>
  <si>
    <t>CHELLAPANDIAN (28Y/M) HPT0007</t>
  </si>
  <si>
    <t>GEN_T_2.0.spik_2611A</t>
  </si>
  <si>
    <t>SUHAIR THANGAL B.K (29Y/M) HPT0010</t>
  </si>
  <si>
    <t>GEN_T_2.0.spik_2612A</t>
  </si>
  <si>
    <t>VISHAL RAI (21Y/M) HPT0011</t>
  </si>
  <si>
    <t>GEN_T_2.0.spik_2613A</t>
  </si>
  <si>
    <t>SAKTHIVEL S (45Y/M) HPT0012</t>
  </si>
  <si>
    <t>GEN_T_2.0.spik_2614A</t>
  </si>
  <si>
    <t>JOSE K (59Y/M) HPT0013</t>
  </si>
  <si>
    <t>GEN_T_2.0.spik_2615A</t>
  </si>
  <si>
    <t>MALIBULLAH (27Y/M) HPT0017</t>
  </si>
  <si>
    <t>GEN_T_2.0.spik_2616A</t>
  </si>
  <si>
    <t>ARMAN (18Y/M) HPT0021</t>
  </si>
  <si>
    <t>GEN_T_2.0.spik_2617A</t>
  </si>
  <si>
    <t>AL12-W-741 (OY/M)</t>
  </si>
  <si>
    <t>GEN_T_2.0.spik_2618A</t>
  </si>
  <si>
    <t>AND25630003980</t>
  </si>
  <si>
    <t>AL12-W-745 (13Y/M)</t>
  </si>
  <si>
    <t>GEN_T_2.0.spik_2619A</t>
  </si>
  <si>
    <t>AND25630003981</t>
  </si>
  <si>
    <t>AL12-W-753 (40Y/F)</t>
  </si>
  <si>
    <t>GEN_T_2.0.spik_2620A</t>
  </si>
  <si>
    <t>AND25630003982</t>
  </si>
  <si>
    <t>MR. SARAVANA KUMAR (31 Y/M)</t>
  </si>
  <si>
    <t>PRE PGT</t>
  </si>
  <si>
    <t>GEN_T_2.0.spik_2621A</t>
  </si>
  <si>
    <t>PRE-PGT</t>
  </si>
  <si>
    <t>OOCYTE DONOR OF MRS. SATHYA T (24 Y /F)</t>
  </si>
  <si>
    <t>GEN_T_2.0.spik_2622A</t>
  </si>
  <si>
    <t>MRS.JAYSHREE MALPANI (28 Y 0 M 0 D /Female) poc</t>
  </si>
  <si>
    <t>GEN_T_2.0.spik_2623A</t>
  </si>
  <si>
    <t>AMB0000003573</t>
  </si>
  <si>
    <t>MRS.MANISHA KAILASH (28 Y 4 M 19 D /Female)</t>
  </si>
  <si>
    <t>ADVAT FOCUS CARRIER SCREENING - NGS</t>
  </si>
  <si>
    <t>GEN_T_2.0.spik_2624A</t>
  </si>
  <si>
    <t>ADB0000012960</t>
  </si>
  <si>
    <t>BABY.THARANI NATHAN K(6YM)</t>
  </si>
  <si>
    <t>GEN_T_2.0.spik_2625A</t>
  </si>
  <si>
    <t>AND25020059614</t>
  </si>
  <si>
    <t>MRS.NIKITA DHULGUNDE (22 Y 1 M 10 D /Female) AF</t>
  </si>
  <si>
    <t>GEN_T_2.0.spik_AF2626A</t>
  </si>
  <si>
    <t>AMB0000003706</t>
  </si>
  <si>
    <t>MR.GURU PRASAD H/O. POOJA SRIPATHINENI(34YM)</t>
  </si>
  <si>
    <t>GEN_T_2.0.spik_2627A</t>
  </si>
  <si>
    <t>AND25420005782</t>
  </si>
  <si>
    <t>APOLLO FERTILITY CENTRE PRIVATE LIMITED - KOMPALLY - HYD</t>
  </si>
  <si>
    <t>13/01/2026</t>
  </si>
  <si>
    <t>Naveen / Priya</t>
  </si>
  <si>
    <t>MRS.POOJA SRIPATHINENI W/O. GURU PRASAD(28YF)</t>
  </si>
  <si>
    <t>GEN_T_2.0.spik_2628A</t>
  </si>
  <si>
    <t>AND25420005783</t>
  </si>
  <si>
    <t>SURFseq- Run-43B</t>
  </si>
  <si>
    <t>BABY.MELLINA M(1YF)</t>
  </si>
  <si>
    <t>GEN_T_2.0.spik_2629</t>
  </si>
  <si>
    <t>AND25020060149</t>
  </si>
  <si>
    <t>14/01/2026</t>
  </si>
  <si>
    <t>Dr. Meera (05-01-2026)</t>
  </si>
  <si>
    <t>BABY.AFROZA FATHIMAS(5YF)</t>
  </si>
  <si>
    <t>GEN_T_2.0.spik_2630</t>
  </si>
  <si>
    <t>AND25020059613</t>
  </si>
  <si>
    <t>Dr. Meera (06-01-2026)</t>
  </si>
  <si>
    <t>BABY.VETRINILAVAN V(4YM)</t>
  </si>
  <si>
    <t>GEN_T_2.0.spik_2631</t>
  </si>
  <si>
    <t>AND25020060340</t>
  </si>
  <si>
    <t>15/01/2026</t>
  </si>
  <si>
    <t>MR.OMKAR JOSHI (25 Y 3 M 23 D /Male) - son of VANDANA JOSHI</t>
  </si>
  <si>
    <t>GEN_T_2.0.spik_2632</t>
  </si>
  <si>
    <t>AMB0000003759</t>
  </si>
  <si>
    <t>PEARL WOMENS HOSPITAL AND YASH IVF INDIA PVT LTD - PUNE</t>
  </si>
  <si>
    <t>27/12/2025</t>
  </si>
  <si>
    <t>VANDANA JOSHI - mother of OMKAR JOSHI</t>
  </si>
  <si>
    <t>GEN_T_2.0.spik_2633</t>
  </si>
  <si>
    <t>PREPGT</t>
  </si>
  <si>
    <t>BABY.DHANUSH(4YM) - 14 days TAT</t>
  </si>
  <si>
    <t>GEN_T_2.0.spik_2634</t>
  </si>
  <si>
    <t>AND25380214537</t>
  </si>
  <si>
    <t>MRS.RAMADEVI(38YF) - 14 days TAT</t>
  </si>
  <si>
    <t>GEN_T_2.0.spik_2635</t>
  </si>
  <si>
    <t>AND25380214538</t>
  </si>
  <si>
    <t>MR.MALLIKARJUN KURGUNDALA(36YM) - 14 days TAT</t>
  </si>
  <si>
    <t>GEN_T_2.0.spik_2636</t>
  </si>
  <si>
    <t>AND25380214539</t>
  </si>
  <si>
    <t>MRS.MANISHA CHIPPA (32 Y 0 M 0 D /Female)</t>
  </si>
  <si>
    <t>GEN_T_2.0.spik_2637</t>
  </si>
  <si>
    <t>ADB0000015027</t>
  </si>
  <si>
    <t xml:space="preserve">Gayathri </t>
  </si>
  <si>
    <t>MR.MANOJ MONDAL(AN10430)(32YM)</t>
  </si>
  <si>
    <t>GEN_T_2.0.spik_2638</t>
  </si>
  <si>
    <t>AND25630003983</t>
  </si>
  <si>
    <t>MR.SIVARAMAKRISHNAN.D(AN19826)(18YM)</t>
  </si>
  <si>
    <t>GEN_T_2.0.spik_2639</t>
  </si>
  <si>
    <t>AND25630003984</t>
  </si>
  <si>
    <t>MR.THIAGARAJAN [1684](41YM)</t>
  </si>
  <si>
    <t>16/01/2026</t>
  </si>
  <si>
    <t>Naveen / Raghavi</t>
  </si>
  <si>
    <t>BABY.RISHIKA KUMARI (AN26518)(13YF)</t>
  </si>
  <si>
    <t>GEN_T_2.0.spik_2641</t>
  </si>
  <si>
    <t>AND25630003972</t>
  </si>
  <si>
    <t>MS.VARSHA S K (AN24489)(18YF)</t>
  </si>
  <si>
    <t>GEN_T_2.0.spik_2642</t>
  </si>
  <si>
    <t>AND25630003973</t>
  </si>
  <si>
    <t>BABY.FETAL OF PAVITHRA R (AN31539)(0YF)</t>
  </si>
  <si>
    <t>GEN_T_2.0.spik_AF2643</t>
  </si>
  <si>
    <t>AND25630003978</t>
  </si>
  <si>
    <t>BABY.DIVINA(1YF) daughter of AND25370027872 and AND25370027873</t>
  </si>
  <si>
    <t>GEN_T_2.0.spik_2644</t>
  </si>
  <si>
    <t>HOLD REPORT RELEASE</t>
  </si>
  <si>
    <t>BABY.AL13-CD-25-210(12YF)</t>
  </si>
  <si>
    <t>GEN_T_2.0.spik_2645</t>
  </si>
  <si>
    <t>AND25630003974</t>
  </si>
  <si>
    <t>BABY.AL13-CD-25-211(0YM)</t>
  </si>
  <si>
    <t>GEN_T_2.0.spik_2646</t>
  </si>
  <si>
    <t>AND25630003975</t>
  </si>
  <si>
    <t>MR.AL13-W-774(27YM)</t>
  </si>
  <si>
    <t>GEN_T_2.0.spik_2647</t>
  </si>
  <si>
    <t>AND25630003976</t>
  </si>
  <si>
    <t>BABY.AL13-W-751(9YF)</t>
  </si>
  <si>
    <t>GEN_T_2.0.spik_2648</t>
  </si>
  <si>
    <t>AND25630003977</t>
  </si>
  <si>
    <t>MRS.NAINA VERMA(30 Y 11 M 25 D /Female) AF</t>
  </si>
  <si>
    <t>CLINICAL EXOME SEQUENCING</t>
  </si>
  <si>
    <t>GEN_T_2.0.spik_AF2649</t>
  </si>
  <si>
    <t>ADB0000016498</t>
  </si>
  <si>
    <t>17/01/2026</t>
  </si>
  <si>
    <t>MR.PRIYADHARSHAN (14 Y 0 M 0 D /Male)</t>
  </si>
  <si>
    <t>GEN_T_2.0.spik_2650</t>
  </si>
  <si>
    <t>FR20000000111</t>
  </si>
  <si>
    <t>PONDICHERRY - PROCESSING LAB - ROTN PDY</t>
  </si>
  <si>
    <t>MRS.MAHALAKSHMI (27/F) AF</t>
  </si>
  <si>
    <t>GEN_T_2.0.spik_AF2651</t>
  </si>
  <si>
    <t>ADH0000003919</t>
  </si>
  <si>
    <t>HUBLI - PROCESSING LAB – KARNATAKA</t>
  </si>
  <si>
    <t>SURFseq- Run-44A</t>
  </si>
  <si>
    <t>MRS.RICHA TIWARI(32YF)</t>
  </si>
  <si>
    <t>GEN_T_2.0.spik_AF2652</t>
  </si>
  <si>
    <t>AND25AE0000402</t>
  </si>
  <si>
    <t>Pathogenic (AR),Greyzone (TCF4)</t>
  </si>
  <si>
    <t>MRS.KHUSHBOO LOKWANI (28 Y 4 M 1 D /Female)</t>
  </si>
  <si>
    <t>GEN_T_2.0.spik_2653</t>
  </si>
  <si>
    <t>AMB0000003840</t>
  </si>
  <si>
    <t>Vamshi (06-01-2026)</t>
  </si>
  <si>
    <t>MR.MAHIRAJ SINH (15 Y 2 M 15 D /Male)</t>
  </si>
  <si>
    <t>GEN_T_2.0.spik_2654</t>
  </si>
  <si>
    <t>DCC0000001800</t>
  </si>
  <si>
    <t>Dr. Meera (07-01-2026)</t>
  </si>
  <si>
    <t>20-01-2026</t>
  </si>
  <si>
    <t>MRS.VIJAYAKUMARI (58/F)</t>
  </si>
  <si>
    <t>GEN_T_2.0.spik_2655</t>
  </si>
  <si>
    <t>AND25270023885</t>
  </si>
  <si>
    <t>MR.SIVA KUMAR P (45Y|M)</t>
  </si>
  <si>
    <t>GEN_T_2.0.spik_2656</t>
  </si>
  <si>
    <t>AND25630003996</t>
  </si>
  <si>
    <t>SHANMUGA SUNDARAM</t>
  </si>
  <si>
    <t>18/01/2026</t>
  </si>
  <si>
    <t>17-01-2026</t>
  </si>
  <si>
    <t>MR.VISHWACHETHAN ARAKERI (25 Y 0 M 0 D /Male)</t>
  </si>
  <si>
    <t>GEN_T_2.0.spik_2657</t>
  </si>
  <si>
    <t>ADB0000016659</t>
  </si>
  <si>
    <t>Vamshi (08-01-2026)</t>
  </si>
  <si>
    <t>19-01-2026</t>
  </si>
  <si>
    <t>MASTER.SHAM(12YM)</t>
  </si>
  <si>
    <t>GEN_T_2.0.spik_2658</t>
  </si>
  <si>
    <t>AND25020060943</t>
  </si>
  <si>
    <t>MS.VIJITHA(11YF)</t>
  </si>
  <si>
    <t>GEN_T_2.0.spik_2659</t>
  </si>
  <si>
    <t>AND25020060944</t>
  </si>
  <si>
    <t>21-01-2026</t>
  </si>
  <si>
    <t>MR.VIGNESH(32YM)</t>
  </si>
  <si>
    <t>GEN_T_2.0.spik_2660</t>
  </si>
  <si>
    <t>AND25020060946</t>
  </si>
  <si>
    <t>BABY.MUKILVENTHAN S (1Y|M)</t>
  </si>
  <si>
    <t>GEN_T_2.0.spik_2661</t>
  </si>
  <si>
    <t>AND25020061120</t>
  </si>
  <si>
    <t>19/01/2026</t>
  </si>
  <si>
    <t>BABY.ABIRUDH(8MM)</t>
  </si>
  <si>
    <t>GEN_T_2.0.spik_2662</t>
  </si>
  <si>
    <t>AND25630004000</t>
  </si>
  <si>
    <t>MR.MANJUNATH GULANNANAVAR(33 Y 5 M 4 D /Male)</t>
  </si>
  <si>
    <t>GEN_T_2.0.spik_2663</t>
  </si>
  <si>
    <t>ADH0000006115</t>
  </si>
  <si>
    <t>Dr. Meera (09-01-2026)</t>
  </si>
  <si>
    <t>MRS.ASHWINI GULANNANAVAR (23 Y 9 M 0 D /Female)</t>
  </si>
  <si>
    <t>GEN_T_2.0.spik_2664</t>
  </si>
  <si>
    <t>ADH0000006116</t>
  </si>
  <si>
    <t>MR. MASTER VANSHU SHARMA (5 Y 5 M 21 D /Male)</t>
  </si>
  <si>
    <t>GEN_T_2.0.spik_2665</t>
  </si>
  <si>
    <t>DCC0000001798</t>
  </si>
  <si>
    <t>Vamshi (14-01-2026)</t>
  </si>
  <si>
    <t>MR.A PRANAY REDDY (HEG 40516) H/O. ANU REDDY(34YM)</t>
  </si>
  <si>
    <t>GEN_T_2.0.spik_2666</t>
  </si>
  <si>
    <t>AND25420005866</t>
  </si>
  <si>
    <t>MRS.ANU REDDY (HEG 29260) W/O. A PRANAY REDDY(32YF)</t>
  </si>
  <si>
    <t>GEN_T_2.0.spik_2667</t>
  </si>
  <si>
    <t>AND25420005867</t>
  </si>
  <si>
    <t>MS.RUBITHA(26YF)</t>
  </si>
  <si>
    <t>GEN_T_2.0.spik_2668</t>
  </si>
  <si>
    <t>AND25630004001</t>
  </si>
  <si>
    <t>ATHIRSTA LAKSHMI (42Y/F) 398139 D</t>
  </si>
  <si>
    <t>GEN_T_2.0.spik_2669</t>
  </si>
  <si>
    <t>AND25790018515</t>
  </si>
  <si>
    <t>SATHISH LOGANATHAN</t>
  </si>
  <si>
    <t>MASTER.LOHITH M(5YM)</t>
  </si>
  <si>
    <t>GEN_T_2.0.spik_2670</t>
  </si>
  <si>
    <t>AND25630004020</t>
  </si>
  <si>
    <t>Dr. Meera (08-01-2026)</t>
  </si>
  <si>
    <t>MR.SHANKAR BANSAL (34 Y 0 M 6 D /Male)</t>
  </si>
  <si>
    <t>GEN_T_2.0.spik_2671</t>
  </si>
  <si>
    <t>AMB0000003894</t>
  </si>
  <si>
    <t>MR.CHETAN HUMNE(30 Y 0 M 6 D /Male)</t>
  </si>
  <si>
    <t>GEN_T_2.0.spik_2672</t>
  </si>
  <si>
    <t>AMB0000003977</t>
  </si>
  <si>
    <t>20/01/2026</t>
  </si>
  <si>
    <t>SANJANA .S</t>
  </si>
  <si>
    <t>GEN_T_2.0.spik_2673</t>
  </si>
  <si>
    <t>AND25630004054</t>
  </si>
  <si>
    <t>baby of sanjana.s</t>
  </si>
  <si>
    <t>GEN_T_2.0.spik_AF2674</t>
  </si>
  <si>
    <t>AND25630004055</t>
  </si>
  <si>
    <t>fetus of RAMYA .T</t>
  </si>
  <si>
    <t>GEN_T_2.0.spik_AF2675</t>
  </si>
  <si>
    <t>AND25630004056</t>
  </si>
  <si>
    <t>SURFseq- Run-45B</t>
  </si>
  <si>
    <t>MRS.SHRUTI SUKANT BANDER (9394-95) (25 Y 0 M 0 D /Female) POC</t>
  </si>
  <si>
    <t>GEN_T_2.0.spik_2676</t>
  </si>
  <si>
    <t>ADH0000006284</t>
  </si>
  <si>
    <t>20/01/26</t>
  </si>
  <si>
    <t>Vamshi (13-01-2026)</t>
  </si>
  <si>
    <t>MRS.PAVITHRA S(34YF)</t>
  </si>
  <si>
    <t>GEN_T_2.0.spik_2677</t>
  </si>
  <si>
    <t>AND25380219190</t>
  </si>
  <si>
    <t>MR.SUBRAMANIAN(40YM)</t>
  </si>
  <si>
    <t>GEN_T_2.0.spik_2678</t>
  </si>
  <si>
    <t>AND25380219191</t>
  </si>
  <si>
    <t>MRS.SUSHMITA KUMARI(29 Y 1 M 6 D /Female) poc</t>
  </si>
  <si>
    <t>GEN_T_2.0.spik_2679</t>
  </si>
  <si>
    <t>DCC0000001833</t>
  </si>
  <si>
    <t>Vamshi (07-01-2026)</t>
  </si>
  <si>
    <t>MRS.SHAMA FAIROZ SHAIKH(30 Y 5 M 19 D /Female) AF</t>
  </si>
  <si>
    <t>GEN_T_2.0.spik_AF2680</t>
  </si>
  <si>
    <t>ADB0000017028</t>
  </si>
  <si>
    <t>KARPAGAM (29Y/F)</t>
  </si>
  <si>
    <t>GEN_T_2.0.spik_2681</t>
  </si>
  <si>
    <t>AND25020061457</t>
  </si>
  <si>
    <t>21/01/26</t>
  </si>
  <si>
    <t>28/01/2026</t>
  </si>
  <si>
    <t>MS.MAHA (9 Y 0 M 0 D /Female)</t>
  </si>
  <si>
    <t>GEN_T_2.0.spik_2682</t>
  </si>
  <si>
    <t>FR20000000298</t>
  </si>
  <si>
    <t>22/01/26</t>
  </si>
  <si>
    <t>Dr. Meera (10-01-2026)</t>
  </si>
  <si>
    <t>13-01-2025</t>
  </si>
  <si>
    <t>MR.SRIDHAR K S(52YM)</t>
  </si>
  <si>
    <t>GEN_T_2.0.spik_2683</t>
  </si>
  <si>
    <t>AND25370036219</t>
  </si>
  <si>
    <t>SENTHIL KUMAR DURAI MS ORTHO</t>
  </si>
  <si>
    <t>MR.AYUG SANJEL (7/M)</t>
  </si>
  <si>
    <t>GEN_T_2.0.spik_2684</t>
  </si>
  <si>
    <t>AND251O0000092</t>
  </si>
  <si>
    <t>20-01-2025</t>
  </si>
  <si>
    <t>MRS.AISHWARYA V(35YF)</t>
  </si>
  <si>
    <t>GEN_T_2.0.spik_2685</t>
  </si>
  <si>
    <t>AND25020061550</t>
  </si>
  <si>
    <t>BABY OF.ABI (251219419135)(1DM)</t>
  </si>
  <si>
    <t>GEN_T_2.0.spik_2686</t>
  </si>
  <si>
    <t>AND25380220096</t>
  </si>
  <si>
    <t>20-01-20266</t>
  </si>
  <si>
    <t>MRS.J LATHA (41 Y 0 M 0 D /Female)</t>
  </si>
  <si>
    <t>GEN_T_2.0.spik_2687</t>
  </si>
  <si>
    <t>ADB0000017100</t>
  </si>
  <si>
    <t>Vamshi (10-01-2026)</t>
  </si>
  <si>
    <t>24/01/2026</t>
  </si>
  <si>
    <t>MR.JANARDHANACHAR (53 Y 0 M 0 D /Male)</t>
  </si>
  <si>
    <t>GEN_T_2.0.spik_2688</t>
  </si>
  <si>
    <t>ADB0000017101</t>
  </si>
  <si>
    <t>MASTER.ROHITH G(15YM)</t>
  </si>
  <si>
    <t>GEN_T_2.0.spik_2689</t>
  </si>
  <si>
    <t>AND25020061594</t>
  </si>
  <si>
    <t>BABY.NAKSHATHRA P(9YF)</t>
  </si>
  <si>
    <t>GEN_T_2.0.spik_2690</t>
  </si>
  <si>
    <t>AND25020061676</t>
  </si>
  <si>
    <t>BABY.MOHAMMED IMRAN M(3YM)</t>
  </si>
  <si>
    <t>GEN_T_2.0.spik_2691</t>
  </si>
  <si>
    <t>AND25020061674</t>
  </si>
  <si>
    <t>MASTER.GIRIDHARAN ESAKKI G M(11YM)</t>
  </si>
  <si>
    <t>GEN_T_2.0.spik_2692</t>
  </si>
  <si>
    <t>AND25020061675</t>
  </si>
  <si>
    <t>MRS.KARTHIKA R PILLAI (HEG 36214) W/O. AKHIL(29YF)</t>
  </si>
  <si>
    <t>GEN_T_2.0.spik_2693</t>
  </si>
  <si>
    <t>AND25420005928</t>
  </si>
  <si>
    <t>MR.AKHIL R PILLAI (HEG 36215) H/O. KARTHIKA(31YM)</t>
  </si>
  <si>
    <t>GEN_T_2.0.spik_2694</t>
  </si>
  <si>
    <t>AND25420005929</t>
  </si>
  <si>
    <t>MRS.ANITHA SATHASIVAM(30YF) CVS</t>
  </si>
  <si>
    <t>GEN_T_2.0.spik_AF2695</t>
  </si>
  <si>
    <t>AND25380220693</t>
  </si>
  <si>
    <t>A4 HOSPITAL-VALASARAVAKKAM</t>
  </si>
  <si>
    <t>BABY.KAYALVIZHI(AN14986)(1YF)</t>
  </si>
  <si>
    <t>GEN_T_2.0.spik_2696</t>
  </si>
  <si>
    <t>AND25630004066</t>
  </si>
  <si>
    <t>13/01/26</t>
  </si>
  <si>
    <t>BABY.VIDYUTH (691262P)(3YM)</t>
  </si>
  <si>
    <t>GEN_T_2.0.spik_2697</t>
  </si>
  <si>
    <t>AND25630004059</t>
  </si>
  <si>
    <t>MRS.SOFIA MERCY (AN23502)(31YF)</t>
  </si>
  <si>
    <t>GEN_T_2.0.spik_2698</t>
  </si>
  <si>
    <t>AND25630004058</t>
  </si>
  <si>
    <t>BABY.KRISHNA(7MF)</t>
  </si>
  <si>
    <t>GEN_T_2.0.spik_2699</t>
  </si>
  <si>
    <t>AND25850006993</t>
  </si>
  <si>
    <t>KARTHICK S MD PEDS DAA</t>
  </si>
  <si>
    <t>23/01/26</t>
  </si>
  <si>
    <t>Naveen / Priya / Jana</t>
  </si>
  <si>
    <t>AL14-W-793 (7Y/F)</t>
  </si>
  <si>
    <t>GEN_T_2.0.spik_2700</t>
  </si>
  <si>
    <t>AL14-W-798 (9Y/M)</t>
  </si>
  <si>
    <t>GEN_T_2.0.spik_2701</t>
  </si>
  <si>
    <t>AL14-W-800 (13Y/M)</t>
  </si>
  <si>
    <t>GEN_T_2.0.spik_2702</t>
  </si>
  <si>
    <t>AL14-W-801 (23Y/M)</t>
  </si>
  <si>
    <t>GEN_T_2.0.spik_2703</t>
  </si>
  <si>
    <t>AL14-W-806 (14Y/F)</t>
  </si>
  <si>
    <t>GEN_T_2.0.spik_2704</t>
  </si>
  <si>
    <t>AL14-W-816 (22Y/F)</t>
  </si>
  <si>
    <t>GEN_T_2.0.spik_2705</t>
  </si>
  <si>
    <t>AL14-W-821 (8Y/M)</t>
  </si>
  <si>
    <t>GEN_T_2.0.spik_2706</t>
  </si>
  <si>
    <t>MRS.ANCILLA PINTO (27 Y 1 M 16 D /Female) POC</t>
  </si>
  <si>
    <t>GEN_T_2.0.spik_2707</t>
  </si>
  <si>
    <t>ADB0000017303</t>
  </si>
  <si>
    <t>MRS.MYLARAM MENAKA W/O. D. KIRAN KUMAR(27YF)</t>
  </si>
  <si>
    <t>GEN_T_2.0.spik_2708</t>
  </si>
  <si>
    <t>AND25420005979</t>
  </si>
  <si>
    <t>MR.DEVAKA KIRAN KUMAR H/O. M. MENAKA(31YM)</t>
  </si>
  <si>
    <t>GEN_T_2.0.spik_2709</t>
  </si>
  <si>
    <t>AND25420005980</t>
  </si>
  <si>
    <t>MR.PRAVEEN RAO (38 Y 8 M 30 D /Male)</t>
  </si>
  <si>
    <t>GEN_T_2.0.spik_2710</t>
  </si>
  <si>
    <t>ADB0000017321</t>
  </si>
  <si>
    <t>24/01/26</t>
  </si>
  <si>
    <t>29/01/2026</t>
  </si>
  <si>
    <t>BABY.MOWNISHVARAN(1YM)</t>
  </si>
  <si>
    <t>GEN_T_2.0.spik_2711</t>
  </si>
  <si>
    <t>AND25630004062</t>
  </si>
  <si>
    <t>BABY.REVANTH B (2 Y 0 M 0 D /Male)</t>
  </si>
  <si>
    <t>GEN_T_2.0.spik_2712</t>
  </si>
  <si>
    <t>ATR0000006229</t>
  </si>
  <si>
    <t>25/01/26</t>
  </si>
  <si>
    <t xml:space="preserve">diwakar </t>
  </si>
  <si>
    <t>30-01-2025</t>
  </si>
  <si>
    <t>31/01/2026</t>
  </si>
  <si>
    <t>MRS.NAGAMANI K (110409)(33YF)</t>
  </si>
  <si>
    <t>GEN_T_2.0.spik_2713</t>
  </si>
  <si>
    <t>AND25380222290</t>
  </si>
  <si>
    <t>CHAKRA CRITICAL CARE CENTRE &amp; HOSPITALS - KOLATHUR</t>
  </si>
  <si>
    <t>28-01-2025</t>
  </si>
  <si>
    <t>MR.BALAJI (TMB00685)(46YM)</t>
  </si>
  <si>
    <t>GEN_T_2.0.spik_2714</t>
  </si>
  <si>
    <t>AND25150103928</t>
  </si>
  <si>
    <t>PALLAVI</t>
  </si>
  <si>
    <t>MRS.GAYATHRI (TMB00684)(40YF)</t>
  </si>
  <si>
    <t>GEN_T_2.0.spik_2715</t>
  </si>
  <si>
    <t>AND25150103929</t>
  </si>
  <si>
    <t>SURFseq- Run-46A</t>
  </si>
  <si>
    <t>MRS.EKTA SHARMA (34 Y 4 M 12 D /Female) poc</t>
  </si>
  <si>
    <t>GEN_T_2.0.spik_2716</t>
  </si>
  <si>
    <t>DCC0000001873</t>
  </si>
  <si>
    <t>Vamshi (05-01-2026)</t>
  </si>
  <si>
    <t>MR.SIDDA MALLIKARJUNA(47YM)</t>
  </si>
  <si>
    <t>GEN_T_2.0.spik_2717</t>
  </si>
  <si>
    <t>AND251H0004455</t>
  </si>
  <si>
    <t>MRS.CHANDNI(26 Y 11 M 25 D /Female)</t>
  </si>
  <si>
    <t>GEN_T_2.0.spik_2718</t>
  </si>
  <si>
    <t>DCC0000001940</t>
  </si>
  <si>
    <t>27/01/2026</t>
  </si>
  <si>
    <t>AL15-W-835 (13Y/M)</t>
  </si>
  <si>
    <t>GEN_T_2.0.spik_2719</t>
  </si>
  <si>
    <t>AND25630004149</t>
  </si>
  <si>
    <t>AL15-W-804 (28Y/M)</t>
  </si>
  <si>
    <t>GEN_T_2.0.spik_2720</t>
  </si>
  <si>
    <t>AND25630004150</t>
  </si>
  <si>
    <t>AL15-W-828 (29Y/F)</t>
  </si>
  <si>
    <t>GEN_T_2.0.spik_2721</t>
  </si>
  <si>
    <t>AND25630004151</t>
  </si>
  <si>
    <t>AL15-W-839 (23Y/M)</t>
  </si>
  <si>
    <t>GEN_T_2.0.spik_2722</t>
  </si>
  <si>
    <t>AND25630004152</t>
  </si>
  <si>
    <t>AL15-W-841 (22Y/F)</t>
  </si>
  <si>
    <t>GEN_T_2.0.spik_2723</t>
  </si>
  <si>
    <t>AND25630004153</t>
  </si>
  <si>
    <t>MR.RITAM KAYAL (AK76757)(0YM)</t>
  </si>
  <si>
    <t>GEN_T_2.0.spik_2724</t>
  </si>
  <si>
    <t>AND25630004120</t>
  </si>
  <si>
    <t>17/01/2025</t>
  </si>
  <si>
    <t>MRS.VARALAKSHMI (UMR2503013844) (34Y|F)</t>
  </si>
  <si>
    <t>GEN_T_2.0.spik_2725</t>
  </si>
  <si>
    <t>AND25380223013</t>
  </si>
  <si>
    <t>MR.ARAVINDHAN (35Y|M)</t>
  </si>
  <si>
    <t>GEN_T_2.0.spik_2726</t>
  </si>
  <si>
    <t>AND25380223015</t>
  </si>
  <si>
    <t>BABY OF.EZHILARASI(12DF)</t>
  </si>
  <si>
    <t>GEN_T_2.0.spik_2727</t>
  </si>
  <si>
    <t>AND25370036527</t>
  </si>
  <si>
    <t>MANOJ KUMAR D PAED</t>
  </si>
  <si>
    <t>25/01/2026</t>
  </si>
  <si>
    <t>M . NIVISRI (4Y/F)</t>
  </si>
  <si>
    <t>GEN_T_2.0.spik_2728</t>
  </si>
  <si>
    <t>AND25020062582</t>
  </si>
  <si>
    <t>26/01/2026</t>
  </si>
  <si>
    <t>Dr. Meera (12-01-2026)</t>
  </si>
  <si>
    <t>ALMIRA FATHIMA (4M/F)</t>
  </si>
  <si>
    <t>GEN_T_2.0.spik_2729</t>
  </si>
  <si>
    <t>AND25020062583</t>
  </si>
  <si>
    <t>MR.VIKRANT GUPTA (45 Y 11 M 9 D /Male)</t>
  </si>
  <si>
    <t>GEN_T_2.0.spik_2730</t>
  </si>
  <si>
    <t>DCC0000001887</t>
  </si>
  <si>
    <t>MRS.SHIBANI KATHURIA (45 Y 11 M 7 D /Female)</t>
  </si>
  <si>
    <t>GEN_T_2.0.spik_2731</t>
  </si>
  <si>
    <t>DCC0000001889</t>
  </si>
  <si>
    <t>MR.ARUN MAMBRA(28YM)</t>
  </si>
  <si>
    <t>GEN_T_2.0.spik_2732</t>
  </si>
  <si>
    <t>AND25370036816</t>
  </si>
  <si>
    <t>SURUTHI</t>
  </si>
  <si>
    <r>
      <rPr>
        <rFont val="Arial"/>
        <color rgb="FFC9211E"/>
      </rPr>
      <t>DR.ASHWINI JAMBAGI (37 Y 0 M 0 D /Female) POC (</t>
    </r>
    <r>
      <rPr>
        <rFont val="Arial"/>
        <b/>
        <color rgb="FFC9211E"/>
      </rPr>
      <t>Resequencing</t>
    </r>
    <r>
      <rPr>
        <rFont val="Arial"/>
        <color rgb="FFC9211E"/>
      </rPr>
      <t>)</t>
    </r>
  </si>
  <si>
    <t>GEN_T_2.0.spik_2733</t>
  </si>
  <si>
    <t>ADH0000007190</t>
  </si>
  <si>
    <t>13/02/2026</t>
  </si>
  <si>
    <t>MASTER.RESHWIN SRINIVASAN(10YM)</t>
  </si>
  <si>
    <t>GEN_T_2.0.spik_2734</t>
  </si>
  <si>
    <t>AND25AJ0011917</t>
  </si>
  <si>
    <t>MR.S RAJESH(37YM)</t>
  </si>
  <si>
    <t>GEN_T_2.0.spik_2735</t>
  </si>
  <si>
    <t>AND25420006071</t>
  </si>
  <si>
    <t>OVA FERTILITY CENTRE - HYDERABAD</t>
  </si>
  <si>
    <t>Vamshi (12-01-2026)</t>
  </si>
  <si>
    <t>MRS.S INDIRA(33YF)</t>
  </si>
  <si>
    <t>GEN_T_2.0.spik_2736</t>
  </si>
  <si>
    <t>AND25420006072</t>
  </si>
  <si>
    <t>BABY.JEEVAN.S(1YM)</t>
  </si>
  <si>
    <t>GEN_T_2.0.spik_2737</t>
  </si>
  <si>
    <t>AND25630004111</t>
  </si>
  <si>
    <t>BABY.MOHAMED MAHIUDDIN(4YM)</t>
  </si>
  <si>
    <t>GEN_T_2.0.spik_2738</t>
  </si>
  <si>
    <t>AND25630004112</t>
  </si>
  <si>
    <t>MR.BALLA. CHAITNYA KUMAR(34YM)</t>
  </si>
  <si>
    <t>GEN_T_2.0.spik_2739</t>
  </si>
  <si>
    <t>AND251H0004457</t>
  </si>
  <si>
    <t>BHARATHI R MD DGO</t>
  </si>
  <si>
    <t>SURFseq- Run-47B</t>
  </si>
  <si>
    <t>MRS.TALAVARA SUNITHA (8047)(8051) (32 Y 9 M 12 D /Female)</t>
  </si>
  <si>
    <t>GEN_T_2.0.spik_AF2740</t>
  </si>
  <si>
    <t>ADH0000006846</t>
  </si>
  <si>
    <t>MRS.KOMAL HEPAT (31 Y 5 M 28 D /Female)AF</t>
  </si>
  <si>
    <t>GEN_T_2.0.spik_AF2741</t>
  </si>
  <si>
    <t>AMB0000004207</t>
  </si>
  <si>
    <t>27/01/26</t>
  </si>
  <si>
    <t>MRS.KIRTI YADAV(23 Y 10 M 13 D /Female) POC</t>
  </si>
  <si>
    <t>GEN_T_2.0.spik_2742</t>
  </si>
  <si>
    <t>AMB0000004253</t>
  </si>
  <si>
    <t>26/01/26</t>
  </si>
  <si>
    <t>MS.PARAMESHWARI(18YF)</t>
  </si>
  <si>
    <t>GEN_T_2.0.spik_2743</t>
  </si>
  <si>
    <t>AND25020063091</t>
  </si>
  <si>
    <t>29/01/26</t>
  </si>
  <si>
    <t>THUKARAM (30Y/M)</t>
  </si>
  <si>
    <t>HEREDITARY PANCREATITIS PANEL</t>
  </si>
  <si>
    <t>GEN_T_2.0.spik_2745</t>
  </si>
  <si>
    <t>AND251S0003720</t>
  </si>
  <si>
    <t>23-01-2026</t>
  </si>
  <si>
    <t>16-02-2026</t>
  </si>
  <si>
    <t>MR.IBRAHIM(29YM)</t>
  </si>
  <si>
    <t>GEN_T_2.0.spik_2746</t>
  </si>
  <si>
    <t>AND25400035823</t>
  </si>
  <si>
    <t>EVA FERTILITY AND WOMEN'S CENTRE - TENKASI</t>
  </si>
  <si>
    <t>28/01/26</t>
  </si>
  <si>
    <t>Dr. Meera (20-01-2026)</t>
  </si>
  <si>
    <t>MRS.NILOFER NISHA(23YF)</t>
  </si>
  <si>
    <t>GEN_T_2.0.spik_2747</t>
  </si>
  <si>
    <t>AND25400035824</t>
  </si>
  <si>
    <t>MR.SATHIYA(38YM)</t>
  </si>
  <si>
    <t>GEN_T_2.0.spik_2748</t>
  </si>
  <si>
    <t>AND25020063303</t>
  </si>
  <si>
    <t>30/01/26</t>
  </si>
  <si>
    <t>Dr. Meera (13-01-2026)</t>
  </si>
  <si>
    <t>MR.ARNAV THAPA (14 Y 5 M 11 D /Male)</t>
  </si>
  <si>
    <t>GEN_T_2.0.spik_2749</t>
  </si>
  <si>
    <t>AMB0000004283</t>
  </si>
  <si>
    <t>MR. ANKIT SAINI(30 Y 9 M 0 D /Male)</t>
  </si>
  <si>
    <t>GEN_T_2.0.spik_2750</t>
  </si>
  <si>
    <t>AMB0000004317</t>
  </si>
  <si>
    <t>28/01/2025</t>
  </si>
  <si>
    <t>BABY.GEETHIKA.V(7YF)</t>
  </si>
  <si>
    <t>GEN_T_2.0.spik_2751</t>
  </si>
  <si>
    <t>AND25630004172</t>
  </si>
  <si>
    <t>Dr. Meera (16-01-2026)</t>
  </si>
  <si>
    <t>BABY.JEEVADHARSHAN.M(3YM)</t>
  </si>
  <si>
    <t>GEN_T_2.0.spik_2752</t>
  </si>
  <si>
    <t>AND25630004173</t>
  </si>
  <si>
    <t>PRITI GUPTA</t>
  </si>
  <si>
    <t>GEN_T_2.0.spik_2753</t>
  </si>
  <si>
    <t>pre-pgt</t>
  </si>
  <si>
    <t>VIJAY PRASAD GUPTA</t>
  </si>
  <si>
    <t>GEN_T_2.0.spik_2754</t>
  </si>
  <si>
    <t>MS.VISHNU PRIYA(24YF)</t>
  </si>
  <si>
    <t>GEN_T_2.0.spik_2755</t>
  </si>
  <si>
    <t>AND25790019195</t>
  </si>
  <si>
    <t>25.02.2026</t>
  </si>
  <si>
    <t>SURFseq- Run-48A</t>
  </si>
  <si>
    <t>MR.NIRAJ KUMAR MONDAL(34YM)</t>
  </si>
  <si>
    <t>GEN_T_2.0.spik_2756</t>
  </si>
  <si>
    <t>AND25630004123</t>
  </si>
  <si>
    <t>MRS.PALLABI KUMARI(26YF)</t>
  </si>
  <si>
    <t>GEN_T_2.0.spik_2757</t>
  </si>
  <si>
    <t>AND25630004124</t>
  </si>
  <si>
    <t>BABY.EMMANUEL GERSHON(5YM)</t>
  </si>
  <si>
    <t>GEN_T_2.0.spik_2758</t>
  </si>
  <si>
    <t>AND25630004125</t>
  </si>
  <si>
    <t>BABY.AYRA RAO.A(3YF)</t>
  </si>
  <si>
    <t>GEN_T_2.0.spik_2759</t>
  </si>
  <si>
    <t>AND25630004128</t>
  </si>
  <si>
    <t>19/03/2026</t>
  </si>
  <si>
    <t>BABY OF.UVALAKSHMI(0YF)</t>
  </si>
  <si>
    <t>GEN_T_2.0.spik_2760</t>
  </si>
  <si>
    <t>AND25380227380</t>
  </si>
  <si>
    <t>BABY.MOHAMMED SUFIAN(1YM)</t>
  </si>
  <si>
    <t>GEN_T_2.0.spik_2761</t>
  </si>
  <si>
    <t>AND25630004168</t>
  </si>
  <si>
    <t>MRS.EBI SCINDIYA(242506782)(36YF)</t>
  </si>
  <si>
    <t>GEN_T_2.0.spik_2762</t>
  </si>
  <si>
    <t>AND25720033093</t>
  </si>
  <si>
    <t>RHEA HEALTHCARE PRIVATE LIMITED - COIMBATORE .</t>
  </si>
  <si>
    <t>22-01-2026</t>
  </si>
  <si>
    <t>Naveen / Gayathiri</t>
  </si>
  <si>
    <t>MR.ROBIN ANTONY(242506782)(39YM)</t>
  </si>
  <si>
    <t>GEN_T_2.0.spik_2763</t>
  </si>
  <si>
    <t>AND25720033094</t>
  </si>
  <si>
    <t>MRS.SAIRA TASLEEM(34YF)</t>
  </si>
  <si>
    <t>GEN_T_2.0.spik_2764</t>
  </si>
  <si>
    <t>AND25020063505</t>
  </si>
  <si>
    <t>MR.SURESH B(53YM)</t>
  </si>
  <si>
    <t>GEN_T_2.0.spik_2765</t>
  </si>
  <si>
    <t>AND25020063507</t>
  </si>
  <si>
    <t>MRS.JASEEMA BEEVI(59YF)</t>
  </si>
  <si>
    <t>GEN_T_2.0.spik_2766</t>
  </si>
  <si>
    <t>AND25410032666</t>
  </si>
  <si>
    <t>JEEVAN SPECIALITY HOSPITAL - KANYAKUMARI</t>
  </si>
  <si>
    <t>diwakar (general analysis)</t>
  </si>
  <si>
    <t>MRS.MANJU RAJPUT(27 Y 6 M 21 D /Female) POC</t>
  </si>
  <si>
    <t>GEN_T_2.0.spik_2767</t>
  </si>
  <si>
    <t>AMB0000004218</t>
  </si>
  <si>
    <t>29-01-2026</t>
  </si>
  <si>
    <t>MR.BALAJI (42 Y 0 M 0 D /Male)</t>
  </si>
  <si>
    <t>GEN_T_2.0.spik_2768</t>
  </si>
  <si>
    <t>ADB0000018249</t>
  </si>
  <si>
    <t>Vamshi (23-01-2026)</t>
  </si>
  <si>
    <t>MRS.SUMALATHA (32 Y 0 M 0 D /Female)</t>
  </si>
  <si>
    <t>GEN_T_2.0.spik_2769</t>
  </si>
  <si>
    <t>ADB0000018250</t>
  </si>
  <si>
    <t>BABY.SKANDHA (3 Y 0 M 0 D /Female)</t>
  </si>
  <si>
    <t>GEN_T_2.0.spik_2770</t>
  </si>
  <si>
    <t>ADB0000018299</t>
  </si>
  <si>
    <t>MISS.UMMA HANI (2 Y 8 M 22 D /Female)</t>
  </si>
  <si>
    <t>GEN_T_2.0.spik_2771</t>
  </si>
  <si>
    <t>DCC0000001985</t>
  </si>
  <si>
    <t>Dr. Meera (19-01-2026)</t>
  </si>
  <si>
    <t>AL16-W-872 (1Y/M)</t>
  </si>
  <si>
    <t>GEN_T_2.0.spik_2772</t>
  </si>
  <si>
    <t>AND25630004223</t>
  </si>
  <si>
    <t>24-01-2026</t>
  </si>
  <si>
    <t>AL16-W-863 (16Y/F)</t>
  </si>
  <si>
    <t>GEN_T_2.0.spik_2773</t>
  </si>
  <si>
    <t>AND25630004224</t>
  </si>
  <si>
    <t>AL16-W-855 (18Y/F)</t>
  </si>
  <si>
    <t>GEN_T_2.0.spik_2774</t>
  </si>
  <si>
    <t>AND25630004225</t>
  </si>
  <si>
    <t>AL16-W-848 (9Y/F)</t>
  </si>
  <si>
    <t>GEN_T_2.0.spik_2775</t>
  </si>
  <si>
    <t>AND25630004226</t>
  </si>
  <si>
    <t>AL16-W-844 (59Y/M)</t>
  </si>
  <si>
    <t>GEN_T_2.0.spik_2776</t>
  </si>
  <si>
    <t>AND25630004227</t>
  </si>
  <si>
    <t>AL16-W-847 (32Y/F)</t>
  </si>
  <si>
    <t>GEN_T_2.0.spik_2777</t>
  </si>
  <si>
    <t>AND25630004228</t>
  </si>
  <si>
    <t>AL16-W-854 (39Y/M)</t>
  </si>
  <si>
    <t>GEN_T_2.0.spik_2778</t>
  </si>
  <si>
    <t>AND25630004229</t>
  </si>
  <si>
    <t>AL16-W-846 (58Y/F)</t>
  </si>
  <si>
    <t>GEN_T_2.0.spik_2779</t>
  </si>
  <si>
    <t>AND25630004230</t>
  </si>
  <si>
    <t>AL16-CD-25-221 (47Y/F)</t>
  </si>
  <si>
    <t>GEN_T_2.0.spik_2780</t>
  </si>
  <si>
    <t>AND25630004231</t>
  </si>
  <si>
    <t>BABY.UDITEE RUDRA(AK71163)(5YF)</t>
  </si>
  <si>
    <t>GEN_T_2.0.spik_2782</t>
  </si>
  <si>
    <t>AND25630004212</t>
  </si>
  <si>
    <t>30-01-2026</t>
  </si>
  <si>
    <t>BABY.JESWANTH(519157G)(9YM)</t>
  </si>
  <si>
    <t>GEN_T_2.0.spik_2781</t>
  </si>
  <si>
    <t>AND25630004216</t>
  </si>
  <si>
    <t>BABY.JEET KUNDU(AN38970)(7YM)</t>
  </si>
  <si>
    <t>GEN_T_2.0.spik_2783</t>
  </si>
  <si>
    <t>AND25630004213</t>
  </si>
  <si>
    <t>MASTER.ADITYA KUMAR(AN12978)(14YM)</t>
  </si>
  <si>
    <t>GEN_T_2.0.spik_2784</t>
  </si>
  <si>
    <t>AND25630004214</t>
  </si>
  <si>
    <t>BABY.HEMANIKA(AH31586)(7YF</t>
  </si>
  <si>
    <t>GEN_T_2.0.spik_2785</t>
  </si>
  <si>
    <t>AND25630004215</t>
  </si>
  <si>
    <t>MS.ANJALI VARMA.R(AF56567)(0YF)</t>
  </si>
  <si>
    <t>GEN_T_2.0.spik_2786</t>
  </si>
  <si>
    <t>AND25630004217</t>
  </si>
  <si>
    <t>RAMYA (26Y/F) AF</t>
  </si>
  <si>
    <t>GEN_T_2.0.spik_AF2787</t>
  </si>
  <si>
    <t>ADB0000018649</t>
  </si>
  <si>
    <t>Vamshi (09-01-2026)</t>
  </si>
  <si>
    <t>MRS.FARZANA JALALI (80106)(103) (41 Y 11 M 5 D /Female) AF</t>
  </si>
  <si>
    <t>GEN_T_2.0.spik_AF2788</t>
  </si>
  <si>
    <t>ADH0000007463</t>
  </si>
  <si>
    <t>31/01/26</t>
  </si>
  <si>
    <t>MRS.GITA HALDER(33 Y 4 M 14 D /Female) CVS</t>
  </si>
  <si>
    <t>GEN_T_2.0.spik_AF2789</t>
  </si>
  <si>
    <t>ADB0000018103</t>
  </si>
  <si>
    <t>MRS.ANUGHNA (27 Y 8 M 22 D /Female) POC</t>
  </si>
  <si>
    <t>GEN_T_2.0.spik_2790</t>
  </si>
  <si>
    <t>ADB0000017770</t>
  </si>
  <si>
    <t>MRS.SHUBHA HEGDE (38 Y 0 M 0 D /Female)</t>
  </si>
  <si>
    <t>GEN_T_2.0.spik_2791</t>
  </si>
  <si>
    <t>ADB0000018232</t>
  </si>
  <si>
    <t>MRS.VIDHYA SHREE V (33 Y 0 M 0 D /Female)</t>
  </si>
  <si>
    <t>GEN_T_2.0.spik_2792</t>
  </si>
  <si>
    <t>ADB0000018205</t>
  </si>
  <si>
    <t>MRS.KIRAN ATREY AF</t>
  </si>
  <si>
    <t>GEN_T_2.0.spik_AF2793</t>
  </si>
  <si>
    <t>DCC0000002044</t>
  </si>
  <si>
    <t>MR.BENZLAL (AFCBR-3650)(43YM)</t>
  </si>
  <si>
    <t>GEN_T_2.0.spik_2794</t>
  </si>
  <si>
    <t>AND25720033575</t>
  </si>
  <si>
    <t>MRS.VIDHYA KALAIYARASI(33YF)</t>
  </si>
  <si>
    <t>GEN_T_2.0.spik_2795</t>
  </si>
  <si>
    <t>AND25720033393</t>
  </si>
  <si>
    <t>MEENAKSHI PRIYA R MS(O&amp;G), DNB, FRM, MRCOG (UK)</t>
  </si>
  <si>
    <t>SURFseq- Run-49B</t>
  </si>
  <si>
    <t>BABY.DHASHMITHA J(2YF)</t>
  </si>
  <si>
    <t>GEN_T_2.0.spik_2796</t>
  </si>
  <si>
    <t>AND25020063950</t>
  </si>
  <si>
    <t>MR.HARIHARAN S V (22Y|M)</t>
  </si>
  <si>
    <t>GEN_T_2.0.spik_2797</t>
  </si>
  <si>
    <t>AND25020063725</t>
  </si>
  <si>
    <t>MISS. PEARL JUNEJA(12 Y 0 M 7 D /Female)</t>
  </si>
  <si>
    <t>GEN_T_2.0.spik_2798</t>
  </si>
  <si>
    <t>DCC0000002016</t>
  </si>
  <si>
    <t>MR.RAVI KUMAR G(49YM)</t>
  </si>
  <si>
    <t>GEN_T_2.0.spik_2799</t>
  </si>
  <si>
    <t>AND25020063606</t>
  </si>
  <si>
    <t>MRS.UMME SUMAIYA(21 Y 9 M 15 D /Female) POC</t>
  </si>
  <si>
    <t>GEN_T_2.0.spik_2800</t>
  </si>
  <si>
    <t>ADH0000007784</t>
  </si>
  <si>
    <t>Vamshi (30-01-2026)</t>
  </si>
  <si>
    <t>MRS.KAVYA (AMNIOTIC FLUID) (24 Y 5 M 21 D /Female)</t>
  </si>
  <si>
    <t>GEN_T_2.0.spik_AF2801</t>
  </si>
  <si>
    <t>ADH0000008175</t>
  </si>
  <si>
    <t>MR.SHIVARAJ (8147-58) (29 Y 6 M 23 D /Male)</t>
  </si>
  <si>
    <t>GEN_T_2.0.spik_2802</t>
  </si>
  <si>
    <t>ADH0000008176</t>
  </si>
  <si>
    <t>MRS.KAVYA (24 Y 5 M 21 D /Female)</t>
  </si>
  <si>
    <t>GEN_T_2.0.spik_2803</t>
  </si>
  <si>
    <t>ADH0000008177</t>
  </si>
  <si>
    <t>MRS.SNEHA AGARWAL (34 Y 0 M 0 D /Female)</t>
  </si>
  <si>
    <t>GEN_T_2.0.spik_2804</t>
  </si>
  <si>
    <t>ADB0000018581</t>
  </si>
  <si>
    <t>27-01-26</t>
  </si>
  <si>
    <t>MR.NETHAN SAMUEL(19YM)</t>
  </si>
  <si>
    <t>GEN_T_2.0.spik_2805</t>
  </si>
  <si>
    <t>AND25030018706</t>
  </si>
  <si>
    <t>RAM KUMAR M MD</t>
  </si>
  <si>
    <t>MRS.SARANYA S(27YF)</t>
  </si>
  <si>
    <t>GEN_T_2.0.spik_2806</t>
  </si>
  <si>
    <t>AND25020064002</t>
  </si>
  <si>
    <t>Dr. Meera (21-01-2026)</t>
  </si>
  <si>
    <t>MR.SAKTHIVEL THANGASAMY(37YM)</t>
  </si>
  <si>
    <t>GEN_T_2.0.spik_2807</t>
  </si>
  <si>
    <t>AND25020064003</t>
  </si>
  <si>
    <t>AL17-CD-25-222 (11Y/F)</t>
  </si>
  <si>
    <t>GEN_T_2.0.spik_2808</t>
  </si>
  <si>
    <t>AND25630004326</t>
  </si>
  <si>
    <t>AL17-W-852 (32Y/M)</t>
  </si>
  <si>
    <t>GEN_T_2.0.spik_2809</t>
  </si>
  <si>
    <t>AND25630004327</t>
  </si>
  <si>
    <t>MR.ANDRY FRANCIS NADAN(18YM)</t>
  </si>
  <si>
    <t>GEN_T_2.0.spik_2810</t>
  </si>
  <si>
    <t>AND25AJ0012406</t>
  </si>
  <si>
    <t>Dr. Meera (24-01-2026)</t>
  </si>
  <si>
    <t>27-01-2026</t>
  </si>
  <si>
    <t>/</t>
  </si>
  <si>
    <t>MRS.B KASAMMA (55Y|F)</t>
  </si>
  <si>
    <t>Point Mutation testing</t>
  </si>
  <si>
    <t>GEN_T_2.0.spik_2811</t>
  </si>
  <si>
    <t>AND25420006225</t>
  </si>
  <si>
    <t>18/01/26</t>
  </si>
  <si>
    <t>Prem / Naveen</t>
  </si>
  <si>
    <t>SURFseq- Run-50A</t>
  </si>
  <si>
    <t>BABY.SHAIK HAFSA(11MF)</t>
  </si>
  <si>
    <t>WHOLE EXOME SEQUENCING</t>
  </si>
  <si>
    <t>GEN_T_2.0.spik_2812</t>
  </si>
  <si>
    <t>AND25630004257</t>
  </si>
  <si>
    <t>Diwakar (27-01-2026)</t>
  </si>
  <si>
    <t>MR.VENKATESAN(46YM)</t>
  </si>
  <si>
    <t>GEN_T_2.0.spik_2813</t>
  </si>
  <si>
    <t>AND25630004270</t>
  </si>
  <si>
    <t>Dr. Meera (22-01-2026)</t>
  </si>
  <si>
    <t>MRS.ZIYA RAYEEN (21 Y 8 M 12 D /Female) POC</t>
  </si>
  <si>
    <t>GEN_T_2.0.spik_2814</t>
  </si>
  <si>
    <t>AMB0000004553</t>
  </si>
  <si>
    <t>CITY HOSPITAL AND RESEARCH CENTER - GUNA</t>
  </si>
  <si>
    <t>MR.GOKUL(36YM)</t>
  </si>
  <si>
    <t>GEN_T_2.0.spik_2815</t>
  </si>
  <si>
    <t>AND25020064579</t>
  </si>
  <si>
    <t>MR.RAMANA REDDY (NAGARA USHA (34Y|M)</t>
  </si>
  <si>
    <t>GEN_T_2.0.spik_2816</t>
  </si>
  <si>
    <t>AND251H0004681</t>
  </si>
  <si>
    <t>MR.K.CHELLAM(50YM)</t>
  </si>
  <si>
    <t>GEN_T_2.0.spik_2817</t>
  </si>
  <si>
    <t>AND25400036660</t>
  </si>
  <si>
    <t>Dr. Meera (27-01-2026)</t>
  </si>
  <si>
    <t>28-01-2026</t>
  </si>
  <si>
    <t>MRS.BASAMMA W/O MALLIKARJUN (1405-06)(35 Y 0 M 0 D /Female)</t>
  </si>
  <si>
    <t>GEN_T_2.0.spik_2818</t>
  </si>
  <si>
    <t>ADH0000008547</t>
  </si>
  <si>
    <t>JP DIAGNOSTIC CENTER - SHAHPUR</t>
  </si>
  <si>
    <t>MR.MALLIKARJUN (1407-08)(40 Y 0 M 0 D /Male)</t>
  </si>
  <si>
    <t>GEN_T_2.0.spik_2819</t>
  </si>
  <si>
    <t>ADH0000008548</t>
  </si>
  <si>
    <t>MR.BOYA DHANANJAYA (34YM)</t>
  </si>
  <si>
    <t>GEN_T_2.0.spik_2820</t>
  </si>
  <si>
    <t>AND251H0004672</t>
  </si>
  <si>
    <t>VIJAYA HOSPITAL - ANANTAPUR</t>
  </si>
  <si>
    <t>Dr. Meera (23-01-2026)</t>
  </si>
  <si>
    <t>MRS.MOUNIKA N R(29YF)</t>
  </si>
  <si>
    <t>GEN_T_2.0.spik_2821</t>
  </si>
  <si>
    <t>AND251H0004673</t>
  </si>
  <si>
    <t>BABY OF.ARUNA DEVI(18DF)</t>
  </si>
  <si>
    <t>GEN_T_2.0.spik_2822</t>
  </si>
  <si>
    <t>AND25810032814</t>
  </si>
  <si>
    <t>MR.BHARATH S(53YM)</t>
  </si>
  <si>
    <t>GEN_T_2.0.spik_2823</t>
  </si>
  <si>
    <t>AND25290014248</t>
  </si>
  <si>
    <t>DR.SOMASUNDARAM A C MD,DM,PHD</t>
  </si>
  <si>
    <t>MRS.INDHUMATHI.P(23YF)</t>
  </si>
  <si>
    <t>GEN_T_2.0.spik_2824</t>
  </si>
  <si>
    <t>AND25630004335</t>
  </si>
  <si>
    <t>MR.TAMIZHVANAN.R(33YM)</t>
  </si>
  <si>
    <t>GEN_T_2.0.spik_2825</t>
  </si>
  <si>
    <t>AND25630004336</t>
  </si>
  <si>
    <t>BABY.SUKI(4YF)</t>
  </si>
  <si>
    <t>GEN_T_2.0.spik_2826</t>
  </si>
  <si>
    <t>AND25630004337</t>
  </si>
  <si>
    <t>MR.JAYAKUMAR L(57YM)</t>
  </si>
  <si>
    <t>GEN_T_2.0.spik_2827</t>
  </si>
  <si>
    <t>AND25AJ0012951</t>
  </si>
  <si>
    <t>THE GUEST HOSPITAL</t>
  </si>
  <si>
    <t>MASTER.VETRIMARAN(AN31739)(15YM)</t>
  </si>
  <si>
    <t>GEN_T_2.0.spik_2828</t>
  </si>
  <si>
    <t>AND25630004344</t>
  </si>
  <si>
    <t>MASTER.YUSUF ANWAR (770263P)(13YM)</t>
  </si>
  <si>
    <t>GEN_T_2.0.spik_2829</t>
  </si>
  <si>
    <t>AND25630004341</t>
  </si>
  <si>
    <t>Greyzone (TBP),Greyzone (TCF4)</t>
  </si>
  <si>
    <t>BABY.JOTHIKA DAYALAN S BABU (AN43823) (1M|F) 12-11-2025</t>
  </si>
  <si>
    <t>GEN_T_2.0.spik_2830</t>
  </si>
  <si>
    <t>AND25630004340</t>
  </si>
  <si>
    <t>BABY.KANSHIKA S (AN41428)(4YF)</t>
  </si>
  <si>
    <t>GEN_T_2.0.spik_2831</t>
  </si>
  <si>
    <t>AND25630004342</t>
  </si>
  <si>
    <t>MRS.MANNE MAMATHA (HEG 40407)(26YF)</t>
  </si>
  <si>
    <t>GEN_T_2.0.spik_2832</t>
  </si>
  <si>
    <t>AND25420006383</t>
  </si>
  <si>
    <t>MR.MANNE MAHESH (HEG 40408)(33YM)</t>
  </si>
  <si>
    <t>GEN_T_2.0.spik_2833</t>
  </si>
  <si>
    <t>AND25420006384</t>
  </si>
  <si>
    <t>BABY.OF PREETI KESHARWANI(0 Y 6 M 8 D /Female) KRITIKA</t>
  </si>
  <si>
    <t>GEN_T_2.0.spik_2834</t>
  </si>
  <si>
    <t>DCC0000002098</t>
  </si>
  <si>
    <t>BABY.AL18-W-887(1YM)</t>
  </si>
  <si>
    <t>GEN_T_2.0.spik_2835</t>
  </si>
  <si>
    <t>AND25630004354</t>
  </si>
  <si>
    <t>Dr.Sudha(24-01-2026)</t>
  </si>
  <si>
    <t>MASTER.AL18-W-889(12YM)</t>
  </si>
  <si>
    <t>GEN_T_2.0.spik_2836</t>
  </si>
  <si>
    <t>AND25630004355</t>
  </si>
  <si>
    <t>BABY.AL18-W-896(1YM)</t>
  </si>
  <si>
    <t>GEN_T_2.0.spik_2837</t>
  </si>
  <si>
    <t>AND25630004356</t>
  </si>
  <si>
    <t>Dr.Sudha (24-01-2026)</t>
  </si>
  <si>
    <t>MS.AL18-W-897(13YF)</t>
  </si>
  <si>
    <t>GEN_T_2.0.spik_2838</t>
  </si>
  <si>
    <t>AND25630004357</t>
  </si>
  <si>
    <t>Dr.Sudha (27-01-2026)</t>
  </si>
  <si>
    <t>MASTER.AL18-W-891(13YM)</t>
  </si>
  <si>
    <t>GEN_T_2.0.spik_2839</t>
  </si>
  <si>
    <t>AND25630004358</t>
  </si>
  <si>
    <t>MRS.AL18-W-883(52YF)</t>
  </si>
  <si>
    <t>GEN_T_2.0.spik_2840</t>
  </si>
  <si>
    <t>AND25630004359</t>
  </si>
  <si>
    <t>MR.AL18-W-885(22YM)</t>
  </si>
  <si>
    <t>GEN_T_2.0.spik_2841</t>
  </si>
  <si>
    <t>AND25630004360</t>
  </si>
  <si>
    <t>BABY.AL18-W-740(3YM)</t>
  </si>
  <si>
    <t>GEN_T_2.0.spik_2842</t>
  </si>
  <si>
    <t>AND25630004361</t>
  </si>
  <si>
    <t>MRS.AL18-W-655(48YF)</t>
  </si>
  <si>
    <t>GEN_T_2.0.spik_2843</t>
  </si>
  <si>
    <t>AND25630004362</t>
  </si>
  <si>
    <t>SURFseq- Run-51B</t>
  </si>
  <si>
    <t>MASTER.RGS-392(13YM)</t>
  </si>
  <si>
    <t>GEN_T_2.0.spik_2844</t>
  </si>
  <si>
    <t>AND25630004428</t>
  </si>
  <si>
    <t>MRS.RGS-393(30YF)</t>
  </si>
  <si>
    <t>GEN_T_2.0.spik_2845</t>
  </si>
  <si>
    <t>AND25630004419</t>
  </si>
  <si>
    <t>MRS.RGS-394(30YF)</t>
  </si>
  <si>
    <t>GEN_T_2.0.spik_2846</t>
  </si>
  <si>
    <t>AND25630004420</t>
  </si>
  <si>
    <t>MS.RGS-395(25YF)</t>
  </si>
  <si>
    <t>GEN_T_2.0.spik_2847</t>
  </si>
  <si>
    <t>AND25630004421</t>
  </si>
  <si>
    <t>MR.RGS-396(26YM)</t>
  </si>
  <si>
    <t>GEN_T_2.0.spik_2848</t>
  </si>
  <si>
    <t>AND25630004422</t>
  </si>
  <si>
    <t>MR.RGS-397(60YM)</t>
  </si>
  <si>
    <t>GEN_T_2.0.spik_2849</t>
  </si>
  <si>
    <t>AND25630004423</t>
  </si>
  <si>
    <t>MRS.RGS-398(31YF)</t>
  </si>
  <si>
    <t>GEN_T_2.0.spik_2850</t>
  </si>
  <si>
    <t>AND25630004424</t>
  </si>
  <si>
    <t>MR.RGS-399(45YM)</t>
  </si>
  <si>
    <t>GEN_T_2.0.spik_2851</t>
  </si>
  <si>
    <t>AND25630004425</t>
  </si>
  <si>
    <t>MASTER.RGS-400(11YM)</t>
  </si>
  <si>
    <t>GEN_T_2.0.spik_2852</t>
  </si>
  <si>
    <t>AND25630004426</t>
  </si>
  <si>
    <t>MR.RGS-401(20YM)</t>
  </si>
  <si>
    <t>GEN_T_2.0.spik_2853</t>
  </si>
  <si>
    <t>AND25630004427</t>
  </si>
  <si>
    <t>MR.AL19-W-906(27YM)</t>
  </si>
  <si>
    <t>GEN_T_2.0.spik_2854</t>
  </si>
  <si>
    <t>AND25630004411</t>
  </si>
  <si>
    <t>MR.AL19-CD-26-02(44YM)</t>
  </si>
  <si>
    <t>GEN_T_2.0.spik_2855</t>
  </si>
  <si>
    <t>AND25630004412</t>
  </si>
  <si>
    <t>31-01-2026</t>
  </si>
  <si>
    <t>MR.AL19-W-923(30YM)</t>
  </si>
  <si>
    <t>GEN_T_2.0.spik_2856</t>
  </si>
  <si>
    <t>AND25630004413</t>
  </si>
  <si>
    <t>02/02/0206</t>
  </si>
  <si>
    <t>BABY.AL19-CD-26-03(3YF)</t>
  </si>
  <si>
    <t>GEN_T_2.0.spik_2857</t>
  </si>
  <si>
    <t>AND25630004414</t>
  </si>
  <si>
    <t>MR.AL19-W-925(15YM)</t>
  </si>
  <si>
    <t>GEN_T_2.0.spik_2858</t>
  </si>
  <si>
    <t>AND25630004415</t>
  </si>
  <si>
    <t>04/02/0206</t>
  </si>
  <si>
    <t>BABY.AL19-W-926(4YF)</t>
  </si>
  <si>
    <t>GEN_T_2.0.spik_2859</t>
  </si>
  <si>
    <t>AND25630004416</t>
  </si>
  <si>
    <t>BABY.PRANAV R(11MM)</t>
  </si>
  <si>
    <t>GEN_T_2.0.spik_2860</t>
  </si>
  <si>
    <t>AND25020029925</t>
  </si>
  <si>
    <t>Dr. Meera (03-02-2026)</t>
  </si>
  <si>
    <t>21/02/2026</t>
  </si>
  <si>
    <t>MASTER.NANDA KISHORE (HEGC0009763)(15YM)</t>
  </si>
  <si>
    <t>GEN_T_2.0.spik_2861</t>
  </si>
  <si>
    <t>AND25420006433</t>
  </si>
  <si>
    <t>MR.GAUTHAM(24YM)</t>
  </si>
  <si>
    <t>GEN_T_2.0.spik_2862</t>
  </si>
  <si>
    <t>AND25030019024</t>
  </si>
  <si>
    <t>PREETHA P MD.,DM(NEURO).,</t>
  </si>
  <si>
    <t>16/02/2026</t>
  </si>
  <si>
    <t>MR.MOOSAABDUL RAHMAN(39YM)</t>
  </si>
  <si>
    <t>GEN_T_2.0.spik_2863</t>
  </si>
  <si>
    <t>AND25380237288</t>
  </si>
  <si>
    <t>Dr. Meera (29-01-2026)</t>
  </si>
  <si>
    <t>MRS.FATHIMATH RINASA(34YF)</t>
  </si>
  <si>
    <t>GEN_T_2.0.spik_2864</t>
  </si>
  <si>
    <t>AND25380237289</t>
  </si>
  <si>
    <t>MRS.GURRAM RESHMA (HEG 40268)(22YF)</t>
  </si>
  <si>
    <t>GEN_T_2.0.spik_2865</t>
  </si>
  <si>
    <t>AND25420006461</t>
  </si>
  <si>
    <t>Vamshi (24-01-2026)</t>
  </si>
  <si>
    <t>MR.GURRAM NARESH (HEG 40269)(27YM)</t>
  </si>
  <si>
    <t>GEN_T_2.0.spik_2866</t>
  </si>
  <si>
    <t>AND25420006462</t>
  </si>
  <si>
    <t>MR.SINGA PRASAD (SINGA SESHAMMA)(42YM)</t>
  </si>
  <si>
    <t>GEN_T_2.0.spik_2867</t>
  </si>
  <si>
    <t>AND251H0004746</t>
  </si>
  <si>
    <t>BABY.BENCIA RANI(1YF)</t>
  </si>
  <si>
    <t>GEN_T_2.0.spik_2868</t>
  </si>
  <si>
    <t>AND25630004363</t>
  </si>
  <si>
    <t>Dr. Meera (28-01-2026)</t>
  </si>
  <si>
    <t>MRS.PRIYANKA GUSAIN(25 Y 5 M 14 D /Female)</t>
  </si>
  <si>
    <t>GEN_T_2.0.spik_2869</t>
  </si>
  <si>
    <t>DCC0000002158</t>
  </si>
  <si>
    <t>BABY.EHSAANULHUQ K(6YF)</t>
  </si>
  <si>
    <t>GEN_T_2.0.spik_2870</t>
  </si>
  <si>
    <t>AND25020064993</t>
  </si>
  <si>
    <t>17.02.2026</t>
  </si>
  <si>
    <t>MR.PULKIT GUPTA (34 Y 0 M 0 D /Male)</t>
  </si>
  <si>
    <t>ADVAT FOCUSSED CARRIER SCREENING</t>
  </si>
  <si>
    <t>GEN_T_2.0.spik_2871</t>
  </si>
  <si>
    <t>ADB0000019616</t>
  </si>
  <si>
    <t>MR.CHAND BABU ( 11 Y 1 M 19 D | Male )</t>
  </si>
  <si>
    <t>GEN_T_2.0.spik_2872</t>
  </si>
  <si>
    <t>DCC0000002159</t>
  </si>
  <si>
    <t>MRS.RAMYA N REDDY(27 Y 7 M 28 D /Female)POC</t>
  </si>
  <si>
    <t>GEN_T_2.0.spik_2873</t>
  </si>
  <si>
    <t>ADB0000018899</t>
  </si>
  <si>
    <t>BABY.DESHIKA(8MF)</t>
  </si>
  <si>
    <t>GEN_T_2.0.spik_2874</t>
  </si>
  <si>
    <t>AND25020064881</t>
  </si>
  <si>
    <t>MRS.JEYA VARSINY(28YF)</t>
  </si>
  <si>
    <t>GEN_T_2.0.spik_2875</t>
  </si>
  <si>
    <t>AND25360066887</t>
  </si>
  <si>
    <t>MRS.SHIVALILA SIDARAYA BIRAJDAR (29 Y 7 M 12 D /Female)</t>
  </si>
  <si>
    <t>GEN_T_2.0.spik_2876</t>
  </si>
  <si>
    <t>AMB0000004695</t>
  </si>
  <si>
    <t>MR.SIDARAYA RAMANNA BIRAJDAR (32 Y 6 M 19 D /Male)</t>
  </si>
  <si>
    <t>GEN_T_2.0.spik_2877</t>
  </si>
  <si>
    <t>AMB0000004696</t>
  </si>
  <si>
    <t>MRS.NEHA PARWEEN (26 Y 3 M 26 D /Female)</t>
  </si>
  <si>
    <t>GEN_T_2.0.spik_2878</t>
  </si>
  <si>
    <t>ADB0000019843</t>
  </si>
  <si>
    <t>Dr. Meera (02-02-2026)</t>
  </si>
  <si>
    <t>MS.PURNIMA NAYAK (9800)(801) (16 Y 5 M 1 D /Female)</t>
  </si>
  <si>
    <t>GEN_T_2.0.spik_2879</t>
  </si>
  <si>
    <t>ADH0000009138</t>
  </si>
  <si>
    <t>BABY OF.SANDHYA R (0YM)</t>
  </si>
  <si>
    <t>GEN_T_2.0.spik_2880</t>
  </si>
  <si>
    <t>AND25380240160</t>
  </si>
  <si>
    <t>Dr. Meera (30-01-2026)</t>
  </si>
  <si>
    <t>14/02/2026</t>
  </si>
  <si>
    <t>BABY.THAMIZHINI.V(1YF)</t>
  </si>
  <si>
    <t>GEN_T_2.0.spik_2881</t>
  </si>
  <si>
    <t>AND25630004398</t>
  </si>
  <si>
    <t>BABY.VISHWA(3YM)</t>
  </si>
  <si>
    <t>GEN_T_2.0.spik_2882</t>
  </si>
  <si>
    <t>AND25630004399</t>
  </si>
  <si>
    <t>MR.ASHWIN.S(16YM)</t>
  </si>
  <si>
    <t>GEN_T_2.0.spik_2883</t>
  </si>
  <si>
    <t>AND25630004401</t>
  </si>
  <si>
    <t>SANMUGA SUNDHARAM</t>
  </si>
  <si>
    <t>Greyzone (CNBP),Pathogenic (TCF4)</t>
  </si>
  <si>
    <t>SURFseq- Run-52A</t>
  </si>
  <si>
    <t>MR.THANGAMUTHU(32YM)</t>
  </si>
  <si>
    <t>GEN_T_2.0.spik_2884</t>
  </si>
  <si>
    <t>AND25020058894</t>
  </si>
  <si>
    <t>BABY.DHANESH M(8YM)</t>
  </si>
  <si>
    <t>GEN_T_2.0.spik_2885</t>
  </si>
  <si>
    <t>AND25020065521</t>
  </si>
  <si>
    <t>BABY.THARSIKA M(4YF)</t>
  </si>
  <si>
    <t>GEN_T_2.0.spik_2886</t>
  </si>
  <si>
    <t>AND25020065520</t>
  </si>
  <si>
    <t>BABY.SANJANA SREE D(1YF)</t>
  </si>
  <si>
    <t>GEN_T_2.0.spik_2887</t>
  </si>
  <si>
    <t>AND25020058603</t>
  </si>
  <si>
    <t>MR.SHAIK SHAVALI S(38YM)</t>
  </si>
  <si>
    <t>GEN_T_2.0.spik_2888</t>
  </si>
  <si>
    <t>AND251H0004732</t>
  </si>
  <si>
    <t>MRS.RENUKA (22 Y 10 M 23 D /Female) POC</t>
  </si>
  <si>
    <t>GEN_T_2.0.spik_2889</t>
  </si>
  <si>
    <t>ADH0000009092</t>
  </si>
  <si>
    <t>MRS.VINMATHI(33YF) AF</t>
  </si>
  <si>
    <t>GEN_T_2.0.spik_AF2890</t>
  </si>
  <si>
    <t>AND25020065163</t>
  </si>
  <si>
    <t>BABY.MAGIZH MITHRAN(8MM)</t>
  </si>
  <si>
    <t>GEN_T_2.0.spik_2891</t>
  </si>
  <si>
    <t>AND25630004402</t>
  </si>
  <si>
    <t>Vamshi(02/02/2026)</t>
  </si>
  <si>
    <t>MRS.GOWRI (AFCBR-3908)(34YF)</t>
  </si>
  <si>
    <t>GEN_T_2.0.spik_2892</t>
  </si>
  <si>
    <t>AND25720034845</t>
  </si>
  <si>
    <t>Vamshi (31-01-2026)</t>
  </si>
  <si>
    <t>MR.THAMODARAN.A(AFCBR-3909)(35YM)</t>
  </si>
  <si>
    <t>GEN_T_2.0.spik_2893</t>
  </si>
  <si>
    <t>AND25720034846</t>
  </si>
  <si>
    <t>MRS.PADMINI(31YF)</t>
  </si>
  <si>
    <t>GEN_T_2.0.spik_2894</t>
  </si>
  <si>
    <t>AND25420006613</t>
  </si>
  <si>
    <t>9 MONTHS IVF CENTER - VIJAYAWADA</t>
  </si>
  <si>
    <t>MR.NAVEEN SAGAR (36YM)</t>
  </si>
  <si>
    <t>GEN_T_2.0.spik_2895</t>
  </si>
  <si>
    <t>AND25420006612</t>
  </si>
  <si>
    <t>MRS.DYAMALI GANGAMALAVVA (8261)(62)(20 Y 7 M 13 D /Female)</t>
  </si>
  <si>
    <t>GEN_T_2.0.spik_2896</t>
  </si>
  <si>
    <t>ADH0000009274</t>
  </si>
  <si>
    <t>MR.DYAMALI MALLESH (8265)(68)(22 Y 7 M 13 D /Male)</t>
  </si>
  <si>
    <t>GEN_T_2.0.spik_2897</t>
  </si>
  <si>
    <t>ADH0000009275</t>
  </si>
  <si>
    <t>MASTER.AADIDEV(13YM)</t>
  </si>
  <si>
    <t>GEN_T_2.0.spik_2898</t>
  </si>
  <si>
    <t>AND25720035102</t>
  </si>
  <si>
    <t>MRS.VARSHA AMOL NIKAM (42 Y 0 M 28 D /Female)</t>
  </si>
  <si>
    <t>GEN_T_2.0.spik_2899</t>
  </si>
  <si>
    <t>AMB0000004780</t>
  </si>
  <si>
    <t>MR.AMOL NIKAM (43 Y 8 M 14 D /Male)</t>
  </si>
  <si>
    <t>GEN_T_2.0.spik_2900</t>
  </si>
  <si>
    <t>AMB0000004781</t>
  </si>
  <si>
    <t xml:space="preserve">MASTER.KADHIRVEL ADHITYAN(11MM) </t>
  </si>
  <si>
    <t>GEN_T_2.0.spik_2901</t>
  </si>
  <si>
    <t>AND25380241536</t>
  </si>
  <si>
    <t>BILLED FOR CES BUT IN TRF MARKED AS WES..sample for WES but in report need to give as CES since the approval is for CES only</t>
  </si>
  <si>
    <t>MRS.MINU KUMARI(37 Y 0 M 0 D /Female)</t>
  </si>
  <si>
    <t>GEN_T_2.0.spik_2902</t>
  </si>
  <si>
    <t>ADB0000020046</t>
  </si>
  <si>
    <t>21.02.2026</t>
  </si>
  <si>
    <t>MR.ANUP KUMAR(40 Y 5 M 9 D /Male)</t>
  </si>
  <si>
    <t>GEN_T_2.0.spik_2903</t>
  </si>
  <si>
    <t>ADB0000020047</t>
  </si>
  <si>
    <t>MRS.AMRITA KUMARI(AN46270)(38YF)</t>
  </si>
  <si>
    <t>GEN_T_2.0.spik_2904</t>
  </si>
  <si>
    <t>AND25630004430</t>
  </si>
  <si>
    <t>MR.GAUTAM DAS(9009404)(48YM)</t>
  </si>
  <si>
    <t>GEN_T_2.0.spik_2905</t>
  </si>
  <si>
    <t>AND25630004431</t>
  </si>
  <si>
    <t>MR.UTHAYA KUMAR(AN47581)(58YM)</t>
  </si>
  <si>
    <t>GEN_T_2.0.spik_2906</t>
  </si>
  <si>
    <t>AND25630004432</t>
  </si>
  <si>
    <t>AKASH KUMAR MAHATO AN47032 (19Y/M)</t>
  </si>
  <si>
    <t>GEN_T_2.0.spik_2907</t>
  </si>
  <si>
    <t>AND25630004509</t>
  </si>
  <si>
    <t>17-02-2026</t>
  </si>
  <si>
    <t>PRATIGYA AN54738 (13Y/F)</t>
  </si>
  <si>
    <t>GEN_T_2.0.spik_2908</t>
  </si>
  <si>
    <t>AND25630004480</t>
  </si>
  <si>
    <t>MR.AKASH (107046)(19YM)</t>
  </si>
  <si>
    <t>GEN_T_2.0.spik_2909</t>
  </si>
  <si>
    <t>AND25740066681</t>
  </si>
  <si>
    <t>MUTHUMEENAKSHI MULTI-SPECIALITY HOSPITAL TRANSPLANT - PUDUKKOTTAI</t>
  </si>
  <si>
    <t>15/02/2026</t>
  </si>
  <si>
    <t>LALANOLLA YADALAKSHMI - Male Mother</t>
  </si>
  <si>
    <t>PRE PGT WORKUP</t>
  </si>
  <si>
    <t>GEN_T_2.0.spik_2910</t>
  </si>
  <si>
    <t>prepgt</t>
  </si>
  <si>
    <t>Report will be taken care by Dr.  Anandbabu</t>
  </si>
  <si>
    <t>SADABOINA PRAMILA - Female Mother</t>
  </si>
  <si>
    <t>GEN_T_2.0.spik_2911</t>
  </si>
  <si>
    <t>SADABOINA SRINIVAS - Female Father</t>
  </si>
  <si>
    <t>GEN_T_2.0.spik_2912</t>
  </si>
  <si>
    <t>MR.ARJUN RAMASAMY(31YM)</t>
  </si>
  <si>
    <t>GEN_T_2.0.spik_2913</t>
  </si>
  <si>
    <t>AND25150112550</t>
  </si>
  <si>
    <t>29-02-2026</t>
  </si>
  <si>
    <t>MASTER.REVANTH G(10YM)</t>
  </si>
  <si>
    <t>GEN_T_2.0.spik_2914</t>
  </si>
  <si>
    <t>AND25480043402</t>
  </si>
  <si>
    <t>SASYA FERTILITY CENTRE - GUNTUR</t>
  </si>
  <si>
    <t>Dr. Meera (17-02-2026)</t>
  </si>
  <si>
    <t>28-02-2026</t>
  </si>
  <si>
    <t>MR.VAJRALA CHANDRA SEKHAR(46YM)</t>
  </si>
  <si>
    <t>GEN_T_2.0.spik_2915</t>
  </si>
  <si>
    <t>AND25420006533</t>
  </si>
  <si>
    <t>Dr. Meera (05-02-2026)</t>
  </si>
  <si>
    <t>BABY.HUMRISH(9YM)</t>
  </si>
  <si>
    <t>GEN_T_2.0.spik_2916</t>
  </si>
  <si>
    <t>AND25020066407</t>
  </si>
  <si>
    <t>19/02/2026</t>
  </si>
  <si>
    <t>Dr. Meera (04-02-2026)</t>
  </si>
  <si>
    <t>MRS.KALAIARASI NARESH (UMR2512042357)(32YF)</t>
  </si>
  <si>
    <t>GEN_T_2.0.spik_2917</t>
  </si>
  <si>
    <t>AND25150113170</t>
  </si>
  <si>
    <t>17/02/2026</t>
  </si>
  <si>
    <t>25/02/2026</t>
  </si>
  <si>
    <t>MR.NARESH (UMR2601043190)(34YM)</t>
  </si>
  <si>
    <t>GEN_T_2.0.spik_2918</t>
  </si>
  <si>
    <t>AND25150113171</t>
  </si>
  <si>
    <t>MR.SANDEEP(40 Y 0 M 0 D /Male)</t>
  </si>
  <si>
    <t>GEN_T_2.0.spik_2919</t>
  </si>
  <si>
    <t>ATR0000007331</t>
  </si>
  <si>
    <t>MR.N KANNADASAN(50YM)</t>
  </si>
  <si>
    <t>GEN_T_2.0.spik_2920</t>
  </si>
  <si>
    <t>AND25790020300</t>
  </si>
  <si>
    <t>Dr. Meera (11-02-2026)</t>
  </si>
  <si>
    <t>MR.PODICHETTI SATISH (29YM)</t>
  </si>
  <si>
    <t>GEN_T_2.0.spik_2921</t>
  </si>
  <si>
    <t>AND25380243942</t>
  </si>
  <si>
    <t>18/02/2026</t>
  </si>
  <si>
    <t>19-02-2026</t>
  </si>
  <si>
    <t>MRS.PODICHETTI RAJANI (26YF)</t>
  </si>
  <si>
    <t>GEN_T_2.0.spik_2922</t>
  </si>
  <si>
    <t>AND25380243943</t>
  </si>
  <si>
    <t>MR. ARSHDEEP SINGH (35746) (30 Y 0 M 0 D /Male)</t>
  </si>
  <si>
    <t>GEN_T_2.0.spik_2923</t>
  </si>
  <si>
    <t>DCC0000002296</t>
  </si>
  <si>
    <t>MS.P DEVISRI (23YF)</t>
  </si>
  <si>
    <t>GEN_T_2.0.spik_2924</t>
  </si>
  <si>
    <t>AND25850004593</t>
  </si>
  <si>
    <t>Dr. Meera (10-02-2026)</t>
  </si>
  <si>
    <t>20-02-2026</t>
  </si>
  <si>
    <t>MR.RAVISHANKAR G(54YM)</t>
  </si>
  <si>
    <t>GEN_T_2.0.spik_2925</t>
  </si>
  <si>
    <t>AND25AJ0013637</t>
  </si>
  <si>
    <t>SHANMUGASUNDARAM S MD DM (CARDIO)</t>
  </si>
  <si>
    <t>MR.AL20-W-931(43YM)</t>
  </si>
  <si>
    <t>GEN_T_2.0.spik_2926</t>
  </si>
  <si>
    <t>AND25630004526</t>
  </si>
  <si>
    <t>MRS.AL20-W-932(38YF)</t>
  </si>
  <si>
    <t>GEN_T_2.0.spik_2927</t>
  </si>
  <si>
    <t>AND25630004519</t>
  </si>
  <si>
    <t>MR.AL20-W-947(16YM)</t>
  </si>
  <si>
    <t>GEN_T_2.0.spik_2928</t>
  </si>
  <si>
    <t>AND25630004521</t>
  </si>
  <si>
    <t>MS.AL20-W-949(18YF)</t>
  </si>
  <si>
    <t>GEN_T_2.0.spik_2929</t>
  </si>
  <si>
    <t>AND25630004522</t>
  </si>
  <si>
    <t>MR.AL20-W-946(19YM)</t>
  </si>
  <si>
    <t>GEN_T_2.0.spik_2930</t>
  </si>
  <si>
    <t>AND25630004520</t>
  </si>
  <si>
    <t>MS.AL20-W-964(11YF)</t>
  </si>
  <si>
    <t>GEN_T_2.0.spik_2931</t>
  </si>
  <si>
    <t>AND25630004523</t>
  </si>
  <si>
    <t>BABY.AL20-W-965(7YF)</t>
  </si>
  <si>
    <t>GEN_T_2.0.spik_2932</t>
  </si>
  <si>
    <t>AND25630004524</t>
  </si>
  <si>
    <t>BABY.AL20-W-966(1YM)</t>
  </si>
  <si>
    <t>GEN_T_2.0.spik_2933</t>
  </si>
  <si>
    <t>AND25630004525</t>
  </si>
  <si>
    <t>BABY OF.KIRUBA(5DF)</t>
  </si>
  <si>
    <t>GEN_T_2.0.spik_2934</t>
  </si>
  <si>
    <t>AND25360069433</t>
  </si>
  <si>
    <t>KASTURBA HOSPITAL GANDHIGRAM - DINDIGUL</t>
  </si>
  <si>
    <t>MS.SELVI SADHANA(11YF)</t>
  </si>
  <si>
    <t>GEN_T_2.0.spik_2935</t>
  </si>
  <si>
    <t>AND25370040376</t>
  </si>
  <si>
    <t>vamshi(17/02/2026)</t>
  </si>
  <si>
    <t>23-02-2026</t>
  </si>
  <si>
    <t>MASTER.SUDHARSUN S(14YM)</t>
  </si>
  <si>
    <t>GEN_T_2.0.spik_2936</t>
  </si>
  <si>
    <t>AND25370040378</t>
  </si>
  <si>
    <t>28.03.2026</t>
  </si>
  <si>
    <t>Histroty available in TRF , Writeup available from Deepika mam</t>
  </si>
  <si>
    <t>SURFseq- Run-54A</t>
  </si>
  <si>
    <t>BABY.DHANSHIKA SRI S (AN56156) (1Y|F)</t>
  </si>
  <si>
    <t>GEN_T_2.0.spik_2937</t>
  </si>
  <si>
    <t>AND25630004513</t>
  </si>
  <si>
    <t>MR.ABHIK MONDAL (AB97228 (37Y|M)</t>
  </si>
  <si>
    <t>GEN_T_2.0.spik_2938</t>
  </si>
  <si>
    <t>AND25630004512</t>
  </si>
  <si>
    <t>MS.FETUS OF AMMU (AB91529) (22Y|F)</t>
  </si>
  <si>
    <t>GEN_T_2.0.spik_AF2939</t>
  </si>
  <si>
    <t>AND25630004514</t>
  </si>
  <si>
    <t>UMMUL HASANTH M (18Y/F)</t>
  </si>
  <si>
    <t>GEN_T_2.0.spik_2940</t>
  </si>
  <si>
    <t>AND25020066821</t>
  </si>
  <si>
    <t>Vamshi (05-02-2026)</t>
  </si>
  <si>
    <t>YOGAN T (10M/M)</t>
  </si>
  <si>
    <t>GEN_T_2.0.spik_2941</t>
  </si>
  <si>
    <t>AND25020066819</t>
  </si>
  <si>
    <t>Vamshi (07-02-2026)</t>
  </si>
  <si>
    <t>RUDHRASRI K.A (3M/F)</t>
  </si>
  <si>
    <t>GEN_T_2.0.spik_2942</t>
  </si>
  <si>
    <t>AND25020066820</t>
  </si>
  <si>
    <t>Vamshi (06-02-2026)</t>
  </si>
  <si>
    <t>20.02.2026</t>
  </si>
  <si>
    <t>MR.KALIDOSS(33YM)</t>
  </si>
  <si>
    <t>GEN_T_2.0.spik_2943</t>
  </si>
  <si>
    <t>AND25020066972</t>
  </si>
  <si>
    <t>22/02/2026</t>
  </si>
  <si>
    <t>DR.ASHWINI JAMBAGI (37 Y 0 M 0 D /Female) POC (GEN_T_2.0.spik_2733 resequenced again)</t>
  </si>
  <si>
    <t>GEN_T_2.0.spik_2944</t>
  </si>
  <si>
    <t>13-02-2026</t>
  </si>
  <si>
    <t>BABY.ATHMIKA MAHESH(3YF)</t>
  </si>
  <si>
    <t>GEN_T_2.0.spik_2945</t>
  </si>
  <si>
    <t>AND25720035991</t>
  </si>
  <si>
    <t>20/02/2026</t>
  </si>
  <si>
    <t>Dr. Meera (06-02-2026)</t>
  </si>
  <si>
    <t>MRS.KANCHANA (29 Y 5 M 19 D /Female) POC</t>
  </si>
  <si>
    <t>GEN_T_2.0.spik_2946</t>
  </si>
  <si>
    <t>ADH0000010263</t>
  </si>
  <si>
    <t>MRS.MANGALA K S(28 Y 9 M 28 D /Female) AF</t>
  </si>
  <si>
    <t>GEN_T_2.0.spik_AF2947</t>
  </si>
  <si>
    <t>ADH0000010229</t>
  </si>
  <si>
    <t>MR.SATHISHWARAN G(38YM)</t>
  </si>
  <si>
    <t>GEN_T_2.0.spik_2948</t>
  </si>
  <si>
    <t>AND25290014823</t>
  </si>
  <si>
    <t>KRITHIKA MUTHUSAMY MS (OG),DNB (OG)</t>
  </si>
  <si>
    <t>MRS.INDUMATHY C(37YF)</t>
  </si>
  <si>
    <t>GEN_T_2.0.spik_2949</t>
  </si>
  <si>
    <t>AND25290014824</t>
  </si>
  <si>
    <t>MR.FOOL SINGH (44 Y 9 M 21 D /Male)</t>
  </si>
  <si>
    <t>GEN_T_2.0.spik_2950</t>
  </si>
  <si>
    <t>DCC0000002370</t>
  </si>
  <si>
    <t>MRS.SARITA(36 Y 1 M 17 D /Female)</t>
  </si>
  <si>
    <t>GEN_T_2.0.spik_2951</t>
  </si>
  <si>
    <t>DCC0000002371</t>
  </si>
  <si>
    <t>MRS.LALITHA BOHARA(65YF)</t>
  </si>
  <si>
    <t>GEN_T_2.0.spik_2952</t>
  </si>
  <si>
    <t>BABY.MOHAMMED AARIZ(4MM)</t>
  </si>
  <si>
    <t>GEN_T_2.0.spik_2953</t>
  </si>
  <si>
    <t>AND25630004551</t>
  </si>
  <si>
    <t>MR.VIJAY KUMAR SHESHADRI(37 Y 0 M 0 D /Male)</t>
  </si>
  <si>
    <t>GEN_T_2.0.spik_2954</t>
  </si>
  <si>
    <t>ADB0000020927</t>
  </si>
  <si>
    <t>MRS.LATHASHREE GOPAL(33 Y 0 M 0 D /Female)</t>
  </si>
  <si>
    <t>GEN_T_2.0.spik_2955</t>
  </si>
  <si>
    <t>ADB0000020928</t>
  </si>
  <si>
    <t>BABY.R DESH MITHRA(2YF)</t>
  </si>
  <si>
    <t>GEN_T_2.0.spik_2956</t>
  </si>
  <si>
    <t>AND25630004552</t>
  </si>
  <si>
    <t>MR.AL21-W-972(33YM)</t>
  </si>
  <si>
    <t>GEN_T_2.0.spik_2957</t>
  </si>
  <si>
    <t>AND25630004560</t>
  </si>
  <si>
    <t>BABY.AL21-W-980(2YF)</t>
  </si>
  <si>
    <t>GEN_T_2.0.spik_2958</t>
  </si>
  <si>
    <t>AND25630004561</t>
  </si>
  <si>
    <t>MR.AL21-W-983(19YM)</t>
  </si>
  <si>
    <t>GEN_T_2.0.spik_2959</t>
  </si>
  <si>
    <t>AND25630004562</t>
  </si>
  <si>
    <t>BABY.AL21-W-982(1YM)</t>
  </si>
  <si>
    <t>GEN_T_2.0.spik_2960</t>
  </si>
  <si>
    <t>AND25630004563</t>
  </si>
  <si>
    <t>BABY.AL21-W-986(6YF)</t>
  </si>
  <si>
    <t>GEN_T_2.0.spik_2961</t>
  </si>
  <si>
    <t>AND25630004564</t>
  </si>
  <si>
    <t>MR.VINAY KUMAR (AN42298)(40YM)</t>
  </si>
  <si>
    <t>GEN_T_2.0.spik_2962</t>
  </si>
  <si>
    <t>AND25630004558</t>
  </si>
  <si>
    <t>MR.SHANKAR NAIK (AN23764)(34YM)</t>
  </si>
  <si>
    <t>GEN_T_2.0.spik_2963</t>
  </si>
  <si>
    <t>AND25630004559</t>
  </si>
  <si>
    <t>SURFseq- Run-55B</t>
  </si>
  <si>
    <t>MRS.SHIKHA ASTHANA(32 Y 10 M 11 D /Female) AF</t>
  </si>
  <si>
    <t>GEN_T_2.0.spik_2964AF</t>
  </si>
  <si>
    <t>AMB0000005171</t>
  </si>
  <si>
    <t>23/02/2026</t>
  </si>
  <si>
    <t>MRS.PAIDI DHANALAKSHMI SRAVAN REDDY (39YF) AF</t>
  </si>
  <si>
    <t>GEN_T_2.0.spik_2965AF</t>
  </si>
  <si>
    <t>AND25420006718</t>
  </si>
  <si>
    <t>FOCUS DIAGNOSTIC &amp; HEALTHCARE RESEARCH PVT LTD - HYDERABAD</t>
  </si>
  <si>
    <t>BABY.VASU(1YM)</t>
  </si>
  <si>
    <t>GEN_T_2.0.spik_2966</t>
  </si>
  <si>
    <t>AND25630004553</t>
  </si>
  <si>
    <t>Dr. Meera (07-02-2026)</t>
  </si>
  <si>
    <t>19/02/2025</t>
  </si>
  <si>
    <t>MRS.RESHMA KOUR T(25YF)</t>
  </si>
  <si>
    <t>GEN_T_2.0.spik_2967</t>
  </si>
  <si>
    <t>AND25420006657</t>
  </si>
  <si>
    <t>SURYA FERTILITY CENTER - HANAMKONDA</t>
  </si>
  <si>
    <t>MR.BALRAM SINGH(27YM)</t>
  </si>
  <si>
    <t>GEN_T_2.0.spik_2968</t>
  </si>
  <si>
    <t>AND25420006659</t>
  </si>
  <si>
    <t>BABY.HARSHITHA G(10MF)</t>
  </si>
  <si>
    <t>GEN_T_2.0.spik_2969</t>
  </si>
  <si>
    <t>AND25020067182</t>
  </si>
  <si>
    <t>MR.WAJEEULLAH K(32YM)</t>
  </si>
  <si>
    <t>CES+Mito</t>
  </si>
  <si>
    <t>GEN_T_2.0.spik_2970</t>
  </si>
  <si>
    <t>AND25020067364</t>
  </si>
  <si>
    <t>24/02/2026</t>
  </si>
  <si>
    <t>MRS.DIVYA (UMR2512041598 )(35YF)</t>
  </si>
  <si>
    <t>GEN_T_2.0.spik_2971</t>
  </si>
  <si>
    <t>AND25380250762</t>
  </si>
  <si>
    <t>MR.PRADEEP (UMR2512041598)(37YM)</t>
  </si>
  <si>
    <t>GEN_T_2.0.spik_2972</t>
  </si>
  <si>
    <t>AND25380250763</t>
  </si>
  <si>
    <t>MR.M BHAVANI SHANKAR(33YM)</t>
  </si>
  <si>
    <t>GEN_T_2.0.spik_2973</t>
  </si>
  <si>
    <t>AND25420006697</t>
  </si>
  <si>
    <t>BIRTHRIGHT FERTILITY BY RAINBOW HOSPITALS - VIJAYAWADA</t>
  </si>
  <si>
    <t>Dr. Meera (09-02-2026)</t>
  </si>
  <si>
    <t>MRS.S.MAHITHA(33YF)</t>
  </si>
  <si>
    <t>GEN_T_2.0.spik_2974</t>
  </si>
  <si>
    <t>AND25420006698</t>
  </si>
  <si>
    <t>MRS.TANU VARSHNEY (PBF1000228/W)(36YF)</t>
  </si>
  <si>
    <t>GEN_T_2.0.spik_2975</t>
  </si>
  <si>
    <t>AND25420006701</t>
  </si>
  <si>
    <t>PLAN B FERTILITY ( A UNIT OF SUCHITA HEALTH CARE PVT LTD) - HYDERABAD</t>
  </si>
  <si>
    <t>AMARAVATHI (29Y/F)</t>
  </si>
  <si>
    <t>GEN_T_2.0.spik_2976</t>
  </si>
  <si>
    <t>ADN0000010774</t>
  </si>
  <si>
    <t>MR.SUBODH WASNIK(30 Y 0 M 0 D /Male)</t>
  </si>
  <si>
    <t>GEN_T_2.0.spik_2977</t>
  </si>
  <si>
    <t>AMB0000005467</t>
  </si>
  <si>
    <t>MISS.HADIYAH (8412)(09)(10 Y 8 M 7 D /Female)</t>
  </si>
  <si>
    <t>GEN_T_2.0.spik_2978</t>
  </si>
  <si>
    <t>ADH0000010912</t>
  </si>
  <si>
    <t>Dr.Meera (17/02/2026)</t>
  </si>
  <si>
    <t>18-02-2026</t>
  </si>
  <si>
    <t>MR.MANJUNATH K(20 Y 0 M 0 D /Male)</t>
  </si>
  <si>
    <t>GEN_T_2.0.spik_2979</t>
  </si>
  <si>
    <t>ADH0000010965</t>
  </si>
  <si>
    <t>26/02/2026</t>
  </si>
  <si>
    <t>26.02.2026</t>
  </si>
  <si>
    <t>MASTER.MOHAMMED IFRAS(6YM)</t>
  </si>
  <si>
    <t>GEN_T_2.0.spik_2980</t>
  </si>
  <si>
    <t>AND25630004614</t>
  </si>
  <si>
    <t>MASTER.BHATHRISH(7YM)</t>
  </si>
  <si>
    <t>GEN_T_2.0.spik_2981</t>
  </si>
  <si>
    <t>AND25630004615</t>
  </si>
  <si>
    <t>MRS.GOWTHAMI (36 Y 0 M 0 D /Female)</t>
  </si>
  <si>
    <t>GEN_T_2.0.spik_2982</t>
  </si>
  <si>
    <t>ADB0000021737</t>
  </si>
  <si>
    <t>MRS.RAMYA G R (8428)(8435) (28 Y 4 M 16 D /Female)</t>
  </si>
  <si>
    <t>GEN_T_2.0.spik_2983</t>
  </si>
  <si>
    <t>ADH0000011079</t>
  </si>
  <si>
    <t>27/02/2026</t>
  </si>
  <si>
    <t>MR.ABHISHEK (8434)(38) (35 Y 4 M 12 D /Male)</t>
  </si>
  <si>
    <t>GEN_T_2.0.spik_2984</t>
  </si>
  <si>
    <t>ADH0000011080</t>
  </si>
  <si>
    <t>MS.AYISHA SAFA KADULUNDI (13Y|F)</t>
  </si>
  <si>
    <t>GEN_T_2.0.spik_2985</t>
  </si>
  <si>
    <t>AND25720036937</t>
  </si>
  <si>
    <t>24-02-2026</t>
  </si>
  <si>
    <t>SURFseq- Run-56A</t>
  </si>
  <si>
    <t>MRS.DHANALAKSHMIW-OGOPALAKRISHNAN(19YF)AF</t>
  </si>
  <si>
    <t>GEN_T_2.0.spik_2986AF</t>
  </si>
  <si>
    <t>AND25360071482</t>
  </si>
  <si>
    <t>26/02/26</t>
  </si>
  <si>
    <t>MRS.ARULMANIMOHAN(AMNIOTICFLUID)(31YF)AF</t>
  </si>
  <si>
    <t>GEN_T_2.0.spik_2987AF</t>
  </si>
  <si>
    <t>AND25810036566</t>
  </si>
  <si>
    <t>28/02/26</t>
  </si>
  <si>
    <t>MS.AL22-W-969(29YF)</t>
  </si>
  <si>
    <t>GEN_T_2.0.spik_2988</t>
  </si>
  <si>
    <t>AND25630004661</t>
  </si>
  <si>
    <t>19/02/26</t>
  </si>
  <si>
    <t>MR.SANJAYRAMASAMY(SN00878574)(21Y|M)</t>
  </si>
  <si>
    <t>GEN_T_2.0.spik_2989</t>
  </si>
  <si>
    <t>AND251S0004152</t>
  </si>
  <si>
    <t>MR.V.V.PRAVEENKUMARCHAKRAVARTHY(44Y5M0D-Male)</t>
  </si>
  <si>
    <t>GEN_T_2.0.spik_2990</t>
  </si>
  <si>
    <t>ADN0000010376</t>
  </si>
  <si>
    <t>MRS.V.SREELAKSHMI(20Y7M21D-Female)</t>
  </si>
  <si>
    <t>GEN_T_2.0.spik_2991</t>
  </si>
  <si>
    <t>ADN0000010381</t>
  </si>
  <si>
    <t>03.03.2026</t>
  </si>
  <si>
    <t>MRS.DHIMADOOLUBRAMJEET(43YF)</t>
  </si>
  <si>
    <t>GEN_T_2.0.spik_2992</t>
  </si>
  <si>
    <t>AND25850007731</t>
  </si>
  <si>
    <t>27/02/26</t>
  </si>
  <si>
    <t>Dr. Meera (13-02-2026)</t>
  </si>
  <si>
    <t>05.03.2026</t>
  </si>
  <si>
    <t>MR.ARUNPANDIANS(34YM)</t>
  </si>
  <si>
    <t>WES+Male Infertility NGS panel</t>
  </si>
  <si>
    <t>GEN_T_2.0.spik_2994</t>
  </si>
  <si>
    <t>AND25150117030</t>
  </si>
  <si>
    <t>Vamshi (09-02-2026)</t>
  </si>
  <si>
    <t>MRS.LAVANYAT(32YF)</t>
  </si>
  <si>
    <t>WES+Female Infertility NGS panel</t>
  </si>
  <si>
    <t>GEN_T_2.0.spik_2993</t>
  </si>
  <si>
    <t>AND25150117029</t>
  </si>
  <si>
    <t>MR.GOKULRAJ(37YM)</t>
  </si>
  <si>
    <t>GEN_T_2.0.spik_2995</t>
  </si>
  <si>
    <t>AND25380254545</t>
  </si>
  <si>
    <t>ESWARI LAB - PERIYAR NAGAR</t>
  </si>
  <si>
    <t>MRS.BHANUW-OGOKULRAJ(30YF)</t>
  </si>
  <si>
    <t>GEN_T_2.0.spik_2996</t>
  </si>
  <si>
    <t>AND25380254546</t>
  </si>
  <si>
    <t>MASTER.SAKTHIVELS(2YM)</t>
  </si>
  <si>
    <t>GEN_T_2.0.spik_2997</t>
  </si>
  <si>
    <t>AND25380254888</t>
  </si>
  <si>
    <t>BABY.IYALI(7MF)</t>
  </si>
  <si>
    <t>GEN_T_2.0.spik_2998</t>
  </si>
  <si>
    <t>AND25630004640</t>
  </si>
  <si>
    <t>MRS.ISHWARIYAW-OSILAMBARASAN(22YF)</t>
  </si>
  <si>
    <t>GEN_T_2.0.spik_2999</t>
  </si>
  <si>
    <t>AND25990057938</t>
  </si>
  <si>
    <t>THAJ HEALTH CARE CENTRE - SANKARAPURAM</t>
  </si>
  <si>
    <t>Vamshi (11-02-2026)</t>
  </si>
  <si>
    <t>12.03.2026</t>
  </si>
  <si>
    <t>MR.SILAMBARASAN(27YM)</t>
  </si>
  <si>
    <t>GEN_T_2.0.spik_3000</t>
  </si>
  <si>
    <t>AND25990057939</t>
  </si>
  <si>
    <t>DR.SUCHITRA(27YF)</t>
  </si>
  <si>
    <t>GEN_T_2.0.spik_3001</t>
  </si>
  <si>
    <t>AND25680013155</t>
  </si>
  <si>
    <t>MR.KARTHICK(29YM)</t>
  </si>
  <si>
    <t>GEN_T_2.0.spik_3002</t>
  </si>
  <si>
    <t>AND25680013158</t>
  </si>
  <si>
    <t>MR.TEJASGAIKWAD(10Y4M1D-Male)</t>
  </si>
  <si>
    <t>GEN_T_2.0.spik_3003</t>
  </si>
  <si>
    <t>AMB0000005296</t>
  </si>
  <si>
    <t>27-02-2026</t>
  </si>
  <si>
    <t>MR.REJISHADHIKARI(32YM)</t>
  </si>
  <si>
    <t>GEN_T_2.0.spik_3004</t>
  </si>
  <si>
    <t>AND251O0000119</t>
  </si>
  <si>
    <t>VARDHAN FERTILITY CENTRE PVT LTD - KATHMANDU</t>
  </si>
  <si>
    <t>Dr. Meera (14-02-2026)</t>
  </si>
  <si>
    <t>MRS.THIRUMALAISELVI(28Y0M0D-Female)</t>
  </si>
  <si>
    <t>GEN_T_2.0.spik_3005</t>
  </si>
  <si>
    <t>TSI0000011688</t>
  </si>
  <si>
    <t>TENKASI - CC - ROTN TENK</t>
  </si>
  <si>
    <t>MS.AL22-W-993(28YF)</t>
  </si>
  <si>
    <t>GEN_T_2.0.spik_3006</t>
  </si>
  <si>
    <t>AND25630004662</t>
  </si>
  <si>
    <t>MR.AL22-CD-26-11(35YM)</t>
  </si>
  <si>
    <t>GEN_T_2.0.spik_3007</t>
  </si>
  <si>
    <t>AND25630004663</t>
  </si>
  <si>
    <t>MS.AL22-W-988(26YF)</t>
  </si>
  <si>
    <t>GEN_T_2.0.spik_3008</t>
  </si>
  <si>
    <t>AND25630004664</t>
  </si>
  <si>
    <t>BABYOF.JINALIMEHTA(0Y0M4D-Female)</t>
  </si>
  <si>
    <t>GEN_T_2.0.spik_3009</t>
  </si>
  <si>
    <t>AMB0000005311</t>
  </si>
  <si>
    <t>MR.ADITHYAASHOK(16YM) (do not release in attune)</t>
  </si>
  <si>
    <t>GEN_T_2.0.spik_3010</t>
  </si>
  <si>
    <t>AND25370042029</t>
  </si>
  <si>
    <t>Review with Suruthi GC</t>
  </si>
  <si>
    <t>AL23-X-02(17Y-M)</t>
  </si>
  <si>
    <t>GEN_T_2.0.spik_3011</t>
  </si>
  <si>
    <t>cmc</t>
  </si>
  <si>
    <t>NOT BILLED CMC VELLORE WES</t>
  </si>
  <si>
    <t>20/02/26</t>
  </si>
  <si>
    <t>AL23-X-07(27Y-F)</t>
  </si>
  <si>
    <t>GEN_T_2.0.spik_3012</t>
  </si>
  <si>
    <t>AL23-X-08(0Y-M)</t>
  </si>
  <si>
    <t>GEN_T_2.0.spik_3013</t>
  </si>
  <si>
    <t>AL23-X-09(12Y-M)</t>
  </si>
  <si>
    <t>GEN_T_2.0.spik_3014</t>
  </si>
  <si>
    <t>MASTER.SAYEDRAMEEZ(AZ53664)(5YM)</t>
  </si>
  <si>
    <t>GEN_T_2.0.spik_3015</t>
  </si>
  <si>
    <t>AND25630004686</t>
  </si>
  <si>
    <t>MRS.SIVAPAR SRILEKHA VELUMANI( 36Y0M0D-Female)POC</t>
  </si>
  <si>
    <t>GEN_T_2.0.spik_3016</t>
  </si>
  <si>
    <t>ADB0000022357</t>
  </si>
  <si>
    <t>Vamshi (21-02-2026)</t>
  </si>
  <si>
    <t>MR.MATHANMADASAMY(30Y0M0D-Male)</t>
  </si>
  <si>
    <t>GEN_T_2.0.spik_3017</t>
  </si>
  <si>
    <t>TSI0000011689</t>
  </si>
  <si>
    <t>SURFseq- Run-57B</t>
  </si>
  <si>
    <t>BABY.YADIRA J(2YF)</t>
  </si>
  <si>
    <t>GEN_T_2.0.spik_3018A</t>
  </si>
  <si>
    <t>AND25020068278</t>
  </si>
  <si>
    <t>MR.GOKULRAJ ((31YM)</t>
  </si>
  <si>
    <t>GEN_T_2.0.spik_3019A</t>
  </si>
  <si>
    <t>AND25020068279</t>
  </si>
  <si>
    <t>14-02-2026</t>
  </si>
  <si>
    <t>04.03.2026</t>
  </si>
  <si>
    <t>BABY.JOE AMUTHAN J(1YM)</t>
  </si>
  <si>
    <t>GEN_T_2.0.spik_3020A</t>
  </si>
  <si>
    <t>AND25020068277</t>
  </si>
  <si>
    <t>BABY.DHANSIKA(4YF)</t>
  </si>
  <si>
    <t>GEN_T_2.0.spik_3021A</t>
  </si>
  <si>
    <t>AND25020068276</t>
  </si>
  <si>
    <t>Vamshi (13-02-2026)</t>
  </si>
  <si>
    <t>07.03.2026</t>
  </si>
  <si>
    <t>MR.HOSURAPPA MURUGESAN(37YM)</t>
  </si>
  <si>
    <t>GEN_T_2.0.spik_3022A</t>
  </si>
  <si>
    <t>AND25020068281</t>
  </si>
  <si>
    <t>BABY.SARA .V(7MF)</t>
  </si>
  <si>
    <t>GEN_T_2.0.spik_3023A</t>
  </si>
  <si>
    <t>AND25020068286</t>
  </si>
  <si>
    <t>ABDUL HUBEEB H (6Y/M)</t>
  </si>
  <si>
    <t>GEN_T_2.0.spik_3024A</t>
  </si>
  <si>
    <t>AND25540000946</t>
  </si>
  <si>
    <t>SIVA HARIDAS (36Y/M)</t>
  </si>
  <si>
    <t>GEN_T_2.0.spik_3025A</t>
  </si>
  <si>
    <t>AND25020068425</t>
  </si>
  <si>
    <t>RAJESH KUMAR (43Y/M)</t>
  </si>
  <si>
    <t>GEN_T_2.0.spik_3026A</t>
  </si>
  <si>
    <t>AND25020068458</t>
  </si>
  <si>
    <t>MRS.LAKSHMI M (21 Y 6 M 28 D /Female) POC</t>
  </si>
  <si>
    <t>GEN_T_2.0.spik_3027A</t>
  </si>
  <si>
    <t>ADB0000021922</t>
  </si>
  <si>
    <t>Vamshi(14/02/2026)</t>
  </si>
  <si>
    <t>14.03.2026</t>
  </si>
  <si>
    <t>BABY.GEETHANJALI (8297)(94) (2/F)</t>
  </si>
  <si>
    <t>GEN_T_2.0.spik_3028A</t>
  </si>
  <si>
    <t>ADH0000011478</t>
  </si>
  <si>
    <t>MR.DEVENDRACHARI (8295)(99) (37/M)</t>
  </si>
  <si>
    <t>GEN_T_2.0.spik_3029A</t>
  </si>
  <si>
    <t>ADH0000011483</t>
  </si>
  <si>
    <t>MRS.SOUMYA V (8302)(96) (37 Y 7 M 23 D /Female)</t>
  </si>
  <si>
    <t>GEN_T_2.0.spik_3030A</t>
  </si>
  <si>
    <t>ADH0000011484</t>
  </si>
  <si>
    <t>MRS.KALAI SELVI S (500137/1950680)(31YF) poc</t>
  </si>
  <si>
    <t>GEN_T_2.0.spik_3031A</t>
  </si>
  <si>
    <t>AND25150118518</t>
  </si>
  <si>
    <t>DR. KAMAKSHI MEMORIAL HOSPITAL PVT. LTD. - PALLIKARANAI .</t>
  </si>
  <si>
    <t>MR.AVULA HARI (24YM)</t>
  </si>
  <si>
    <t>GEN_T_2.0.spik_3032A</t>
  </si>
  <si>
    <t>AND25380257617</t>
  </si>
  <si>
    <t>13/03/2026</t>
  </si>
  <si>
    <t>MR.MADHU CHAKALI(CHAKALI HANUMANTHAMMA(39YM)</t>
  </si>
  <si>
    <t>GEN_T_2.0.spik_3033A</t>
  </si>
  <si>
    <t>AND251H0005144</t>
  </si>
  <si>
    <t>24-02-2025</t>
  </si>
  <si>
    <t>MS.AKSHAYA(19 Y 0 M 0 D /Female)</t>
  </si>
  <si>
    <t>GEN_T_2.0.spik_3034A</t>
  </si>
  <si>
    <t>FR20000002608</t>
  </si>
  <si>
    <t>MASTER.MALIKARJUN P SANJAN(13 Y 0 M 0 D /Male)</t>
  </si>
  <si>
    <t>GEN_T_2.0.spik_3035A</t>
  </si>
  <si>
    <t>ADH0000011670</t>
  </si>
  <si>
    <t>Vamshi (12-02-2026)</t>
  </si>
  <si>
    <t>MS.POOJA (6Y|F)</t>
  </si>
  <si>
    <t>GEN_T_2.0.spik_3036A</t>
  </si>
  <si>
    <t>AND25380257871</t>
  </si>
  <si>
    <t>Dr. Meera (19-02-2026)</t>
  </si>
  <si>
    <t>JANUSRI (3M/F)</t>
  </si>
  <si>
    <t>GEN_T_2.0.spik_3037A</t>
  </si>
  <si>
    <t>AND25020068792</t>
  </si>
  <si>
    <t>BERYL NAKSHATHRA (3Y/F)</t>
  </si>
  <si>
    <t>GEN_T_2.0.spik_3038A</t>
  </si>
  <si>
    <t>AND25020068745</t>
  </si>
  <si>
    <t>MRS.AMBIKA W/O PANDARI GORANALLI(38 Y 1 M 1 D /Female) - POC</t>
  </si>
  <si>
    <t>GEN_T_2.0.spik_3039A</t>
  </si>
  <si>
    <t>ADH0000011771</t>
  </si>
  <si>
    <t>MRS.LAKSHMI MISHRA(40 Y 5 M 23 D /Female) POC</t>
  </si>
  <si>
    <t>GEN_T_2.0.spik_3040A</t>
  </si>
  <si>
    <t>AMB0000005373</t>
  </si>
  <si>
    <t>MR.SRIVASTA S(40 Y 7 M 13 D /Male)</t>
  </si>
  <si>
    <t>GEN_T_2.0.spik_3041A</t>
  </si>
  <si>
    <t>ADB0000022522</t>
  </si>
  <si>
    <t>MR.KESAVAN (900042281)(45YM)</t>
  </si>
  <si>
    <t>GEN_T_2.0.spik_3042A</t>
  </si>
  <si>
    <t>AND25380258146</t>
  </si>
  <si>
    <t>MRS.SHOBANA (900042280)(39YF)</t>
  </si>
  <si>
    <t>GEN_T_2.0.spik_3043A</t>
  </si>
  <si>
    <t>AND25380258147</t>
  </si>
  <si>
    <t>BABY.MITHIN RAM(2YM)</t>
  </si>
  <si>
    <t>GEN_T_2.0.spik_3044A</t>
  </si>
  <si>
    <t>AND25630004707</t>
  </si>
  <si>
    <t>MR.ARUNKUMAR G (SN00878758)(34YM)</t>
  </si>
  <si>
    <t>GEN_T_2.0.spik_3045A</t>
  </si>
  <si>
    <t>AND251S0004226</t>
  </si>
  <si>
    <t>MRS.KALAISELVI (65 Y 0 M 0 D /Female)</t>
  </si>
  <si>
    <t>GEN_T_2.0.spik_3046A</t>
  </si>
  <si>
    <t>FR20000002643</t>
  </si>
  <si>
    <t>MR.PRANAV KUMARASWAMY (33Y|M)</t>
  </si>
  <si>
    <t>Familial Hypercholestremia gene panel</t>
  </si>
  <si>
    <t>GEN_T_2.0.spik_3047A</t>
  </si>
  <si>
    <t>AND25290015417</t>
  </si>
  <si>
    <t>JUSTIN PAUL M.D., (MED)., DNB., D.M., (CARDIO), DNB</t>
  </si>
  <si>
    <t>MR.N CHAITANYA(37YM)</t>
  </si>
  <si>
    <t>GEN_T_2.0.spik_3048A</t>
  </si>
  <si>
    <t>AND25850007859</t>
  </si>
  <si>
    <t>MRS.HARIKA N(36YF)</t>
  </si>
  <si>
    <t>GEN_T_2.0.spik_3049A</t>
  </si>
  <si>
    <t>AND25850007860</t>
  </si>
  <si>
    <t>MR.ASHISH SINGH(39 Y 10 M 18 D /Male)</t>
  </si>
  <si>
    <t>GEN_T_2.0.spik_3050A</t>
  </si>
  <si>
    <t>AMB0000005409</t>
  </si>
  <si>
    <t>MRS.SANDHYA SINGH(28 Y 8 M 24 D /Female)</t>
  </si>
  <si>
    <t>GEN_T_2.0.spik_3051A</t>
  </si>
  <si>
    <t>AMB0000005410</t>
  </si>
  <si>
    <t>BABY.MIRACLIN (AK07932)(2YF)</t>
  </si>
  <si>
    <t>GEN_T_2.0.spik_3052A</t>
  </si>
  <si>
    <t>AND25630004768</t>
  </si>
  <si>
    <t>POOJA KUMARI (AN59384)</t>
  </si>
  <si>
    <t>GEN_T_2.0.spik_3053A</t>
  </si>
  <si>
    <t>AND25630004782</t>
  </si>
  <si>
    <t>MS.MOKSHITHA T (AN28049)(9YF)</t>
  </si>
  <si>
    <t>GEN_T_2.0.spik_3054A</t>
  </si>
  <si>
    <t>AND25630004769</t>
  </si>
  <si>
    <t>AL 24-X-17</t>
  </si>
  <si>
    <t>GEN_T_2.0.spik_3055A</t>
  </si>
  <si>
    <t>AND25630004779</t>
  </si>
  <si>
    <t>Shurthi</t>
  </si>
  <si>
    <t>AL 24-X-19</t>
  </si>
  <si>
    <t>GEN_T_2.0.spik_3056A</t>
  </si>
  <si>
    <t>AND25630004781</t>
  </si>
  <si>
    <t>AL 24-X-18</t>
  </si>
  <si>
    <t>GEN_T_2.0.spik_3057A</t>
  </si>
  <si>
    <t>AND25630004780</t>
  </si>
  <si>
    <t>SURFseq- Run-58A</t>
  </si>
  <si>
    <t>MR.KATHIRAVAN S SRINIVASAN(SN00873901)(22YM)</t>
  </si>
  <si>
    <t>GEN_T_2.0.spik_3058</t>
  </si>
  <si>
    <t>AND251S0004291</t>
  </si>
  <si>
    <t>MRS.SONALI (37 Y 0 M 0 D /Female)</t>
  </si>
  <si>
    <t>GEN_T_2.0.spik_3059</t>
  </si>
  <si>
    <t>ADB0000023040</t>
  </si>
  <si>
    <t>MS.NANCI(14YF)</t>
  </si>
  <si>
    <t>GEN_T_2.0.spik_3060</t>
  </si>
  <si>
    <t>AND25020069513</t>
  </si>
  <si>
    <t>Dr. Meera (16-02-2026)</t>
  </si>
  <si>
    <t>MANIKANDAN S ( 36Y/M)</t>
  </si>
  <si>
    <t>GEN_T_2.0.spik_3061</t>
  </si>
  <si>
    <t>AND25020069512</t>
  </si>
  <si>
    <t>18/03/2026</t>
  </si>
  <si>
    <t>BABY.YASHVANT D(2YM)</t>
  </si>
  <si>
    <t>GEN_T_2.0.spik_3062</t>
  </si>
  <si>
    <t>AND25020069197</t>
  </si>
  <si>
    <t>MASTER.HARAN(6YM)</t>
  </si>
  <si>
    <t>GEN_T_2.0.spik_3063</t>
  </si>
  <si>
    <t>AND25630004759</t>
  </si>
  <si>
    <t>MS.GOMATHI(24YF)</t>
  </si>
  <si>
    <t>GEN_T_2.0.spik_3064</t>
  </si>
  <si>
    <t>AND25630004760</t>
  </si>
  <si>
    <t>Vamshi (17-02-2026)</t>
  </si>
  <si>
    <t>MR.MURALI(29YM)</t>
  </si>
  <si>
    <t>GEN_T_2.0.spik_3065</t>
  </si>
  <si>
    <t>AND25630004761</t>
  </si>
  <si>
    <t>MR.M. SUDALAIMUTHU(24YM)</t>
  </si>
  <si>
    <t>GEN_T_2.0.spik_3066</t>
  </si>
  <si>
    <t>AND25400039212</t>
  </si>
  <si>
    <t>MR.RAJINIKANTH G</t>
  </si>
  <si>
    <t>GEN_T_2.0.spik_3067</t>
  </si>
  <si>
    <t>AND25540001230</t>
  </si>
  <si>
    <t>NAGALINGAM EZHUMALAI (43Y.M)</t>
  </si>
  <si>
    <t>GEN_T_2.0.spik_3068</t>
  </si>
  <si>
    <t>AND25020069448</t>
  </si>
  <si>
    <t>MASTER.SARVESH DURAI (15YM)</t>
  </si>
  <si>
    <t>GEN_T_2.0.spik_3069</t>
  </si>
  <si>
    <t>AND25380262279</t>
  </si>
  <si>
    <t>Dr. Meera (23-02-2026)</t>
  </si>
  <si>
    <t>25-02-2026</t>
  </si>
  <si>
    <t>MRS.GANDLA SHIRISHA (34YF)</t>
  </si>
  <si>
    <t>GEN_T_2.0.spik_3070</t>
  </si>
  <si>
    <t>AND25420006943</t>
  </si>
  <si>
    <t>Family segregation analysis ,  In review with Dr. Surbhi mam</t>
  </si>
  <si>
    <t>BABY.GANDLA PRANAY KISHORE(14YM)</t>
  </si>
  <si>
    <t>GEN_T_2.0.spik_3071</t>
  </si>
  <si>
    <t>AND25420006944</t>
  </si>
  <si>
    <t>MR.PRASHANTH M (GGHN/03564) (34 Y 0 M 0 D /Male)</t>
  </si>
  <si>
    <t>GEN_T_2.0.spik_3072</t>
  </si>
  <si>
    <t>ADB0000023086</t>
  </si>
  <si>
    <t>16.03.2026</t>
  </si>
  <si>
    <t>BABY.PRAVESH(2YM)</t>
  </si>
  <si>
    <t>GEN_T_2.0.spik_3073</t>
  </si>
  <si>
    <t>AND25020069449</t>
  </si>
  <si>
    <t>MRS.SALINI RAJEEV(27YF)</t>
  </si>
  <si>
    <t>GEN_T_2.0.spik_3074</t>
  </si>
  <si>
    <t>AND25380261159</t>
  </si>
  <si>
    <t>SURUTHI .</t>
  </si>
  <si>
    <t>Vigensh</t>
  </si>
  <si>
    <t>09.03.2026</t>
  </si>
  <si>
    <t>MRS.CHANDRIKA PUROHIT(29YF)</t>
  </si>
  <si>
    <t>GEN_T_2.0.spik_3075</t>
  </si>
  <si>
    <t>AND25420006954</t>
  </si>
  <si>
    <t>MR.PRAMOD KUMAR(35YM)</t>
  </si>
  <si>
    <t>GEN_T_2.0.spik_3076</t>
  </si>
  <si>
    <t>AND25420006955</t>
  </si>
  <si>
    <t>MR.RAMESH NAIK(33YM)</t>
  </si>
  <si>
    <t>GEN_T_2.0.spik_3077</t>
  </si>
  <si>
    <t>AND251H0005245</t>
  </si>
  <si>
    <t>Dr. Meera (20-02-2026)</t>
  </si>
  <si>
    <t>DR.UMADEVI P S(34YF)</t>
  </si>
  <si>
    <t>GEN_T_2.0.spik_3078</t>
  </si>
  <si>
    <t>AND251H0005246</t>
  </si>
  <si>
    <t>MR.RAJKAMAL (25 Y 0 M 0 D /Male)</t>
  </si>
  <si>
    <t>GEN_T_2.0.spik_3079</t>
  </si>
  <si>
    <t>FR20000002867</t>
  </si>
  <si>
    <t>AL25-X-37</t>
  </si>
  <si>
    <t>GEN_T_2.0.spik_3080</t>
  </si>
  <si>
    <t>AND25630004856</t>
  </si>
  <si>
    <t>AL25-X-38</t>
  </si>
  <si>
    <t>GEN_T_2.0.spik_3081</t>
  </si>
  <si>
    <t>AND25630004857</t>
  </si>
  <si>
    <t>SURFseq- Run-59B</t>
  </si>
  <si>
    <t>MRS.SOOBI TIWARI (29 Y 6 M 8 D /Female)AF</t>
  </si>
  <si>
    <t>GEN_T_2.0.spik_3082AF</t>
  </si>
  <si>
    <t>AMB0000005593</t>
  </si>
  <si>
    <t>MRS.VEENA S BUSANGI(37 Y 11 M 9 D /Female) AF</t>
  </si>
  <si>
    <t>GEN_T_2.0.spik_3083AF</t>
  </si>
  <si>
    <t>ADB0000023638</t>
  </si>
  <si>
    <t>FETUS OF VINOTHINI 883893H CVS</t>
  </si>
  <si>
    <t>GEN_T_2.0.spik_3084AF</t>
  </si>
  <si>
    <t>MRS.DIVYA ARUN PADIJAR(33 Y 0 M 0 D /Female)</t>
  </si>
  <si>
    <t>GEN_T_2.0.spik_3085</t>
  </si>
  <si>
    <t>ADB0000023417</t>
  </si>
  <si>
    <t>Gaythri</t>
  </si>
  <si>
    <t>MRS.BEENA K.P(54YF)</t>
  </si>
  <si>
    <t>GEN_T_2.0.spik_3086</t>
  </si>
  <si>
    <t>AND25370043433</t>
  </si>
  <si>
    <t>24/02/26</t>
  </si>
  <si>
    <t>23-02-2025</t>
  </si>
  <si>
    <t>MR.GOPINATH M(59YM)</t>
  </si>
  <si>
    <t>GEN_T_2.0.spik_3087</t>
  </si>
  <si>
    <t>AND25370043434</t>
  </si>
  <si>
    <t>MRS.KAVYA VULUPALA W/O. MANMOHAN REDDY S(28YF)</t>
  </si>
  <si>
    <t>GEN_T_2.0.spik_3088</t>
  </si>
  <si>
    <t>AND25420007000</t>
  </si>
  <si>
    <t>NITHUNYA (4Y/F)</t>
  </si>
  <si>
    <t>GEN_T_2.0.spik_3089</t>
  </si>
  <si>
    <t>AND25020069757</t>
  </si>
  <si>
    <t>MR.M.DEEKSHITH(11 Y 0 M 0 D /Male)</t>
  </si>
  <si>
    <t>GEN_T_2.0.spik_3090</t>
  </si>
  <si>
    <t>GUD0000000068</t>
  </si>
  <si>
    <t>GUDUVANCHERI - CC - CHENNAI</t>
  </si>
  <si>
    <t>In review with Dr. SRP</t>
  </si>
  <si>
    <t>BABY.B.TEJA SHREE(1 Y 8 M 0 D /Female)</t>
  </si>
  <si>
    <t>GEN_T_2.0.spik_3091</t>
  </si>
  <si>
    <t>GUD0000000069</t>
  </si>
  <si>
    <t>MRS.ASHICAH BITIN (UMR 2507023833)(28YF)</t>
  </si>
  <si>
    <t>GEN_T_2.0.spik_3092</t>
  </si>
  <si>
    <t>AND25380264135</t>
  </si>
  <si>
    <t>Vamshi (18-02-2026)</t>
  </si>
  <si>
    <t>19.03.2026</t>
  </si>
  <si>
    <t>MR.MOHAMMED IMRAN (UMR 2507023834)(27YM)</t>
  </si>
  <si>
    <t>GEN_T_2.0.spik_3093</t>
  </si>
  <si>
    <t>AND25380264136</t>
  </si>
  <si>
    <t>MR.RAJIB KUMAR DAS(37YM)</t>
  </si>
  <si>
    <t>GEN_T_2.0.spik_3094</t>
  </si>
  <si>
    <t>AND25420007032</t>
  </si>
  <si>
    <t>DR. VAISHNAVI SURESH</t>
  </si>
  <si>
    <t>MRS.PARAMITA DAS(28YF)</t>
  </si>
  <si>
    <t>GEN_T_2.0.spik_3095</t>
  </si>
  <si>
    <t>AND25420007033</t>
  </si>
  <si>
    <t>MR.NARAYAN SINGH(26YM)</t>
  </si>
  <si>
    <t>GEN_T_2.0.spik_3096</t>
  </si>
  <si>
    <t>AND25630004811</t>
  </si>
  <si>
    <t>VIgnesh</t>
  </si>
  <si>
    <t>MRS.NEETU KUVAR(25YF)</t>
  </si>
  <si>
    <t>GEN_T_2.0.spik_3097</t>
  </si>
  <si>
    <t>AND25630004812</t>
  </si>
  <si>
    <t>MR.HARI(37YM)</t>
  </si>
  <si>
    <t>GEN_T_2.0.spik_3098</t>
  </si>
  <si>
    <t>AND25630004813</t>
  </si>
  <si>
    <t>MRS.INDHU H(30YF)</t>
  </si>
  <si>
    <t>GEN_T_2.0.spik_3099</t>
  </si>
  <si>
    <t>AND25630004814</t>
  </si>
  <si>
    <t>BABY.JANANI(3YF)</t>
  </si>
  <si>
    <t>GEN_T_2.0.spik_3100</t>
  </si>
  <si>
    <t>AND25630004815</t>
  </si>
  <si>
    <t>BABY.MAGIZHINI H(1YF)</t>
  </si>
  <si>
    <t>GEN_T_2.0.spik_3101</t>
  </si>
  <si>
    <t>AND25630004816</t>
  </si>
  <si>
    <t>MR.DURGA PRASAD(29YM)</t>
  </si>
  <si>
    <t>GEN_T_2.0.spik_3102</t>
  </si>
  <si>
    <t>AND251H0005289</t>
  </si>
  <si>
    <t>NAREN ULTRASOUND AND FETAL MEDICINE CENTER - VIZAG</t>
  </si>
  <si>
    <t>MRS.GOWRI B(28YF)</t>
  </si>
  <si>
    <t>GEN_T_2.0.spik_3103</t>
  </si>
  <si>
    <t>AND251H0005290</t>
  </si>
  <si>
    <t>MRS.VIJAYABHANU(43 Y 0 M 0 D /Female)</t>
  </si>
  <si>
    <t>GEN_T_2.0.spik_3104</t>
  </si>
  <si>
    <t>FR20000002991</t>
  </si>
  <si>
    <t>Dr. Meera (02-03-2026)</t>
  </si>
  <si>
    <t>MR.MUNUSAMY(44 Y 0 M 0 D /Male)</t>
  </si>
  <si>
    <t>GEN_T_2.0.spik_3105</t>
  </si>
  <si>
    <t>FR20000003041</t>
  </si>
  <si>
    <t>Dr. Meera (18-02-2026)</t>
  </si>
  <si>
    <t>MR.SUNIL BUSANGI(40 Y 1 M 22 D /Male)</t>
  </si>
  <si>
    <t>GEN_T_2.0.spik_3106</t>
  </si>
  <si>
    <t>ADB0000023639</t>
  </si>
  <si>
    <t>MR.SHRIKANT JAGDISH HONADE(39 Y 6 M 23 D /Male)</t>
  </si>
  <si>
    <t>GEN_T_2.0.spik_3107</t>
  </si>
  <si>
    <t>AMB0000005663</t>
  </si>
  <si>
    <t>Vamshi (20-02-2026)</t>
  </si>
  <si>
    <t>MRS.PALLAVI SHRIKANT HONADE(31 Y 6 M 16 D /Female)</t>
  </si>
  <si>
    <t>GEN_T_2.0.spik_3108</t>
  </si>
  <si>
    <t>AMB0000005662</t>
  </si>
  <si>
    <t>MRS.KALPANA CHIKTE(29 Y 0 M 20 D /Female)poc</t>
  </si>
  <si>
    <t>GEN_T_2.0.spik_3109</t>
  </si>
  <si>
    <t>AMB0000005664</t>
  </si>
  <si>
    <t>16/03/2026</t>
  </si>
  <si>
    <t>MASTER.G.RAJENDRA PRASAD (12 Y 8 M 20 D /Male)</t>
  </si>
  <si>
    <t>GEN_T_2.0.spik_3110</t>
  </si>
  <si>
    <t>ADN0000012014</t>
  </si>
  <si>
    <t>MASTER.AL26 - X - 42(8YM)</t>
  </si>
  <si>
    <t>GEN_T_2.0.spik_3111</t>
  </si>
  <si>
    <t>AND25630004875</t>
  </si>
  <si>
    <t>BABY.AL26 - X- 43(1YM)</t>
  </si>
  <si>
    <t>GEN_T_2.0.spik_3112</t>
  </si>
  <si>
    <t>AND25630004876</t>
  </si>
  <si>
    <t>MR.AL26 - X - 46(36YM)</t>
  </si>
  <si>
    <t>GEN_T_2.0.spik_3113</t>
  </si>
  <si>
    <t>AND25630004877</t>
  </si>
  <si>
    <t>ABDUL TOSIL ANSARI AN28621 (S/O HBD 126)</t>
  </si>
  <si>
    <t>GEN_T_2.0.spik_3114</t>
  </si>
  <si>
    <t>WES 374A/25 (4Y/F)</t>
  </si>
  <si>
    <t>GEN_T_2.0.spik_3115</t>
  </si>
  <si>
    <t>CMC-Cytogenetics</t>
  </si>
  <si>
    <t>21-03-2026</t>
  </si>
  <si>
    <t>WES 366A/25 (10M/M)</t>
  </si>
  <si>
    <t>GEN_T_2.0.spik_3116</t>
  </si>
  <si>
    <t>WES 364A/25 (3M/M)</t>
  </si>
  <si>
    <t>GEN_T_2.0.spik_3117</t>
  </si>
  <si>
    <t>WES 386A/25 (3Y/F)</t>
  </si>
  <si>
    <t>GEN_T_2.0.spik_3118</t>
  </si>
  <si>
    <t>WES 378A/25 (4Y/F)</t>
  </si>
  <si>
    <t>GEN_T_2.0.spik_3119</t>
  </si>
  <si>
    <t>WES 13A/26 (4M/F)</t>
  </si>
  <si>
    <t>GEN_T_2.0.spik_3120</t>
  </si>
  <si>
    <t>WES 360A/25 (1Y/M)</t>
  </si>
  <si>
    <t>GEN_T_2.0.spik_3121</t>
  </si>
  <si>
    <t>WES 171A/25 (1Y/M)- MT-TL1 - m.3243A&gt;G - Heteroplasmic - Pathogenic</t>
  </si>
  <si>
    <t>GEN_T_2.0.spik_3122</t>
  </si>
  <si>
    <t>WES 264A/25 (5Y/F)</t>
  </si>
  <si>
    <t>GEN_T_2.0.spik_3123</t>
  </si>
  <si>
    <t>WES 252A/25 (14Y/M)</t>
  </si>
  <si>
    <t>GEN_T_2.0.spik_3124</t>
  </si>
  <si>
    <t>UPANANDA KUMAR (26Y/M)</t>
  </si>
  <si>
    <t>GEN_T_2.0.spik_3125</t>
  </si>
  <si>
    <t>MR.RAJESH P(36YM)</t>
  </si>
  <si>
    <t>GEN_T_2.0.spik_3126</t>
  </si>
  <si>
    <t>AND25370043900</t>
  </si>
  <si>
    <t>MADHUPRIYA MBBS.,DNB(OG),MRCOG,DIP ADVANCED LAPROSCOPY,FRM(FELLOWSHIPIN REPRODUCTIVE MED)</t>
  </si>
  <si>
    <t>MRS.SHENBAGAM(31YF)</t>
  </si>
  <si>
    <t>GEN_T_2.0.spik_3127</t>
  </si>
  <si>
    <t>AND25370043909</t>
  </si>
  <si>
    <t>BABY.AADHIRAN(1YM)</t>
  </si>
  <si>
    <t>GEN_T_2.0.spik_3128</t>
  </si>
  <si>
    <t>AND25630004869</t>
  </si>
  <si>
    <t>BABY.VIVAN KUMAR(1YM)</t>
  </si>
  <si>
    <t>GEN_T_2.0.spik_3129</t>
  </si>
  <si>
    <t>AND25630004870</t>
  </si>
  <si>
    <t>14.03.2023</t>
  </si>
  <si>
    <t>BABY.ELUMALAI(3YM)</t>
  </si>
  <si>
    <t>GEN_T_2.0.spik_3130</t>
  </si>
  <si>
    <t>AND25630004871</t>
  </si>
  <si>
    <t>MR.KARTHIK(30 Y 0 M 0 D /Male)</t>
  </si>
  <si>
    <t>GEN_T_2.0.spik_3131</t>
  </si>
  <si>
    <t>FR20000003145</t>
  </si>
  <si>
    <t>MRS. SAACHI SHARMA (37 Y 2 M 29 D /Female)</t>
  </si>
  <si>
    <t>GEN_T_2.0.spik_3132</t>
  </si>
  <si>
    <t>DCC0000002669</t>
  </si>
  <si>
    <t>AL27-Y-03</t>
  </si>
  <si>
    <t>GEN_T_2.0.spik_3133</t>
  </si>
  <si>
    <t>AND25630004982</t>
  </si>
  <si>
    <t>AL27-Y--13</t>
  </si>
  <si>
    <t>GEN_T_2.0.spik_3134</t>
  </si>
  <si>
    <t>AND25630004980</t>
  </si>
  <si>
    <t>AL27-Y-16</t>
  </si>
  <si>
    <t>GEN_T_2.0.spik_3135</t>
  </si>
  <si>
    <t>AND25630004979</t>
  </si>
  <si>
    <t>AL27-X-49</t>
  </si>
  <si>
    <t>GEN_T_2.0.spik_3136</t>
  </si>
  <si>
    <t>AND25630004983</t>
  </si>
  <si>
    <t>AL27-X-50</t>
  </si>
  <si>
    <t>GEN_T_2.0.spik_3137</t>
  </si>
  <si>
    <t>AND25630004981</t>
  </si>
  <si>
    <t>SURFseq- Run-60A</t>
  </si>
  <si>
    <t>MRS.SUSHMA (24/F) AF</t>
  </si>
  <si>
    <t>GEN_T_2.0.spik_3138AF</t>
  </si>
  <si>
    <t>ADH0000012977</t>
  </si>
  <si>
    <t>21-02-2026</t>
  </si>
  <si>
    <t>MRS.KAVIYA(34YF) AF</t>
  </si>
  <si>
    <t>GEN_T_2.0.spik_3139AF</t>
  </si>
  <si>
    <t>AND25360076635</t>
  </si>
  <si>
    <t>FETUS OF AMMU AB91529 (22Y/F) AF</t>
  </si>
  <si>
    <t>GEN_T_2.0.spik_3140AF</t>
  </si>
  <si>
    <t>MR.BHARATH KANNAA(30YM)</t>
  </si>
  <si>
    <t>GEN_T_2.0.spik_3141</t>
  </si>
  <si>
    <t>AND25360077110</t>
  </si>
  <si>
    <t>Keertana</t>
  </si>
  <si>
    <t>MRS.HAMDHA ABDUL KAREEM (28 Y 0 M 20 D /Female)</t>
  </si>
  <si>
    <t>GEN_T_2.0.spik_3142</t>
  </si>
  <si>
    <t>AMB0000005787</t>
  </si>
  <si>
    <t>MR.AHMED MAMDHOOH(28 Y 9 M 20 D /Male)</t>
  </si>
  <si>
    <t>GEN_T_2.0.spik_3143</t>
  </si>
  <si>
    <t>AMB0000005788</t>
  </si>
  <si>
    <t>MR.RAMA NARAYANAN S(47YM)</t>
  </si>
  <si>
    <t>GEN_T_2.0.spik_3144</t>
  </si>
  <si>
    <t>AND25150124764</t>
  </si>
  <si>
    <t>SHARMILA G</t>
  </si>
  <si>
    <t>31/03/2026</t>
  </si>
  <si>
    <t>BAVEEN T (21/2 Y/M)</t>
  </si>
  <si>
    <t>GEN_T_2.0.spik_3145</t>
  </si>
  <si>
    <t>AND25020070232</t>
  </si>
  <si>
    <t>MS.VERONICA M(12YF)</t>
  </si>
  <si>
    <t>GEN_T_2.0.spik_3146</t>
  </si>
  <si>
    <t>AND25020070270</t>
  </si>
  <si>
    <t>MR.MURALIDAR RAJU G ( HEG C0009844)(41YM)</t>
  </si>
  <si>
    <t>GEN_T_2.0.spik_3147</t>
  </si>
  <si>
    <t>AND25420007089</t>
  </si>
  <si>
    <t>Dr. Meera (25-02-2026)</t>
  </si>
  <si>
    <t>MRS.ARCHANA SARA (HEG C0009843)(33YF)</t>
  </si>
  <si>
    <t>GEN_T_2.0.spik_3148</t>
  </si>
  <si>
    <t>AND25420007090</t>
  </si>
  <si>
    <t>MRS.VANGANURU NAGESWARI (HEG 40784)(20YF)</t>
  </si>
  <si>
    <t>GEN_T_2.0.spik_3149</t>
  </si>
  <si>
    <t>AND25420007091</t>
  </si>
  <si>
    <t>MR.C VISWANATH ( HEG 40784)(31YM)</t>
  </si>
  <si>
    <t>GEN_T_2.0.spik_3150</t>
  </si>
  <si>
    <t>AND25420007092</t>
  </si>
  <si>
    <t>MR.NAGARAJAN(34YM)</t>
  </si>
  <si>
    <t>GEN_T_2.0.spik_3151</t>
  </si>
  <si>
    <t>AND25790024111</t>
  </si>
  <si>
    <t>Vamshi (28-03-2026)</t>
  </si>
  <si>
    <t>30-03-2026</t>
  </si>
  <si>
    <t>31.03.2026</t>
  </si>
  <si>
    <t>MR.CHANDRASEKAR(38YM)</t>
  </si>
  <si>
    <t>GEN_T_2.0.spik_3152</t>
  </si>
  <si>
    <t>AND25020070683</t>
  </si>
  <si>
    <t>MS.VISHNUPRIYA M(13YF)</t>
  </si>
  <si>
    <t>GEN_T_2.0.spik_3153</t>
  </si>
  <si>
    <t>AND25020070693</t>
  </si>
  <si>
    <t>BABY.DEVADHARSHINI A(4YF)</t>
  </si>
  <si>
    <t>GEN_T_2.0.spik_3154</t>
  </si>
  <si>
    <t>AND25020070687</t>
  </si>
  <si>
    <t>Vamshi (24-02-2026)</t>
  </si>
  <si>
    <t>MR.RAGU ANANTH(23YM)</t>
  </si>
  <si>
    <t>GEN_T_2.0.spik_3155</t>
  </si>
  <si>
    <t>AND25380268654</t>
  </si>
  <si>
    <t xml:space="preserve"> 12.03.2026</t>
  </si>
  <si>
    <t>MR.CHENJIRAYAN (53 Y 0 M 0 D /Male)</t>
  </si>
  <si>
    <t>GEN_T_2.0.spik_3156</t>
  </si>
  <si>
    <t>AKP0000000566</t>
  </si>
  <si>
    <t>KOLATHUR- PROCESSING LAB -CHENNAI</t>
  </si>
  <si>
    <t>20.03.2026</t>
  </si>
  <si>
    <t>BABY.DHANASRI(3YF)</t>
  </si>
  <si>
    <t>GEN_T_2.0.spik_3157</t>
  </si>
  <si>
    <t>MASTER.HAVINASHAN A(11YM)</t>
  </si>
  <si>
    <t>GEN_T_2.0.spik_3158</t>
  </si>
  <si>
    <t>AND25020070864</t>
  </si>
  <si>
    <t>MASTER.SONU KUMAR (AN78579)(12YM)</t>
  </si>
  <si>
    <t>GEN_T_2.0.spik_3159</t>
  </si>
  <si>
    <t>AND25630004991</t>
  </si>
  <si>
    <t>MS.BRINDHA TARVA (AN22775)(0YF)</t>
  </si>
  <si>
    <t>GEN_T_2.0.spik_3160</t>
  </si>
  <si>
    <t>AND25630004990</t>
  </si>
  <si>
    <t>MANISH THAKUR (30Y/F)</t>
  </si>
  <si>
    <t>GEN_T_2.0.spik_3161</t>
  </si>
  <si>
    <t>Dr. Meera (11-03-2026)</t>
  </si>
  <si>
    <t>13-03-2026</t>
  </si>
  <si>
    <t>27-03-2026</t>
  </si>
  <si>
    <t>MANJUSJHA SINGH DHRUV</t>
  </si>
  <si>
    <t>GEN_T_2.0.spik_3162</t>
  </si>
  <si>
    <t>MR.TAMIZHARASU W/O USHA (027512-S)(39 Y 0 M 0 D /Male)</t>
  </si>
  <si>
    <t>GEN_T_2.0.spik_3163</t>
  </si>
  <si>
    <t>AKP0000000775</t>
  </si>
  <si>
    <t>MR.GANESH SHENDGE(35 Y 7 M 2 D /Male)</t>
  </si>
  <si>
    <t>GEN_T_2.0.spik_3164</t>
  </si>
  <si>
    <t>AMB0000005816</t>
  </si>
  <si>
    <t>MRS.KIRTI SHENDGE(39 Y 0 M 0 D /Female)</t>
  </si>
  <si>
    <t>GEN_T_2.0.spik_3165</t>
  </si>
  <si>
    <t>AMB0000005817</t>
  </si>
  <si>
    <t>MRS.NISHU KAUR (35589)(26 Y 7 M 17 D /Female)</t>
  </si>
  <si>
    <t>GEN_T_2.0.spik_3166</t>
  </si>
  <si>
    <t>DCC0000002755</t>
  </si>
  <si>
    <t>MRS.USHA RANI E (EEDIGA VARALAMMA )(40YF)</t>
  </si>
  <si>
    <t>GEN_T_2.0.spik_3167</t>
  </si>
  <si>
    <t>AND251H0005461</t>
  </si>
  <si>
    <t>MRS.ATHIESWARI (UMR2601045907)(33YF)</t>
  </si>
  <si>
    <t>GEN_T_2.0.spik_3168</t>
  </si>
  <si>
    <t>AND25150125160</t>
  </si>
  <si>
    <t>MR.SAKTHI PRIYAN (UMR2601045908)(39YM)</t>
  </si>
  <si>
    <t>GEN_T_2.0.spik_3169</t>
  </si>
  <si>
    <t>AND25150125159</t>
  </si>
  <si>
    <t>SURFseq- Run-61B</t>
  </si>
  <si>
    <t>MRS.DEEPTHI W/O. AKSHAY KUMAR (HEG 40388)(28YF)AF</t>
  </si>
  <si>
    <t>GEN_T_2.0.spik_3170AF</t>
  </si>
  <si>
    <t>AND25420007216</t>
  </si>
  <si>
    <t>RAGHAVI / DIWAKAR</t>
  </si>
  <si>
    <t>FETUS OF SUDHA (8913814) CVS (25Y/F)</t>
  </si>
  <si>
    <t>GEN_T_2.0.spik_3171AF</t>
  </si>
  <si>
    <t>AND25630005060</t>
  </si>
  <si>
    <t>Veena (PB)</t>
  </si>
  <si>
    <t>GEN_T_2.0.spik_3172</t>
  </si>
  <si>
    <t>WIFE OF MR.SUNIL BUSANGI</t>
  </si>
  <si>
    <t>MRS.SANGEETHA KIRUBA A(30YF) POC</t>
  </si>
  <si>
    <t>GEN_T_2.0.spik_3174</t>
  </si>
  <si>
    <t>AND25150124320</t>
  </si>
  <si>
    <t>Vamshi (26-02-2026)</t>
  </si>
  <si>
    <t>MR.SRIRAMULU REDDY (60/M)</t>
  </si>
  <si>
    <t>GEN_T_2.0.spik_3173</t>
  </si>
  <si>
    <t>AND25370044567</t>
  </si>
  <si>
    <t>SARAVANAN V S M.B.B.S,M.S.,(GEN SURG)M.CH(NEURO)</t>
  </si>
  <si>
    <t>Dr.Meera(14-03-2026)</t>
  </si>
  <si>
    <t>14-03-2026</t>
  </si>
  <si>
    <t>MASTER.MUTHTAMIL S(11YM)</t>
  </si>
  <si>
    <t>GEN_T_2.0.spik_3175</t>
  </si>
  <si>
    <t>AND25020071247</t>
  </si>
  <si>
    <t>Dr. Meera (26-02-2026)</t>
  </si>
  <si>
    <t>20-03-2026</t>
  </si>
  <si>
    <t>BABY.PRAKHYA R(3YF)</t>
  </si>
  <si>
    <t>GEN_T_2.0.spik_3176</t>
  </si>
  <si>
    <t>18.03.2026</t>
  </si>
  <si>
    <t>BABY.NEZA AMAL P V(1YF)</t>
  </si>
  <si>
    <t>GEN_T_2.0.spik_3177</t>
  </si>
  <si>
    <t>AND25720039531</t>
  </si>
  <si>
    <t>Vamsi (20-03-2026)</t>
  </si>
  <si>
    <t>24-03-2026</t>
  </si>
  <si>
    <t>MRS.JAMSHIDA P M(34YF)</t>
  </si>
  <si>
    <t>GEN_T_2.0.spik_3178</t>
  </si>
  <si>
    <t>AND25720039532</t>
  </si>
  <si>
    <t>Pathogenic (ATXN1)</t>
  </si>
  <si>
    <t>Dr.Meera (14/03/2026)</t>
  </si>
  <si>
    <t>16-03-2026</t>
  </si>
  <si>
    <t>BABY.RITHVIK(4MM)</t>
  </si>
  <si>
    <t>GEN_T_2.0.spik_3179</t>
  </si>
  <si>
    <t>AND25630005003</t>
  </si>
  <si>
    <t>14/03/2026</t>
  </si>
  <si>
    <t>BABY.PREETHA(16DF)</t>
  </si>
  <si>
    <t>GEN_T_2.0.spik_3180</t>
  </si>
  <si>
    <t>AND25630004997</t>
  </si>
  <si>
    <t>23.03.2026</t>
  </si>
  <si>
    <t>BABY.SIKKANDAR RIFA(2YF)</t>
  </si>
  <si>
    <t>GEN_T_2.0.spik_3181</t>
  </si>
  <si>
    <t>AND25630004998</t>
  </si>
  <si>
    <t>MRS.AMRUTHA N (GGYH/00343) (26 Y 0 M 0 D /Female)</t>
  </si>
  <si>
    <t>GEN_T_2.0.spik_3182</t>
  </si>
  <si>
    <t>ADB0000024627</t>
  </si>
  <si>
    <t>15/03/2026</t>
  </si>
  <si>
    <t>MR.VENKATESH B (GGYH/00344) (32 Y 0 M 0 D /Male)</t>
  </si>
  <si>
    <t>GEN_T_2.0.spik_3183</t>
  </si>
  <si>
    <t>ADB0000024628</t>
  </si>
  <si>
    <t>MRS.AMRITA KUMARI(34 Y 4 M 13 D /Female) POC</t>
  </si>
  <si>
    <t>GEN_T_2.0.spik_3184</t>
  </si>
  <si>
    <t>AMB0000005733</t>
  </si>
  <si>
    <t>BABY.NAGA HARSHA KUMAR (5Y|M)</t>
  </si>
  <si>
    <t>GEN_T_2.0.spik_3185</t>
  </si>
  <si>
    <t>AND251H0005516</t>
  </si>
  <si>
    <t xml:space="preserve">Vamsi </t>
  </si>
  <si>
    <t>MR.ELAVANUDHAN (30YM)</t>
  </si>
  <si>
    <t>GEN_T_2.0.spik_3186</t>
  </si>
  <si>
    <t>AND25370044969</t>
  </si>
  <si>
    <t>ANANTA FERTILITY &amp; WOMEN WELLNESS - PORUR</t>
  </si>
  <si>
    <t>Dr. Meera (27-02-2026)</t>
  </si>
  <si>
    <t>Naveen / Diwakar</t>
  </si>
  <si>
    <t>MRS.SIVARANJANI M (OP-1371)(29YF)</t>
  </si>
  <si>
    <t>GEN_T_2.0.spik_3187</t>
  </si>
  <si>
    <t>AND25150126285</t>
  </si>
  <si>
    <t>SUGAM HOSPITALS - CHROMEPET</t>
  </si>
  <si>
    <t>18-03-2026</t>
  </si>
  <si>
    <t>RENANG TAMANG (AN80292) (21Y/M)</t>
  </si>
  <si>
    <t>GEN_T_2.0.spik_3188</t>
  </si>
  <si>
    <t>AND25630005124</t>
  </si>
  <si>
    <t>MRS.RACHAEL AMBAT (816350D)(36YF)</t>
  </si>
  <si>
    <t>GEN_T_2.0.spik_3189</t>
  </si>
  <si>
    <t>AND25630005039</t>
  </si>
  <si>
    <t>MASTER.NIHAL K S (7 Y 11 M 10 D /Male)</t>
  </si>
  <si>
    <t>GEN_T_2.0.spik_3190</t>
  </si>
  <si>
    <t>ADH0000013799</t>
  </si>
  <si>
    <t>AL-28-Y-42 (41Y/F)</t>
  </si>
  <si>
    <t>GEN_T_2.0.spik_3191</t>
  </si>
  <si>
    <t>AND25630005079</t>
  </si>
  <si>
    <t>AL-28-Y-40 (5Y/M)</t>
  </si>
  <si>
    <t>GEN_T_2.0.spik_3192</t>
  </si>
  <si>
    <t>AND25630005080</t>
  </si>
  <si>
    <t>AL-28-Y-44 (37Y/F)</t>
  </si>
  <si>
    <t>GEN_T_2.0.spik_3193</t>
  </si>
  <si>
    <t>AND25630005081</t>
  </si>
  <si>
    <t>AL-28-Y-22 (28Y/F)</t>
  </si>
  <si>
    <t>GEN_T_2.0.spik_3194</t>
  </si>
  <si>
    <t>AND25630005082</t>
  </si>
  <si>
    <t>AL-28-Y-35 (2Y/M)</t>
  </si>
  <si>
    <t>GEN_T_2.0.spik_3195</t>
  </si>
  <si>
    <t>AND25630005083</t>
  </si>
  <si>
    <t>AL-28-Y-27 (41Y/M)</t>
  </si>
  <si>
    <t>GEN_T_2.0.spik_3196</t>
  </si>
  <si>
    <t>AND25630005084</t>
  </si>
  <si>
    <t>AL-28-Y-37 (19Y/M)</t>
  </si>
  <si>
    <t>GEN_T_2.0.spik_3197</t>
  </si>
  <si>
    <t>AND25630005085</t>
  </si>
  <si>
    <t>AL-28-Y-41 (35Y/F)</t>
  </si>
  <si>
    <t>GEN_T_2.0.spik_3198</t>
  </si>
  <si>
    <t>AND25630005086</t>
  </si>
  <si>
    <t>AL-28-CD-26-23 (19Y/F)</t>
  </si>
  <si>
    <t>GEN_T_2.0.spik_3199</t>
  </si>
  <si>
    <t>AND25630005087</t>
  </si>
  <si>
    <t>BABY.KARPAKAMMAL S(3YF)</t>
  </si>
  <si>
    <t>GEN_T_2.0.spik_3200</t>
  </si>
  <si>
    <t>AND25630004999</t>
  </si>
  <si>
    <t>BABY.MITHRAN M(5MM)</t>
  </si>
  <si>
    <t>GEN_T_2.0.spik_3201</t>
  </si>
  <si>
    <t>AND25020071611</t>
  </si>
  <si>
    <t>SURFseq- Run-62A</t>
  </si>
  <si>
    <t>MEENAKSHI AF</t>
  </si>
  <si>
    <t>GEN_T_2.0.spik_3202AF</t>
  </si>
  <si>
    <t>AND25360078751</t>
  </si>
  <si>
    <t>06.03.2026</t>
  </si>
  <si>
    <t>MRS.KALAIVANI SIVAKUMAR(30YF)</t>
  </si>
  <si>
    <t>GEN_T_2.0.spik_3203</t>
  </si>
  <si>
    <t>AND25720040122</t>
  </si>
  <si>
    <t>BABY.ABUBAKKAR(10YM)</t>
  </si>
  <si>
    <t>GEN_T_2.0.spik_3204</t>
  </si>
  <si>
    <t>AND25020072110</t>
  </si>
  <si>
    <t>17/03/2026</t>
  </si>
  <si>
    <t>25.03.2026</t>
  </si>
  <si>
    <t>BABY.KEERTHANA(5YF)</t>
  </si>
  <si>
    <t>GEN_T_2.0.spik_3205</t>
  </si>
  <si>
    <t>AND25630005137</t>
  </si>
  <si>
    <t>Dr. Meera (04-03-2026)</t>
  </si>
  <si>
    <t>MS.AFIFA MARIYAM .K(11YF)</t>
  </si>
  <si>
    <t>GEN_T_2.0.spik_3206</t>
  </si>
  <si>
    <t>AND25020071904</t>
  </si>
  <si>
    <t>BABY.JAYABALAJI(7YM)</t>
  </si>
  <si>
    <t>GEN_T_2.0.spik_3207</t>
  </si>
  <si>
    <t>AND25020071784</t>
  </si>
  <si>
    <t>27/03/2026</t>
  </si>
  <si>
    <t>BABY.HANISH(1YM)</t>
  </si>
  <si>
    <t>GEN_T_2.0.spik_3208</t>
  </si>
  <si>
    <t>AND25630004996</t>
  </si>
  <si>
    <t>MRS.APARNA GANESAN (593628/1960718)(29YF) POC</t>
  </si>
  <si>
    <t>GEN_T_2.0.spik_3209</t>
  </si>
  <si>
    <t>AND25150126180</t>
  </si>
  <si>
    <t>DR. KAMAKSHI MEMORIAL HOSPITAL PVT. LTD. - PALLIKARANAI</t>
  </si>
  <si>
    <t>Dr. Meera (09-03-2026)</t>
  </si>
  <si>
    <t>MR.JANARTHANAN V(18YM)</t>
  </si>
  <si>
    <t>GEN_T_2.0.spik_3210</t>
  </si>
  <si>
    <t>AND25020071870</t>
  </si>
  <si>
    <t>MR.BALASUBRAMANIAN(45YM)</t>
  </si>
  <si>
    <t>GEN_T_2.0.spik_3211</t>
  </si>
  <si>
    <t>AND25380273827</t>
  </si>
  <si>
    <t>JANANAM FERTILITY CENTE - NEELANGARAI</t>
  </si>
  <si>
    <t>Vamshi (28-06-2026)</t>
  </si>
  <si>
    <t>BABY OF.SHAHINA SHAIK (94964)(1DM)</t>
  </si>
  <si>
    <t>GEN_T_2.0.spik_3212</t>
  </si>
  <si>
    <t>AND25150126758</t>
  </si>
  <si>
    <t>KAUVERY HOSPITAL - KOVILAMBAKKAM</t>
  </si>
  <si>
    <t>Raghavi (general analysis)</t>
  </si>
  <si>
    <t>28-03-2026</t>
  </si>
  <si>
    <t>MRS.THAVITI MAMATHA (HEG 40825)(23YF)</t>
  </si>
  <si>
    <t>GEN_T_2.0.spik_3213</t>
  </si>
  <si>
    <t>AND25420007305</t>
  </si>
  <si>
    <t>17-03-2026</t>
  </si>
  <si>
    <t>MR.PONNEBOINA RAMESH (HEG 40826)(33YM)</t>
  </si>
  <si>
    <t>GEN_T_2.0.spik_3214</t>
  </si>
  <si>
    <t>AND25420007306</t>
  </si>
  <si>
    <t>MR.VEERAMANIKANDAN-G GANESAMOORTHY S.K(31YM)</t>
  </si>
  <si>
    <t>GEN_T_2.0.spik_3215</t>
  </si>
  <si>
    <t>AND25AE0000502</t>
  </si>
  <si>
    <t>Dr. Meera (06-03-2026)</t>
  </si>
  <si>
    <t>MRS.DHANALAKSHMI-M(31YF)</t>
  </si>
  <si>
    <t>GEN_T_2.0.spik_3216</t>
  </si>
  <si>
    <t>AND25AE0000503</t>
  </si>
  <si>
    <t>BABY.MUHAMMAD AMMAR KHAN S (1 Y 5 M 0 D /Male)</t>
  </si>
  <si>
    <t>GEN_T_2.0.spik_3217</t>
  </si>
  <si>
    <t>FR20000003651</t>
  </si>
  <si>
    <t>27.03.2026</t>
  </si>
  <si>
    <t>BABY.PRANIKSHA (5Y|F)</t>
  </si>
  <si>
    <t>GEN_T_2.0.spik_3218</t>
  </si>
  <si>
    <t>AND25630005059</t>
  </si>
  <si>
    <t>Dr. Meera (14-03-2026)</t>
  </si>
  <si>
    <t>MR.BALAKUMARAN (UMR2602047703)(41YM)</t>
  </si>
  <si>
    <t>GEN_T_2.0.spik_3219</t>
  </si>
  <si>
    <t>AND25150126844</t>
  </si>
  <si>
    <t>MRS.ARCHANA (UMR2602047700)(31YF)</t>
  </si>
  <si>
    <t>GEN_T_2.0.spik_3220</t>
  </si>
  <si>
    <t>AND25150126843</t>
  </si>
  <si>
    <t>MRS.YUVASRI (UMR2601042929)(32YF)</t>
  </si>
  <si>
    <t>GEN_T_2.0.spik_3221</t>
  </si>
  <si>
    <t>AND25380274201</t>
  </si>
  <si>
    <t>Dr.Meera(13-03-2026)</t>
  </si>
  <si>
    <t>28/03/2026</t>
  </si>
  <si>
    <t>MR.VIJAI ANAND ((UMR2601042929)(41YM)</t>
  </si>
  <si>
    <t>GEN_T_2.0.spik_3222</t>
  </si>
  <si>
    <t>AND25380274202</t>
  </si>
  <si>
    <t>MASTER.KATAKAM VAISHNAV(4YM)</t>
  </si>
  <si>
    <t>GEN_T_2.0.spik_3223</t>
  </si>
  <si>
    <t>AND25850006726</t>
  </si>
  <si>
    <t xml:space="preserve">23/03/2026 </t>
  </si>
  <si>
    <t>BABY OF.PRATHIPA (94878)(1DM)</t>
  </si>
  <si>
    <t>GEN_T_2.0.spik_3224</t>
  </si>
  <si>
    <t>AND25150127229</t>
  </si>
  <si>
    <t>MR.MOHAMED SAJID R(19YM)</t>
  </si>
  <si>
    <t>GEN_T_2.0.spik_3225</t>
  </si>
  <si>
    <t>AND25290010017</t>
  </si>
  <si>
    <t>History Received on 7-4-2026</t>
  </si>
  <si>
    <t>13-04-2026</t>
  </si>
  <si>
    <t>MR.AL29-Y-51(47YM)</t>
  </si>
  <si>
    <t>GEN_T_2.0.spik_3226</t>
  </si>
  <si>
    <t>AND25630005130</t>
  </si>
  <si>
    <t>MR.AL29-Y-56(19YM)</t>
  </si>
  <si>
    <t>GEN_T_2.0.spik_3227</t>
  </si>
  <si>
    <t>AND25630005131</t>
  </si>
  <si>
    <t>MS.AL29-Y-58(9YF)</t>
  </si>
  <si>
    <t>GEN_T_2.0.spik_3228</t>
  </si>
  <si>
    <t>AND25630005132</t>
  </si>
  <si>
    <t>MS.AL29-Y-59(20YF)</t>
  </si>
  <si>
    <t>GEN_T_2.0.spik_3229</t>
  </si>
  <si>
    <t>AND25630005133</t>
  </si>
  <si>
    <t>MS.AL29-Y-52(13YF)</t>
  </si>
  <si>
    <t>GEN_T_2.0.spik_3230</t>
  </si>
  <si>
    <t>AND25630005134</t>
  </si>
  <si>
    <t>BABY.AL29-Y-53(3YF)</t>
  </si>
  <si>
    <t>GEN_T_2.0.spik_3231</t>
  </si>
  <si>
    <t>AND25630005135</t>
  </si>
  <si>
    <t>MRS.AL29-Y-63(31YF)</t>
  </si>
  <si>
    <t>GEN_T_2.0.spik_3232</t>
  </si>
  <si>
    <t>AND25630005136</t>
  </si>
  <si>
    <t>MS.AMALORPAVA JULIE P (AN84778)(37YF)</t>
  </si>
  <si>
    <t>GEN_T_2.0.spik_3233</t>
  </si>
  <si>
    <t>AND25630005161</t>
  </si>
  <si>
    <t>BABY.VEDHANTH(8MM)</t>
  </si>
  <si>
    <t>GEN_T_2.0.spik_3234</t>
  </si>
  <si>
    <t>AND25630005138</t>
  </si>
  <si>
    <t>BABY OF YANADHAMMA(5MM)</t>
  </si>
  <si>
    <t>GEN_T_2.0.spik_3235</t>
  </si>
  <si>
    <t>AND25630005139</t>
  </si>
  <si>
    <t>BABY.INIYA B(9MF)</t>
  </si>
  <si>
    <t>GEN_T_2.0.spik_3236</t>
  </si>
  <si>
    <t>BABY.YAHIL(8MM)</t>
  </si>
  <si>
    <t>GEN_T_2.0.spik_3237</t>
  </si>
  <si>
    <t>AND25630005141</t>
  </si>
  <si>
    <t>MS.VIJAYALAKSHMI(24YF) W/O SAKTHIVEL.L</t>
  </si>
  <si>
    <t>GEN_T_2.0.spik_3238</t>
  </si>
  <si>
    <t>AND25630005142</t>
  </si>
  <si>
    <t>MRS.ANUGHNA (27 Y 0 M 0 D /Female)</t>
  </si>
  <si>
    <t>GEN_T_2.0.spik_3239</t>
  </si>
  <si>
    <t>ADB0000025154</t>
  </si>
  <si>
    <t>Dr. Meera (12-03-2026)</t>
  </si>
  <si>
    <t>Histroty available in TRF , Writeup available from Shivangi mam</t>
  </si>
  <si>
    <t>MR.NITHIN G (33 Y 0 M 0 D /Male)</t>
  </si>
  <si>
    <t>GEN_T_2.0.spik_3240</t>
  </si>
  <si>
    <t>ADB0000025156</t>
  </si>
  <si>
    <t>MR.SAKTHIVEL L(30YM) H/O VIJAYALAKSHMI</t>
  </si>
  <si>
    <t>GEN_T_2.0.spik_3241</t>
  </si>
  <si>
    <t>AND25020072360</t>
  </si>
  <si>
    <t>MS.MEL-15940(27YF)</t>
  </si>
  <si>
    <t>GEN_T_2.0.spik_3242</t>
  </si>
  <si>
    <t>AND25630005162</t>
  </si>
  <si>
    <t>MR.MEL-15991(40YM)</t>
  </si>
  <si>
    <t>GEN_T_2.0.spik_3243</t>
  </si>
  <si>
    <t>AND25630005163</t>
  </si>
  <si>
    <t>MS.MEL-15585(37YF)</t>
  </si>
  <si>
    <t>GEN_T_2.0.spik_3244</t>
  </si>
  <si>
    <t>AND25630005164</t>
  </si>
  <si>
    <t>MR.MEL-16028(25YM)</t>
  </si>
  <si>
    <t>GEN_T_2.0.spik_3245</t>
  </si>
  <si>
    <t>AND25630005165</t>
  </si>
  <si>
    <t>MS.MEL-16011(25YF)</t>
  </si>
  <si>
    <t>GEN_T_2.0.spik_3246</t>
  </si>
  <si>
    <t>AND25630005166</t>
  </si>
  <si>
    <t>MR.MEL-15994(30YM)</t>
  </si>
  <si>
    <t>GEN_T_2.0.spik_3247</t>
  </si>
  <si>
    <t>AND25630005167</t>
  </si>
  <si>
    <t>MR.MEL-16042 (22Y|M)</t>
  </si>
  <si>
    <t>GEN_T_2.0.spik_3248</t>
  </si>
  <si>
    <t>AND25630005195</t>
  </si>
  <si>
    <t>MR.MEL-16047 (16Y|M)</t>
  </si>
  <si>
    <t>GEN_T_2.0.spik_3249</t>
  </si>
  <si>
    <t>AND25630005194</t>
  </si>
  <si>
    <t>SURFseq- Run-63B</t>
  </si>
  <si>
    <t>MRS.SNEHA SONI(35YF) AF</t>
  </si>
  <si>
    <t>GEN_T_2.0.spik_3250AF</t>
  </si>
  <si>
    <t>AND25AE0000508</t>
  </si>
  <si>
    <t>MRS.DHIVYA W/O MANIKANDAN (UMR 2511037008)(34YF)</t>
  </si>
  <si>
    <t>GEN_T_2.0.spik_3251</t>
  </si>
  <si>
    <t>AND25AS0002182</t>
  </si>
  <si>
    <t>A4 HOSPITALS &amp; FERTILITY CENTER - VELLORE</t>
  </si>
  <si>
    <t>MR.MANIKANDAN(UMR2511037009)(37YM)</t>
  </si>
  <si>
    <t>GEN_T_2.0.spik_3252</t>
  </si>
  <si>
    <t>AND25AS0002183</t>
  </si>
  <si>
    <t>BABY.CHARVIK Y(2YM)</t>
  </si>
  <si>
    <t>GEN_T_2.0.spik_3253</t>
  </si>
  <si>
    <t>AND25020072111</t>
  </si>
  <si>
    <t>Dr. Meera(11-02-26)</t>
  </si>
  <si>
    <t>(13-02-26)</t>
  </si>
  <si>
    <t>MS.D SARASWATHI(29YF)</t>
  </si>
  <si>
    <t>GEN_T_2.0.spik_3254</t>
  </si>
  <si>
    <t>AND25AJ0017570</t>
  </si>
  <si>
    <t>20/03/2026</t>
  </si>
  <si>
    <t>Dr. Meera (28-03-2026)</t>
  </si>
  <si>
    <t>MRS.JAYALAKSHMI (37YF) POC</t>
  </si>
  <si>
    <t>GEN_T_2.0.spik_3255</t>
  </si>
  <si>
    <t>AND25420007383</t>
  </si>
  <si>
    <t>MEDICOVER HEALTHCARE PVT LTD - HYDERABAD</t>
  </si>
  <si>
    <t>MR.KARTHICK KANNAN (2511038797) (29 Y 0 M 17 D /Male)</t>
  </si>
  <si>
    <t>GEN_T_2.0.spik_3256</t>
  </si>
  <si>
    <t>CHENNAI B2B CENTRE - CC - CHENNAI</t>
  </si>
  <si>
    <t>Pathogenic(TCF4)</t>
  </si>
  <si>
    <t>Dr. Meera (20-03-2026)</t>
  </si>
  <si>
    <t xml:space="preserve">History writeup delayed </t>
  </si>
  <si>
    <t>GEDDAM SRINIVAS (40Y|M)</t>
  </si>
  <si>
    <t>GEN_T_2.0.spik_3257</t>
  </si>
  <si>
    <t>AND25420007389</t>
  </si>
  <si>
    <t>Vamshi (24-03-2026)</t>
  </si>
  <si>
    <t>GADDAM DURGA (39Y/F)</t>
  </si>
  <si>
    <t>GEN_T_2.0.spik_3258</t>
  </si>
  <si>
    <t>AND25420007388</t>
  </si>
  <si>
    <t>24-03-2027</t>
  </si>
  <si>
    <t>MR.MOHAMMAD ARSH (13 Y 2 M 5 D /Male)</t>
  </si>
  <si>
    <t>GEN_T_2.0.spik_3259</t>
  </si>
  <si>
    <t>AMB0000006075</t>
  </si>
  <si>
    <t>21/03/2026</t>
  </si>
  <si>
    <t>Greyzone(TCF4)</t>
  </si>
  <si>
    <t>Vamshi (20-03-2026)</t>
  </si>
  <si>
    <t>26.03.2026</t>
  </si>
  <si>
    <t>MR.GOVIND RAM JAJODIA(48YM)</t>
  </si>
  <si>
    <t>GEN_T_2.0.spik_3260</t>
  </si>
  <si>
    <t>AND25630005187</t>
  </si>
  <si>
    <t>MRS.BHAVANA(33YF)</t>
  </si>
  <si>
    <t>GEN_T_2.0.spik_3261</t>
  </si>
  <si>
    <t>AND25850008400</t>
  </si>
  <si>
    <t>SARAT B</t>
  </si>
  <si>
    <t>(14-02-26)</t>
  </si>
  <si>
    <t>MR.PRAVEEN(35YM)</t>
  </si>
  <si>
    <t>GEN_T_2.0.spik_3262</t>
  </si>
  <si>
    <t>AND25850008401</t>
  </si>
  <si>
    <t>MR.GOPAL(62YM)</t>
  </si>
  <si>
    <t>GEN_T_2.0.spik_3263</t>
  </si>
  <si>
    <t>AND25020072860</t>
  </si>
  <si>
    <t>22/03/2026</t>
  </si>
  <si>
    <t>BABY.VISHNU V(3YM)</t>
  </si>
  <si>
    <t>GEN_T_2.0.spik_3264</t>
  </si>
  <si>
    <t>AND25020072858</t>
  </si>
  <si>
    <t>Dr. Meera (24-03-2026)</t>
  </si>
  <si>
    <t>25-03-2026</t>
  </si>
  <si>
    <t>MUKESH T (6M/M)</t>
  </si>
  <si>
    <t>GEN_T_2.0.spik_3265</t>
  </si>
  <si>
    <t>AND25020072979</t>
  </si>
  <si>
    <t>23/03/2026</t>
  </si>
  <si>
    <t>Dr. Meera (13-03-2026)</t>
  </si>
  <si>
    <t>RGS-402 (47Y/F)</t>
  </si>
  <si>
    <t>GEN_T_2.0.spik_3266</t>
  </si>
  <si>
    <t>CMC-Nephrology</t>
  </si>
  <si>
    <t>CMC Nephrology</t>
  </si>
  <si>
    <t>Greyzone(HTT)</t>
  </si>
  <si>
    <t>RGS-403 (37Y/F)</t>
  </si>
  <si>
    <t>GEN_T_2.0.spik_3267</t>
  </si>
  <si>
    <t>RGS-404 (19Y/M)</t>
  </si>
  <si>
    <t>GEN_T_2.0.spik_3268</t>
  </si>
  <si>
    <t>RGS-405 (36Y/M)</t>
  </si>
  <si>
    <t>GEN_T_2.0.spik_3269</t>
  </si>
  <si>
    <t>RGS-406 (15Y/F)</t>
  </si>
  <si>
    <t>GEN_T_2.0.spik_3270</t>
  </si>
  <si>
    <t>Shruthi</t>
  </si>
  <si>
    <t>RGS-407 (39Y/F)</t>
  </si>
  <si>
    <t>GEN_T_2.0.spik_3271</t>
  </si>
  <si>
    <t>RGS-408 (28Y/F)</t>
  </si>
  <si>
    <t>GEN_T_2.0.spik_3272</t>
  </si>
  <si>
    <t>RGS-409 (20Y/M)</t>
  </si>
  <si>
    <t>GEN_T_2.0.spik_3273</t>
  </si>
  <si>
    <t>RGS-410 (22Y/F)</t>
  </si>
  <si>
    <t>GEN_T_2.0.spik_3274</t>
  </si>
  <si>
    <t>RGS-411 (42Y/M)</t>
  </si>
  <si>
    <t>GEN_T_2.0.spik_3275</t>
  </si>
  <si>
    <t>RGS-412 ((39Y/M)</t>
  </si>
  <si>
    <t>GEN_T_2.0.spik_3276</t>
  </si>
  <si>
    <t>RGS-413 (55Y/M)</t>
  </si>
  <si>
    <t>GEN_T_2.0.spik_3277</t>
  </si>
  <si>
    <t>ADK0000000042</t>
  </si>
  <si>
    <t>RGS-414 (76Y/M)</t>
  </si>
  <si>
    <t>GEN_T_2.0.spik_3278</t>
  </si>
  <si>
    <t>ADK0000000043</t>
  </si>
  <si>
    <t>RGS-415 (21Y/F)</t>
  </si>
  <si>
    <t>GEN_T_2.0.spik_3279</t>
  </si>
  <si>
    <t>ADK0000000044</t>
  </si>
  <si>
    <t>MRS.PRASANTHI (30 Y 0 M 0 D /Female)</t>
  </si>
  <si>
    <t>MITOCHONDRIAL DNA SEQUENCING BY NGS</t>
  </si>
  <si>
    <t>GEN_T_2.0.spik_3280</t>
  </si>
  <si>
    <t>HYP0000000051</t>
  </si>
  <si>
    <t>HYDERBAD - PROCESSING LAB - TELANGANA</t>
  </si>
  <si>
    <t>BABY OF.VALLI BRINDHA (900044607) (0/F)</t>
  </si>
  <si>
    <t>GEN_T_2.0.spik_3281</t>
  </si>
  <si>
    <t>CBC0000003448</t>
  </si>
  <si>
    <t>AL30-Y-62 (4Y/F)</t>
  </si>
  <si>
    <t>GEN_T_2.0.spik_3282</t>
  </si>
  <si>
    <t>ADK0000000049</t>
  </si>
  <si>
    <t>CMC Hematology</t>
  </si>
  <si>
    <t>AL30-Y-68 (40Y/M)</t>
  </si>
  <si>
    <t>GEN_T_2.0.spik_3283</t>
  </si>
  <si>
    <t>ADK0000000048</t>
  </si>
  <si>
    <t>AL-31-Y-79</t>
  </si>
  <si>
    <t>GEN_T_2.0.spik_3284</t>
  </si>
  <si>
    <t>ADK0000000045</t>
  </si>
  <si>
    <t>AL-31-Y-80</t>
  </si>
  <si>
    <t>GEN_T_2.0.spik_3285</t>
  </si>
  <si>
    <t>ADK0000000046</t>
  </si>
  <si>
    <t>AL-31-Y-81</t>
  </si>
  <si>
    <t>GEN_T_2.0.spik_3286</t>
  </si>
  <si>
    <t>ADK0000000047</t>
  </si>
  <si>
    <t>DHIVYANSH BHUIYA</t>
  </si>
  <si>
    <t>GEN_T_2.0.spik_3287</t>
  </si>
  <si>
    <t>ADK0000000050</t>
  </si>
  <si>
    <t>24/03/2026</t>
  </si>
  <si>
    <t>BHUVANESHRI (25Y/F)</t>
  </si>
  <si>
    <t>WGS</t>
  </si>
  <si>
    <t>ADS0000001226</t>
  </si>
  <si>
    <t>SALEM - CC - ROTN SLM</t>
  </si>
  <si>
    <r>
      <rPr>
        <rFont val="Arial, sans-serif"/>
        <color rgb="FFED7D31"/>
        <sz val="12.0"/>
      </rPr>
      <t xml:space="preserve">Greyzone(CBL, NUTM2B-AS1, SPAST ), </t>
    </r>
    <r>
      <rPr>
        <rFont val="Arial, sans-serif"/>
        <color rgb="FFFF0000"/>
        <sz val="12.0"/>
      </rPr>
      <t>Pathogenic(COMP, HOXD13, LOC642361, NIPA1, PRDM12, RUNX2, SOX3, TBX1, ZIC3)</t>
    </r>
  </si>
  <si>
    <t>SARAVANAN (30Y/M)</t>
  </si>
  <si>
    <t>ADS0000001225</t>
  </si>
  <si>
    <r>
      <rPr>
        <rFont val="Arial, sans-serif"/>
        <color rgb="FFED7D31"/>
        <sz val="12.0"/>
      </rPr>
      <t xml:space="preserve">Greyzone(CBL, NUTM2B-AS1, PRDM12, RFC1, SPAST ), </t>
    </r>
    <r>
      <rPr>
        <rFont val="Arial, sans-serif"/>
        <color rgb="FFFF0000"/>
        <sz val="12.0"/>
      </rPr>
      <t>Pathogenic(COMP, HOXD13, LOC642361, RUNX2, SOX3,TBX1)</t>
    </r>
  </si>
  <si>
    <t>SURFseq- Run-64A</t>
  </si>
  <si>
    <t>MRS.MAMATHA J (35/F) AF</t>
  </si>
  <si>
    <t>GEN_T_2.0.spik_3290AF</t>
  </si>
  <si>
    <t>ADH0000014982</t>
  </si>
  <si>
    <t>MRS.FELCIREMI(36 Y 0 M 0 D /Female)</t>
  </si>
  <si>
    <t>GEN_T_2.0.spik_3291</t>
  </si>
  <si>
    <t>SBC0000000036</t>
  </si>
  <si>
    <t>SAIBABA COLONY - CC - ROTN CBE</t>
  </si>
  <si>
    <t>Fiona mam approval pending</t>
  </si>
  <si>
    <t>MRS.MONIKA RAJPUT (25 Y 0 M 13 D /Female) POC</t>
  </si>
  <si>
    <t>GEN_T_2.0.spik_3292</t>
  </si>
  <si>
    <t>AMB0000006229</t>
  </si>
  <si>
    <t>Pathogenic(AR)</t>
  </si>
  <si>
    <t>BABY OF.SANDHIYA (0/M)</t>
  </si>
  <si>
    <t>GEN_T_2.0.spik_3293</t>
  </si>
  <si>
    <t>ADS0000000689</t>
  </si>
  <si>
    <t>Greyzone(ATXN1)</t>
  </si>
  <si>
    <t>Dr.Meera(27-03-2026)</t>
  </si>
  <si>
    <t>BABY.MUHAMMAD MUADH A(6MM)</t>
  </si>
  <si>
    <t>GEN_T_2.0.spik_3294</t>
  </si>
  <si>
    <t>AND25020073074</t>
  </si>
  <si>
    <t>30/03/2026</t>
  </si>
  <si>
    <t>WHOLE EXOME SEQUENCING + MITOCHONDRIAL GENOME SEQUENCING</t>
  </si>
  <si>
    <t>MRS.SHOBA S (43/F)</t>
  </si>
  <si>
    <t>GEN_T_2.0.spik_3295</t>
  </si>
  <si>
    <t>APH0000000211</t>
  </si>
  <si>
    <t>(16-02-26)</t>
  </si>
  <si>
    <t>MR.MEET MEHRA (12 Y 1 M 1 D /Male)</t>
  </si>
  <si>
    <t>GEN_T_2.0.spik_3296</t>
  </si>
  <si>
    <t>DCC0000002982</t>
  </si>
  <si>
    <t>23/03/206</t>
  </si>
  <si>
    <t>MASTER.PUGAZH T (14 Y 0 M 0 D /Male)</t>
  </si>
  <si>
    <t>GEN_T_2.0.spik_3297</t>
  </si>
  <si>
    <t>GRM0000000056</t>
  </si>
  <si>
    <t>GREAMS ROAD - CC - CHENNAI</t>
  </si>
  <si>
    <t>MRS.S MOUNICA FLORENCE W/O. K ROHIT (34 Y 6 M 22 D /Female) POC</t>
  </si>
  <si>
    <t>GEN_T_2.0.spik_3298</t>
  </si>
  <si>
    <t>HYP0000000121</t>
  </si>
  <si>
    <t>(17-02-26)</t>
  </si>
  <si>
    <t>BABY.SHIVANANDAN (2/M)</t>
  </si>
  <si>
    <t>GEN_T_2.0.spik_3299</t>
  </si>
  <si>
    <t>ADK0000000029</t>
  </si>
  <si>
    <t>GENETICS - PROCESSING LAB - CHENNAI</t>
  </si>
  <si>
    <t>Sachin sir followup</t>
  </si>
  <si>
    <t>BABY.AVINASH KUMAR A(10 Y 0 M 0 D /Male)</t>
  </si>
  <si>
    <t>GEN_T_2.0.spik_3300</t>
  </si>
  <si>
    <t>APH0000000404</t>
  </si>
  <si>
    <t>25/03/2026</t>
  </si>
  <si>
    <t>Dr.Meera(24-03-2026)</t>
  </si>
  <si>
    <t>MRS.KARTHIKA W/O NAGENDRAN (35/F)</t>
  </si>
  <si>
    <t>GEN_T_2.0.spik_3301</t>
  </si>
  <si>
    <t>CHM0000001451</t>
  </si>
  <si>
    <t>CHROMEPET MAIN - PROCESSING LAB - CHENNAI</t>
  </si>
  <si>
    <t>Dr. Meera (18-03-2026)</t>
  </si>
  <si>
    <t>MR.NAGENDRAN (34/M)</t>
  </si>
  <si>
    <t>GEN_T_2.0.spik_3302</t>
  </si>
  <si>
    <t>CHM0000001552</t>
  </si>
  <si>
    <t>MR.SATYA NARAYANA G.V(40 Y 11 M 28 D /Male)</t>
  </si>
  <si>
    <t>GEN_T_2.0.spik_3303</t>
  </si>
  <si>
    <t>ABC0000000106</t>
  </si>
  <si>
    <t>ANDHRA B2B CENTRE - CC - AP</t>
  </si>
  <si>
    <t>MRS.SRI DEVI G(30 Y 1 M 26 D /Female)</t>
  </si>
  <si>
    <t>GEN_T_2.0.spik_3304</t>
  </si>
  <si>
    <t>ABC0000000107</t>
  </si>
  <si>
    <t>MR.NILESH RAGHUVANSHII(39 Y 2 M 4 D /Male)</t>
  </si>
  <si>
    <t>GEN_T_2.0.spik_3305</t>
  </si>
  <si>
    <t>IDG0000000004</t>
  </si>
  <si>
    <t>IDEAL GENOMICS</t>
  </si>
  <si>
    <t>Cancelled by Client</t>
  </si>
  <si>
    <t>MRS.CHANDANI RAGHUVANSHI (31 Y 8 M 27 D /Female)</t>
  </si>
  <si>
    <t>GEN_T_2.0.spik_3306</t>
  </si>
  <si>
    <t>IDG0000000003</t>
  </si>
  <si>
    <t>MRS.PURVI VYAS(11 Y 3 M 9 D /Female)</t>
  </si>
  <si>
    <t>GEN_T_2.0.spik_3307</t>
  </si>
  <si>
    <t>AMB0000006363</t>
  </si>
  <si>
    <t>AL32-Y-84 (20Y/M)</t>
  </si>
  <si>
    <t>GEN_T_2.0.spik_3308</t>
  </si>
  <si>
    <t>ADK0000000085</t>
  </si>
  <si>
    <t>Greyzone(ATXN1, HTT)</t>
  </si>
  <si>
    <t>31-03-2026</t>
  </si>
  <si>
    <t>AL32-Y-89(36Y/M)</t>
  </si>
  <si>
    <t>GEN_T_2.0.spik_3309</t>
  </si>
  <si>
    <t>ADK0000000086</t>
  </si>
  <si>
    <t>AL32-CD-26-43(17Y/M)</t>
  </si>
  <si>
    <t>GEN_T_2.0.spik_3310</t>
  </si>
  <si>
    <t>ADK0000000087</t>
  </si>
  <si>
    <t>AL32-Y-87(5Y/F)</t>
  </si>
  <si>
    <t>GEN_T_2.0.spik_3311</t>
  </si>
  <si>
    <t>ADK0000000088</t>
  </si>
  <si>
    <t>AL32-Y-91(37Y/M)</t>
  </si>
  <si>
    <t>GEN_T_2.0.spik_3312</t>
  </si>
  <si>
    <t>ADK0000000089</t>
  </si>
  <si>
    <t>AL32-CD-26-33(17Y/F)</t>
  </si>
  <si>
    <t>GEN_T_2.0.spik_3313</t>
  </si>
  <si>
    <t>ADK0000000090</t>
  </si>
  <si>
    <t>SURFseq- Run-65A</t>
  </si>
  <si>
    <t>MRS.MOUNIKA N R(19 Y 1 M 27 D /Female) AF</t>
  </si>
  <si>
    <t>GEN_T_2.0.spik_3314AF</t>
  </si>
  <si>
    <t>ABC0000000114</t>
  </si>
  <si>
    <t>SREE SAHASRA SCANS - ANANTAPUR</t>
  </si>
  <si>
    <t>10/03/0206</t>
  </si>
  <si>
    <t>MRS.MAMTA DEVI(30 Y 11 M 21 D /Female) AF</t>
  </si>
  <si>
    <t>GEN_T_2.0.spik_3315AF</t>
  </si>
  <si>
    <t>IDG0000000009</t>
  </si>
  <si>
    <t>17.03.2026</t>
  </si>
  <si>
    <t>MR.BALA GANESH BASKARAN(SN00882173)(32 Y 0 M 0 D /Male)</t>
  </si>
  <si>
    <t>GEN_T_2.0.spik_3316</t>
  </si>
  <si>
    <t>ANV0000000122</t>
  </si>
  <si>
    <t>MASTER.MASTER ADVIK JAIN (1 Y 7 M 13 D /Male)</t>
  </si>
  <si>
    <t>GEN_T_2.0.spik_3317</t>
  </si>
  <si>
    <t>AMB0000006291</t>
  </si>
  <si>
    <t>19-03-2026</t>
  </si>
  <si>
    <t>MRS.AMITA RANI DASH(38 Y 0 M 0 D /Female)</t>
  </si>
  <si>
    <t>GEN_T_2.0.spik_3318</t>
  </si>
  <si>
    <t>GRM0000000175</t>
  </si>
  <si>
    <t>GOPINATH P M</t>
  </si>
  <si>
    <t>26/03/2026</t>
  </si>
  <si>
    <t>25-03-36</t>
  </si>
  <si>
    <t>MR.PROSENJIT DAS(37 Y 0 M 0 D /Male)</t>
  </si>
  <si>
    <t>GEN_T_2.0.spik_3319</t>
  </si>
  <si>
    <t>GRM0000000174</t>
  </si>
  <si>
    <t>Greyzone(CSTB)</t>
  </si>
  <si>
    <t>BABY.SHANMUGAPRIYAN P(7 Y 0 M 0 D /Male)</t>
  </si>
  <si>
    <t>GEN_T_2.0.spik_3320</t>
  </si>
  <si>
    <t>AND0000000289</t>
  </si>
  <si>
    <t>Dr. Meera (02-04-2026)</t>
  </si>
  <si>
    <t>BABY.KOTHAVARI(0 Y 0 M 15 D /Female)</t>
  </si>
  <si>
    <t>GEN_T_2.0.spik_3321</t>
  </si>
  <si>
    <t>ADK0000000084</t>
  </si>
  <si>
    <t>MRS.NETLA MANJULA(29 Y 0 M 14 D /Female)POC</t>
  </si>
  <si>
    <t>GEN_T_2.0.spik_3322</t>
  </si>
  <si>
    <t>ADB0000026523</t>
  </si>
  <si>
    <t>Dr. Meera (19-03-2026)</t>
  </si>
  <si>
    <t>MR.SOLOMON JOHN WESLY DURAI(39 Y 0 M 0 D /Male)</t>
  </si>
  <si>
    <t>GEN_T_2.0.spik_3323</t>
  </si>
  <si>
    <t>ATN0000001331</t>
  </si>
  <si>
    <t>SHALOM CLINIC - SAMADHANAPURAM</t>
  </si>
  <si>
    <t>Dr. Meera (26-03-2026)</t>
  </si>
  <si>
    <t>BABY.THANSHIKA(6 Y 4 M 20 D /Female)</t>
  </si>
  <si>
    <t>GEN_T_2.0.spik_3324</t>
  </si>
  <si>
    <t>ADK0000000155</t>
  </si>
  <si>
    <t>29/04/2026</t>
  </si>
  <si>
    <t>BABY.STEPHEN RAJU(2 Y 3 M 10 D /Male)</t>
  </si>
  <si>
    <t>GEN_T_2.0.spik_3325</t>
  </si>
  <si>
    <t>ADK0000000157</t>
  </si>
  <si>
    <t>Dr. Meera (25-03-2026)</t>
  </si>
  <si>
    <t>MRS.JAYAGANDHI M(36 Y 0 M 0 D /Female)</t>
  </si>
  <si>
    <t>GEN_T_2.0.spik_3326</t>
  </si>
  <si>
    <t>ADK0000000158</t>
  </si>
  <si>
    <t>BABY.ANJANA(8 Y 5 M 24 D /Female)</t>
  </si>
  <si>
    <t>GEN_T_2.0.spik_3327</t>
  </si>
  <si>
    <t>ADK0000000159</t>
  </si>
  <si>
    <t>MRS.ASHA M(23 Y 0 M 0 D /Female)</t>
  </si>
  <si>
    <t>GEN_T_2.0.spik_3328</t>
  </si>
  <si>
    <t>PH50000001152</t>
  </si>
  <si>
    <t>26-03-2026</t>
  </si>
  <si>
    <t>MRS.S THIRUMALA(36 Y 0 M 0 D /Female)poc</t>
  </si>
  <si>
    <t>GEN_T_2.0.spik_3329</t>
  </si>
  <si>
    <t>HYP0000000155</t>
  </si>
  <si>
    <t>MRS.DHARANI W/O MANOJ(27 Y 0 M 0 D /Female)</t>
  </si>
  <si>
    <t>GEN_T_2.0.spik_3330</t>
  </si>
  <si>
    <t>ADH0000015224</t>
  </si>
  <si>
    <t>INHS PATANJALI - KARWAR</t>
  </si>
  <si>
    <t>30.03.2026</t>
  </si>
  <si>
    <t>MR.KISHORE REDDY(35 Y 11 M 26 D /Male)</t>
  </si>
  <si>
    <t>GEN_T_2.0.spik_3331</t>
  </si>
  <si>
    <t>ADB0000026643</t>
  </si>
  <si>
    <t>DR.CHANDANA</t>
  </si>
  <si>
    <t>MRS.BEENA REDDY(27 Y 5 M 29 D /Female)260193225260193225</t>
  </si>
  <si>
    <t>GEN_T_2.0.spik_3332</t>
  </si>
  <si>
    <t>ADB0000026644</t>
  </si>
  <si>
    <t>SASTIKA G (10M/F)</t>
  </si>
  <si>
    <t>GEN_T_2.0.spik_3333</t>
  </si>
  <si>
    <t>PH50000001284</t>
  </si>
  <si>
    <t>Dr. Meera (27-03-2026)</t>
  </si>
  <si>
    <t>VIJAY VIOLA</t>
  </si>
  <si>
    <t>GEN_T_2.0.spik_3334</t>
  </si>
  <si>
    <t>Internal validation</t>
  </si>
  <si>
    <t>Internal Validation</t>
  </si>
  <si>
    <t>BABY.SONIKA L R(1 Y 0 M 0 D /Female)</t>
  </si>
  <si>
    <t>GEN_T_2.0.spik_3335</t>
  </si>
  <si>
    <t>PH50000001164</t>
  </si>
  <si>
    <t>Waiting for SMN1 hom del internal confirmation</t>
  </si>
  <si>
    <t>MR.DILIP KUMAR JHA(49 Y 0 M 0 D /Male)</t>
  </si>
  <si>
    <t>GEN_T_2.0.spik_3336</t>
  </si>
  <si>
    <t>IDG0000000012</t>
  </si>
  <si>
    <t>MRS.SONI DEVI JHA(39 Y 0 M 20 D /Female)</t>
  </si>
  <si>
    <t>GEN_T_2.0.spik_3337</t>
  </si>
  <si>
    <t>IDG0000000013</t>
  </si>
  <si>
    <t>BABY.RIO TARIEL (230202538)(3 Y 0 M 0 D /Male)</t>
  </si>
  <si>
    <t>GEN_T_2.0.spik_3338</t>
  </si>
  <si>
    <t>ANG0000001181</t>
  </si>
  <si>
    <t>29/03/2026</t>
  </si>
  <si>
    <t>Diwakar (General analysis)</t>
  </si>
  <si>
    <t>Report crosscheck and rework ongoing</t>
  </si>
  <si>
    <t>MS.KRITHIKA R (8865)(55 Y 0 M 0 D /Female)</t>
  </si>
  <si>
    <t>GEN_T_2.0.spik_3339</t>
  </si>
  <si>
    <t>CBC0000009141</t>
  </si>
  <si>
    <t>CHENNAI NATIONAL HOSPITAL (CGHS) -KILPAUK</t>
  </si>
  <si>
    <t>MASTER.SAATVIIK (5 Y 0 M 0 D /Male)</t>
  </si>
  <si>
    <t>GEN_T_2.0.spik_3340</t>
  </si>
  <si>
    <t>AKP0000005446</t>
  </si>
  <si>
    <t>BABY.LINGA(0 Y 2 M 0 D /Male)</t>
  </si>
  <si>
    <t>GEN_T_2.0.spik_3341</t>
  </si>
  <si>
    <t>PH60000000473</t>
  </si>
  <si>
    <t>MRS. BHARATHI j(41 Y 0 M 0 D /Female)</t>
  </si>
  <si>
    <t>GEN_T_2.0.spik_3342</t>
  </si>
  <si>
    <t>PH60000000471</t>
  </si>
  <si>
    <t xml:space="preserve">History delayed, Need to finalize report </t>
  </si>
  <si>
    <t>MRS.PARIMALA VEERASWAMY (108504) (32 Y 4 M 18 D /Female)</t>
  </si>
  <si>
    <t>GEN_T_2.0.spik_3343</t>
  </si>
  <si>
    <t>AKP0000005564</t>
  </si>
  <si>
    <t>MASTER.SHAYAN SONI(2 Y 1 M 9 D /Male)</t>
  </si>
  <si>
    <t>GEN_T_2.0.spik_3344</t>
  </si>
  <si>
    <t>AMB0000006456</t>
  </si>
  <si>
    <t>28-03-2023</t>
  </si>
  <si>
    <t>MR.DEVENDRA GOUR(39 Y 1 M 26 D /Male)</t>
  </si>
  <si>
    <t>FAMILIAL HYPERCHOLESTREMIA GENE PANEL</t>
  </si>
  <si>
    <t>GEN_T_2.0.spik_3345</t>
  </si>
  <si>
    <t>AMB0000006463</t>
  </si>
  <si>
    <t>Vamshi (12-03-2026)</t>
  </si>
  <si>
    <t>AL33-Y-92</t>
  </si>
  <si>
    <t>GEN_T_2.0.spik_3346</t>
  </si>
  <si>
    <t>ADK0000000176</t>
  </si>
  <si>
    <t>AL33-Y-96</t>
  </si>
  <si>
    <t>GEN_T_2.0.spik_3347</t>
  </si>
  <si>
    <t>ADK0000000180</t>
  </si>
  <si>
    <t>AL33-Y-97</t>
  </si>
  <si>
    <t>GEN_T_2.0.spik_3348</t>
  </si>
  <si>
    <t>ADK0000000179</t>
  </si>
  <si>
    <t>AL33-Y-99</t>
  </si>
  <si>
    <t>GEN_T_2.0.spik_3349</t>
  </si>
  <si>
    <t>ADK0000000177</t>
  </si>
  <si>
    <t>AL33-Y-103</t>
  </si>
  <si>
    <t>GEN_T_2.0.spik_3350</t>
  </si>
  <si>
    <t>ADK0000000178</t>
  </si>
  <si>
    <t>SHARADHAMMA</t>
  </si>
  <si>
    <t>HEREDITARY CANCER GENE PANEL</t>
  </si>
  <si>
    <t>GEN_T_2.0.spik_3351</t>
  </si>
  <si>
    <t>ADH0000014878</t>
  </si>
  <si>
    <t>SAI DEEPA CLINIC-HUBLI</t>
  </si>
  <si>
    <t>Sent to Dr. Siva sir team</t>
  </si>
  <si>
    <t>DBA 3/26</t>
  </si>
  <si>
    <t>GEN_T_2.0.spik_3352</t>
  </si>
  <si>
    <t>CMC- Hematology (Dr.Shaji)</t>
  </si>
  <si>
    <t>CMC VELLORE</t>
  </si>
  <si>
    <t>DBA 4/26</t>
  </si>
  <si>
    <t>GEN_T_2.0.spik_3353</t>
  </si>
  <si>
    <t>DBA 5/26</t>
  </si>
  <si>
    <t>GEN_T_2.0.spik_3354</t>
  </si>
  <si>
    <t>DBA 6/26</t>
  </si>
  <si>
    <t>GEN_T_2.0.spik_3355</t>
  </si>
  <si>
    <t>DBA 7/26</t>
  </si>
  <si>
    <t>GEN_T_2.0.spik_3356</t>
  </si>
  <si>
    <t>DBA 8/26</t>
  </si>
  <si>
    <t>GEN_T_2.0.spik_3357</t>
  </si>
  <si>
    <t>DBA 9/26</t>
  </si>
  <si>
    <t>GEN_T_2.0.spik_3358</t>
  </si>
  <si>
    <t>DBA 10/26</t>
  </si>
  <si>
    <t>GEN_T_2.0.spik_3359</t>
  </si>
  <si>
    <t>SURFseq- Run-66B</t>
  </si>
  <si>
    <t>MS.FETUS OF AKSHAYA (AJ13962)(27Y/F) CVS</t>
  </si>
  <si>
    <t>GEN_T_2.0.spik_3360AF</t>
  </si>
  <si>
    <t>ADK0000000225</t>
  </si>
  <si>
    <t>MRS.SEEMA BANU K(31 Y 0 M 0 D /Female) AF</t>
  </si>
  <si>
    <t>GEN_T_2.0.spik_3361AF</t>
  </si>
  <si>
    <t>ADH0000015318</t>
  </si>
  <si>
    <t>MS.SINDHU PRIYA(11 Y 7 M 3 D /Female)</t>
  </si>
  <si>
    <t>GEN_T_2.0.spik_3362</t>
  </si>
  <si>
    <t>ADK0000000174</t>
  </si>
  <si>
    <t>BABY.KAVIVALAVAN(2 Y 6 M 4 D /Male)</t>
  </si>
  <si>
    <t>GEN_T_2.0.spik_3363</t>
  </si>
  <si>
    <t>ADK0000000175</t>
  </si>
  <si>
    <t>BABY.HARSHITH THAVASI K S(8Y/M)</t>
  </si>
  <si>
    <t>GEN_T_2.0.spik_3364</t>
  </si>
  <si>
    <t>PH50000001789</t>
  </si>
  <si>
    <t>MRS.HASEENA (2767)(68)(69)(70)(36 Y 0 M 0 D /Female)</t>
  </si>
  <si>
    <t>GEN_T_2.0.spik_3365</t>
  </si>
  <si>
    <t>ADH0000015707</t>
  </si>
  <si>
    <t xml:space="preserve">Crosscheck and rework pending </t>
  </si>
  <si>
    <t>MR.ALLA PATEL (2641)(42)(43)(44)(43 Y 0 M 0 D /Male)</t>
  </si>
  <si>
    <t>GEN_T_2.0.spik_3366</t>
  </si>
  <si>
    <t>ADH0000015708</t>
  </si>
  <si>
    <t>MR.BHANU PRATAP SAHU(35 Y 0 M 0 D /Male)</t>
  </si>
  <si>
    <t>GEN_T_2.0.spik_3367</t>
  </si>
  <si>
    <t>HYP0000000250</t>
  </si>
  <si>
    <t>MRS.BHARTI SAHU(33 Y 0 M 0 D /Female)</t>
  </si>
  <si>
    <t>GEN_T_2.0.spik_3368</t>
  </si>
  <si>
    <t>HYP0000000251</t>
  </si>
  <si>
    <t>BABY.T RUTHRAN(1 Y 10 M 11 D /Male)</t>
  </si>
  <si>
    <t>GEN_T_2.0.spik_3369</t>
  </si>
  <si>
    <t>ADK0000000189</t>
  </si>
  <si>
    <t>BABY.PRIYADHARSHINI(0 Y 1 M 6 D /Male)</t>
  </si>
  <si>
    <t>GEN_T_2.0.spik_3370</t>
  </si>
  <si>
    <t>ADK0000000190</t>
  </si>
  <si>
    <t>BABY.MOSHIKA(1 Y 8 M 21 D /Female)</t>
  </si>
  <si>
    <t>GEN_T_2.0.spik_3371</t>
  </si>
  <si>
    <t>ADK0000000191</t>
  </si>
  <si>
    <t>Posted in bioinfo group</t>
  </si>
  <si>
    <t>BABY.JANAVIKA(5 Y 11 M 16 D /Female)</t>
  </si>
  <si>
    <t>GEN_T_2.0.spik_3372</t>
  </si>
  <si>
    <t>ADK0000000192</t>
  </si>
  <si>
    <t>MR.DHANUJAIAJH G(37 Y 11 M 13 D /Male)</t>
  </si>
  <si>
    <t>GEN_T_2.0.spik_3373</t>
  </si>
  <si>
    <t>ABC0000000209</t>
  </si>
  <si>
    <t>BABY.KAVYA KUMARI (AN69260)(0Y/F)</t>
  </si>
  <si>
    <t>GEN_T_2.0.spik_3374</t>
  </si>
  <si>
    <t>ADK0000000220</t>
  </si>
  <si>
    <t>MR.PICHANDI (449456B)(69Y/M)</t>
  </si>
  <si>
    <t>GEN_T_2.0.spik_3375</t>
  </si>
  <si>
    <t>ADK0000000221</t>
  </si>
  <si>
    <t>MR.ARJUN C M (AN84122)(22Y/M)</t>
  </si>
  <si>
    <t>GEN_T_2.0.spik_3376</t>
  </si>
  <si>
    <t>ADK0000000219</t>
  </si>
  <si>
    <t>MR.RITIK R PAYAK (319720C)(24Y/M)</t>
  </si>
  <si>
    <t>GEN_T_2.0.spik_3377</t>
  </si>
  <si>
    <t>ADK0000000222</t>
  </si>
  <si>
    <t>BABY.SEETHA G S BABY (AL26922)(0Y/F)</t>
  </si>
  <si>
    <t>GEN_T_2.0.spik_3378</t>
  </si>
  <si>
    <t>ADK0000000223</t>
  </si>
  <si>
    <t>MR.MUANTHANGA PACHUAU (909204B)(84y/M)</t>
  </si>
  <si>
    <t>GEN_T_2.0.spik_3379</t>
  </si>
  <si>
    <t>ADK0000000224</t>
  </si>
  <si>
    <t>MS.AL34-Y-104(24Y/F)</t>
  </si>
  <si>
    <t>GEN_T_2.0.spik_3380</t>
  </si>
  <si>
    <t>ADK0000000214</t>
  </si>
  <si>
    <t>MS.AL34-Y-108(19Y/F)</t>
  </si>
  <si>
    <t>GEN_T_2.0.spik_3381</t>
  </si>
  <si>
    <t>ADK0000000217</t>
  </si>
  <si>
    <t>MS.AL34-Y-109(41Y/F)</t>
  </si>
  <si>
    <t>GEN_T_2.0.spik_3382</t>
  </si>
  <si>
    <t>ADK0000000218</t>
  </si>
  <si>
    <t>MR.AL34-Y-114(34Y/M)</t>
  </si>
  <si>
    <t>GEN_T_2.0.spik_3383</t>
  </si>
  <si>
    <t>ADK0000000215</t>
  </si>
  <si>
    <t>MR.AL34-Y-115(48Y/M)</t>
  </si>
  <si>
    <t>GEN_T_2.0.spik_3384</t>
  </si>
  <si>
    <t>ADK0000000216</t>
  </si>
  <si>
    <t>MRS.NATTE HARITHA(28Y/F)</t>
  </si>
  <si>
    <t>GEN_T_2.0.spik_3385</t>
  </si>
  <si>
    <t>HYP0000000323</t>
  </si>
  <si>
    <t>DR. HARIKA - BIRTHRIGHT RAINBOW</t>
  </si>
  <si>
    <t>General analysis done and History pending</t>
  </si>
  <si>
    <t>15-04-2026</t>
  </si>
  <si>
    <t>MR.V G YASWANTH(28Y/M)</t>
  </si>
  <si>
    <t>GEN_T_2.0.spik_3386</t>
  </si>
  <si>
    <t>HYP0000000324</t>
  </si>
  <si>
    <t>BABY.ZARA(0Y/F)</t>
  </si>
  <si>
    <t>GEN_T_2.0.spik_3387</t>
  </si>
  <si>
    <t>FR20000004996</t>
  </si>
  <si>
    <t>JEEVAN NICU &amp; PAEDIATRIC CENTRE - PUDUCHERRY</t>
  </si>
  <si>
    <t>Vamshi (04-04-2026)</t>
  </si>
  <si>
    <t>MRS.AISHWARYA (28/F)</t>
  </si>
  <si>
    <t>GEN_T_2.0.spik_3388</t>
  </si>
  <si>
    <t>CBC0000012584</t>
  </si>
  <si>
    <t>RHEA HEALTHCARE PRIVATE LIMITED-MRC NAGAR (NOVA IVF)</t>
  </si>
  <si>
    <t>MR.VINOD KUMAR (30/M)</t>
  </si>
  <si>
    <t>GEN_T_2.0.spik_3389</t>
  </si>
  <si>
    <t>CBC0000012585</t>
  </si>
  <si>
    <t>SENTHIL KUMAR K</t>
  </si>
  <si>
    <t>HCGP</t>
  </si>
  <si>
    <t>GEN_T_2.0.spik_3390</t>
  </si>
  <si>
    <t xml:space="preserve">Internal Validation </t>
  </si>
  <si>
    <t>Dr. Siva sir team followup</t>
  </si>
  <si>
    <t>MR.K.H.MAWAZ AHMED MOTIAR RAHMAN 42 Y 0 M 0 D /Male</t>
  </si>
  <si>
    <t>GEN_T_2.0.spik_3391</t>
  </si>
  <si>
    <t>AVL0000000717</t>
  </si>
  <si>
    <t xml:space="preserve">History not available </t>
  </si>
  <si>
    <t>13_04_26</t>
  </si>
  <si>
    <t>SURFseq- Run-67A</t>
  </si>
  <si>
    <t>FETUS OF SHALINI (AI64156)</t>
  </si>
  <si>
    <t>GEN_T_2.0.spik_3392AF</t>
  </si>
  <si>
    <t>ADK0000000354</t>
  </si>
  <si>
    <t>Vamsi (19-03-2026)</t>
  </si>
  <si>
    <t>30.03.26</t>
  </si>
  <si>
    <t>FETUS OF POORNIMA (30Y/F)</t>
  </si>
  <si>
    <t>GEN_T_2.0.spik_3393AF</t>
  </si>
  <si>
    <t>ADK0000000355</t>
  </si>
  <si>
    <t>MRS.BHAGYASHREE(30Y/F) AF</t>
  </si>
  <si>
    <t>GEN_T_2.0.spik_3395AF</t>
  </si>
  <si>
    <t>ADH0000016214</t>
  </si>
  <si>
    <t>MRS.NAINSHI AWASTHI(30 Y 6 M 6 D /Female) cvs</t>
  </si>
  <si>
    <t>GEN_T_2.0.spik_3396AF</t>
  </si>
  <si>
    <t>IDG0000000021</t>
  </si>
  <si>
    <t>MRS.FOUZIN BEUM (DONOR) (28/F)</t>
  </si>
  <si>
    <t>GEN_T_2.0.spik_3397</t>
  </si>
  <si>
    <t>HYP0000000355</t>
  </si>
  <si>
    <t>MR.YERRAGUDI VENKATESH(YERRAGUDI JAYALAKSHMI)(34Y/M)</t>
  </si>
  <si>
    <t>GEN_T_2.0.spik_3398</t>
  </si>
  <si>
    <t>ABC0000000292</t>
  </si>
  <si>
    <t>MRS.MUPPANENI SIREESHA(34Y/F)</t>
  </si>
  <si>
    <t>GEN_T_2.0.spik_3399</t>
  </si>
  <si>
    <t>HYP0000000361</t>
  </si>
  <si>
    <t>27-03-26</t>
  </si>
  <si>
    <t xml:space="preserve">Vignesh </t>
  </si>
  <si>
    <t>23-04-26</t>
  </si>
  <si>
    <t>MR.SAI PRADEEP(44Y/M)</t>
  </si>
  <si>
    <t>WES+MALE INFERTILITY NGS PANEL</t>
  </si>
  <si>
    <t>GEN_T_2.0.spik_3400</t>
  </si>
  <si>
    <t>ADB0000028059</t>
  </si>
  <si>
    <t>SAGAR CHANDRAMMA HOSPITAL-BENGALURU</t>
  </si>
  <si>
    <t>25-04-26</t>
  </si>
  <si>
    <t>Writeup not available</t>
  </si>
  <si>
    <t>MRS.NIKITHA PINISETTY(34Y/F)</t>
  </si>
  <si>
    <t>WES+FEMALE INFERTILITY NGS PANEL</t>
  </si>
  <si>
    <t>GEN_T_2.0.spik_3401</t>
  </si>
  <si>
    <t>ADB0000028060</t>
  </si>
  <si>
    <t>MR.HBD159(0y/M)</t>
  </si>
  <si>
    <t>GEN_T_2.0.spik_3402</t>
  </si>
  <si>
    <t>ADK0000000331</t>
  </si>
  <si>
    <t>CHRISTIAN MEDICAL COLLEGE - HAEMOTOLOGY ( RESEARCH)</t>
  </si>
  <si>
    <t>MR.AL35-CD-26-48(49Y/M)</t>
  </si>
  <si>
    <t>GEN_T_2.0.spik_3403</t>
  </si>
  <si>
    <t>ADK0000000332</t>
  </si>
  <si>
    <t>MRS.NIKITA AGRAWAL (36 Y 6 M 25 D /Female) POC</t>
  </si>
  <si>
    <t>GEN_T_2.0.spik_3404</t>
  </si>
  <si>
    <t>AMB0000005984</t>
  </si>
  <si>
    <t>No Fetal genotype present - on hold</t>
  </si>
  <si>
    <t>MRS.LATHIKA R (3221)(31 Y 7 M 30 D /Female) POC</t>
  </si>
  <si>
    <t>GEN_T_2.0.spik_3405</t>
  </si>
  <si>
    <t>ADH0000015585</t>
  </si>
  <si>
    <t>MAVINTOP HOSPITAL</t>
  </si>
  <si>
    <t>Dr. Meera (04-04-2026)</t>
  </si>
  <si>
    <t>Writeup - 04-04-2026 (Report finalized)</t>
  </si>
  <si>
    <t>MASTER.KAVIN U(8Y/M)</t>
  </si>
  <si>
    <t>GEN_T_2.0.spik_3406</t>
  </si>
  <si>
    <t>AND0000000307</t>
  </si>
  <si>
    <t>Needs to be finalised</t>
  </si>
  <si>
    <t>18-04-2026</t>
  </si>
  <si>
    <t>MRS.KOMALANGI K(28Y/F) POC</t>
  </si>
  <si>
    <t>GEN_T_2.0.spik_3407</t>
  </si>
  <si>
    <t>ABC0000000221</t>
  </si>
  <si>
    <t>Dr. Meera (03-04-2026)</t>
  </si>
  <si>
    <t xml:space="preserve">History - Analysis purpose </t>
  </si>
  <si>
    <t>PUSHPARASU KUPPUSAMI (31Y/M)</t>
  </si>
  <si>
    <t>GEN_T_2.0.spik_3408</t>
  </si>
  <si>
    <t>PH50000002353</t>
  </si>
  <si>
    <t>Writeup - 03-04-2026, report crosscheck and rework</t>
  </si>
  <si>
    <t>14-04-2026</t>
  </si>
  <si>
    <t>BABY.SUKIRTHAN V K(0Y/F)</t>
  </si>
  <si>
    <t>GEN_T_2.0.spik_3409</t>
  </si>
  <si>
    <t>PH50000002518</t>
  </si>
  <si>
    <t>18-09-2026</t>
  </si>
  <si>
    <t>MRS.POONAM SALUNKE(30Y/F)</t>
  </si>
  <si>
    <t>GEN_T_2.0.spik_3410</t>
  </si>
  <si>
    <t>AMB0000006624</t>
  </si>
  <si>
    <t>NAVJEEVAN NURSING HOME - PUNE</t>
  </si>
  <si>
    <t xml:space="preserve">History delayed </t>
  </si>
  <si>
    <t>15-04-26</t>
  </si>
  <si>
    <t>MRS.CHAKALI SANGEETHA W/O. C RAMULU (HEG 36342) (24/F)</t>
  </si>
  <si>
    <t>GEN_T_2.0.spik_3411</t>
  </si>
  <si>
    <t>HYP0000000359</t>
  </si>
  <si>
    <t>Dr. Meera (31-03-2026)</t>
  </si>
  <si>
    <t>MR.CHAKALI RAMULU H/O. C. SANGEETHA (HEG 36353) (32/M)</t>
  </si>
  <si>
    <t>GEN_T_2.0.spik_3412</t>
  </si>
  <si>
    <t>HYP0000000360</t>
  </si>
  <si>
    <t>MR.ANDREWS G (521684D)(38Y/M)</t>
  </si>
  <si>
    <t>GEN_T_2.0.spik_3413</t>
  </si>
  <si>
    <t>ADK0000000307</t>
  </si>
  <si>
    <t>MRS.THULASI LAKSHMI (111447)(32Y/F)</t>
  </si>
  <si>
    <t>GEN_T_2.0.spik_3414</t>
  </si>
  <si>
    <t>AKP0000007598</t>
  </si>
  <si>
    <t>Vamshi (06-04-26)</t>
  </si>
  <si>
    <t>Writeup - 04-04-2026, report crosscheck and rework</t>
  </si>
  <si>
    <t>MR.CHANDRASEKAR V (109213)(51Y/M)</t>
  </si>
  <si>
    <t>GEN_T_2.0.spik_3415</t>
  </si>
  <si>
    <t>AKP0000007599</t>
  </si>
  <si>
    <t>Writeup - 04-04-2026</t>
  </si>
  <si>
    <t>MISS.AARTHI(30Y/F)</t>
  </si>
  <si>
    <t>GEN_T_2.0.spik_3416</t>
  </si>
  <si>
    <t>FR20000005053</t>
  </si>
  <si>
    <t>PROCESSING LAB - ROTN PDY</t>
  </si>
  <si>
    <t>Writeup - 02-04-2026</t>
  </si>
  <si>
    <t>MR.DASARADA RAMAIAH(43Y/M)</t>
  </si>
  <si>
    <t>GEN_T_2.0.spik_3417</t>
  </si>
  <si>
    <t>AVD0000000270</t>
  </si>
  <si>
    <t>AMARAVATHI RARE DISEASES ORGANIZATION - VIJAYAWADA</t>
  </si>
  <si>
    <t>Vamshi (06-04-2026)</t>
  </si>
  <si>
    <t>MRS.SUSHMITHA S (111441) (23/F)</t>
  </si>
  <si>
    <t>GEN_T_2.0.spik_3418</t>
  </si>
  <si>
    <t>AKP0000007297</t>
  </si>
  <si>
    <t>MS.AL35-CD-26-49(36Y/F)</t>
  </si>
  <si>
    <t>GEN_T_2.0.spik_3419</t>
  </si>
  <si>
    <t>ADK0000000333</t>
  </si>
  <si>
    <t>Ongoing</t>
  </si>
  <si>
    <t>MS.AL35-Y-126(13Y/F)</t>
  </si>
  <si>
    <t>GEN_T_2.0.spik_3420</t>
  </si>
  <si>
    <t>ADK0000000334</t>
  </si>
  <si>
    <t>BABY.AL35-Y-122(1Y/M)</t>
  </si>
  <si>
    <t>GEN_T_2.0.spik_3421</t>
  </si>
  <si>
    <t>ADK0000000335</t>
  </si>
  <si>
    <t>MR.AL35-Y-129(14Y/M)</t>
  </si>
  <si>
    <t>GEN_T_2.0.spik_3422</t>
  </si>
  <si>
    <t>ADK0000000336</t>
  </si>
  <si>
    <t>MS. AL35-Y-130(16Y/F)</t>
  </si>
  <si>
    <t>GEN_T_2.0.spik_3423</t>
  </si>
  <si>
    <t>ADK0000000337</t>
  </si>
  <si>
    <t>MASTER.AL35-Y-121(6Y/F)</t>
  </si>
  <si>
    <t>GEN_T_2.0.spik_3424</t>
  </si>
  <si>
    <t>ADK0000000338</t>
  </si>
  <si>
    <t>MS.AL35-Y-131(37Y/F)</t>
  </si>
  <si>
    <t>GEN_T_2.0.spik_3425</t>
  </si>
  <si>
    <t>ADK0000000339</t>
  </si>
  <si>
    <t>MRS.MANDA SUMALATHA(35Y/F)</t>
  </si>
  <si>
    <t>GEN_T_2.0.spik_3426</t>
  </si>
  <si>
    <t>HYP0000000389</t>
  </si>
  <si>
    <t>Dr. Meera (08-04-2026)</t>
  </si>
  <si>
    <t>Analysis yet to start</t>
  </si>
  <si>
    <t>BABY.REGINAJOSLIN P(2 Y 0 M 0 D /Female)</t>
  </si>
  <si>
    <t>GEN_T_2.0.spik_3427</t>
  </si>
  <si>
    <t>PH50000001584</t>
  </si>
  <si>
    <t>MASTER.YUVANESH V (UMR2603051562)(4Y/M)</t>
  </si>
  <si>
    <t>GEN_T_2.0.spik_3428</t>
  </si>
  <si>
    <t>CHM0000006160</t>
  </si>
  <si>
    <t>13/04/2026</t>
  </si>
  <si>
    <t>MRS.SUGANYA(28Y/F)</t>
  </si>
  <si>
    <t>GEN_T_2.0.spik_3429</t>
  </si>
  <si>
    <t>GRM0000000953</t>
  </si>
  <si>
    <t>ISHA SPECIALITY CLINIC - PALLIKARANAI</t>
  </si>
  <si>
    <t>Vamsi (06-04-2026)</t>
  </si>
  <si>
    <t>24-04-26</t>
  </si>
  <si>
    <t>MR.SIVAKUMAR(37Y/M)</t>
  </si>
  <si>
    <t>GEN_T_2.0.spik_3430</t>
  </si>
  <si>
    <t>GRM0000000954</t>
  </si>
  <si>
    <t>MR.KANNAN P (49 Y 0 M 0 D /Male)</t>
  </si>
  <si>
    <t>GEN_T_2.0.spik_3431</t>
  </si>
  <si>
    <t>HCC0000002912</t>
  </si>
  <si>
    <t>HOME COLLECTION CENTRE - CC - CHENNAI</t>
  </si>
  <si>
    <t>Report preparation completed</t>
  </si>
  <si>
    <t>SURFseq- Run-68B</t>
  </si>
  <si>
    <t>MRS.SADHANA SINGH (30/F) AF</t>
  </si>
  <si>
    <t>GEN_T_2.0.spik_3394AF</t>
  </si>
  <si>
    <t>IDG0000000033</t>
  </si>
  <si>
    <t>MRS.SIDDHI PAWAR(32Y/F) AF</t>
  </si>
  <si>
    <t>GEN_T_2.0.spik_3432AF</t>
  </si>
  <si>
    <t>AMB0000006871</t>
  </si>
  <si>
    <t>MRS.SHAKUNTALA PANDYA(29Y/F)</t>
  </si>
  <si>
    <t>GEN_T_2.0.spik_3433</t>
  </si>
  <si>
    <t>AMB0000006720</t>
  </si>
  <si>
    <t>DR.CHINMAY PATAKI S WOMEN HOSPITAL LLP - DOMBIVILI</t>
  </si>
  <si>
    <t>25-03-26</t>
  </si>
  <si>
    <t>MR.DHANABALACHANDRAN D(33Y/M)</t>
  </si>
  <si>
    <t>GEN_T_2.0.spik_3434</t>
  </si>
  <si>
    <t>VRM0000000564</t>
  </si>
  <si>
    <t>VALARSARAVAKKAM - FRC - CHENNAI</t>
  </si>
  <si>
    <t>MRS.KAVITHA P (28 Y 0 M 0 D /Female)</t>
  </si>
  <si>
    <t>GEN_T_2.0.spik_3435</t>
  </si>
  <si>
    <t>VRM0000000565</t>
  </si>
  <si>
    <t>MRS.DONOR OF C SWAPNA W/O. V CHANDRA SEKAR(23Y/F)</t>
  </si>
  <si>
    <t>GEN_T_2.0.spik_3436</t>
  </si>
  <si>
    <t>HYP0000000498</t>
  </si>
  <si>
    <t>MRS.DONOR OF DEEPA HEER W/O. ANMOL JAIN(29Y/F)</t>
  </si>
  <si>
    <t>GEN_T_2.0.spik_3437</t>
  </si>
  <si>
    <t>HYP0000000499</t>
  </si>
  <si>
    <t>MR.SAGAR S(8 Y 0 M 0 D /Male)</t>
  </si>
  <si>
    <t>GEN_T_2.0.spik_3438</t>
  </si>
  <si>
    <t>ADB0000028458</t>
  </si>
  <si>
    <t xml:space="preserve">Cross check rework pending </t>
  </si>
  <si>
    <t>MRS.UMA MAHESWARI(29 Y 0 M 0 D /Female)</t>
  </si>
  <si>
    <t>GEN_T_2.0.spik_3439</t>
  </si>
  <si>
    <t>ACO0000002152</t>
  </si>
  <si>
    <t>MEENAKSHI PRIYA R</t>
  </si>
  <si>
    <t>MISS.ISHAL(8 Y 0 M 0 D /Female)</t>
  </si>
  <si>
    <t>GEN_T_2.0.spik_3440</t>
  </si>
  <si>
    <t>ACO0000002177</t>
  </si>
  <si>
    <t>KORAMBAYIL HOSPITAL &amp; DIAGNOSTIC CENTRE. PVT. LTD - MANJERI</t>
  </si>
  <si>
    <t>BABY OF.FAREEDA BEGUM(0 Y 0 M 17 D /Female)</t>
  </si>
  <si>
    <t>GEN_T_2.0.spik_3441</t>
  </si>
  <si>
    <t>CBC0000017601</t>
  </si>
  <si>
    <t>16.04.2026</t>
  </si>
  <si>
    <t>MR. M. Suresh(35Y/M)</t>
  </si>
  <si>
    <t>GEN_T_2.0.spik_3442</t>
  </si>
  <si>
    <t>HYP0000000447</t>
  </si>
  <si>
    <t>DR. K HARIKA REDDY</t>
  </si>
  <si>
    <t>MR.VIDHARRTH SRIVASTAVA(3Y/M)</t>
  </si>
  <si>
    <t>GEN_T_2.0.spik_3443</t>
  </si>
  <si>
    <t>DCC0000003237</t>
  </si>
  <si>
    <t>MR. VIRAJ SINGH 6Y/M</t>
  </si>
  <si>
    <t>GEN_T_2.0.spik_3444</t>
  </si>
  <si>
    <t>DCC0000003259</t>
  </si>
  <si>
    <t>Vamsi (04-04-2026)</t>
  </si>
  <si>
    <t>MR.MANIKANDAN(32Y/M)</t>
  </si>
  <si>
    <t>GEN_T_2.0.spik_3445</t>
  </si>
  <si>
    <t>ADK0000000359</t>
  </si>
  <si>
    <t>Writeup- 06-04-2026</t>
  </si>
  <si>
    <t>BABY.E SHERWIN ANTO(1Y/M)</t>
  </si>
  <si>
    <t>GEN_T_2.0.spik_3446</t>
  </si>
  <si>
    <t>ADK0000000360</t>
  </si>
  <si>
    <t>Dr. Meera (05-04-2026)</t>
  </si>
  <si>
    <t>MS.SATHYAPRIYA(26Y/F)</t>
  </si>
  <si>
    <t>GEN_T_2.0.spik_3447</t>
  </si>
  <si>
    <t>ADK0000000361</t>
  </si>
  <si>
    <t>BABY.LIYANSH(1Y/M)</t>
  </si>
  <si>
    <t>GEN_T_2.0.spik_3448</t>
  </si>
  <si>
    <t>ADK0000000362</t>
  </si>
  <si>
    <t>Dr. Meera (07-04-26)</t>
  </si>
  <si>
    <t>16-04-2026</t>
  </si>
  <si>
    <t>MR.RAMKRISHNAN K [2206](36Y/M)</t>
  </si>
  <si>
    <t>GEN_T_2.0.spik_3449</t>
  </si>
  <si>
    <t>SCF0000000295</t>
  </si>
  <si>
    <t>MRS.LAKSHMINI B [2206](35Y/F)</t>
  </si>
  <si>
    <t>GEN_T_2.0.spik_3450</t>
  </si>
  <si>
    <t>SCF0000000296</t>
  </si>
  <si>
    <t>MRS.VEENA K (940000223)(33Y/F)</t>
  </si>
  <si>
    <t>GEN_T_2.0.spik_3451</t>
  </si>
  <si>
    <t>CBC0000016034</t>
  </si>
  <si>
    <t>Vamshi (08-04-2026)</t>
  </si>
  <si>
    <t>MASTER.VENKATESH S(12 Y 0 M 0 D /Male)</t>
  </si>
  <si>
    <t>GEN_T_2.0.spik_3452</t>
  </si>
  <si>
    <t>CBC0000016702</t>
  </si>
  <si>
    <t>Dr. Meera (07-04-2026)</t>
  </si>
  <si>
    <t>history not available</t>
  </si>
  <si>
    <t>24-04-2026</t>
  </si>
  <si>
    <t>MR.VIKRANT KUKADE(13Y/M)</t>
  </si>
  <si>
    <t>GEN_T_2.0.spik_3453</t>
  </si>
  <si>
    <t>AMB0000006865</t>
  </si>
  <si>
    <t>20/04/2026</t>
  </si>
  <si>
    <t>MR.KAVIARASU(31Y/M)</t>
  </si>
  <si>
    <t>GEN_T_2.0.spik_3454</t>
  </si>
  <si>
    <t>ADB0000028372</t>
  </si>
  <si>
    <t>MRS.NIKITA(23Y/F)</t>
  </si>
  <si>
    <t>GEN_T_2.0.spik_3455</t>
  </si>
  <si>
    <t>ADH0000016729</t>
  </si>
  <si>
    <t>FANTASTIC DIAGNOSTIC LABORATORY - KALABURAGI</t>
  </si>
  <si>
    <t>MR.SIVA (940000224)(34Y/M)</t>
  </si>
  <si>
    <t>GEN_T_2.0.spik_3456</t>
  </si>
  <si>
    <t>CBC0000016033</t>
  </si>
  <si>
    <t>MRS.RESHMA BALESH MUNNOLLI(25Y/F) POC</t>
  </si>
  <si>
    <t>GEN_T_2.0.spik_3457</t>
  </si>
  <si>
    <t>ADH0000015979</t>
  </si>
  <si>
    <t>DR KAMAL PATIL - BELGAVI</t>
  </si>
  <si>
    <t>MRS.SHREYA GAYDOLE(22Y/F) poc</t>
  </si>
  <si>
    <t>GEN_T_2.0.spik_3458</t>
  </si>
  <si>
    <t>ADH0000016433</t>
  </si>
  <si>
    <t>MS.DENNISHA(25 Y 8 M 11 D /Female)</t>
  </si>
  <si>
    <t>GEN_T_2.0.spik_3459</t>
  </si>
  <si>
    <t>ADK0000000389</t>
  </si>
  <si>
    <t>Vamsi (08-04-26)</t>
  </si>
  <si>
    <t>14/04/2026</t>
  </si>
  <si>
    <t>MR.Y RAMESH BABU(33 Y 11 M 3 D /Male)</t>
  </si>
  <si>
    <t>GEN_T_2.0.spik_3460</t>
  </si>
  <si>
    <t>ADK0000000391</t>
  </si>
  <si>
    <t>MR.VIJAY SAGAR P (AHB0000034624) (48 Y 0 M 0 D /Male)</t>
  </si>
  <si>
    <t>GEN_T_2.0.spik_3461</t>
  </si>
  <si>
    <t>ADB0000028628</t>
  </si>
  <si>
    <t>APOLLO HOSPITAL BG ROAD - BANGALORE</t>
  </si>
  <si>
    <t>BABY.MEL-15976(3 Y 0 M 0 D /Male)</t>
  </si>
  <si>
    <t>GEN_T_2.0.spik_3462</t>
  </si>
  <si>
    <t>ADK0000000435</t>
  </si>
  <si>
    <t>MEL-16114 (30Y/F)</t>
  </si>
  <si>
    <t>GEN_T_2.0.spik_3463</t>
  </si>
  <si>
    <t>ADK0000000433</t>
  </si>
  <si>
    <t>MR.MEL-16103(31 Y 0 M 0 D /Male)</t>
  </si>
  <si>
    <t>GEN_T_2.0.spik_3464</t>
  </si>
  <si>
    <t>ADK0000000436</t>
  </si>
  <si>
    <t>MR.MEL-16112(32 Y 0 M 0 D /Male)</t>
  </si>
  <si>
    <t>GEN_T_2.0.spik_3465</t>
  </si>
  <si>
    <t>ADK0000000434</t>
  </si>
  <si>
    <t>MEL-16139(33Y/F)</t>
  </si>
  <si>
    <t>GEN_T_2.0.spik_3466</t>
  </si>
  <si>
    <t>ADK0000000493</t>
  </si>
  <si>
    <t>MS. BARSHA MAJI (AP03174)(18 Y 9 M 10 D /Female)</t>
  </si>
  <si>
    <t>GEN_T_2.0.spik_3467</t>
  </si>
  <si>
    <t>ADK0000000449</t>
  </si>
  <si>
    <t>BABY.SASHA PRASANTH (AN98602)(1 Y 6 M 19 D /Female)</t>
  </si>
  <si>
    <t>GEN_T_2.0.spik_3468</t>
  </si>
  <si>
    <t>ADK0000000450</t>
  </si>
  <si>
    <t>BABY.RONALDO (AL03876)(2 Y 7 M 20 D /Male)</t>
  </si>
  <si>
    <t>GEN_T_2.0.spik_3469</t>
  </si>
  <si>
    <t>ADK0000000431</t>
  </si>
  <si>
    <t>BABY.KRIDAY HEMBRAM (AP01098)(0 Y 7 M 20 D /Male)</t>
  </si>
  <si>
    <t>GEN_T_2.0.spik_3470</t>
  </si>
  <si>
    <t>ADK0000000432</t>
  </si>
  <si>
    <t>SURFseq- Run-69A</t>
  </si>
  <si>
    <t>MRS.GNANA BETSY B S (30 Y 3 M 26 D /Female) AF</t>
  </si>
  <si>
    <t>GEN_T_2.0.spik_3471AF</t>
  </si>
  <si>
    <t>PH50000004808</t>
  </si>
  <si>
    <t>UMA MAHESWARI M S P</t>
  </si>
  <si>
    <t>ANKITA</t>
  </si>
  <si>
    <t>GEN_T_2.0.spik_3472</t>
  </si>
  <si>
    <t>SMN analysis requested by Dr.Hedge hospital</t>
  </si>
  <si>
    <t xml:space="preserve">SMN1 &amp; SMN2 Normal </t>
  </si>
  <si>
    <t>MASTER.S RAGHAV (12 Y 0 M 0 D /Male)</t>
  </si>
  <si>
    <t>GEN_T_2.0.spik_3473</t>
  </si>
  <si>
    <t>GRM0000001176</t>
  </si>
  <si>
    <t>Dr. Meera (08-03-26)</t>
  </si>
  <si>
    <t>18.04.2026</t>
  </si>
  <si>
    <t>BABY.SAMRIDDHI DEY(0 Y 9 M 7 D /Female)</t>
  </si>
  <si>
    <t>GEN_T_2.0.spik_3474</t>
  </si>
  <si>
    <t>GRM0000001185</t>
  </si>
  <si>
    <t>MEDZTAR DIAGNOSTICS</t>
  </si>
  <si>
    <t>21-04-2026</t>
  </si>
  <si>
    <t>MRS.PAVANI SADABOINA W/O. VINOD KUMAR (ID 99365)(37 Y 2 M 5 D /Female)</t>
  </si>
  <si>
    <t>GEN_T_2.0.spik_3475</t>
  </si>
  <si>
    <t>HYP0000000557</t>
  </si>
  <si>
    <t>MAMATA FERTILITY CENTER (A UNIT OF IIRC PVT LTD - SECUNDERABAD)</t>
  </si>
  <si>
    <t>Dr. Sachin Sir review</t>
  </si>
  <si>
    <t>MR.VINOD KUMAR (ID 99365)(41 Y 9 M 3 D /Male)</t>
  </si>
  <si>
    <t>GEN_T_2.0.spik_3476</t>
  </si>
  <si>
    <t>HYP0000000558</t>
  </si>
  <si>
    <t>BABY.POORVIKRAJ J(9Y/M)</t>
  </si>
  <si>
    <t>GEN_T_2.0.spik_3477</t>
  </si>
  <si>
    <t>PH50000004591</t>
  </si>
  <si>
    <t>BABY.ZAYA ARIF MIRZA(4 Y 10 M 18 D /Male)</t>
  </si>
  <si>
    <t>GEN_T_2.0.spik_3478</t>
  </si>
  <si>
    <t>ADH0000017125</t>
  </si>
  <si>
    <t>SOUKHYADA HOSPITAL - DAVANAGERE</t>
  </si>
  <si>
    <t>Dr Meera(09-04-26)</t>
  </si>
  <si>
    <t>13-4-26</t>
  </si>
  <si>
    <t>MRS.MAMATHA W/O. CHANDRAKANTH(30 Y 6 M 28 D /Female) poc</t>
  </si>
  <si>
    <t>GEN_T_2.0.spik_3479</t>
  </si>
  <si>
    <t>HYP0000000551</t>
  </si>
  <si>
    <t>9M FERTILITY ANKURA HOSPITALS - MADINAGUDA</t>
  </si>
  <si>
    <t>History available from Deepika Mam</t>
  </si>
  <si>
    <t>DR.VARUN ANBUKUMAR(33 Y 0 M 0 D /Male)</t>
  </si>
  <si>
    <t>GEN_T_2.0.spik_3480</t>
  </si>
  <si>
    <t>ANK0000001419</t>
  </si>
  <si>
    <t>KANCHIPURAM - LAB - ROTN</t>
  </si>
  <si>
    <t>MRS.PRACHI YADAV(31Y/F) POC</t>
  </si>
  <si>
    <t>GEN_T_2.0.spik_3481</t>
  </si>
  <si>
    <t>IDG0000000037</t>
  </si>
  <si>
    <t>15/04/26</t>
  </si>
  <si>
    <t>BABY.JOE DAWSON(3Y/M)</t>
  </si>
  <si>
    <t>GEN_T_2.0.spik_3482</t>
  </si>
  <si>
    <t>ADK0000000487</t>
  </si>
  <si>
    <t>MR.T SIVA PRASAD(33 Y 0 M 0 D /Male)</t>
  </si>
  <si>
    <t>GEN_T_2.0.spik_3483</t>
  </si>
  <si>
    <t>HYP0000000619</t>
  </si>
  <si>
    <t>BIRTH HELP, THE FERTILITY CENTRE - GUNTUR</t>
  </si>
  <si>
    <t>Vamshi  (13-04-2026)</t>
  </si>
  <si>
    <t>MRS.T USHA RANI(33 Y 0 M 0 D /Female)</t>
  </si>
  <si>
    <t>GEN_T_2.0.spik_3484</t>
  </si>
  <si>
    <t>HYP0000000620</t>
  </si>
  <si>
    <t>AL-36-Y-156 (26Y/F)</t>
  </si>
  <si>
    <t>GEN_T_2.0.spik_3485</t>
  </si>
  <si>
    <t>ADK0000000500</t>
  </si>
  <si>
    <t>14.04.2026</t>
  </si>
  <si>
    <t>MR.AL-36-Y-148(22Y/M)</t>
  </si>
  <si>
    <t>GEN_T_2.0.spik_3486</t>
  </si>
  <si>
    <t>ADK0000000501</t>
  </si>
  <si>
    <t>MR.AL-36-Y-145(0Y/M)</t>
  </si>
  <si>
    <t>GEN_T_2.0.spik_3487</t>
  </si>
  <si>
    <t>ADK0000000502</t>
  </si>
  <si>
    <t>MR.AL-36-Y-140(61Y/M)</t>
  </si>
  <si>
    <t>GEN_T_2.0.spik_3488</t>
  </si>
  <si>
    <t>ADK0000000503</t>
  </si>
  <si>
    <t>MR.AL-36-Y-134(52Y/M)</t>
  </si>
  <si>
    <t>GEN_T_2.0.spik_3489</t>
  </si>
  <si>
    <t>ADK0000000504</t>
  </si>
  <si>
    <t>MS.AL-36-Y-153(24Y/F)</t>
  </si>
  <si>
    <t>GEN_T_2.0.spik_3490</t>
  </si>
  <si>
    <t>ADK0000000505</t>
  </si>
  <si>
    <t>MS.AL-36-CD-26-50(27Y/F)</t>
  </si>
  <si>
    <t>GEN_T_2.0.spik_3491</t>
  </si>
  <si>
    <t>ADK0000000506</t>
  </si>
  <si>
    <t>MS.AL-36-CD-26-52(30Y/F)</t>
  </si>
  <si>
    <t>GEN_T_2.0.spik_3492</t>
  </si>
  <si>
    <t>ADK0000000507</t>
  </si>
  <si>
    <t>BABY.AL-36-Y-160(4Y/M)</t>
  </si>
  <si>
    <t>GEN_T_2.0.spik_3493</t>
  </si>
  <si>
    <t>ADK0000000508</t>
  </si>
  <si>
    <t>MR.AL-36-Y-162(37Y/M)</t>
  </si>
  <si>
    <t>GEN_T_2.0.spik_3494</t>
  </si>
  <si>
    <t>ADK0000000509</t>
  </si>
  <si>
    <t>MASTER.AL-36-Y-164(13Y/M)</t>
  </si>
  <si>
    <t>GEN_T_2.0.spik_3495</t>
  </si>
  <si>
    <t>ADK0000000510</t>
  </si>
  <si>
    <t>BABY.AL-36-Y-168(3Y/F)</t>
  </si>
  <si>
    <t>GEN_T_2.0.spik_3496</t>
  </si>
  <si>
    <t>ADK0000000511</t>
  </si>
  <si>
    <t>MR.HBD165(0Y/M)</t>
  </si>
  <si>
    <t>GEN_T_2.0.spik_3497</t>
  </si>
  <si>
    <t>ADK0000000512</t>
  </si>
  <si>
    <t>BABY OF.NASREEN MAIRGOL(0Y/F)</t>
  </si>
  <si>
    <t>GEN_T_2.0.spik_3498</t>
  </si>
  <si>
    <t>ADH0000017422</t>
  </si>
  <si>
    <t>28-04-2026</t>
  </si>
  <si>
    <t>MR.PUTTASWAMY(42 Y 0 M 0 D /Male)</t>
  </si>
  <si>
    <t>GEN_T_2.0.spik_3499</t>
  </si>
  <si>
    <t>ADB0000029140</t>
  </si>
  <si>
    <t>Dr. Meera (13-04-26)</t>
  </si>
  <si>
    <t>MRS.SHALINI(35 Y 0 M 0 D /Female)</t>
  </si>
  <si>
    <t>GEN_T_2.0.spik_3500</t>
  </si>
  <si>
    <t>ADB0000029139</t>
  </si>
  <si>
    <t>MR.PUNITH S(30 Y 0 M 0 D /Male)</t>
  </si>
  <si>
    <t>GEN_T_2.0.spik_3501</t>
  </si>
  <si>
    <t>ADB0000029080</t>
  </si>
  <si>
    <t>16/04/26</t>
  </si>
  <si>
    <t>MR.KALAI SELVAN(30 Y 0 M 0 D /Male)</t>
  </si>
  <si>
    <t>GEN_T_2.0.spik_3502</t>
  </si>
  <si>
    <t>ADK0000000499</t>
  </si>
  <si>
    <t>20-04-2026</t>
  </si>
  <si>
    <t>SURFseq- Run-70B</t>
  </si>
  <si>
    <t>MRS.SYED ALI FATHIMA (AMNIOTIC FLUID) (29 Y 0 M 0 D /Female)</t>
  </si>
  <si>
    <t>GEN_T_2.0.spik_3503AF</t>
  </si>
  <si>
    <t>ATN0000002836</t>
  </si>
  <si>
    <t>LAKSHMI MADHAVAN HOSPITAL (P) LTD - THIRUNELVELI</t>
  </si>
  <si>
    <t>MRS.SYED ALI FATHIMA (29 Y 0 M 0 D /Female)</t>
  </si>
  <si>
    <t>GEN_T_2.0.spik_3504</t>
  </si>
  <si>
    <t>ATN0000002837</t>
  </si>
  <si>
    <t>MR.OMER SAHIB(39Y/M)</t>
  </si>
  <si>
    <t>GEN_T_2.0.spik_3505</t>
  </si>
  <si>
    <t>ATN0000002838</t>
  </si>
  <si>
    <t>DR.RUCHA MAYUR KONDEWAR(31Y/F)</t>
  </si>
  <si>
    <t>GEN_T_2.0.spik_3506</t>
  </si>
  <si>
    <t>AMB0000007150</t>
  </si>
  <si>
    <t>JEHANGIR HOSPITAL - PUNE</t>
  </si>
  <si>
    <t>MRS.LATHA N (27 Y 0 M 0 D /F)</t>
  </si>
  <si>
    <t>GEN_T_2.0.spik_3507</t>
  </si>
  <si>
    <t>ATR0000011022</t>
  </si>
  <si>
    <t>LAVANYA FERTILITY AND WOMEN HEALTH CENTRE - TIRUPATHI</t>
  </si>
  <si>
    <t xml:space="preserve">History pending </t>
  </si>
  <si>
    <t>25-04-2026</t>
  </si>
  <si>
    <t>MR.BALAJI N (32 Y 0 M 0 D /M)</t>
  </si>
  <si>
    <t>GEN_T_2.0.spik_3508</t>
  </si>
  <si>
    <t>ATR0000011021</t>
  </si>
  <si>
    <t>MR.PRATHABAN(23 Y 0 M 0 D /Male)</t>
  </si>
  <si>
    <t>GEN_T_2.0.spik_3509</t>
  </si>
  <si>
    <t>MDU0000004498</t>
  </si>
  <si>
    <t>ANDERSON DIAGNOSTIC CENTRE LAB</t>
  </si>
  <si>
    <t>Raghavi (General analysis)</t>
  </si>
  <si>
    <t>22-04-2026</t>
  </si>
  <si>
    <t>BABY.KANHA TIWARI(3Y/M)</t>
  </si>
  <si>
    <t>GEN_T_2.0.spik_3510</t>
  </si>
  <si>
    <t>ADK0000000517</t>
  </si>
  <si>
    <t>SUDHA RATHNA PRABHU</t>
  </si>
  <si>
    <t>17-04-26</t>
  </si>
  <si>
    <t>13_05_26</t>
  </si>
  <si>
    <t>MRS.CHEPORI ANKITHA (36/F)</t>
  </si>
  <si>
    <t>GEN_T_2.0.spik_3511</t>
  </si>
  <si>
    <t>HYP0000000642</t>
  </si>
  <si>
    <t>Recieved history on May 7th, Awaiting Dr. Sarath's review.</t>
  </si>
  <si>
    <t>15-05-2026</t>
  </si>
  <si>
    <t>MRS.KRISHNAKUMARI W/O GUGANATHAN (29 Y 0 M 0 D /F)</t>
  </si>
  <si>
    <t>GEN_T_2.0.spik_3512</t>
  </si>
  <si>
    <t>FR20000005734</t>
  </si>
  <si>
    <t>MR.MURUGAN (39 Y 0 M 0 D /M)</t>
  </si>
  <si>
    <t>GEN_T_2.0.spik_3513</t>
  </si>
  <si>
    <t>FR20000005702</t>
  </si>
  <si>
    <t>22-04-26</t>
  </si>
  <si>
    <t>BABY.MAHATHI (3 Y 0 M 0 D /Female)</t>
  </si>
  <si>
    <t>GEN_T_2.0.spik_3514</t>
  </si>
  <si>
    <t>PH50000004836</t>
  </si>
  <si>
    <t>Dr. Meera (13-04-2026)</t>
  </si>
  <si>
    <t>BABY.INIYA D(1 Y 0 M 0 D /Female)</t>
  </si>
  <si>
    <t>GEN_T_2.0.spik_3515</t>
  </si>
  <si>
    <t>PH50000005082</t>
  </si>
  <si>
    <t>Dr. Meera (09-04-2026)</t>
  </si>
  <si>
    <t>BABY.LAKSHITHA E V(1 Y 0 M 0 D /Female)</t>
  </si>
  <si>
    <t>GEN_T_2.0.spik_3516</t>
  </si>
  <si>
    <t>PH50000005084</t>
  </si>
  <si>
    <t>Dr Meera (15_04_26)</t>
  </si>
  <si>
    <t>MR.NENTA ANJANEYULU(33 Y 8 M 28 D /Male)</t>
  </si>
  <si>
    <t>GEN_T_2.0.spik_3517</t>
  </si>
  <si>
    <t>HYP0000000617</t>
  </si>
  <si>
    <t>MRS.N MANJULA (31/F)</t>
  </si>
  <si>
    <t>GEN_T_2.0.spik_3518</t>
  </si>
  <si>
    <t>HYP0000000616</t>
  </si>
  <si>
    <t>MR. VIGNESH PRASAD (242600638)(31Y/M)</t>
  </si>
  <si>
    <t>GEN_T_2.0.spik_3519</t>
  </si>
  <si>
    <t>ACO0000002696</t>
  </si>
  <si>
    <t>MRS.SANCHANA (242600638)(30Y/F)</t>
  </si>
  <si>
    <t>GEN_T_2.0.spik_3520</t>
  </si>
  <si>
    <t>ACO0000002697</t>
  </si>
  <si>
    <t>MR.THIRUNAVUKARASU(40Y/M)</t>
  </si>
  <si>
    <t>GEN_T_2.0.spik_3521</t>
  </si>
  <si>
    <t>FR20000005765</t>
  </si>
  <si>
    <t>15/04/2026</t>
  </si>
  <si>
    <t>Vamshi (15-04-2026)</t>
  </si>
  <si>
    <t>MISS.KEZIA CATHERINE J(23Y/F)</t>
  </si>
  <si>
    <t>MODY PANEL</t>
  </si>
  <si>
    <t>GEN_T_2.0.spik_3522</t>
  </si>
  <si>
    <t>PH50000004976</t>
  </si>
  <si>
    <t>dhivya</t>
  </si>
  <si>
    <t>History pending</t>
  </si>
  <si>
    <t>MR.G DAMODARAN(35 Y 6 M 29 D /Male)</t>
  </si>
  <si>
    <t>ADK0000000538</t>
  </si>
  <si>
    <t>16-04-26</t>
  </si>
  <si>
    <t>21/04/2026</t>
  </si>
  <si>
    <t>BABY OF.JINALI MEHTA(0Y/F)</t>
  </si>
  <si>
    <t>GEN_T_2.0.spik_3524</t>
  </si>
  <si>
    <t>AMB0000007250</t>
  </si>
  <si>
    <t>MEDANSH MULTISPECIALITY HOSPITAL - MUMBAI</t>
  </si>
  <si>
    <t>GEN_T_2.0.spik_3525</t>
  </si>
  <si>
    <t>AL37-Y-169 (2Y/M)</t>
  </si>
  <si>
    <t>GEN_T_2.0.spik_3526</t>
  </si>
  <si>
    <t>ADK0000000562</t>
  </si>
  <si>
    <t>20-4-26</t>
  </si>
  <si>
    <t>AL37-Y-171 (23Y/F)</t>
  </si>
  <si>
    <t>GEN_T_2.0.spik_3527</t>
  </si>
  <si>
    <t>ADK0000000555</t>
  </si>
  <si>
    <t>BABY.AL37-Y-173(3Y/M)</t>
  </si>
  <si>
    <t>GEN_T_2.0.spik_3528</t>
  </si>
  <si>
    <t>ADK0000000553</t>
  </si>
  <si>
    <t>MS.AL37-Y-177(17Y/f)</t>
  </si>
  <si>
    <t>GEN_T_2.0.spik_3529</t>
  </si>
  <si>
    <t>ADK0000000554</t>
  </si>
  <si>
    <t>BABY.AL37-Y-180(3Y/f)</t>
  </si>
  <si>
    <t>GEN_T_2.0.spik_3530</t>
  </si>
  <si>
    <t>ADK0000000560</t>
  </si>
  <si>
    <t>Pathogenic (CNBP)</t>
  </si>
  <si>
    <t>MASTER.AL37-Y-181(8y/F)</t>
  </si>
  <si>
    <t>GEN_T_2.0.spik_3531</t>
  </si>
  <si>
    <t>ADK0000000561</t>
  </si>
  <si>
    <t>MS.AL37-CD-26-53(33Y/f)</t>
  </si>
  <si>
    <t>GEN_T_2.0.spik_3532</t>
  </si>
  <si>
    <t>ADK0000000556</t>
  </si>
  <si>
    <t>MR.AL37-CD-26-54(0Y/M)</t>
  </si>
  <si>
    <t>GEN_T_2.0.spik_3533</t>
  </si>
  <si>
    <t>ADK0000000557</t>
  </si>
  <si>
    <t>MR.AL37-CD-26-60(0Y/M)</t>
  </si>
  <si>
    <t>GEN_T_2.0.spik_3534</t>
  </si>
  <si>
    <t>ADK0000000559</t>
  </si>
  <si>
    <t>MR.AL37-CD-26-61(55Y/M)</t>
  </si>
  <si>
    <t>GEN_T_2.0.spik_3535</t>
  </si>
  <si>
    <t>ADK0000000558</t>
  </si>
  <si>
    <t>MR.VIVEK KUMAR DAS (AN61713)(22Y/M)</t>
  </si>
  <si>
    <t>GEN_T_2.0.spik_3536</t>
  </si>
  <si>
    <t>ADK0000000565</t>
  </si>
  <si>
    <t>MR.AARIT JHAJHARIA (AN98281)(16Y/M)</t>
  </si>
  <si>
    <t>GEN_T_2.0.spik_3537</t>
  </si>
  <si>
    <t>ADK0000000566</t>
  </si>
  <si>
    <t>Greyzone (PPP2R2B)</t>
  </si>
  <si>
    <t>MRS.FATHIMATH SHAZRA(34Y/F)</t>
  </si>
  <si>
    <t>GEN_T_2.0.spik_3538</t>
  </si>
  <si>
    <t>CBC0000022889</t>
  </si>
  <si>
    <t>SABINE HOSPITALS - TRIVANDRUM</t>
  </si>
  <si>
    <t>Vamsi (15_04_26)</t>
  </si>
  <si>
    <t>MR.MOHAMED ALI NASEER(37Y/M)</t>
  </si>
  <si>
    <t>GEN_T_2.0.spik_3539</t>
  </si>
  <si>
    <t>CBC0000022891</t>
  </si>
  <si>
    <t>MR.SELVARAJ K(76 Y 2 M 7 D /Male)</t>
  </si>
  <si>
    <t>GEN_T_2.0.spik_3540</t>
  </si>
  <si>
    <t>ADR0000001631</t>
  </si>
  <si>
    <t>ADYAR - DIAG RAD - CHENNAI</t>
  </si>
  <si>
    <t>16/04/2026</t>
  </si>
  <si>
    <t>Greyzone (ATXN3)</t>
  </si>
  <si>
    <t>MR.PRANISH (9759714)(0 Y 0 M 0 D /Male)</t>
  </si>
  <si>
    <t>GEN_T_2.0.spik_3541</t>
  </si>
  <si>
    <t>ADK0000000580</t>
  </si>
  <si>
    <t>SURFseq- Run-71A</t>
  </si>
  <si>
    <t>MRS.KAVYA H C(32 Y 1 M 22 D /Female) AF</t>
  </si>
  <si>
    <t>GEN_T_2.0.spik_3542AF</t>
  </si>
  <si>
    <t>ADH0000017693</t>
  </si>
  <si>
    <t>MRS.ARPITHA S K(29Y/f) AF</t>
  </si>
  <si>
    <t>GEN_T_2.0.spik_3543AF</t>
  </si>
  <si>
    <t>ADH0000017755</t>
  </si>
  <si>
    <t>PATILS MULTISPECIALITY HOSPITAL, RANEBENNUR</t>
  </si>
  <si>
    <t>MRS.SARIKA AGRAHARI(31y/F) AF</t>
  </si>
  <si>
    <t>GEN_T_2.0.spik_3544AF</t>
  </si>
  <si>
    <t>IDG0000000047</t>
  </si>
  <si>
    <t>Pathogenic (TBP)</t>
  </si>
  <si>
    <t>MRS.T ANKAMMA JYOTHI (31 Y 0 M 0 D /Female)</t>
  </si>
  <si>
    <t>GEN_T_2.0.spik_3545</t>
  </si>
  <si>
    <t>HYP0000000725</t>
  </si>
  <si>
    <t>Keerthi</t>
  </si>
  <si>
    <t>MRS.SWARNA (24Y/F)</t>
  </si>
  <si>
    <t>GEN_T_2.0.spik_3546</t>
  </si>
  <si>
    <t>ATR0000011137</t>
  </si>
  <si>
    <t>MR.VENAKTESH (30Y/M)</t>
  </si>
  <si>
    <t>GEN_T_2.0.spik_3547</t>
  </si>
  <si>
    <t>ATR0000011138</t>
  </si>
  <si>
    <t>K SHANKARI (75Y/F)</t>
  </si>
  <si>
    <t>GEN_T_2.0.spik_3548</t>
  </si>
  <si>
    <t>sachin sir case will be billed</t>
  </si>
  <si>
    <t xml:space="preserve">Sachin sir will send to client </t>
  </si>
  <si>
    <t>SHUBHASHREE (38Y/F)</t>
  </si>
  <si>
    <t>GEN_T_2.0.spik_3549</t>
  </si>
  <si>
    <t>MRS. SHREYA ROY(38Y/F)</t>
  </si>
  <si>
    <t>GEN_T_2.0.spik_3550</t>
  </si>
  <si>
    <t>ADB0000029922</t>
  </si>
  <si>
    <t>MRS.G SANTHI (49 Y 0 M 0 D /Female)</t>
  </si>
  <si>
    <t>GEN_T_2.0.spik_3551</t>
  </si>
  <si>
    <t>ADB0000029888</t>
  </si>
  <si>
    <t>MRS.SAPTHAGIRIVASAN (30 Y 0 M 0 D /Female)</t>
  </si>
  <si>
    <t>GEN_T_2.0.spik_3552</t>
  </si>
  <si>
    <t>ADB0000029885</t>
  </si>
  <si>
    <t>MRS.SURYA (28 Y 0 M 0 D /Female)</t>
  </si>
  <si>
    <t>GEN_T_2.0.spik_3553</t>
  </si>
  <si>
    <t>ADB0000029887</t>
  </si>
  <si>
    <t>MRS.BHARTI(21Y/F) POC</t>
  </si>
  <si>
    <t>GEN_T_2.0.spik_3554</t>
  </si>
  <si>
    <t>DCC0000003430</t>
  </si>
  <si>
    <t>INDU HOSPITAL - HARYANA</t>
  </si>
  <si>
    <t>Dr. Meera (15-04-26)</t>
  </si>
  <si>
    <t>MRS.MOUNIKA D(24Y/f) poc</t>
  </si>
  <si>
    <t>GEN_T_2.0.spik_3555</t>
  </si>
  <si>
    <t>ABC0000000452</t>
  </si>
  <si>
    <t>BABY.SASHANTH B(4 Y 0 M 0 D /Male)</t>
  </si>
  <si>
    <t>GEN_T_2.0.spik_3556</t>
  </si>
  <si>
    <t>PH60000003076</t>
  </si>
  <si>
    <t>BABY.HARI AADHISHESAN B (4Y/M)</t>
  </si>
  <si>
    <t>GEN_T_2.0.spik_3557</t>
  </si>
  <si>
    <t>PH50000005570</t>
  </si>
  <si>
    <t>MASTER.ABHAY K(9Y/M)</t>
  </si>
  <si>
    <t>GEN_T_2.0.spik_3558</t>
  </si>
  <si>
    <t>ADH0000017756</t>
  </si>
  <si>
    <t>17-04-2026</t>
  </si>
  <si>
    <t>MRS.NAGAVENI (50Y/F)</t>
  </si>
  <si>
    <t>GEN_T_2.0.spik_3559</t>
  </si>
  <si>
    <t>ADB0000029584</t>
  </si>
  <si>
    <t>Dr Meera (09-4-26)</t>
  </si>
  <si>
    <t>MR.RAJESH ACHARYA(37 Y 0 M 0 D /Male)</t>
  </si>
  <si>
    <t>GEN_T_2.0.spik_3560</t>
  </si>
  <si>
    <t>ADB0000029742</t>
  </si>
  <si>
    <t>Report will be released by Sachin sir</t>
  </si>
  <si>
    <t>MRS.SHWETHA ACHARYA(33 Y 0 M 0 D /Female)</t>
  </si>
  <si>
    <t>GEN_T_2.0.spik_3561</t>
  </si>
  <si>
    <t>ADB0000029743</t>
  </si>
  <si>
    <t>MR.ABHISHEK SINDHWAL(36Y/M)</t>
  </si>
  <si>
    <t>GEN_T_2.0.spik_3562</t>
  </si>
  <si>
    <t>HYP0000000733</t>
  </si>
  <si>
    <t>19-04-2026</t>
  </si>
  <si>
    <t>Dr. Surbhi Review pending</t>
  </si>
  <si>
    <t>29-04-2026</t>
  </si>
  <si>
    <t>MRS.SHRUTI LAL W/O. ABHISHEK (HEG 03940)(36Y/F)</t>
  </si>
  <si>
    <t>GEN_T_2.0.spik_3563</t>
  </si>
  <si>
    <t>HYP0000000734</t>
  </si>
  <si>
    <t>BABY.AL38-Y-183(1Y/M)</t>
  </si>
  <si>
    <t>GEN_T_2.0.spik_3564</t>
  </si>
  <si>
    <t>ADK0000000667</t>
  </si>
  <si>
    <t>MISS.AL38-Y-199(11Y/F)</t>
  </si>
  <si>
    <t>GEN_T_2.0.spik_3565</t>
  </si>
  <si>
    <t>ADK0000000668</t>
  </si>
  <si>
    <t>MRS.AL38-Y-201(42Y/F)</t>
  </si>
  <si>
    <t>GEN_T_2.0.spik_3566</t>
  </si>
  <si>
    <t>ADK0000000669</t>
  </si>
  <si>
    <t>BABY.AL38-Y-204(1Y/M)</t>
  </si>
  <si>
    <t>GEN_T_2.0.spik_3567</t>
  </si>
  <si>
    <t>ADK0000000670</t>
  </si>
  <si>
    <t>MR.AL38-CD-26-64(33Y/M)</t>
  </si>
  <si>
    <t>GEN_T_2.0.spik_3568</t>
  </si>
  <si>
    <t>ADK0000000672</t>
  </si>
  <si>
    <t>BABY.M ANVIKA SAI(0 Y 6 M 6 D /Female)</t>
  </si>
  <si>
    <t>GEN_T_2.0.spik_3569</t>
  </si>
  <si>
    <t>ADK0000000612</t>
  </si>
  <si>
    <t>BABY.MAGIZHINI K (1 Y 0 M 0 D /Female)</t>
  </si>
  <si>
    <t>GEN_T_2.0.spik_3570</t>
  </si>
  <si>
    <t>PH50000006202</t>
  </si>
  <si>
    <t>MR.MANGAL DAS (HEG 40610)(35Y/M)</t>
  </si>
  <si>
    <t>GEN_T_2.0.spik_3571</t>
  </si>
  <si>
    <t>HYP0000000731</t>
  </si>
  <si>
    <t>Dr. Meera (15-04-2026)</t>
  </si>
  <si>
    <t>MRS.NIKITHA (HEG 40609)(27Y/F)</t>
  </si>
  <si>
    <t>GEN_T_2.0.spik_3572</t>
  </si>
  <si>
    <t>HYP0000000732</t>
  </si>
  <si>
    <t>MASTER.MANVITH H GOWDA(15 Y 0 M 0 D /Male)</t>
  </si>
  <si>
    <t>GEN_T_2.0.spik_3573</t>
  </si>
  <si>
    <t>ADB0000029974</t>
  </si>
  <si>
    <t>APOLLO BGS HOSPITAL - MYSORE</t>
  </si>
  <si>
    <t>Pathogenic (ATXN2)</t>
  </si>
  <si>
    <t>Vamsi (09-04-26)</t>
  </si>
  <si>
    <t>SURFseq- Run-73B</t>
  </si>
  <si>
    <t>MRS.DISHA SONI (27Y/F)(AF)</t>
  </si>
  <si>
    <t>GEN_T_2.0.spik_3574AF</t>
  </si>
  <si>
    <t>IDG0000000064</t>
  </si>
  <si>
    <t>18/04/2026</t>
  </si>
  <si>
    <t>Vamshi (10-04-2026)</t>
  </si>
  <si>
    <t>MRS.ALPANA(32Y/F) AF</t>
  </si>
  <si>
    <t>GEN_T_2.0.spik_3575AF</t>
  </si>
  <si>
    <t>ADB0000030930</t>
  </si>
  <si>
    <t>22/04/2026</t>
  </si>
  <si>
    <t>Fast TAT</t>
  </si>
  <si>
    <t>MRS.SUPRIYA P(29Y/F)</t>
  </si>
  <si>
    <t>GEN_T_2.0.spik_3576</t>
  </si>
  <si>
    <t>ATR0000011428</t>
  </si>
  <si>
    <t>Vamshi (11-04-2026)</t>
  </si>
  <si>
    <t>MR.MURALI KRISHNA V(37Y/M)</t>
  </si>
  <si>
    <t>GEN_T_2.0.spik_3577</t>
  </si>
  <si>
    <t>ATR0000011429</t>
  </si>
  <si>
    <t>MRS.ARAYAMA PRASAD (37F)</t>
  </si>
  <si>
    <t>GEN_T_2.0.spik_3578</t>
  </si>
  <si>
    <t>HYP0000000833</t>
  </si>
  <si>
    <t>FERTILITY BY ANKURA HOSPITAL - HYDERABAD</t>
  </si>
  <si>
    <t>MR.MAYANK KOUSHAL (38/M)</t>
  </si>
  <si>
    <t>GEN_T_2.0.spik_3579</t>
  </si>
  <si>
    <t>HYP0000000834</t>
  </si>
  <si>
    <t>MASTER.ADHITHYA U ACHARYA (10 Y 0 M 0 D/MALE )</t>
  </si>
  <si>
    <t>GEN_T_2.0.spik_3580</t>
  </si>
  <si>
    <t>HYP0000000855</t>
  </si>
  <si>
    <t>Pathogenic (DMPK)</t>
  </si>
  <si>
    <t>GEN_T_2.0.spik_3581</t>
  </si>
  <si>
    <t>Discuss with Siva Sir</t>
  </si>
  <si>
    <t>Dr. Sachin Sir case</t>
  </si>
  <si>
    <t>MRS.RUPALI KARALE(32Y/F)</t>
  </si>
  <si>
    <t>GEN_T_2.0.spik_3582</t>
  </si>
  <si>
    <t>ADB0000030405</t>
  </si>
  <si>
    <t>SINDHU</t>
  </si>
  <si>
    <t>22-4-26</t>
  </si>
  <si>
    <t>MRS.NANDINI K(31Y/F)</t>
  </si>
  <si>
    <t>GEN_T_2.0.spik_3583</t>
  </si>
  <si>
    <t>ADB0000030402</t>
  </si>
  <si>
    <t>MRS.AKHILA NAIDU (30 Y 0 M 0 D/F)</t>
  </si>
  <si>
    <t>GEN_T_2.0.spik_3584</t>
  </si>
  <si>
    <t>ATR0000011586</t>
  </si>
  <si>
    <t>30-4-26</t>
  </si>
  <si>
    <t>MRS.ANEE LAKSHMI TARABAI W/O. V AASHISH(37Y/F)</t>
  </si>
  <si>
    <t>GEN_T_2.0.spik_3585</t>
  </si>
  <si>
    <t>HYP0000000900</t>
  </si>
  <si>
    <t>keerthi</t>
  </si>
  <si>
    <t>BABY GOPI KA H(1Y/F)</t>
  </si>
  <si>
    <t>GEN_T_2.0.spik_3586</t>
  </si>
  <si>
    <t>PH50000006458</t>
  </si>
  <si>
    <t>BABY.DIPSHIKHA DAS(0 Y 8 M 0 D /Female)</t>
  </si>
  <si>
    <t>GEN_T_2.0.spik_3587</t>
  </si>
  <si>
    <t>GRM0000001568</t>
  </si>
  <si>
    <t>SHARON CLEMENT</t>
  </si>
  <si>
    <t>MR.V GURU PAVAN(2Y/M)</t>
  </si>
  <si>
    <t>GEN_T_2.0.spik_3588</t>
  </si>
  <si>
    <t>HYP0000000805</t>
  </si>
  <si>
    <t>MS.ANITHA(23 Y 9 M 20 D /Female)</t>
  </si>
  <si>
    <t>GEN_T_2.0.spik_3589</t>
  </si>
  <si>
    <t>ADK0000000607</t>
  </si>
  <si>
    <t>MS.RAHMATI KHATOON(21 Y 2 M 20 D /Female)</t>
  </si>
  <si>
    <t>GEN_T_2.0.spik_3590</t>
  </si>
  <si>
    <t>ADK0000000610</t>
  </si>
  <si>
    <t>20-04-26</t>
  </si>
  <si>
    <t>MR.M D SAJID(34 Y 2 M 20 D /Male)</t>
  </si>
  <si>
    <t>GEN_T_2.0.spik_3591</t>
  </si>
  <si>
    <t>ADK0000000611</t>
  </si>
  <si>
    <t>MRS.MEENA MOLE (38 Y 0 M 0 D )</t>
  </si>
  <si>
    <t>GEN_T_2.0.spik_3592</t>
  </si>
  <si>
    <t>AMB0000007563</t>
  </si>
  <si>
    <t>MRS.SANJAY MORE (42 Y 0 M 0 D )</t>
  </si>
  <si>
    <t>GEN_T_2.0.spik_3593</t>
  </si>
  <si>
    <t>AMB0000007564</t>
  </si>
  <si>
    <t>MRS.SUDHA(38y/f)</t>
  </si>
  <si>
    <t>GEN_T_2.0.spik_3594</t>
  </si>
  <si>
    <t>ADB0000030037</t>
  </si>
  <si>
    <t>GUNAM HOSPITAL - HOSUR</t>
  </si>
  <si>
    <t>MRS.VIRUMTHAMBAL(35Y/F)</t>
  </si>
  <si>
    <t>GEN_T_2.0.spik_3595</t>
  </si>
  <si>
    <t>FR20000006316</t>
  </si>
  <si>
    <t>Dr Meera (18_04_26)</t>
  </si>
  <si>
    <t>MASTER.SHUVODEEP DAS (AF94687)(6Y/M)</t>
  </si>
  <si>
    <t>GEN_T_2.0.spik_3596</t>
  </si>
  <si>
    <t>ADK0000000750</t>
  </si>
  <si>
    <t>BABY.NIMALKUMARAN (0 Y 5 M 0 D/MALE )</t>
  </si>
  <si>
    <t>GEN_T_2.0.spik_3597</t>
  </si>
  <si>
    <t>PH50000006925</t>
  </si>
  <si>
    <t>MRS.SARANYA (31 Y 0 M 0 D )</t>
  </si>
  <si>
    <t>GEN_T_2.0.spik_3598</t>
  </si>
  <si>
    <t>PH50000006928</t>
  </si>
  <si>
    <t>29.04.2026</t>
  </si>
  <si>
    <t>MR.VENKATA CHALAPATHY(54Y/M)</t>
  </si>
  <si>
    <t>GEN_T_2.0.spik_3599</t>
  </si>
  <si>
    <t>ADB0000030179</t>
  </si>
  <si>
    <t>MR.JAI KRISHNA V (16 Y 0 M 0 D/ M )</t>
  </si>
  <si>
    <t>GEN_T_2.0.spik_3600</t>
  </si>
  <si>
    <t>CBC0000027671</t>
  </si>
  <si>
    <t>BABY.IRALA VENKATA SAI ROHAN(2y/m)</t>
  </si>
  <si>
    <t>GEN_T_2.0.spik_3601</t>
  </si>
  <si>
    <t>ADK0000000724</t>
  </si>
  <si>
    <t>BABY.ANVIE SAAISRRESHTA(5Y/F)</t>
  </si>
  <si>
    <t>GEN_T_2.0.spik_3602</t>
  </si>
  <si>
    <t>ADK0000000725</t>
  </si>
  <si>
    <t>Dr. Meera (18-04-2026)</t>
  </si>
  <si>
    <t>MRS.SANGEETA A BHOSALE(59Y/F)</t>
  </si>
  <si>
    <t>GEN_T_2.0.spik_3603</t>
  </si>
  <si>
    <t>AMB0000006873</t>
  </si>
  <si>
    <t xml:space="preserve">Semt to Siva sir </t>
  </si>
  <si>
    <t>DR.BALAVATHY SUCHETHA(70Y/F)</t>
  </si>
  <si>
    <t>GEN_T_2.0.spik_3604</t>
  </si>
  <si>
    <t>FR20000006416</t>
  </si>
  <si>
    <t>23/04/2026</t>
  </si>
  <si>
    <t>MR.MANI SUDALAIMUTHU (49 Y 0 M 0/MALE)</t>
  </si>
  <si>
    <t>GEN_T_2.0.spik_3605</t>
  </si>
  <si>
    <t>ATN0000003598</t>
  </si>
  <si>
    <t>MR.ERAIANBU P (15 Y 0 M 0/M)</t>
  </si>
  <si>
    <t>GEN_T_2.0.spik_3606</t>
  </si>
  <si>
    <t>CHM0000014293</t>
  </si>
  <si>
    <t>LAKSHMI NARASIMAN</t>
  </si>
  <si>
    <t>Dr Meera (21_04_26)</t>
  </si>
  <si>
    <t>BABY.MATHESWARAN(4Y/M)</t>
  </si>
  <si>
    <t>GEN_T_2.0.spik_3607</t>
  </si>
  <si>
    <t>PH50000007782</t>
  </si>
  <si>
    <t>26/04/2026</t>
  </si>
  <si>
    <t>30-04-2026</t>
  </si>
  <si>
    <t>MR.MANOGARAN(40Y/M)</t>
  </si>
  <si>
    <t>GEN_T_2.0.spik_3608</t>
  </si>
  <si>
    <t>PH50000007783</t>
  </si>
  <si>
    <t>MRS.FOUZIA BEGUM(37Y/F)</t>
  </si>
  <si>
    <t>GEN_T_2.0.spik_3609</t>
  </si>
  <si>
    <t>HYP0000000880</t>
  </si>
  <si>
    <t>25/04/2026</t>
  </si>
  <si>
    <t>sanjay (23/04/2026)</t>
  </si>
  <si>
    <t>30/04/2026</t>
  </si>
  <si>
    <t>MRS.ALEKHYA DEVI BANDARU W/O. P VENKATA SAGAR (9MGHB 1249)(32Y/F)</t>
  </si>
  <si>
    <t>GEN_T_2.0.spik_3610</t>
  </si>
  <si>
    <t>HYP0000000899</t>
  </si>
  <si>
    <t>Dr. Meera (20-04-2026)</t>
  </si>
  <si>
    <t>MR.VENKATA SAGAR PULAVARTHI (9MGHB 1248)(32Y/M)</t>
  </si>
  <si>
    <t>GEN_T_2.0.spik_3611</t>
  </si>
  <si>
    <t>HYP0000000898</t>
  </si>
  <si>
    <t>MRS.SRILAXMI RAJABOINA (HEG M0035559)(38Y/F)</t>
  </si>
  <si>
    <t>GEN_T_2.0.spik_3612</t>
  </si>
  <si>
    <t>HYP0000000904</t>
  </si>
  <si>
    <t>Dr Meera (22_04_26)</t>
  </si>
  <si>
    <t>29-04-26</t>
  </si>
  <si>
    <t>MR.K RAKESH KUMAR (HEG M0035560)(39Y/M)</t>
  </si>
  <si>
    <t>GEN_T_2.0.spik_3613</t>
  </si>
  <si>
    <t>HYP0000000905</t>
  </si>
  <si>
    <t>29-04-27</t>
  </si>
  <si>
    <t>SMRUTI RANJAN BEHERA (34Y/M)</t>
  </si>
  <si>
    <t>GEN_T_2.0.spik_3614</t>
  </si>
  <si>
    <t>wes with prepgt anand sir</t>
  </si>
  <si>
    <t>DEBASMITA MOHAPATRA (28Y/F)</t>
  </si>
  <si>
    <t>GEN_T_2.0.spik_3615</t>
  </si>
  <si>
    <t>MR.AL39-Y-207(25y/m)</t>
  </si>
  <si>
    <t>GEN_T_2.0.spik_3616</t>
  </si>
  <si>
    <t>ADK0000000797</t>
  </si>
  <si>
    <t>Dr. Sudha</t>
  </si>
  <si>
    <t>21.04.2026</t>
  </si>
  <si>
    <t>MR.AL39-Y-222(50Y/M)</t>
  </si>
  <si>
    <t>GEN_T_2.0.spik_3617</t>
  </si>
  <si>
    <t>ADK0000000798</t>
  </si>
  <si>
    <t>MR.SUVANKAR DAS (AP20587)(38Y/M)</t>
  </si>
  <si>
    <t>GEN_T_2.0.spik_3618</t>
  </si>
  <si>
    <t>ADK0000000865</t>
  </si>
  <si>
    <t>MR.JEASMIN AKTER (0070204)(33y/m)</t>
  </si>
  <si>
    <t>GEN_T_2.0.spik_3619</t>
  </si>
  <si>
    <t>ADK0000000864</t>
  </si>
  <si>
    <t>MR.RAGHIB HASAN AVI (417572P)(34Y/M)</t>
  </si>
  <si>
    <t>GEN_T_2.0.spik_3620</t>
  </si>
  <si>
    <t>ADK0000000866</t>
  </si>
  <si>
    <t>BABY.JAISHVA (AL04074)(2Y/M)</t>
  </si>
  <si>
    <t>GEN_T_2.0.spik_3621</t>
  </si>
  <si>
    <t>ADK0000000867</t>
  </si>
  <si>
    <t>MR.CHINNA DURAI B (61 Y 0 M 0 D /M)</t>
  </si>
  <si>
    <t>GEN_T_2.0.spik_3622</t>
  </si>
  <si>
    <t>ADK0000000828</t>
  </si>
  <si>
    <t>CHENNAI NATIONAL HOSPITAL (CGHS) - PARRYS</t>
  </si>
  <si>
    <t>27/04/2026</t>
  </si>
  <si>
    <t>MRS.ANITHA K (24 Y 1 M 11 D /F)</t>
  </si>
  <si>
    <t>GEN_T_2.0.spik_3623</t>
  </si>
  <si>
    <t>ABC0000000630</t>
  </si>
  <si>
    <t>MS.LATHA (AN97693)(22Y/F)</t>
  </si>
  <si>
    <t>GEN_T_2.0.spik_3624</t>
  </si>
  <si>
    <t>ADK0000000752</t>
  </si>
  <si>
    <t>BABY.HEMAMALINI PS BABY (AL20226)(1Y/F)</t>
  </si>
  <si>
    <t>GEN_T_2.0.spik_3625</t>
  </si>
  <si>
    <t>ADK0000000751</t>
  </si>
  <si>
    <t>MASTER.MOHITH S(8Y/M)</t>
  </si>
  <si>
    <t>GEN_T_2.0.spik_3626</t>
  </si>
  <si>
    <t>GRM0000001703</t>
  </si>
  <si>
    <t>RESHMI</t>
  </si>
  <si>
    <t>MR.KUMAR (50/M)</t>
  </si>
  <si>
    <t>GEN_T_2.0.spik_3627</t>
  </si>
  <si>
    <t>CBC0000026935</t>
  </si>
  <si>
    <t>Greyzone (CSTB),Pathogenic (TCF4)</t>
  </si>
  <si>
    <t>BABY.THANVIKA SREE (240908849)(1y/f)</t>
  </si>
  <si>
    <t>GEN_T_2.0.spik_3628</t>
  </si>
  <si>
    <t>ANG0000003478</t>
  </si>
  <si>
    <t>MR.SUNDARA MOORTHY.C(32Y/M)</t>
  </si>
  <si>
    <t>GEN_T_2.0.spik_3629</t>
  </si>
  <si>
    <t>MDU0000006583</t>
  </si>
  <si>
    <t>sanjay (25/04/2026)</t>
  </si>
  <si>
    <t>SURFseq- Run-74B</t>
  </si>
  <si>
    <t>MRS.VEENA R(27Y/F) AF</t>
  </si>
  <si>
    <t>GEN_T_2.0.spik_3630AF</t>
  </si>
  <si>
    <t>ADH0000019224</t>
  </si>
  <si>
    <t>MRS.VEENA R(27Y/F)</t>
  </si>
  <si>
    <t>GEN_T_2.0.spik_3631</t>
  </si>
  <si>
    <t>ADH0000019222</t>
  </si>
  <si>
    <t>17-04-2027</t>
  </si>
  <si>
    <t>MR.RAMESH(34Y/F)</t>
  </si>
  <si>
    <t>GEN_T_2.0.spik_3632</t>
  </si>
  <si>
    <t>ADH0000019223</t>
  </si>
  <si>
    <t>17-04-2028</t>
  </si>
  <si>
    <t>DR.VENKATRAMANAN (38 Y 0 M 0 D /M)</t>
  </si>
  <si>
    <t>GEN_T_2.0.spik_3633</t>
  </si>
  <si>
    <t>GRM0000002597</t>
  </si>
  <si>
    <t>RUKKAYAL FATHIMA</t>
  </si>
  <si>
    <t>Vamsi (14_04_26)</t>
  </si>
  <si>
    <t>DR.INDHUJA K (36 Y 0 M 0 D /F)</t>
  </si>
  <si>
    <t>GEN_T_2.0.spik_3634</t>
  </si>
  <si>
    <t>GRM0000002596</t>
  </si>
  <si>
    <t>MRS.DIVYA BHARATHI(33Y/F)</t>
  </si>
  <si>
    <t>GEN_T_2.0.spik_3635</t>
  </si>
  <si>
    <t>MDU0000008122</t>
  </si>
  <si>
    <t>17/04/2026</t>
  </si>
  <si>
    <t xml:space="preserve">Keerthi </t>
  </si>
  <si>
    <t>14-04-26</t>
  </si>
  <si>
    <t>21-4-26</t>
  </si>
  <si>
    <t>BABY.AIRA S(0Y/F)</t>
  </si>
  <si>
    <t>GEN_T_2.0.spik_3636</t>
  </si>
  <si>
    <t>ADK0000000850</t>
  </si>
  <si>
    <t>28/04/2026</t>
  </si>
  <si>
    <t>BABY.GONUGUNTA DHEEKSHITH REDDY(2Y/M)</t>
  </si>
  <si>
    <t>GEN_T_2.0.spik_3637</t>
  </si>
  <si>
    <t>ADK0000000851</t>
  </si>
  <si>
    <t>BABY OF.NEELAVENI(0Y/F)</t>
  </si>
  <si>
    <t>GEN_T_2.0.spik_3638</t>
  </si>
  <si>
    <t>ADK0000000852</t>
  </si>
  <si>
    <t>02.05.2026</t>
  </si>
  <si>
    <t>MR.MOHAMMAD ISMAIL(0Y/M)</t>
  </si>
  <si>
    <t>GEN_T_2.0.spik_3639</t>
  </si>
  <si>
    <t>ADK0000000853</t>
  </si>
  <si>
    <t>Dr. Meera (24-04-2026)</t>
  </si>
  <si>
    <t>MR.DIVYANSH (16 Y 0 M 0 D /M)</t>
  </si>
  <si>
    <t>GEN_T_2.0.spik_3640</t>
  </si>
  <si>
    <t>HCC0000005858</t>
  </si>
  <si>
    <t>SUDHA RATHANA PRABHU</t>
  </si>
  <si>
    <t>Under Dr. SRP review</t>
  </si>
  <si>
    <t>15- 05-2026</t>
  </si>
  <si>
    <t>MRS.SHEETAL MORE (28Y/F)poc</t>
  </si>
  <si>
    <t>GEN_T_2.0.spik_3641</t>
  </si>
  <si>
    <t>ADB0000031023</t>
  </si>
  <si>
    <t>DR.MADHURI SUMANTH</t>
  </si>
  <si>
    <t>MASTER.YUVANESH (13 Y 0 M 0 D /M)</t>
  </si>
  <si>
    <t>GEN_T_2.0.spik_3642</t>
  </si>
  <si>
    <t>PH50000008152</t>
  </si>
  <si>
    <t>MISS.ABITHA D(19Y/F)</t>
  </si>
  <si>
    <t>GEN_T_2.0.spik_3643</t>
  </si>
  <si>
    <t>PH50000008361</t>
  </si>
  <si>
    <t>vikram</t>
  </si>
  <si>
    <t>MR.SIDDHARTH SHARMA (35 Y 0 M 0 D /M)</t>
  </si>
  <si>
    <t>GEN_T_2.0.spik_3644</t>
  </si>
  <si>
    <t>IDG0000000075</t>
  </si>
  <si>
    <t>Dr Meera (25_04_26)</t>
  </si>
  <si>
    <t>27-04-26</t>
  </si>
  <si>
    <t>MRS.SHRUTI NANDWANA (31 Y 0 M 0 D/F)</t>
  </si>
  <si>
    <t>GEN_T_2.0.spik_3645</t>
  </si>
  <si>
    <t>IDG0000000076</t>
  </si>
  <si>
    <t>MR.VIJAY PATEL (28 Y 7 M 10 D /M)</t>
  </si>
  <si>
    <t>GEN_T_2.0.spik_3646</t>
  </si>
  <si>
    <t>AMB0000007834</t>
  </si>
  <si>
    <t>DR. KAPIL KOCHHAR SEXOLOGIST - INDORE</t>
  </si>
  <si>
    <t>02.05.2025</t>
  </si>
  <si>
    <t>MRS.ROOPA BYAGI(29Y/F) POC</t>
  </si>
  <si>
    <t>GEN_T_2.0.spik_3647</t>
  </si>
  <si>
    <t>ADH0000019532</t>
  </si>
  <si>
    <t>ISHA HOSPITAL - GOKAK</t>
  </si>
  <si>
    <t>MASTER.MUHAMMAD FAZIL(7Y/M)</t>
  </si>
  <si>
    <t>GEN_T_2.0.spik_3648</t>
  </si>
  <si>
    <t>BABY.S D SYED MOHAMMEED MAHIL(1Y/M)</t>
  </si>
  <si>
    <t>GEN_T_2.0.spik_3649</t>
  </si>
  <si>
    <t>ADK0000000849</t>
  </si>
  <si>
    <t>MASTER.ABHIGYAN PANDEY(1Y/M)</t>
  </si>
  <si>
    <t>GEN_T_2.0.spik_3650</t>
  </si>
  <si>
    <t>DCC0000003630</t>
  </si>
  <si>
    <t>Greyzone (CSTB),Greyzone (HTT)</t>
  </si>
  <si>
    <t>Dr. Meera (22-04-2026)</t>
  </si>
  <si>
    <t>MS.RAMYA D (AP24632)(26Y/F)</t>
  </si>
  <si>
    <t>GEN_T_2.0.spik_3651</t>
  </si>
  <si>
    <t>ADK0000000898</t>
  </si>
  <si>
    <t>MR.THENPANDIAN MANI (AG74771)(31Y/M)</t>
  </si>
  <si>
    <t>GEN_T_2.0.spik_3652</t>
  </si>
  <si>
    <t>ADK0000000895</t>
  </si>
  <si>
    <t>MR.ANKIT SATPATI (AP30751)(0Y/M)</t>
  </si>
  <si>
    <t>GEN_T_2.0.spik_3653</t>
  </si>
  <si>
    <t>ADK0000000897</t>
  </si>
  <si>
    <t>SURFseq- Run-75</t>
  </si>
  <si>
    <t>MR.RAMU P(37 Y 0 M 0 D /Male)</t>
  </si>
  <si>
    <t>GEN_T_2.0.spik_3654</t>
  </si>
  <si>
    <t>ATR0000011795</t>
  </si>
  <si>
    <t>MR.BIJAN KUMAR SADHU(SN00886398)(34Y/M)</t>
  </si>
  <si>
    <t>GEN_T_2.0.spik_3655</t>
  </si>
  <si>
    <t>ANV0000000609</t>
  </si>
  <si>
    <t>MR.RAKESH KUMAR VISHNU (2603053533) (34 Y 0 M 0 D/M)</t>
  </si>
  <si>
    <t>GEN_T_2.0.spik_3656</t>
  </si>
  <si>
    <t>CHM0000016748</t>
  </si>
  <si>
    <t>A4 FERTILITY - SELAIYUR</t>
  </si>
  <si>
    <t>MR.UDHAY KUMAR 41Y/M</t>
  </si>
  <si>
    <t>GEN_T_2.0.spik_3657</t>
  </si>
  <si>
    <t>ATR0000011934</t>
  </si>
  <si>
    <t>MR.KISHORE R 41Y/M</t>
  </si>
  <si>
    <t>GEN_T_2.0.spik_3658</t>
  </si>
  <si>
    <t>ATR0000011935</t>
  </si>
  <si>
    <t>MRS.ASHA YADAWAD (ID 1389/W) (31 Y 0 M 0 D /F)</t>
  </si>
  <si>
    <t>GEN_T_2.0.spik_3659</t>
  </si>
  <si>
    <t>HYP0000001053</t>
  </si>
  <si>
    <t>MR.SARAVAN JAYAM(27Y/M)</t>
  </si>
  <si>
    <t>GEN_T_2.0.spik_3660</t>
  </si>
  <si>
    <t>ADB0000031238</t>
  </si>
  <si>
    <t>23-4-2026</t>
  </si>
  <si>
    <t>MRS.SNEHITHA(26Y/F)</t>
  </si>
  <si>
    <t>GEN_T_2.0.spik_3661</t>
  </si>
  <si>
    <t>ADB0000031236</t>
  </si>
  <si>
    <t>BABY OF.SNEHITHA(26Y/other_) POC</t>
  </si>
  <si>
    <t>GEN_T_2.0.spik_3662</t>
  </si>
  <si>
    <t>ADB0000031237</t>
  </si>
  <si>
    <t>MR.MANMOHAN REDDY W/O. KAVYA VULUPALA (37 Y 6 M 26 D /M)</t>
  </si>
  <si>
    <t>GEN_T_2.0.spik_3663</t>
  </si>
  <si>
    <t>HYP0000001046</t>
  </si>
  <si>
    <t>MRS.KAVYA VULUPALA W/O. MANMOHAN REDDY (28 Y 9 M 21 D /Female)</t>
  </si>
  <si>
    <t>GEN_T_2.0.spik_3664</t>
  </si>
  <si>
    <t>HYP0000001127</t>
  </si>
  <si>
    <t>MRS.JHANSI KAKUMANU (HEG 40369) (35 Y 7 M 11 D /F)</t>
  </si>
  <si>
    <t>GEN_T_2.0.spik_3665</t>
  </si>
  <si>
    <t>HYP0000001023</t>
  </si>
  <si>
    <t>Dr. Meera (21-04-2026)</t>
  </si>
  <si>
    <t>Released in ITdose</t>
  </si>
  <si>
    <t>MR.YESU BABU KAKUMANU (HEG 40370) (40 Y 7 M 16 D /M)</t>
  </si>
  <si>
    <t>GEN_T_2.0.spik_3666</t>
  </si>
  <si>
    <t>HYP0000001024</t>
  </si>
  <si>
    <t>MR.AMARNATH B R(28Y/M)</t>
  </si>
  <si>
    <t>GEN_T_2.0.spik_3667</t>
  </si>
  <si>
    <t>ADB0000031233</t>
  </si>
  <si>
    <t>SANTASA FERTILITY AND IVF - MYSORE (A UNIT OF SANTASA FERTILITY PVT LTD)</t>
  </si>
  <si>
    <t>MR.MITHUN KUMAR(31 Y 0 M 0 D /Male)</t>
  </si>
  <si>
    <t>GEN_T_2.0.spik_3668</t>
  </si>
  <si>
    <t>Dr Meera (28_04_26)</t>
  </si>
  <si>
    <t>BABY.MITHRAN KARTHIK (2 Y 0 M 0 D /M)</t>
  </si>
  <si>
    <t>GEN_T_2.0.spik_3669</t>
  </si>
  <si>
    <t>ANL0000005467</t>
  </si>
  <si>
    <t>MR.NARESH (312031C) (50 Y 8 M 20 D /Male)</t>
  </si>
  <si>
    <t>GEN_T_2.0.spik_3670</t>
  </si>
  <si>
    <t>ADK0000001005</t>
  </si>
  <si>
    <t>MR.ANIKET PATNI(37Y/M) H/O MRS.SONIA MALANI(39Y/F) (RUN 76)</t>
  </si>
  <si>
    <t>GEN_T_2.0.spik_3671</t>
  </si>
  <si>
    <t>AMB0000008192</t>
  </si>
  <si>
    <t>SAHYADRI HOSPITALS LTD - PUNE</t>
  </si>
  <si>
    <t>MR.AA1339(36Y/M)</t>
  </si>
  <si>
    <t>GEN_T_2.0.spik_3672</t>
  </si>
  <si>
    <t>ADK0000001037</t>
  </si>
  <si>
    <t>24.04.2026</t>
  </si>
  <si>
    <t>MS.AA1699(38Y/F)</t>
  </si>
  <si>
    <t>GEN_T_2.0.spik_3673</t>
  </si>
  <si>
    <t>ADK0000001039</t>
  </si>
  <si>
    <t>MS.AA1581(37Y/F)</t>
  </si>
  <si>
    <t>GEN_T_2.0.spik_3674</t>
  </si>
  <si>
    <t>ADK0000001038</t>
  </si>
  <si>
    <t>MS.AA952(21Y/F)</t>
  </si>
  <si>
    <t>GEN_T_2.0.spik_3675</t>
  </si>
  <si>
    <t>ADK0000001040</t>
  </si>
  <si>
    <t>MR.AL 40-Y-243(42Y/M)</t>
  </si>
  <si>
    <t>GEN_T_2.0.spik_3676</t>
  </si>
  <si>
    <t>ADK0000001013</t>
  </si>
  <si>
    <t>MS.AL40-Y-238(71Y/F)</t>
  </si>
  <si>
    <t>GEN_T_2.0.spik_3677</t>
  </si>
  <si>
    <t>ADK0000001014</t>
  </si>
  <si>
    <t>MR.AL40-Y-233(17Y/M)</t>
  </si>
  <si>
    <t>GEN_T_2.0.spik_3678</t>
  </si>
  <si>
    <t>ADK0000001015</t>
  </si>
  <si>
    <t>MS.AL40-Y-232(47Y/F)</t>
  </si>
  <si>
    <t>GEN_T_2.0.spik_3679</t>
  </si>
  <si>
    <t>ADK0000001017</t>
  </si>
  <si>
    <t>MASTER.AL40-Y-248(10Y/M)</t>
  </si>
  <si>
    <t>GEN_T_2.0.spik_3680</t>
  </si>
  <si>
    <t>ADK0000001018</t>
  </si>
  <si>
    <t>MS.AL40-Y-254(31Y/F)</t>
  </si>
  <si>
    <t>GEN_T_2.0.spik_3681</t>
  </si>
  <si>
    <t>ADK0000001020</t>
  </si>
  <si>
    <t>MS.AL40-Y-239(37Y/F)</t>
  </si>
  <si>
    <t>GEN_T_2.0.spik_3682</t>
  </si>
  <si>
    <t>ADK0000001021</t>
  </si>
  <si>
    <t>21-4-2026</t>
  </si>
  <si>
    <t>MS.AL40-CD-26-70(15Y/F)</t>
  </si>
  <si>
    <t>GEN_T_2.0.spik_3683</t>
  </si>
  <si>
    <t>ADK0000001022</t>
  </si>
  <si>
    <t>MR.AL40-CD-26-71(45Y/M)</t>
  </si>
  <si>
    <t>GEN_T_2.0.spik_3684</t>
  </si>
  <si>
    <t>ADK0000001023</t>
  </si>
  <si>
    <t>SURFseq- Run-76</t>
  </si>
  <si>
    <t>MRS.RENUGA DEVI (27 Y 0 M 0 D /Female) AF</t>
  </si>
  <si>
    <t>GEN_T_2.0.spik_3685AF</t>
  </si>
  <si>
    <t>ATN0000004628</t>
  </si>
  <si>
    <t>MR.GOUSE MOHIDDIEN K(35Y/M)</t>
  </si>
  <si>
    <t>GEN_T_2.0.spik_3686</t>
  </si>
  <si>
    <t>ATR0000012079</t>
  </si>
  <si>
    <t>24/04/2026</t>
  </si>
  <si>
    <t>Vamsi(23-4-26)</t>
  </si>
  <si>
    <t>MRS.FAIROJA T(34Y/F)</t>
  </si>
  <si>
    <t>GEN_T_2.0.spik_3687</t>
  </si>
  <si>
    <t>ATR0000012078</t>
  </si>
  <si>
    <t>BABY.POOJA (9 Y 0 M 0 D /Female)</t>
  </si>
  <si>
    <t>GEN_T_2.0.spik_3688</t>
  </si>
  <si>
    <t>PH50000010031</t>
  </si>
  <si>
    <t>Dr Meera (29_04_26)</t>
  </si>
  <si>
    <t>BABY.YADVIKA L (7Y/F)</t>
  </si>
  <si>
    <t>GEN_T_2.0.spik_3689</t>
  </si>
  <si>
    <t>PH50000010625</t>
  </si>
  <si>
    <t>Dr. Meera (27-04-2026)</t>
  </si>
  <si>
    <t>BABY.SHALINI M(9Y/F)</t>
  </si>
  <si>
    <t>GEN_T_2.0.spik_3690</t>
  </si>
  <si>
    <t>AND0000006312</t>
  </si>
  <si>
    <t>06.05.2026</t>
  </si>
  <si>
    <t>MRS.SRUTHI VALA W/O. B ASHWIN KUMAR (39 Y 3 M 2 D /F)</t>
  </si>
  <si>
    <t>GEN_T_2.0.spik_3691</t>
  </si>
  <si>
    <t>HYP0000001049</t>
  </si>
  <si>
    <t>MR.B ASHWIN KUMAR H/O. SRUTHI VALA (39 Y 0 M 0 D /Male)</t>
  </si>
  <si>
    <t>GEN_T_2.0.spik_3692</t>
  </si>
  <si>
    <t>HYP0000001126</t>
  </si>
  <si>
    <t>BABY.MUNISWARAPANDIAN V (UHID-1004813)(0Y/M)</t>
  </si>
  <si>
    <t>GEN_T_2.0.spik_3693</t>
  </si>
  <si>
    <t>SKC0000000229</t>
  </si>
  <si>
    <t>STARKIDS CHILDRENS HOSPITAL - DINDIGUL</t>
  </si>
  <si>
    <t>sanjay (02_05_26)</t>
  </si>
  <si>
    <t>MRS.BODDU.MALLIKA(29Y/F) poc</t>
  </si>
  <si>
    <t>GEN_T_2.0.spik_3694</t>
  </si>
  <si>
    <t>ADN0000019444</t>
  </si>
  <si>
    <t>SAIRAM HOSPITAL &amp; IVF CENTRE -NELLORE</t>
  </si>
  <si>
    <t>MRS.KUMUDA (54 Y 0 M 0 D /Female)</t>
  </si>
  <si>
    <t>GEN_T_2.0.spik_3695</t>
  </si>
  <si>
    <t>ADB0000032193</t>
  </si>
  <si>
    <t>MANDYA INSTITUTE OF MEDICAL SCIENCES - MANDYA</t>
  </si>
  <si>
    <t>MR.GUNA SEKHAR M (36 Y 0 M 0 D /Male)</t>
  </si>
  <si>
    <t>GEN_T_2.0.spik_3696</t>
  </si>
  <si>
    <t>ATR0000012098</t>
  </si>
  <si>
    <t>MRS.SONIA MALANI(39Y/F) W/O MR.ANIKET PATNI(37Y/M) (RUN 75)</t>
  </si>
  <si>
    <t>GEN_T_2.0.spik_3697</t>
  </si>
  <si>
    <t>AMB0000008193</t>
  </si>
  <si>
    <t>MR.M K AKILAN (28 Y 0 M 0 D /Male)</t>
  </si>
  <si>
    <t>GEN_T_2.0.spik_3698</t>
  </si>
  <si>
    <t>PH50000009936</t>
  </si>
  <si>
    <t>MRS.KAKKALA MAHALASKHMI(22Y/F)</t>
  </si>
  <si>
    <t>GEN_T_2.0.spik_3699</t>
  </si>
  <si>
    <t>ABC0000000770</t>
  </si>
  <si>
    <t>FERTY9 FERTILITY CENTER - RAJAHMUNDRY</t>
  </si>
  <si>
    <t>Dr. Meera (28-04-2026)</t>
  </si>
  <si>
    <t>MR.KAKKALA BANGARAYYA(27Y/M)</t>
  </si>
  <si>
    <t>GEN_T_2.0.spik_3700</t>
  </si>
  <si>
    <t>ABC0000000771</t>
  </si>
  <si>
    <t>BABY.LAKSHAN KARTHICK (AL12127) (1Y/M)</t>
  </si>
  <si>
    <t>GEN_T_2.0.spik_3701</t>
  </si>
  <si>
    <t>ADK0000001067</t>
  </si>
  <si>
    <t>MR.MARUTHANAYAGAM (AP26826) (30Y/M)</t>
  </si>
  <si>
    <t>GEN_T_2.0.spik_3702</t>
  </si>
  <si>
    <t>ADK0000001069</t>
  </si>
  <si>
    <t>BABY.SAIKALA K S BABY (AL34155)(0Y/F)</t>
  </si>
  <si>
    <t>GEN_T_2.0.spik_3703</t>
  </si>
  <si>
    <t>ADK0000001071</t>
  </si>
  <si>
    <t>MR.ADARSH RAJ (AN19534) (4Y/M)</t>
  </si>
  <si>
    <t>GEN_T_2.0.spik_3704</t>
  </si>
  <si>
    <t>ADK0000001068</t>
  </si>
  <si>
    <t>MS.VARSHINI M(AN09495) (26Y/F)</t>
  </si>
  <si>
    <t>GEN_T_2.0.spik_3705</t>
  </si>
  <si>
    <t>ADK0000001070</t>
  </si>
  <si>
    <t>BABY.RAJA S BABY (AL90188)(1Y/M)</t>
  </si>
  <si>
    <t>GEN_T_2.0.spik_3706</t>
  </si>
  <si>
    <t>ADK0000001072</t>
  </si>
  <si>
    <t>BABY.THARAK HARSHA (1Y/M)</t>
  </si>
  <si>
    <t>GEN_T_2.0.spik_3707</t>
  </si>
  <si>
    <t>ADK0000001052</t>
  </si>
  <si>
    <t>09_05_26</t>
  </si>
  <si>
    <t>MASTER.KALAMBAKU BHUVANESH (6Y/M)</t>
  </si>
  <si>
    <t>GEN_T_2.0.spik_3708</t>
  </si>
  <si>
    <t>ADK0000001053</t>
  </si>
  <si>
    <t>MR.M.NAGARAJU (36Y/M)</t>
  </si>
  <si>
    <t>GEN_T_2.0.spik_3709</t>
  </si>
  <si>
    <t>ADN0000019828</t>
  </si>
  <si>
    <t>DR RAMACHANDRA REDDY PEOPLES POLY CLINIC - NELLORE</t>
  </si>
  <si>
    <t>MRS.M.MOUNIKA (25Y/F)</t>
  </si>
  <si>
    <t>GEN_T_2.0.spik_3710</t>
  </si>
  <si>
    <t>ADN0000019829</t>
  </si>
  <si>
    <t>MR.MEL-15446(42Y/M)</t>
  </si>
  <si>
    <t>GEN_T_2.0.spik_3711</t>
  </si>
  <si>
    <t>ADK0000001124</t>
  </si>
  <si>
    <t>MS.MEL-15805(29Y/F)</t>
  </si>
  <si>
    <t>GEN_T_2.0.spik_3712</t>
  </si>
  <si>
    <t>ADK0000001125</t>
  </si>
  <si>
    <t>MS.MEL-15866(14Y/F)</t>
  </si>
  <si>
    <t>GEN_T_2.0.spik_3713</t>
  </si>
  <si>
    <t>ADK0000001126</t>
  </si>
  <si>
    <t>MR.MEL-15893(12Y/M)</t>
  </si>
  <si>
    <t>GEN_T_2.0.spik_3714</t>
  </si>
  <si>
    <t>ADK0000001127</t>
  </si>
  <si>
    <t>MS.MEL-16018(0Y/F)</t>
  </si>
  <si>
    <t>GEN_T_2.0.spik_3715</t>
  </si>
  <si>
    <t>ADK0000001128</t>
  </si>
  <si>
    <t>MS.MEL-16022(11Y/F)</t>
  </si>
  <si>
    <t>GEN_T_2.0.spik_3716</t>
  </si>
  <si>
    <t>ADK0000001129</t>
  </si>
  <si>
    <t>MS.MEL-16077(13Y/F)</t>
  </si>
  <si>
    <t>GEN_T_2.0.spik_3717</t>
  </si>
  <si>
    <t>ADK0000001130</t>
  </si>
  <si>
    <t>MR.MEL-16198(30Y/M)</t>
  </si>
  <si>
    <t>GEN_T_2.0.spik_3718</t>
  </si>
  <si>
    <t>ADK0000001133</t>
  </si>
  <si>
    <t>MR.MEL-16201(23Y/M)</t>
  </si>
  <si>
    <t>GEN_T_2.0.spik_3719</t>
  </si>
  <si>
    <t>ADK0000001134</t>
  </si>
  <si>
    <t>MR.MEL-16204(23Y/M)</t>
  </si>
  <si>
    <t>GEN_T_2.0.spik_3720</t>
  </si>
  <si>
    <t>ADK0000001135</t>
  </si>
  <si>
    <t>MR.MEL-16238(31Y/M)</t>
  </si>
  <si>
    <t>GEN_T_2.0.spik_3721</t>
  </si>
  <si>
    <t>ADK0000001136</t>
  </si>
  <si>
    <t>MR.MEL-16240(25Y/M)</t>
  </si>
  <si>
    <t>GEN_T_2.0.spik_3722</t>
  </si>
  <si>
    <t>ADK0000001137</t>
  </si>
  <si>
    <t>MR.MEL-16242(27Y/M)</t>
  </si>
  <si>
    <t>GEN_T_2.0.spik_3723</t>
  </si>
  <si>
    <t>ADK0000001138</t>
  </si>
  <si>
    <t>MR.MEL-16244(31Y/M)</t>
  </si>
  <si>
    <t>GEN_T_2.0.spik_3724</t>
  </si>
  <si>
    <t>ADK0000001139</t>
  </si>
  <si>
    <t>MS.MEL-16275(32Y/F)</t>
  </si>
  <si>
    <t>GEN_T_2.0.spik_3725</t>
  </si>
  <si>
    <t>ADK0000001140</t>
  </si>
  <si>
    <t>MS.MEL-16281(35Y/F)</t>
  </si>
  <si>
    <t>GEN_T_2.0.spik_3726</t>
  </si>
  <si>
    <t>ADK0000001141</t>
  </si>
  <si>
    <t>MS.MEL-16293(17Y/F)</t>
  </si>
  <si>
    <t>GEN_T_2.0.spik_3727</t>
  </si>
  <si>
    <t>ADK0000001142</t>
  </si>
  <si>
    <t>MEL 16170</t>
  </si>
  <si>
    <t>GEN_T_2.0.spik_3728</t>
  </si>
  <si>
    <t>ADK0000001169</t>
  </si>
  <si>
    <t>MEL 15812</t>
  </si>
  <si>
    <t>GEN_T_2.0.spik_3729</t>
  </si>
  <si>
    <t>cmc endocrinology</t>
  </si>
  <si>
    <t>MEL 11911</t>
  </si>
  <si>
    <t>GEN_T_2.0.spik_3730</t>
  </si>
  <si>
    <t>MEL 16192</t>
  </si>
  <si>
    <t>GEN_T_2.0.spik_3731</t>
  </si>
  <si>
    <t>MEL 16210</t>
  </si>
  <si>
    <t>GEN_T_2.0.spik_3732</t>
  </si>
  <si>
    <t>ADK0000001149</t>
  </si>
  <si>
    <t>SURFseq- Run-77</t>
  </si>
  <si>
    <t>MRS.SHILPA GUDDAPPA(26Y/F) AF</t>
  </si>
  <si>
    <t>GEN_T_2.0.spik_3733AF</t>
  </si>
  <si>
    <t>ADH0000021129</t>
  </si>
  <si>
    <t>Vamsi(24-4-26)</t>
  </si>
  <si>
    <t>MRS.SINDHUJA(37Y/F) AF</t>
  </si>
  <si>
    <t>GEN_T_2.0.spik_3734AF</t>
  </si>
  <si>
    <t>MDU0000010297</t>
  </si>
  <si>
    <t>MRS.DEVAMMA(26Y/F) AF</t>
  </si>
  <si>
    <t>GEN_T_2.0.spik_3735AF</t>
  </si>
  <si>
    <t>ADH0000020693</t>
  </si>
  <si>
    <t>28-04-26</t>
  </si>
  <si>
    <t>MRS.SONI DEVI JHA(39Y/F) AF</t>
  </si>
  <si>
    <t>GEN_T_2.0.spik_3736AF</t>
  </si>
  <si>
    <t>MRS.RAJANI K H (33Y/F)</t>
  </si>
  <si>
    <t>GEN_T_2.0.spik_3737</t>
  </si>
  <si>
    <t>ADB0000032481</t>
  </si>
  <si>
    <t>History not available</t>
  </si>
  <si>
    <t>23_05_26</t>
  </si>
  <si>
    <t>MRS.B SUBHASRI (34Y/M)</t>
  </si>
  <si>
    <t>GEN_T_2.0.spik_3738</t>
  </si>
  <si>
    <t>HYP0000001192</t>
  </si>
  <si>
    <t>APOLLO FERTILITY CENTRE PRIVATE LTD - BANJARA HILLS</t>
  </si>
  <si>
    <t>MR.ARAVIND VENPARALA (34Y/M)</t>
  </si>
  <si>
    <t>GEN_T_2.0.spik_3739</t>
  </si>
  <si>
    <t>HYP0000001191</t>
  </si>
  <si>
    <t>MRS.RENUKA W/O PRAVEENKUMAR (5064)(66)(65)(29Y/F)</t>
  </si>
  <si>
    <t>GEN_T_2.0.spik_3740</t>
  </si>
  <si>
    <t>ADH0000020429</t>
  </si>
  <si>
    <t>ANIRVA DIAGNOSTIC CENTRE - KALABURAGI</t>
  </si>
  <si>
    <t>Vamshi (04-05-2026)</t>
  </si>
  <si>
    <t>13-05-2026</t>
  </si>
  <si>
    <t>MR.PRAVEEN KUMAR (5068)(70)(71)(38Y/M)</t>
  </si>
  <si>
    <t>GEN_T_2.0.spik_3741</t>
  </si>
  <si>
    <t>ADH0000020428</t>
  </si>
  <si>
    <t>MRS.RENUKA (5061)(62) (30/F) POC</t>
  </si>
  <si>
    <t>GEN_T_2.0.spik_3742</t>
  </si>
  <si>
    <t>ADH0000020432</t>
  </si>
  <si>
    <t>MRS.RADHIKA (POC) (37Y/F)</t>
  </si>
  <si>
    <t>GEN_T_2.0.spik_3743</t>
  </si>
  <si>
    <t>ADK0000001114</t>
  </si>
  <si>
    <t>PAVITHRA BALAJI</t>
  </si>
  <si>
    <t>MR.APPAJI (40Y/M)</t>
  </si>
  <si>
    <t>GEN_T_2.0.spik_3744</t>
  </si>
  <si>
    <t>ADK0000001113</t>
  </si>
  <si>
    <t>MRS.RADHIKA (37Y/F)</t>
  </si>
  <si>
    <t>GEN_T_2.0.spik_3745</t>
  </si>
  <si>
    <t>ADK0000001112</t>
  </si>
  <si>
    <t>MRS.JOTHISH M (25 Y 10 M 12 D /F) (MALE SAMPLE CONFIRMED WITH KISHORE SIR)</t>
  </si>
  <si>
    <t>GEN_T_2.0.spik_3746</t>
  </si>
  <si>
    <t>ADK0000001189</t>
  </si>
  <si>
    <t>BABY. SYED ALI FATHIMA. S (0 Y 6 M 0 D /F)</t>
  </si>
  <si>
    <t>GEN_T_2.0.spik_3747</t>
  </si>
  <si>
    <t>PH50000011217</t>
  </si>
  <si>
    <t>MR. NAVEEN KUMAR (43Y/M)</t>
  </si>
  <si>
    <t>GEN_T_2.0.spik_3748</t>
  </si>
  <si>
    <t>ADB0000032531</t>
  </si>
  <si>
    <t>MRS.VIVEKANANDHI BALASUNDARAM (100893)(65 Y 0 M 0 D /Female)</t>
  </si>
  <si>
    <t>GEN_T_2.0.spik_3749</t>
  </si>
  <si>
    <t>CHM0000019231</t>
  </si>
  <si>
    <t>MRS.NAINAKANTI APARNA W/O. C ANOOP REDDY(33Y/F) POC</t>
  </si>
  <si>
    <t>GEN_T_2.0.spik_3750</t>
  </si>
  <si>
    <t>HYP0000001095</t>
  </si>
  <si>
    <t>Dr Meera (30_04_26)</t>
  </si>
  <si>
    <t>11_05_26</t>
  </si>
  <si>
    <t>MRS.MADHURI DWIVEDI (36Y/F)</t>
  </si>
  <si>
    <t>GEN_T_2.0.spik_3751</t>
  </si>
  <si>
    <t>AMB0000008342</t>
  </si>
  <si>
    <t>SPARSH HOSPITAL - NAGPUR</t>
  </si>
  <si>
    <t>12_05_26</t>
  </si>
  <si>
    <t>MR.MADHAV DWIVEDI (42Y/M)</t>
  </si>
  <si>
    <t>GEN_T_2.0.spik_3752</t>
  </si>
  <si>
    <t>AMB0000008343</t>
  </si>
  <si>
    <t>MRS.DIVYA (30Y/F)</t>
  </si>
  <si>
    <t>GEN_T_2.0.spik_3753</t>
  </si>
  <si>
    <t>ADK0000001059</t>
  </si>
  <si>
    <t>Dr Meera (05_05_26)</t>
  </si>
  <si>
    <t>MR.SATHISH KUMAR (33Y/M)</t>
  </si>
  <si>
    <t>GEN_T_2.0.spik_3754</t>
  </si>
  <si>
    <t>ADK0000001060</t>
  </si>
  <si>
    <t>MR.ABHIJIT SARKAR (20260310134)(48Y/M)</t>
  </si>
  <si>
    <t>GEN_T_2.0.spik_3755</t>
  </si>
  <si>
    <t>ADB0000032900</t>
  </si>
  <si>
    <t>NATIONAL INSTITUTE OF MENTAL HEALTH &amp; NEURO SCIENCES (NIMHANS) - BANGALORE</t>
  </si>
  <si>
    <t>MRS.USHA TAMIZHARASU (UHID027512)(34Y/F)</t>
  </si>
  <si>
    <t>GEN_T_2.0.spik_3756</t>
  </si>
  <si>
    <t>AKP0000016141</t>
  </si>
  <si>
    <t>THE HIVE WOMEN FERTILITY CENTER - KOLATHUR</t>
  </si>
  <si>
    <t>Posted in Bio-info, waiting for approval</t>
  </si>
  <si>
    <t>15_05_26</t>
  </si>
  <si>
    <t>MRS.RUCHITHA M(27Y/F)</t>
  </si>
  <si>
    <t>GEN_T_2.0.spik_3757</t>
  </si>
  <si>
    <t>ABC0000000819</t>
  </si>
  <si>
    <t>Dr Meera (02_05_26)</t>
  </si>
  <si>
    <t>MRS.BHAVANI (UMR2411001884) (35Y/F)</t>
  </si>
  <si>
    <t>GEN_T_2.0.spik_3758</t>
  </si>
  <si>
    <t>AND0000009617</t>
  </si>
  <si>
    <t>A4 FERTILITY CENTRE - (A UNIT OF A4 HOSPITAL) - VIRUGAMBAKKAM</t>
  </si>
  <si>
    <t>20-05-2026</t>
  </si>
  <si>
    <t>MR.ALWIN SANTHIAGO (36Y/M)</t>
  </si>
  <si>
    <t>GEN_T_2.0.spik_3759</t>
  </si>
  <si>
    <t>AND0000009619</t>
  </si>
  <si>
    <t>MS.AL41-CD-26-72 (27 Y 0 M 0 D /F)</t>
  </si>
  <si>
    <t>GEN_T_2.0.spik_3760</t>
  </si>
  <si>
    <t>ADK0000001171</t>
  </si>
  <si>
    <t>BABY.AL41-CD-26-73 (10Y/F)</t>
  </si>
  <si>
    <t>GEN_T_2.0.spik_3761</t>
  </si>
  <si>
    <t>ADK0000001172</t>
  </si>
  <si>
    <t>MS.AL41-Y-271 (17Y/F)</t>
  </si>
  <si>
    <t>GEN_T_2.0.spik_3762</t>
  </si>
  <si>
    <t>ADK0000001173</t>
  </si>
  <si>
    <t>MASTER.AL41-Y-275 (7 Y 0 M 0 D /M)</t>
  </si>
  <si>
    <t>GEN_T_2.0.spik_3763</t>
  </si>
  <si>
    <t>ADK0000001174</t>
  </si>
  <si>
    <t>MS.AL41-Y-274 (14 Y 0 M 0 D /F)</t>
  </si>
  <si>
    <t>GEN_T_2.0.spik_3764</t>
  </si>
  <si>
    <t>ADK0000001175</t>
  </si>
  <si>
    <t>NOURE JANNAT BINTE SHAKIL AN27646</t>
  </si>
  <si>
    <t>GEN_T_2.0.spik_3765</t>
  </si>
  <si>
    <t>ADK0000001277</t>
  </si>
  <si>
    <t>MRS.SANGEETHA (ID 103438) W/O. DILEEP KUMAR (35Y/F)</t>
  </si>
  <si>
    <t>GEN_T_2.0.spik_3766</t>
  </si>
  <si>
    <t>HYP0000001212</t>
  </si>
  <si>
    <t>Need to finalize</t>
  </si>
  <si>
    <t>18_05_26</t>
  </si>
  <si>
    <t>MR.DILEEP KUMAR (ID 103438) H/O. SANGEETHA (42Y/M)</t>
  </si>
  <si>
    <t>GEN_T_2.0.spik_3767</t>
  </si>
  <si>
    <t>HYP0000001217</t>
  </si>
  <si>
    <t>MRS.MATHSA MADHURI (31Y/F)</t>
  </si>
  <si>
    <t>GEN_T_2.0.spik_3768</t>
  </si>
  <si>
    <t>HYP0000001222</t>
  </si>
  <si>
    <t>MASTER.S V SELVA RAKESH (13Y/M)</t>
  </si>
  <si>
    <t>GEN_T_2.0.spik_3769</t>
  </si>
  <si>
    <t>ADK0000001176</t>
  </si>
  <si>
    <t>BABY.PALLAVI RANA (6 Y 10 M 11 D /F)</t>
  </si>
  <si>
    <t>GEN_T_2.0.spik_3770</t>
  </si>
  <si>
    <t>ADK0000001177</t>
  </si>
  <si>
    <t>Sanjay (30/04/2026)</t>
  </si>
  <si>
    <t>Report preparation ongoing</t>
  </si>
  <si>
    <t>BABY.DURGA (0 Y 0 M 11 D /M)</t>
  </si>
  <si>
    <t>GEN_T_2.0.spik_3771</t>
  </si>
  <si>
    <t>ADK0000001178</t>
  </si>
  <si>
    <t>21-052026</t>
  </si>
  <si>
    <t>MR.TAMILSELVAN (32 Y 9 M 12 D /M)</t>
  </si>
  <si>
    <t>GEN_T_2.0.spik_3772</t>
  </si>
  <si>
    <t>ADK0000001179</t>
  </si>
  <si>
    <t>Dr. Meera (04-05-2026)</t>
  </si>
  <si>
    <t>released in groups-bill is in due</t>
  </si>
  <si>
    <t>Genolab-M  Run-61B</t>
  </si>
  <si>
    <t>RGS -419 (46Y/M)</t>
  </si>
  <si>
    <t>GEN_T_2.0.spik_3773</t>
  </si>
  <si>
    <t>ADK0000001282</t>
  </si>
  <si>
    <t>RGS -420 (26Y/M)</t>
  </si>
  <si>
    <t>GEN_T_2.0.spik_3774</t>
  </si>
  <si>
    <t>ADK0000001283</t>
  </si>
  <si>
    <t>RGS -421 (40Y/M)</t>
  </si>
  <si>
    <t>GEN_T_2.0.spik_3775</t>
  </si>
  <si>
    <t>ADK0000001284</t>
  </si>
  <si>
    <t>RGS -422 (71Y/F)</t>
  </si>
  <si>
    <t>GEN_T_2.0.spik_3776</t>
  </si>
  <si>
    <t>ADK0000001285</t>
  </si>
  <si>
    <t>RGS -423 (46Y/M)</t>
  </si>
  <si>
    <t>GEN_T_2.0.spik_3777</t>
  </si>
  <si>
    <t>ADK0000001286</t>
  </si>
  <si>
    <t>RGS -424 (17Y/F)</t>
  </si>
  <si>
    <t>GEN_T_2.0.spik_3778</t>
  </si>
  <si>
    <t>ADK0000001287</t>
  </si>
  <si>
    <t>RGS -425 (53Y/F)</t>
  </si>
  <si>
    <t>GEN_T_2.0.spik_3779</t>
  </si>
  <si>
    <t>ADK0000001288</t>
  </si>
  <si>
    <t>RGS -426</t>
  </si>
  <si>
    <t>GEN_T_2.0.spik_3780</t>
  </si>
  <si>
    <t>ADK0000001289</t>
  </si>
  <si>
    <t>RGS -427</t>
  </si>
  <si>
    <t>GEN_T_2.0.spik_3781</t>
  </si>
  <si>
    <t>ADK0000001290</t>
  </si>
  <si>
    <t>RGS -428</t>
  </si>
  <si>
    <t>GEN_T_2.0.spik_3782</t>
  </si>
  <si>
    <t>ADK0000001291</t>
  </si>
  <si>
    <t>RGS -429</t>
  </si>
  <si>
    <t>GEN_T_2.0.spik_3783</t>
  </si>
  <si>
    <t>ADK0000001292</t>
  </si>
  <si>
    <t>RGS -430</t>
  </si>
  <si>
    <t>GEN_T_2.0.spik_3784</t>
  </si>
  <si>
    <t>ADK0000001293</t>
  </si>
  <si>
    <t>RGS -431</t>
  </si>
  <si>
    <t>GEN_T_2.0.spik_3785</t>
  </si>
  <si>
    <t>ADK0000001294</t>
  </si>
  <si>
    <t>RGS -432</t>
  </si>
  <si>
    <t>GEN_T_2.0.spik_3786</t>
  </si>
  <si>
    <t>ADK0000001295</t>
  </si>
  <si>
    <t>RGS -359 a</t>
  </si>
  <si>
    <t>GEN_T_2.0.spik_3787</t>
  </si>
  <si>
    <t>ADK0000001296</t>
  </si>
  <si>
    <t>RGS -359 b</t>
  </si>
  <si>
    <t>GEN_T_2.0.spik_3788</t>
  </si>
  <si>
    <t>ADK0000001297</t>
  </si>
  <si>
    <t>SURFseq- Run-78</t>
  </si>
  <si>
    <t>MRS.SHILPA SIDDAIAH(36Y/F) AF</t>
  </si>
  <si>
    <t>GEN_T_2.0.spik_3789AF</t>
  </si>
  <si>
    <t>ADH0000021194</t>
  </si>
  <si>
    <t>MRS.M KAVYA W/O. RAKTHAPU MALLIKARJUN(28 Y 3 M 1 D /Female) AF</t>
  </si>
  <si>
    <t>GEN_T_2.0.spik_3790AF</t>
  </si>
  <si>
    <t>HYP0000001262</t>
  </si>
  <si>
    <t>Dr. Chinmayee Ratha - Fetal Resolution clinic</t>
  </si>
  <si>
    <t>MRS.VANI SHETTAR(35y/f)</t>
  </si>
  <si>
    <t>GEN_T_2.0.spik_3791</t>
  </si>
  <si>
    <t>ADB0000033320</t>
  </si>
  <si>
    <t>Greyzone (AR)</t>
  </si>
  <si>
    <t>History delay, analysis completed, preparation yet to start</t>
  </si>
  <si>
    <t>MRS.A BHOOMIKA ( CH 23005831)(29Y/F)</t>
  </si>
  <si>
    <t>GEN_T_2.0.spik_3792</t>
  </si>
  <si>
    <t>HYP0000001272</t>
  </si>
  <si>
    <t>11_06_26</t>
  </si>
  <si>
    <t>MR.PARTHIBAN (36 Y 0 M 0 D /Male)</t>
  </si>
  <si>
    <t>GEN_T_2.0.spik_3793</t>
  </si>
  <si>
    <t>HCC0000008081</t>
  </si>
  <si>
    <t>KARTHIKEYAN V S</t>
  </si>
  <si>
    <t>Greyzone (NOTCH2NL)</t>
  </si>
  <si>
    <t>History delay, need to finalize</t>
  </si>
  <si>
    <t>16_05_26</t>
  </si>
  <si>
    <t>MR.PRAVEEN RAJAPERUMAL(45Y/M)</t>
  </si>
  <si>
    <t>GEN_T_2.0.spik_3794</t>
  </si>
  <si>
    <t>TPJ0000011565</t>
  </si>
  <si>
    <t>TRICHY - PROCESSING LAB - ROTN TPJ</t>
  </si>
  <si>
    <t>Greyzone (GLS)</t>
  </si>
  <si>
    <t>Sent to siva sir team</t>
  </si>
  <si>
    <t>MRS.DHANISHA (34Y/F)</t>
  </si>
  <si>
    <t>GEN_T_2.0.spik_3795</t>
  </si>
  <si>
    <t>PLD0000000773</t>
  </si>
  <si>
    <t>RHEA HEALTHCARE PVT LTD - PALAKKAD</t>
  </si>
  <si>
    <t>Greyzone (AR),Greyzone (GLS),Greyzone (NOTCH2NL)</t>
  </si>
  <si>
    <t>MRS. KARTHIYAYINI K (66 Y/F)</t>
  </si>
  <si>
    <t>COMPREHENSIVE HEREDITARY CANCER PANEL (NGS+MLPA)</t>
  </si>
  <si>
    <t>GEN_T_2.0.spik_3796</t>
  </si>
  <si>
    <t>PH50000011913</t>
  </si>
  <si>
    <t>PH ROAD 150 - DIAG - CHENNAI</t>
  </si>
  <si>
    <t>MR.GUDE VENKATA RAMANAIAH (32 Y 9 M 29 D /M)</t>
  </si>
  <si>
    <t>GEN_T_2.0.spik_3797</t>
  </si>
  <si>
    <t>HYP0000001247</t>
  </si>
  <si>
    <t>Waiting for Dr. Hegde review</t>
  </si>
  <si>
    <t>MRS.KOYA PRAVALIKA W/O. G VENKATA RAMANAIAH (30 Y 8 M 14 D /F)</t>
  </si>
  <si>
    <t>GEN_T_2.0.spik_3798</t>
  </si>
  <si>
    <t>HYP0000001248</t>
  </si>
  <si>
    <t>MRS.G SRINIKA(22y/f)</t>
  </si>
  <si>
    <t>GEN_T_2.0.spik_3799</t>
  </si>
  <si>
    <t>HYP0000001286</t>
  </si>
  <si>
    <t>DEEPIKA</t>
  </si>
  <si>
    <t>Analysis completed, datamining yet to start</t>
  </si>
  <si>
    <t>MR.G RAGHAVENDRA(29y/m)</t>
  </si>
  <si>
    <t>GEN_T_2.0.spik_3800</t>
  </si>
  <si>
    <t>HYP0000001287</t>
  </si>
  <si>
    <t>Greyzone (GLS),Greyzone (NOTCH2NL)</t>
  </si>
  <si>
    <t>MS.MEENA (25 Y 7 M 15 D/F)</t>
  </si>
  <si>
    <t>GEN_T_2.0.spik_3801</t>
  </si>
  <si>
    <t>ADK0000001180</t>
  </si>
  <si>
    <t>Awaiting SMN MLPA internal validation-bill is in due</t>
  </si>
  <si>
    <t>BABY.MAHESHWARI (8 Y 3 M 24 D /F)</t>
  </si>
  <si>
    <t>GEN_T_2.0.spik_3802</t>
  </si>
  <si>
    <t>ADK0000001181</t>
  </si>
  <si>
    <t>13.05.2026</t>
  </si>
  <si>
    <t>MS.SAI VARSHINI (11 Y 6 M 11 D/F)</t>
  </si>
  <si>
    <t>GEN_T_2.0.spik_3803</t>
  </si>
  <si>
    <t>ADK0000001182</t>
  </si>
  <si>
    <t>Posted in Bioinfo, Need approval</t>
  </si>
  <si>
    <t>14-05-2026</t>
  </si>
  <si>
    <t>BABY.AATHEERAN A (0 Y 2 M 25 D/M)</t>
  </si>
  <si>
    <t>GEN_T_2.0.spik_3804</t>
  </si>
  <si>
    <t>ADK0000001183</t>
  </si>
  <si>
    <t>Dr. Meera (03-05-2026)</t>
  </si>
  <si>
    <t>MR.STALIN SANKARAN( 41 Y 9 M 14 D /M)</t>
  </si>
  <si>
    <t>GEN_T_2.0.spik_3805</t>
  </si>
  <si>
    <t>ADK0000001184</t>
  </si>
  <si>
    <t>RGS -416 (23Y/F)</t>
  </si>
  <si>
    <t>GEN_T_2.0.spik_3806</t>
  </si>
  <si>
    <t>ADK0000001279</t>
  </si>
  <si>
    <t>RGS -417 (24Y/F)</t>
  </si>
  <si>
    <t>GEN_T_2.0.spik_3807</t>
  </si>
  <si>
    <t>ADK0000001280</t>
  </si>
  <si>
    <t>RGS -418 (20Y/F)</t>
  </si>
  <si>
    <t>GEN_T_2.0.spik_3808</t>
  </si>
  <si>
    <t>ADK0000001281</t>
  </si>
  <si>
    <t>MRS.PRIYANKA Y SHITOLE (34Y/F) POC</t>
  </si>
  <si>
    <t>GEN_T_2.0.spik_3809</t>
  </si>
  <si>
    <t>ADH0000021366</t>
  </si>
  <si>
    <t>27-05-2026</t>
  </si>
  <si>
    <t>MRS.RANJINI (17 Y 5 M 17 D /F)</t>
  </si>
  <si>
    <t>GEN_T_2.0.spik_3810</t>
  </si>
  <si>
    <t>ADK0000001188</t>
  </si>
  <si>
    <t>Greyzone (AR),Greyzone (NOTCH2NL)</t>
  </si>
  <si>
    <t>20--05-2026</t>
  </si>
  <si>
    <t>MR.PRADEEP B(28 Y 7 M 28 D /Male)</t>
  </si>
  <si>
    <t>GEN_T_2.0.spik_3811</t>
  </si>
  <si>
    <t>ABC0000000868</t>
  </si>
  <si>
    <t>Report Finalise ongoing</t>
  </si>
  <si>
    <t>MRS.MAJJI SIRI SAHASRA(26 Y 9 M 26 D /Female)</t>
  </si>
  <si>
    <t>GEN_T_2.0.spik_3812</t>
  </si>
  <si>
    <t>ABC0000000869</t>
  </si>
  <si>
    <t>MRS.CHANDINI(30Y/F)</t>
  </si>
  <si>
    <t>GEN_T_2.0.spik_3813</t>
  </si>
  <si>
    <t>AND0000012312</t>
  </si>
  <si>
    <t>Dr. Meera (09-05-2026)</t>
  </si>
  <si>
    <t>Data mining ongoing</t>
  </si>
  <si>
    <t>18-05-2026</t>
  </si>
  <si>
    <t>BABY.MEDAPATI SURAKSHA ANGEL (AP16017)(3y/f)</t>
  </si>
  <si>
    <t>GEN_T_2.0.spik_3814</t>
  </si>
  <si>
    <t>ADK0000001223</t>
  </si>
  <si>
    <t>Greyzone (NOTCH2NL),Pathogenic (TCF4)</t>
  </si>
  <si>
    <t>22-05-2026</t>
  </si>
  <si>
    <t>MR.PRATHAP RAO S(62 Y 9 M 14 D /Male)</t>
  </si>
  <si>
    <t>GEN_T_2.0.spik_3815</t>
  </si>
  <si>
    <t>ABC0000000870</t>
  </si>
  <si>
    <t>MRS.USHA D(30 Y 10 M 5 D /Female)</t>
  </si>
  <si>
    <t>GEN_T_2.0.spik_3816</t>
  </si>
  <si>
    <t>ABC0000000871</t>
  </si>
  <si>
    <t>MRS.GAYATHRI NATARAJ (900045880)(35y/f)</t>
  </si>
  <si>
    <t>GEN_T_2.0.spik_3817</t>
  </si>
  <si>
    <t>AND0000012742</t>
  </si>
  <si>
    <t>Report finalised , waiting for Dr. Sarath approval</t>
  </si>
  <si>
    <t>MR.GAURAV S (900045881)(36y/m)</t>
  </si>
  <si>
    <t>GEN_T_2.0.spik_3818</t>
  </si>
  <si>
    <t>AND0000012741</t>
  </si>
  <si>
    <t>MISS.PRIYADHARSHINI(17Y/M)</t>
  </si>
  <si>
    <t>GEN_T_2.0.spik_3819</t>
  </si>
  <si>
    <t>PH50000011912</t>
  </si>
  <si>
    <t>Dr. Meera (15-05-2026)</t>
  </si>
  <si>
    <t>23-05-2026</t>
  </si>
  <si>
    <t>MRS.ANNASERA ANIL (AA49915)(18Y/F)</t>
  </si>
  <si>
    <t>GEN_T_2.0.spik_3820</t>
  </si>
  <si>
    <t>ADK0000001325</t>
  </si>
  <si>
    <t>Greyzone (NIPA1)</t>
  </si>
  <si>
    <t>MASTER.KARTHIKEYAN A(11Y/M)</t>
  </si>
  <si>
    <t>GEN_T_2.0.spik_3821</t>
  </si>
  <si>
    <t>PH50000011910</t>
  </si>
  <si>
    <t>MR. HALAHARVI DURGANNA (HALAHARVI VANDRAPPA)(27Y/M)</t>
  </si>
  <si>
    <t>GEN_T_2.0.spik_3822</t>
  </si>
  <si>
    <t>ABC0000000904</t>
  </si>
  <si>
    <t>Datamining complete, Report preparation yet to start</t>
  </si>
  <si>
    <t>20_5_26</t>
  </si>
  <si>
    <t>MR.CD-26-80(0Y/M)</t>
  </si>
  <si>
    <t>GEN_T_2.0.spik_3823</t>
  </si>
  <si>
    <t>ADK0000001372</t>
  </si>
  <si>
    <t>Greyzone (NIPA1),Greyzone (NOTCH2NL)</t>
  </si>
  <si>
    <t>MR.AL42-Y-276(0Y/M)</t>
  </si>
  <si>
    <t>GEN_T_2.0.spik_3824</t>
  </si>
  <si>
    <t>ADK0000001321</t>
  </si>
  <si>
    <t>15-5-2026</t>
  </si>
  <si>
    <t>MASTER.AL42-Y-284(11Y/M)</t>
  </si>
  <si>
    <t>GEN_T_2.0.spik_3825</t>
  </si>
  <si>
    <t>ADK0000001322</t>
  </si>
  <si>
    <t>BABY.AL42-Y-287(4Y/F)</t>
  </si>
  <si>
    <t>GEN_T_2.0.spik_3826</t>
  </si>
  <si>
    <t>ADK0000001323</t>
  </si>
  <si>
    <t>MS.AL42-Y-288(29Y/F)</t>
  </si>
  <si>
    <t>GEN_T_2.0.spik_3827</t>
  </si>
  <si>
    <t>ADK0000001324</t>
  </si>
  <si>
    <t>MASTER.SAI KRISHNA(7Y/M)</t>
  </si>
  <si>
    <t>GEN_T_2.0.spik_3828</t>
  </si>
  <si>
    <t>ADK0000001370</t>
  </si>
  <si>
    <t>Report crosscheck and rework completed, Needs to be finalised</t>
  </si>
  <si>
    <t>Genolab-M  Run-62B</t>
  </si>
  <si>
    <t>MRS.NANDHINI S(31y/f) AF</t>
  </si>
  <si>
    <t>GEN_T_2.0.spik_3829AF</t>
  </si>
  <si>
    <t>PH50000011885</t>
  </si>
  <si>
    <t>Greyzone (AR),Pathogenic (TCF4)</t>
  </si>
  <si>
    <t>MRS.FARIN SHEIK A (31Y/F) AF</t>
  </si>
  <si>
    <t>GEN_T_2.0.spik_3830AF</t>
  </si>
  <si>
    <t>ADB0000033742</t>
  </si>
  <si>
    <t>GURUSHREE HEALTH CARE - BANGALORE</t>
  </si>
  <si>
    <t>MRS.NENSHI JAIN (24 Y 0 M 8 D /F) AFCC</t>
  </si>
  <si>
    <t>GEN_T_2.0.spik_3831AF</t>
  </si>
  <si>
    <t>AMB0000008046</t>
  </si>
  <si>
    <t>MR.VARUN MAHESHBHAI SOLANKI (AN59473)(13Y/M)</t>
  </si>
  <si>
    <t>GEN_T_2.0.spik_3832</t>
  </si>
  <si>
    <t>ADK0000001417</t>
  </si>
  <si>
    <t>MASTER.HIMANSHU KUMAR (AP20960)(9Y/M)</t>
  </si>
  <si>
    <t>GEN_T_2.0.spik_3833</t>
  </si>
  <si>
    <t>ADK0000001418</t>
  </si>
  <si>
    <t>MR.KRISHNENDU SASMAL (AP05417)(32Y/M)</t>
  </si>
  <si>
    <t>GEN_T_2.0.spik_3834</t>
  </si>
  <si>
    <t>ADK0000001416</t>
  </si>
  <si>
    <t>MASTER.PEELAM NAGA CHAITHANYA (AP43607)(8Y/M)</t>
  </si>
  <si>
    <t>GEN_T_2.0.spik_3835</t>
  </si>
  <si>
    <t>ADK0000001419</t>
  </si>
  <si>
    <t>MR.MANJUNATHA REDDY A (921033C)(43Y/M)</t>
  </si>
  <si>
    <t>GEN_T_2.0.spik_3836</t>
  </si>
  <si>
    <t>ADK0000001420</t>
  </si>
  <si>
    <t>MR.AL43-Y-308(22Y/M)</t>
  </si>
  <si>
    <t>GEN_T_2.0.spik_3837</t>
  </si>
  <si>
    <t>ADK0000001397</t>
  </si>
  <si>
    <t>MR.AL43-Y-298(26Y/M)</t>
  </si>
  <si>
    <t>GEN_T_2.0.spik_3838</t>
  </si>
  <si>
    <t>ADK0000001398</t>
  </si>
  <si>
    <t>MS.AL43-Y-293(12Y/F)</t>
  </si>
  <si>
    <t>GEN_T_2.0.spik_3839</t>
  </si>
  <si>
    <t>ADK0000001399</t>
  </si>
  <si>
    <t>MR.AL43-Y-291(41Y/M)</t>
  </si>
  <si>
    <t>GEN_T_2.0.spik_3840</t>
  </si>
  <si>
    <t>ADK0000001400</t>
  </si>
  <si>
    <t>MS.AL43-Y-292(33Y/F)</t>
  </si>
  <si>
    <t>GEN_T_2.0.spik_3841</t>
  </si>
  <si>
    <t>ADK0000001401</t>
  </si>
  <si>
    <t>MASTER.AL43-CD-26-79(8Y/M)</t>
  </si>
  <si>
    <t>GEN_T_2.0.spik_3842</t>
  </si>
  <si>
    <t>ADK0000001402</t>
  </si>
  <si>
    <t>MR.AL43-Y-309(32Y/M)</t>
  </si>
  <si>
    <t>GEN_T_2.0.spik_3843</t>
  </si>
  <si>
    <t>ADK0000001403</t>
  </si>
  <si>
    <t>SHREESHAKALA</t>
  </si>
  <si>
    <t>GEN_T_2.0.spik_3844</t>
  </si>
  <si>
    <t>Please Speak with Dr.Siva</t>
  </si>
  <si>
    <t>Sachin sir will report</t>
  </si>
  <si>
    <t>SURFseq- Run-79</t>
  </si>
  <si>
    <t>MRS.RASHMI LONKAR(27Y/F) CVS</t>
  </si>
  <si>
    <t>GEN_T_2.0.spik_3845AF</t>
  </si>
  <si>
    <t>AMB0000008995</t>
  </si>
  <si>
    <t>SINDHUJA PB</t>
  </si>
  <si>
    <t>GEN_T_2.0.spik_3846</t>
  </si>
  <si>
    <t>maternal blood</t>
  </si>
  <si>
    <t>released only fetus  report</t>
  </si>
  <si>
    <t>MRS.SALI (33Y/F)</t>
  </si>
  <si>
    <t>GEN_T_2.0.spik_3847</t>
  </si>
  <si>
    <t>ACO0000006176</t>
  </si>
  <si>
    <t>20_05_26</t>
  </si>
  <si>
    <t>MRS.KUMUTHA KARTHIK (UMR2511038796)(27Y/F)</t>
  </si>
  <si>
    <t>GEN_T_2.0.spik_3848</t>
  </si>
  <si>
    <t>ADK0000001493</t>
  </si>
  <si>
    <t>MRS.PRIYA TIWARI(33Y/F)</t>
  </si>
  <si>
    <t>GEN_T_2.0.spik_3849</t>
  </si>
  <si>
    <t>ADB0000033905</t>
  </si>
  <si>
    <t>KIDS CLINIC INDIA LIMITED - WHITEFIELD - BANGALORE</t>
  </si>
  <si>
    <t>GEN_T_2.0.spik_3850</t>
  </si>
  <si>
    <t>MASTER.THOMA AYALWIN(8Y/M)</t>
  </si>
  <si>
    <t>GEN_T_2.0.spik_3851</t>
  </si>
  <si>
    <t>ADK0000001366</t>
  </si>
  <si>
    <t>BABY.M SANJANA(9Y/F)</t>
  </si>
  <si>
    <t>GEN_T_2.0.spik_3852</t>
  </si>
  <si>
    <t>ADK0000001367</t>
  </si>
  <si>
    <t>Dr. Meera (13-05-2026)</t>
  </si>
  <si>
    <t>amount due - 23-05-2026</t>
  </si>
  <si>
    <t>BABY.POOJITHA(0Y/F)</t>
  </si>
  <si>
    <t>GEN_T_2.0.spik_3853</t>
  </si>
  <si>
    <t>ADK0000001368</t>
  </si>
  <si>
    <t>MRS.UGALECHUMI(33Y/F)</t>
  </si>
  <si>
    <t>GEN_T_2.0.spik_3854</t>
  </si>
  <si>
    <t>ANL0000006495</t>
  </si>
  <si>
    <t>ANITHA R (SUKRITHI NURSING HOME)</t>
  </si>
  <si>
    <t>BABY.SHRUTHI KUMARI(2Y/F)</t>
  </si>
  <si>
    <t>GEN_T_2.0.spik_3855</t>
  </si>
  <si>
    <t>ADK0000001373</t>
  </si>
  <si>
    <t xml:space="preserve">Waiting for Dr. Sachin approval </t>
  </si>
  <si>
    <t>28-05-2026</t>
  </si>
  <si>
    <t>MR.SELVAGANAPATHI S(42Y/M)</t>
  </si>
  <si>
    <t>GEN_T_2.0.spik_3856</t>
  </si>
  <si>
    <t>CHM0000022263</t>
  </si>
  <si>
    <t>SRI RAM HOSPITAL - THIRUKOILUR</t>
  </si>
  <si>
    <t>AL 44-Y-310 (22Y/M)</t>
  </si>
  <si>
    <t>GEN_T_2.0.spik_3857</t>
  </si>
  <si>
    <t>ADK0000001579</t>
  </si>
  <si>
    <t>18-5-2026</t>
  </si>
  <si>
    <t>AL 44-Y-326 (8Y/M)</t>
  </si>
  <si>
    <t>GEN_T_2.0.spik_3858</t>
  </si>
  <si>
    <t>ADK0000001580</t>
  </si>
  <si>
    <t>AL 44-Y-327 (14Y/M)</t>
  </si>
  <si>
    <t>GEN_T_2.0.spik_3859</t>
  </si>
  <si>
    <t>ADK0000001581</t>
  </si>
  <si>
    <t>AL 44-CD-26-81 (27Y/F)</t>
  </si>
  <si>
    <t>GEN_T_2.0.spik_3860</t>
  </si>
  <si>
    <t>ADK0000001582</t>
  </si>
  <si>
    <t>AL 44-CD-26-82 (28Y/F)</t>
  </si>
  <si>
    <t>GEN_T_2.0.spik_3861</t>
  </si>
  <si>
    <t>ADK0000001583</t>
  </si>
  <si>
    <t>AL 44-CD-26-83 (32Y/M)</t>
  </si>
  <si>
    <t>GEN_T_2.0.spik_3862</t>
  </si>
  <si>
    <t>ADK0000001584</t>
  </si>
  <si>
    <t>MR.BOYA VIJAY NAIDU (KOSIGI BOYA GORANTLAMMA) (26Y/M)</t>
  </si>
  <si>
    <t>GEN_T_2.0.spik_3863</t>
  </si>
  <si>
    <t>ABC0000000959</t>
  </si>
  <si>
    <t>17-05-2026</t>
  </si>
  <si>
    <t>27_05_26</t>
  </si>
  <si>
    <t>MRS.SRI VIDYA K (35Y/F)</t>
  </si>
  <si>
    <t>GEN_T_2.0.spik_3864</t>
  </si>
  <si>
    <t>ABC0000000964</t>
  </si>
  <si>
    <t>26_05_26</t>
  </si>
  <si>
    <t>MR.SUBRAHMANYAM K (44Y/M)</t>
  </si>
  <si>
    <t>GEN_T_2.0.spik_3865</t>
  </si>
  <si>
    <t>ABC0000000965</t>
  </si>
  <si>
    <t>MR.PVD NAGA BABU H/O. P TEJASRI (36Y/M)</t>
  </si>
  <si>
    <t>GEN_T_2.0.spik_3866</t>
  </si>
  <si>
    <t>HYP0000001382</t>
  </si>
  <si>
    <t>MRS.P TEJASRI W/O. NAGABABU (26Y/F)</t>
  </si>
  <si>
    <t>GEN_T_2.0.spik_3867</t>
  </si>
  <si>
    <t>HYP0000001383</t>
  </si>
  <si>
    <t>MR.RAMESH V (53Y/M)</t>
  </si>
  <si>
    <t>GEN_T_2.0.spik_3868</t>
  </si>
  <si>
    <t>CHM0000018836</t>
  </si>
  <si>
    <t>Dr. Meera (14-05-2026)</t>
  </si>
  <si>
    <t>BABY.FRANCIS EDWIN A S(4M/M)</t>
  </si>
  <si>
    <t>COMPREHENSIVE EPILEPSY NGS PANEL GENES</t>
  </si>
  <si>
    <t>GEN_T_2.0.spik_3869</t>
  </si>
  <si>
    <t>PH60000005818</t>
  </si>
  <si>
    <t>MISS.JASRITHA S K (11/F)</t>
  </si>
  <si>
    <t>DYSTONIA DISEASE NGS PANEL GENES</t>
  </si>
  <si>
    <t>GEN_T_2.0.spik_3870</t>
  </si>
  <si>
    <t>FR20000008186</t>
  </si>
  <si>
    <t>SURENDHRA HOSPITAL - CUDDALORE</t>
  </si>
  <si>
    <t>21_05_26</t>
  </si>
  <si>
    <t>BABY.MOHAMED RAYYAN (1Y/M)</t>
  </si>
  <si>
    <t>GEN_T_2.0.spik_3871</t>
  </si>
  <si>
    <t>ADK0000001446</t>
  </si>
  <si>
    <t>BABY.SRI MATHI(3Y/F)</t>
  </si>
  <si>
    <t>GEN_T_2.0.spik_3872</t>
  </si>
  <si>
    <t>ADK0000001447</t>
  </si>
  <si>
    <t>MR.JOGU RAVI H/O. J ANURADHA (39Y/M)</t>
  </si>
  <si>
    <t>GEN_T_2.0.spik_3873</t>
  </si>
  <si>
    <t>HYP0000001379</t>
  </si>
  <si>
    <t>Dr. Meera (11-05-2026)</t>
  </si>
  <si>
    <t xml:space="preserve">Waiting for Dr. Hegde approval </t>
  </si>
  <si>
    <t>MRS.JOGU ANURADHA H/O. J RAVI (32Y/F)</t>
  </si>
  <si>
    <t>GEN_T_2.0.spik_3874</t>
  </si>
  <si>
    <t>HYP0000001380</t>
  </si>
  <si>
    <t>MR. KIRAN POGU (33Y/M)</t>
  </si>
  <si>
    <t>GEN_T_2.0.spik_3875</t>
  </si>
  <si>
    <t>HYP0000001384</t>
  </si>
  <si>
    <t>MRS.M SWATHI (34Y/F)</t>
  </si>
  <si>
    <t>GEN_T_2.0.spik_3876</t>
  </si>
  <si>
    <t>HYP0000001385</t>
  </si>
  <si>
    <t>MR.VINAY GANESH SINGH CHAVAN H/O. USHA (37Y/M)</t>
  </si>
  <si>
    <t>GEN_T_2.0.spik_3877</t>
  </si>
  <si>
    <t>HYP0000001388</t>
  </si>
  <si>
    <t>Dr. Meera (06-05-2026)</t>
  </si>
  <si>
    <t>MRS.USHA VINAY CHAVAN (38Y/F)</t>
  </si>
  <si>
    <t>GEN_T_2.0.spik_3878</t>
  </si>
  <si>
    <t>HYP0000001389</t>
  </si>
  <si>
    <t>MISS.SAMEERA BEGAM(13 Y/F)</t>
  </si>
  <si>
    <t>GEN_T_2.0.spik_3879</t>
  </si>
  <si>
    <t>ADS0000008017</t>
  </si>
  <si>
    <t>DR.ANBUS FERTILITY &amp; SPECIALITY MEDICAL CENTRE - SALEM</t>
  </si>
  <si>
    <t>MR.SAMRAJ L(34Y/M)</t>
  </si>
  <si>
    <t>GEN_T_2.0.spik_3880</t>
  </si>
  <si>
    <t>PH50000013035</t>
  </si>
  <si>
    <t>ABDUL</t>
  </si>
  <si>
    <t>MR.NAGENDRAPPA (41Y/M)</t>
  </si>
  <si>
    <t>GEN_T_2.0.spik_3881</t>
  </si>
  <si>
    <t>ABC0000001004</t>
  </si>
  <si>
    <t>19-05-2026</t>
  </si>
  <si>
    <t>MRS.SAPPOGU KAVITHA (34Y/F)</t>
  </si>
  <si>
    <t>GEN_T_2.0.spik_3882</t>
  </si>
  <si>
    <t>ABC0000001002</t>
  </si>
  <si>
    <t>MRS.RAJESHWARI (26Y/F)</t>
  </si>
  <si>
    <t>GEN_T_2.0.spik_3883</t>
  </si>
  <si>
    <t>AND0000017420</t>
  </si>
  <si>
    <t>SPECIALITY - THIRUNINRAVUR</t>
  </si>
  <si>
    <t>25-05-2026</t>
  </si>
  <si>
    <t>MR.GOPALA KRISHNAN (32Y/M)</t>
  </si>
  <si>
    <t>GEN_T_2.0.spik_3884</t>
  </si>
  <si>
    <t>AND0000017421</t>
  </si>
  <si>
    <t>AG SPECIALITY - THIRUNINRAVUR</t>
  </si>
  <si>
    <t>Genolab-M  Run-63B</t>
  </si>
  <si>
    <t>MISS.DANUTHRA P (9Y/F)</t>
  </si>
  <si>
    <t>GEN_T_2.0.spik_3885</t>
  </si>
  <si>
    <t>HCC0000008910</t>
  </si>
  <si>
    <t>Report rendered</t>
  </si>
  <si>
    <t>BABY.SAINIRANJAN K (1Y/M)</t>
  </si>
  <si>
    <t>GEN_T_2.0.spik_3886</t>
  </si>
  <si>
    <t>PH50000012997</t>
  </si>
  <si>
    <t>MRS.KAMAVVA T S (74Y/F)</t>
  </si>
  <si>
    <t>GEN_T_2.0.spik_3887</t>
  </si>
  <si>
    <t>ADB0000034607</t>
  </si>
  <si>
    <t>KLES DR.PRABHAKAR KORE HOSPITAL AND MEDICAL RESEARCH CENTRE - BELAGAVI</t>
  </si>
  <si>
    <t>MRS.RAZMIN MOHAMMAD JAND KHOJA (30Y/F)</t>
  </si>
  <si>
    <t>GEN_T_2.0.spik_3888</t>
  </si>
  <si>
    <t>ADH0000022897</t>
  </si>
  <si>
    <t>BHAGYA IVF AND WOMENS HOSPITAL - GOKAK</t>
  </si>
  <si>
    <t>21-05-2026</t>
  </si>
  <si>
    <t>MR.MOHAMMADJAVED KHOJA (33Y/M)</t>
  </si>
  <si>
    <t>GEN_T_2.0.spik_3889</t>
  </si>
  <si>
    <t>ADH0000022898</t>
  </si>
  <si>
    <t>MR.GNANA DEEPAM (UMR260104518) (46Y/M)</t>
  </si>
  <si>
    <t>GEN_T_2.0.spik_3890</t>
  </si>
  <si>
    <t>AND0000018207</t>
  </si>
  <si>
    <t>FERTILITY CENTRE - (A UNIT OF A4 HOSPITAL) - VIRUGAMBAKKAM</t>
  </si>
  <si>
    <t>MRS.MARIAMMAL (UMR260104518) (40Y/F)</t>
  </si>
  <si>
    <t>GEN_T_2.0.spik_3891</t>
  </si>
  <si>
    <t>AND0000018209</t>
  </si>
  <si>
    <t>DR.GOPIHA (39Y/F)</t>
  </si>
  <si>
    <t>GEN_T_2.0.spik_3892</t>
  </si>
  <si>
    <t>TSI0000020123</t>
  </si>
  <si>
    <t>THIRD EYE DIAGNOSTICS - TENKASI</t>
  </si>
  <si>
    <t>SURFseq- Run-80B</t>
  </si>
  <si>
    <t>MRS.NIRMALA DEVENDRAPPA KATTI (32Y/F) cvs</t>
  </si>
  <si>
    <t>GEN_T_2.0.spik_3893AF</t>
  </si>
  <si>
    <t>ADB0000031339</t>
  </si>
  <si>
    <t>VISHWA GURU SCANNING &amp;DIAGNOSTIC CENTER - TUMKUR</t>
  </si>
  <si>
    <t>Vamshi (06-05-2026)</t>
  </si>
  <si>
    <t>MRS.SEEMA D (34Y/F) AF</t>
  </si>
  <si>
    <t>GEN_T_2.0.spik_3894AF</t>
  </si>
  <si>
    <t>ADH0000023064</t>
  </si>
  <si>
    <t>MRS.BHAVANA (25Y/F) AF</t>
  </si>
  <si>
    <t>GEN_T_2.0.spik_3895AF</t>
  </si>
  <si>
    <t>ADH0000023065</t>
  </si>
  <si>
    <t>BABY.NAYONIKA (5Y/F)</t>
  </si>
  <si>
    <t>GEN_T_2.0.spik_3896</t>
  </si>
  <si>
    <t>ADK0000001521</t>
  </si>
  <si>
    <t>meera mam</t>
  </si>
  <si>
    <t>Amount due in IT Dose</t>
  </si>
  <si>
    <t>MISS.MONISHA S (10Y/F)</t>
  </si>
  <si>
    <t>GEN_T_2.0.spik_3897</t>
  </si>
  <si>
    <t>ADK0000001522</t>
  </si>
  <si>
    <t>Payment due in ITdose</t>
  </si>
  <si>
    <t>BABY.SIVAGANAPATHI (1Y/M)</t>
  </si>
  <si>
    <t>GEN_T_2.0.spik_3898</t>
  </si>
  <si>
    <t>ADK0000001523</t>
  </si>
  <si>
    <t>MS.DHARANI (28Y/F)</t>
  </si>
  <si>
    <t>GEN_T_2.0.spik_3899</t>
  </si>
  <si>
    <t>ADK0000001524</t>
  </si>
  <si>
    <t>MASTER.DHASHVANTH(3Y/M)</t>
  </si>
  <si>
    <t>GEN_T_2.0.spik_3900</t>
  </si>
  <si>
    <t>TPJ0000013421</t>
  </si>
  <si>
    <t>MUKESH MOHAN</t>
  </si>
  <si>
    <t>MR.THIRIVEEDI ANJANI KUMAR(40Y/M)</t>
  </si>
  <si>
    <t>GEN_T_2.0.spik_3901</t>
  </si>
  <si>
    <t>ADB0000034792</t>
  </si>
  <si>
    <t>FAHEEM.</t>
  </si>
  <si>
    <t>MRS.KOMAL KHADE (24Y/F)</t>
  </si>
  <si>
    <t>GEN_T_2.0.spik_3902</t>
  </si>
  <si>
    <t>AMB0000009140</t>
  </si>
  <si>
    <t>Dr. Meera (12-05-2026)</t>
  </si>
  <si>
    <t>MRS.TIRUPATHI SURAPNA (44Y/F)</t>
  </si>
  <si>
    <t>GEN_T_2.0.spik_3903</t>
  </si>
  <si>
    <t>AND0000018512</t>
  </si>
  <si>
    <t>MRS.JAHNAVI (26Y/F)</t>
  </si>
  <si>
    <t>GEN_T_2.0.spik_3904</t>
  </si>
  <si>
    <t>AND0000018513</t>
  </si>
  <si>
    <t>Dr. Meera (05-06-2026)</t>
  </si>
  <si>
    <t>Need to confirm whether they are couple</t>
  </si>
  <si>
    <t>MR.CHERUKURU VENKATA HARISH (30Y/M)</t>
  </si>
  <si>
    <t>GEN_T_2.0.spik_3905</t>
  </si>
  <si>
    <t>AND0000018517</t>
  </si>
  <si>
    <t>MR.VARUN RAJ (AP30135) (0Y/M)</t>
  </si>
  <si>
    <t>GEN_T_2.0.spik_3906</t>
  </si>
  <si>
    <t>ADK0000001585</t>
  </si>
  <si>
    <t>MR.KIRAN KUMAR R (33Y/M)</t>
  </si>
  <si>
    <t>GEN_T_2.0.spik_3907</t>
  </si>
  <si>
    <t>ADB0000034881</t>
  </si>
  <si>
    <t>ORCHIDZ HEALTH - A UNIT OF ARALUMALLIGE HEALTHCARE - BANGALORE</t>
  </si>
  <si>
    <t>MRS.MAMATHA M (32Y/F)</t>
  </si>
  <si>
    <t>GEN_T_2.0.spik_3908</t>
  </si>
  <si>
    <t>ADB0000034882</t>
  </si>
  <si>
    <t>MS.MST NAZIFA AKTER (416892P) (5Y/F)</t>
  </si>
  <si>
    <t>GEN_T_2.0.spik_3909</t>
  </si>
  <si>
    <t>ADK0000001676</t>
  </si>
  <si>
    <t>30-05-2026</t>
  </si>
  <si>
    <t>MRS.ZOHRA JABEENA (36Y/F)</t>
  </si>
  <si>
    <t>GEN_T_2.0.spik_3910</t>
  </si>
  <si>
    <t>HCC0000009449</t>
  </si>
  <si>
    <t>28_05_26</t>
  </si>
  <si>
    <t>MR.BOYA RAKESH (10Y/M)</t>
  </si>
  <si>
    <t>GEN_T_2.0.spik_3911</t>
  </si>
  <si>
    <t>ABC0000001064</t>
  </si>
  <si>
    <t>MASTER.D. PRAVEEN (12Y/M)</t>
  </si>
  <si>
    <t>GEN_T_2.0.spik_3912</t>
  </si>
  <si>
    <t>ADK0000001652</t>
  </si>
  <si>
    <t>amount due issue, released</t>
  </si>
  <si>
    <t>BABY.JAGADEVI (2Y/F)</t>
  </si>
  <si>
    <t>GEN_T_2.0.spik_3913</t>
  </si>
  <si>
    <t>ADH0000023516</t>
  </si>
  <si>
    <t>REVAPPA HARWAL MEMORIAL HOSPITAL,GULBARGA</t>
  </si>
  <si>
    <t>BABY OF.HEMALALITHA P (UHID-1007036) (1D/M)</t>
  </si>
  <si>
    <t>GEN_T_2.0.spik_3914</t>
  </si>
  <si>
    <t>SKC0000000372</t>
  </si>
  <si>
    <t>27.05.2026</t>
  </si>
  <si>
    <t>MR.AL45-Y-334(23Y/M)</t>
  </si>
  <si>
    <t>GEN_T_2.0.spik_3915</t>
  </si>
  <si>
    <t>ADK0000001715</t>
  </si>
  <si>
    <t>MISS.NOWSHIN BUSHRA J (13Y/F)</t>
  </si>
  <si>
    <t>GEN_T_2.0.spik_3916</t>
  </si>
  <si>
    <t>PH50000013248</t>
  </si>
  <si>
    <t>SURFseq- Run-81B</t>
  </si>
  <si>
    <t>BABY.FETUS OF MANOJA G (AA47665) (0Y/F) CVS</t>
  </si>
  <si>
    <t>GEN_T_2.0.spik_3917AF</t>
  </si>
  <si>
    <t>ADK0000001784</t>
  </si>
  <si>
    <t>24-05-2026</t>
  </si>
  <si>
    <t>Greyzone (CSTB),Greyzone (GLS)</t>
  </si>
  <si>
    <t>MRS.NIRMALA DEVENDRAPPA KATTI (32Y/F) CVS_AFCC</t>
  </si>
  <si>
    <t>GEN_T_2.0.spik_3918AF</t>
  </si>
  <si>
    <t>MRS.VANAJA LAKSHMI BHEEMA VARAPU (30Y/M)</t>
  </si>
  <si>
    <t>GEN_T_2.0.spik_3919</t>
  </si>
  <si>
    <t>HYP0000001603</t>
  </si>
  <si>
    <t>08_06_26</t>
  </si>
  <si>
    <t>MRS.ANU KEERTHANA (32Y/F)</t>
  </si>
  <si>
    <t>GEN_T_2.0.spik_3920</t>
  </si>
  <si>
    <t>ADB0000035675</t>
  </si>
  <si>
    <t>06_06_26</t>
  </si>
  <si>
    <t>MR.BOYA BALA CHANDRUDU (34Y/M)</t>
  </si>
  <si>
    <t>GEN_T_2.0.spik_3921</t>
  </si>
  <si>
    <t>ABC0000001091</t>
  </si>
  <si>
    <t>MR.ROHIT CHAUDHARY (39Y/M)</t>
  </si>
  <si>
    <t>GEN_T_2.0.spik_3922</t>
  </si>
  <si>
    <t>DCC0000004428</t>
  </si>
  <si>
    <t>29_05_26</t>
  </si>
  <si>
    <t>MRS.ASHWINI S METGUD (28Y/F) poc</t>
  </si>
  <si>
    <t>GEN_T_2.0.spik_3923</t>
  </si>
  <si>
    <t>ADH0000023513</t>
  </si>
  <si>
    <t>26-05-2026</t>
  </si>
  <si>
    <t>13-06-2026</t>
  </si>
  <si>
    <t>MR.PRASATH(34Y/M)</t>
  </si>
  <si>
    <t>GEN_T_2.0.spik_3924</t>
  </si>
  <si>
    <t>ADS0000009479</t>
  </si>
  <si>
    <t>NIRMALA TEST TUBE BABY CENTRE - KARUR</t>
  </si>
  <si>
    <t>13_06_26</t>
  </si>
  <si>
    <t>MRS.KALAISELVI(29Y/F)</t>
  </si>
  <si>
    <t>GEN_T_2.0.spik_3925</t>
  </si>
  <si>
    <t>ADS0000009480</t>
  </si>
  <si>
    <t>MRS.SREE LATHA K (24Y/F)</t>
  </si>
  <si>
    <t>GEN_T_2.0.spik_3926</t>
  </si>
  <si>
    <t>ATR0000012998</t>
  </si>
  <si>
    <t>MR.SUNIL KUMAR RAJU K (29Y/M)</t>
  </si>
  <si>
    <t>GEN_T_2.0.spik_3927</t>
  </si>
  <si>
    <t>ATR0000012999</t>
  </si>
  <si>
    <t>MR.SUDHARSHAN (36Y/M)</t>
  </si>
  <si>
    <t>GEN_T_2.0.spik_3928</t>
  </si>
  <si>
    <t>SCF0000000520</t>
  </si>
  <si>
    <t>SRI CHAKRA FERTILITY</t>
  </si>
  <si>
    <t>MRS.ARTI EKNATH (24Y/F)</t>
  </si>
  <si>
    <t>GEN_T_2.0.spik_3929</t>
  </si>
  <si>
    <t>HYP0000001465</t>
  </si>
  <si>
    <t>MR.KANIGALA MAHESH (25Y/M)</t>
  </si>
  <si>
    <t>GEN_T_2.0.spik_3930</t>
  </si>
  <si>
    <t>ABC0000001055</t>
  </si>
  <si>
    <t>MR.SIVAKUMAR C (30Y/M)</t>
  </si>
  <si>
    <t>GEN_T_2.0.spik_3931</t>
  </si>
  <si>
    <t>PH50000013512</t>
  </si>
  <si>
    <t>HIEF MINISTERS COMPREHENSIVE HEALTH INSURANCE SCHEME</t>
  </si>
  <si>
    <t>Meera mam</t>
  </si>
  <si>
    <t>MR.PRADEEP SAGAR B K(37Y/M)</t>
  </si>
  <si>
    <t>GEN_T_2.0.spik_3932</t>
  </si>
  <si>
    <t>ADB0000034981</t>
  </si>
  <si>
    <t>MRS.SUCHITRA KUMARI BISWAL(38Y/F)</t>
  </si>
  <si>
    <t>GEN_T_2.0.spik_3933</t>
  </si>
  <si>
    <t>ADB0000034983</t>
  </si>
  <si>
    <t>MR.T S PRATHAP (6317-18) (30/M)</t>
  </si>
  <si>
    <t>GEN_T_2.0.spik_3934</t>
  </si>
  <si>
    <t>ADH0000023643</t>
  </si>
  <si>
    <t>MRS.RANJITHA (6320-16) (30Y/F)</t>
  </si>
  <si>
    <t>GEN_T_2.0.spik_3935</t>
  </si>
  <si>
    <t>ADH0000023644</t>
  </si>
  <si>
    <t>MRS.KAGITALA RAMADEVI (N0044924)(50Y/F)</t>
  </si>
  <si>
    <t>GEN_T_2.0.spik_3936</t>
  </si>
  <si>
    <t>ADB0000035255</t>
  </si>
  <si>
    <t>FAHEEM</t>
  </si>
  <si>
    <t>MS.BABY(21Y/F)</t>
  </si>
  <si>
    <t>GEN_T_2.0.spik_3937</t>
  </si>
  <si>
    <t>ADB0000035413</t>
  </si>
  <si>
    <t>MASTER.M NITYA ADISHA (AP23255) (9Y/M)</t>
  </si>
  <si>
    <t>GEN_T_2.0.spik_3938</t>
  </si>
  <si>
    <t>ADK0000001773</t>
  </si>
  <si>
    <t>MRS.RUMANA BEGUM W.O. SHAIK SALMAN (33Y/F)</t>
  </si>
  <si>
    <t>GEN_T_2.0.spik_3939</t>
  </si>
  <si>
    <t>HYP0000001584</t>
  </si>
  <si>
    <t>MR.SHAID SALMAN H/O. RUMANA BEGUM (32Y/F)</t>
  </si>
  <si>
    <t>GEN_T_2.0.spik_3940</t>
  </si>
  <si>
    <t>HYP0000001585</t>
  </si>
  <si>
    <t>SURFseq- Run-82B</t>
  </si>
  <si>
    <t>FETUS OF NISHA (CVS)</t>
  </si>
  <si>
    <t>GEN_T_2.0.spik_3941AF</t>
  </si>
  <si>
    <t>Dr. Sachin sir case, Dr. Muthu</t>
  </si>
  <si>
    <t>MRS.SHRUTI SHARMA(29Y/F) AF</t>
  </si>
  <si>
    <t>GEN_T_2.0.spik_3942AF</t>
  </si>
  <si>
    <t>AMB0000009401</t>
  </si>
  <si>
    <t>MRS.KEERTHIKA SRINIVASAN (23Y/F) AF</t>
  </si>
  <si>
    <t>GEN_T_2.0.spik_3943AF</t>
  </si>
  <si>
    <t>ADS0000009520</t>
  </si>
  <si>
    <t>Greyzone (CSTB),Greyzone (TCF4)</t>
  </si>
  <si>
    <t>MRS.ILAKIYA DEVI W/O MADHAN KUMAR (34Y/F) AF</t>
  </si>
  <si>
    <t>GEN_T_2.0.spik_3944AF</t>
  </si>
  <si>
    <t>MDU0000014063</t>
  </si>
  <si>
    <t>Resequencing ongoing MCC contamination</t>
  </si>
  <si>
    <t>M RAMYA SRIJA (31Y/F)</t>
  </si>
  <si>
    <t>GEN_T_2.0.spik_3945</t>
  </si>
  <si>
    <t>ADN0000019678</t>
  </si>
  <si>
    <t>MASTER.GUHAN (12Y/M)</t>
  </si>
  <si>
    <t>GEN_T_2.0.spik_3946</t>
  </si>
  <si>
    <t>MDU0000014771</t>
  </si>
  <si>
    <t>15-06-2026</t>
  </si>
  <si>
    <t>MRS. SRI VIDHYA (43Y/M)</t>
  </si>
  <si>
    <t>GEN_T_2.0.spik_3947</t>
  </si>
  <si>
    <t>MDU0000014772</t>
  </si>
  <si>
    <t>MR.MANIMARAN (45Y/M)</t>
  </si>
  <si>
    <t>GEN_T_2.0.spik_3948</t>
  </si>
  <si>
    <t>MDU0000014773</t>
  </si>
  <si>
    <t>MRS.VANITA SAVALGI (29Y/F) poc</t>
  </si>
  <si>
    <t>GEN_T_2.0.spik_3949</t>
  </si>
  <si>
    <t>AMB0000009500</t>
  </si>
  <si>
    <t>MRS.SHARANAMMA BIRADAR (27Y/F) poc</t>
  </si>
  <si>
    <t>GEN_T_2.0.spik_3950</t>
  </si>
  <si>
    <t>ADH0000023506</t>
  </si>
  <si>
    <t>MR.SOUNDHARAJAN (38Y/M)</t>
  </si>
  <si>
    <t>GEN_T_2.0.spik_3951</t>
  </si>
  <si>
    <t>PH50000014620</t>
  </si>
  <si>
    <t>BABY.DHASVANTH B (0Y/F)</t>
  </si>
  <si>
    <t>GEN_T_2.0.spik_3952</t>
  </si>
  <si>
    <t>PH50000014621</t>
  </si>
  <si>
    <t>BABY.SAMYUKTHA S B (3Y/F)</t>
  </si>
  <si>
    <t>GEN_T_2.0.spik_3953</t>
  </si>
  <si>
    <t>PH50000014623</t>
  </si>
  <si>
    <t>BABY.NOOR FATHILA M(10Y/F)</t>
  </si>
  <si>
    <t>GEN_T_2.0.spik_3954</t>
  </si>
  <si>
    <t>PH50000014867</t>
  </si>
  <si>
    <t>28/06/2026</t>
  </si>
  <si>
    <t>MR.VEERENDRA K (39Y/M)</t>
  </si>
  <si>
    <t>GEN_T_2.0.spik_3955</t>
  </si>
  <si>
    <t>ATR0000013131</t>
  </si>
  <si>
    <t>MR.VENKATESWARAN B (53Y/M)</t>
  </si>
  <si>
    <t>GEN_T_2.0.spik_3956</t>
  </si>
  <si>
    <t>CHM0000025832</t>
  </si>
  <si>
    <t>ARULMOZHI T</t>
  </si>
  <si>
    <t>29/06/2026</t>
  </si>
  <si>
    <t>MR.KATUKURI PRAGNAY PRATHAP REDDY (13Y/M)</t>
  </si>
  <si>
    <t>GEN_T_2.0.spik_3957</t>
  </si>
  <si>
    <t>HYP0000001551</t>
  </si>
  <si>
    <t>STAR FERTILITY PVT LTD - KUKATPALLY</t>
  </si>
  <si>
    <t>Greyzone (GLS),Greyzone (NIPA1)</t>
  </si>
  <si>
    <t>Dr. Meera (26-05-2026)</t>
  </si>
  <si>
    <t>AL46-Y-371 (49Y/F)</t>
  </si>
  <si>
    <t>GEN_T_2.0.spik_3958</t>
  </si>
  <si>
    <t>ADK0000001923</t>
  </si>
  <si>
    <t>29-5-2026</t>
  </si>
  <si>
    <t>AL46-Y-353 (24Y/F)</t>
  </si>
  <si>
    <t>GEN_T_2.0.spik_3959</t>
  </si>
  <si>
    <t>ADK0000001924</t>
  </si>
  <si>
    <t>AL46-Y-362 (0Y/M)</t>
  </si>
  <si>
    <t>GEN_T_2.0.spik_3960</t>
  </si>
  <si>
    <t>ADK0000001925</t>
  </si>
  <si>
    <t>AL46-Y-370 (30Y/M)</t>
  </si>
  <si>
    <t>GEN_T_2.0.spik_3961</t>
  </si>
  <si>
    <t>ADK0000001928</t>
  </si>
  <si>
    <t>AL46-Y-368 (6Y/M)</t>
  </si>
  <si>
    <t>GEN_T_2.0.spik_3962</t>
  </si>
  <si>
    <t>ADK0000001927</t>
  </si>
  <si>
    <t>AL46-Y-365 (19Y/M)</t>
  </si>
  <si>
    <t>GEN_T_2.0.spik_3963</t>
  </si>
  <si>
    <t>ADK0000001926</t>
  </si>
  <si>
    <t>AL46-Y-359 (31Y/M)</t>
  </si>
  <si>
    <t>GEN_T_2.0.spik_3964</t>
  </si>
  <si>
    <t>ADK0000001929</t>
  </si>
  <si>
    <t>AL46-Y-361 (3Y/F)</t>
  </si>
  <si>
    <t>GEN_T_2.0.spik_3965</t>
  </si>
  <si>
    <t>ADK0000001930</t>
  </si>
  <si>
    <t>MR.SUBRAMANIAN K (61Y/M)</t>
  </si>
  <si>
    <t>GEN_T_2.0.spik_3966</t>
  </si>
  <si>
    <t>PH60000006597</t>
  </si>
  <si>
    <t>Dr. Meera (22-05-2026)</t>
  </si>
  <si>
    <t>MR.DULAL CHANDRA ROY (68Y/M)</t>
  </si>
  <si>
    <t>GEN_T_2.0.spik_3967</t>
  </si>
  <si>
    <t>AND0000023755</t>
  </si>
  <si>
    <t>ANNAI MEDICAL COLLEGE AND HOSPITAL - SRIPERUMBUDUR</t>
  </si>
  <si>
    <t>MRS.SHWETHA G S (39Y/F)</t>
  </si>
  <si>
    <t>GEN_T_2.0.spik_3968</t>
  </si>
  <si>
    <t>ADB0000035760</t>
  </si>
  <si>
    <t>MRS.SMITHA G S (35Y/F)</t>
  </si>
  <si>
    <t>GEN_T_2.0.spik_3969</t>
  </si>
  <si>
    <t>ADB0000035761</t>
  </si>
  <si>
    <t>MR.KARTHICK (36Y/M)</t>
  </si>
  <si>
    <t>GEN_T_2.0.spik_3970</t>
  </si>
  <si>
    <t>ATN0000006673</t>
  </si>
  <si>
    <t>DR.SELF</t>
  </si>
  <si>
    <t>MRS.JAYALAKSHMI (6024580) (43Y/F)</t>
  </si>
  <si>
    <t>GEN_T_2.0.spik_3971</t>
  </si>
  <si>
    <t>CHM0000027960</t>
  </si>
  <si>
    <t>ADHIPARASAKTHI HOSPITALS - MELMARUVATHUR</t>
  </si>
  <si>
    <t>31-05-2026</t>
  </si>
  <si>
    <t>MS. MUNI LAKSHMI (28Y/F)</t>
  </si>
  <si>
    <t>GEN_T_2.0.spik_3972</t>
  </si>
  <si>
    <t>ADK0000001855</t>
  </si>
  <si>
    <t>BABY OF.ROHINI AKSHAY NARKHEDKAR (4D/F)</t>
  </si>
  <si>
    <t>GEN_T_2.0.spik_3973</t>
  </si>
  <si>
    <t>AMB0000009547</t>
  </si>
  <si>
    <t>BABY. AL47-Y-377 (5Y/F)</t>
  </si>
  <si>
    <t>GEN_T_2.0.spik_3974</t>
  </si>
  <si>
    <t>ADK0000001891</t>
  </si>
  <si>
    <t>MR.AL47-CD-26-93 (35Y/M)</t>
  </si>
  <si>
    <t>GEN_T_2.0.spik_3975</t>
  </si>
  <si>
    <t>ADK0000001896</t>
  </si>
  <si>
    <t>MS.AL47-CD-26-90 (0Y/F)</t>
  </si>
  <si>
    <t>GEN_T_2.0.spik_3976</t>
  </si>
  <si>
    <t>ADK0000001895</t>
  </si>
  <si>
    <t>MR. AL47-Y-376 (23Y/M)</t>
  </si>
  <si>
    <t>GEN_T_2.0.spik_3977</t>
  </si>
  <si>
    <t>ADK0000001890</t>
  </si>
  <si>
    <t>MS.AL47-CD-26-94 (29Y/F)</t>
  </si>
  <si>
    <t>GEN_T_2.0.spik_3978</t>
  </si>
  <si>
    <t>ADK0000001897</t>
  </si>
  <si>
    <t>MR.AL47-Y-385 (21Y/M)</t>
  </si>
  <si>
    <t>GEN_T_2.0.spik_3979</t>
  </si>
  <si>
    <t>ADK0000001894</t>
  </si>
  <si>
    <t>BABY.AL47-Y-379 (1Y/M)</t>
  </si>
  <si>
    <t>GEN_T_2.0.spik_3980</t>
  </si>
  <si>
    <t>ADK0000001893</t>
  </si>
  <si>
    <t>MS.AL47-Y-382 (0Y/F)</t>
  </si>
  <si>
    <t>GEN_T_2.0.spik_3981</t>
  </si>
  <si>
    <t>ADK0000001892</t>
  </si>
  <si>
    <t>MS.MEL-16317 (38Y/F)</t>
  </si>
  <si>
    <t>GEN_T_2.0.spik_3982</t>
  </si>
  <si>
    <t>ADK0000001919</t>
  </si>
  <si>
    <t>23-5-2026</t>
  </si>
  <si>
    <t>MR.MEL-16386 (24Y/M)</t>
  </si>
  <si>
    <t>GEN_T_2.0.spik_3983</t>
  </si>
  <si>
    <t>ADK0000001916</t>
  </si>
  <si>
    <t>MS.MEL-16120 (30Y/F)</t>
  </si>
  <si>
    <t>GEN_T_2.0.spik_3984</t>
  </si>
  <si>
    <t>ADK0000001922</t>
  </si>
  <si>
    <t>MR.MEL-16374 (35Y/M)</t>
  </si>
  <si>
    <t>GEN_T_2.0.spik_3985</t>
  </si>
  <si>
    <t>ADK0000001917</t>
  </si>
  <si>
    <t>Greyzone (GLS),Pathogenic (TCF4)</t>
  </si>
  <si>
    <t>MS.MEL-16352 (29Y/F)</t>
  </si>
  <si>
    <t>GEN_T_2.0.spik_3986</t>
  </si>
  <si>
    <t>ADK0000001918</t>
  </si>
  <si>
    <t>MR.MEL-16300 (30Y/M)</t>
  </si>
  <si>
    <t>GEN_T_2.0.spik_3987</t>
  </si>
  <si>
    <t>ADK0000001921</t>
  </si>
  <si>
    <t>MS.SULOCHANA (228372P) (51Y/F)</t>
  </si>
  <si>
    <t>GEN_T_2.0.spik_3988</t>
  </si>
  <si>
    <t>ADK0000001915</t>
  </si>
  <si>
    <t>SURFseq- Run-83B</t>
  </si>
  <si>
    <t>MRS.RENUKA C BAMMANNANAVAR(24y/f) AF</t>
  </si>
  <si>
    <t>GEN_T_2.0.spik_3989AF</t>
  </si>
  <si>
    <t>ADH0000025112</t>
  </si>
  <si>
    <t>AYUSH MEDICAL IMAGING &amp; RESEARCH CENTRE-DAVANAGERE</t>
  </si>
  <si>
    <t>SURIYA PRIYA W/O SURESH KUMAR (29Y/F)AF</t>
  </si>
  <si>
    <t>GEN_T_2.0.spik_3990AF</t>
  </si>
  <si>
    <t>Internal sample</t>
  </si>
  <si>
    <t>Not billed for WES, not released</t>
  </si>
  <si>
    <t>MR.KAMARTHI DHANUSH (25 Y 11 M 18 D /Male)</t>
  </si>
  <si>
    <t>GEN_T_2.0.spik_3991</t>
  </si>
  <si>
    <t>ABC0000001135</t>
  </si>
  <si>
    <t>MR.UJJWAL KHARE (42 Y 6 M 2 D /M)</t>
  </si>
  <si>
    <t>GEN_T_2.0.spik_3992</t>
  </si>
  <si>
    <t>DCC0000004589</t>
  </si>
  <si>
    <t>MR.ABHILASH (37Y/M)</t>
  </si>
  <si>
    <t>GEN_T_2.0.spik_3993</t>
  </si>
  <si>
    <t>ADB0000035769</t>
  </si>
  <si>
    <t>MR.NITIN (32Y/M)</t>
  </si>
  <si>
    <t>GEN_T_2.0.spik_3994</t>
  </si>
  <si>
    <t>ADB0000035939</t>
  </si>
  <si>
    <t>30_05_26</t>
  </si>
  <si>
    <t>19_06_26</t>
  </si>
  <si>
    <t>MRS.MEGHA BHATNAGAR W/O ANIKET SHRIVASTAVA (32Y/F) poc</t>
  </si>
  <si>
    <t>GEN_T_2.0.spik_3995</t>
  </si>
  <si>
    <t>AMB0000009555</t>
  </si>
  <si>
    <t>MRS.DHARANIE P (44Y/F)</t>
  </si>
  <si>
    <t>GEN_T_2.0.spik_3996</t>
  </si>
  <si>
    <t>ADB0000035940</t>
  </si>
  <si>
    <t>DR.PRAGADEESH (33Y/M)</t>
  </si>
  <si>
    <t>GEN_T_2.0.spik_3997</t>
  </si>
  <si>
    <t>ADS0000010123</t>
  </si>
  <si>
    <t>16-06-2026</t>
  </si>
  <si>
    <t>MR.HARI PRASAD (38Y/M)</t>
  </si>
  <si>
    <t>GEN_T_2.0.spik_3998</t>
  </si>
  <si>
    <t>ATR0000013798</t>
  </si>
  <si>
    <t>MRS.SAJITA POKHREL (35Y/F)</t>
  </si>
  <si>
    <t>GEN_T_2.0.spik_3999</t>
  </si>
  <si>
    <t>INT0000000019</t>
  </si>
  <si>
    <t>INTREPID NEPAL PVT LTD KATHMANDU - NEPAL</t>
  </si>
  <si>
    <t>MR.RAAJIV KUMAR H (45Y/M)</t>
  </si>
  <si>
    <t>GEN_T_2.0.spik_4000</t>
  </si>
  <si>
    <t>PH60000008923</t>
  </si>
  <si>
    <t>KHIRAN G ATHITHYAA</t>
  </si>
  <si>
    <t>BABY.KAJAL ADHARVAAL(3Y/F)</t>
  </si>
  <si>
    <t>GEN_T_2.0.spik_4001</t>
  </si>
  <si>
    <t>PH50000016044</t>
  </si>
  <si>
    <t>Dr. Meera (27-05-2026)</t>
  </si>
  <si>
    <t>BABY.HAYAN S(0Y/M)</t>
  </si>
  <si>
    <t>GEN_T_2.0.spik_4002</t>
  </si>
  <si>
    <t>PH50000016042</t>
  </si>
  <si>
    <t>BABY.MAGIZHAN S (7Y/M)</t>
  </si>
  <si>
    <t>GEN_T_2.0.spik_4003</t>
  </si>
  <si>
    <t>PH50000015926</t>
  </si>
  <si>
    <t>MRS.SHRADHA MALSHETTY (30 Y/F) poc</t>
  </si>
  <si>
    <t>GEN_T_2.0.spik_4004</t>
  </si>
  <si>
    <t>AMB0000009546</t>
  </si>
  <si>
    <t>BABY.P DIKSHITHAN (1Y/M)</t>
  </si>
  <si>
    <t>GEN_T_2.0.spik_4005</t>
  </si>
  <si>
    <t>ADK0000001863</t>
  </si>
  <si>
    <t>MRS.KALAVATHI (30Y/F)</t>
  </si>
  <si>
    <t>GEN_T_2.0.spik_4006</t>
  </si>
  <si>
    <t>ADB0000036107</t>
  </si>
  <si>
    <t>VICTORIA HOSPITAL - BENGALURU</t>
  </si>
  <si>
    <t>BABY OF.LAKSHMI DEVI (11M/F)</t>
  </si>
  <si>
    <t>GEN_T_2.0.spik_4007</t>
  </si>
  <si>
    <t>ADK0000001865</t>
  </si>
  <si>
    <t>MRS.JAHIDA ABDUL HAMID KHAN (29Y/F)</t>
  </si>
  <si>
    <t>GEN_T_2.0.spik_4008</t>
  </si>
  <si>
    <t>AMB0000009563</t>
  </si>
  <si>
    <t>ACME HOSPITAL (ACME HEALTH CENTER PVT LTD) - MUMBAI</t>
  </si>
  <si>
    <t>BABY.SASVIK (0Y/M)</t>
  </si>
  <si>
    <t>GEN_T_2.0.spik_4009</t>
  </si>
  <si>
    <t>ADK0000001920</t>
  </si>
  <si>
    <t>MR.ERINGLU TAWSIK (AP42578)(0Y/M)</t>
  </si>
  <si>
    <t>GEN_T_2.0.spik_4010</t>
  </si>
  <si>
    <t>ADK0000001977</t>
  </si>
  <si>
    <t>MR.ARYAN KUMAR(0Y/M)</t>
  </si>
  <si>
    <t>GEN_T_2.0.spik_4011</t>
  </si>
  <si>
    <t>ADK0000001976</t>
  </si>
  <si>
    <t>MR.SUNIL KUMAR RATHA (AP41501)(28Y/M)</t>
  </si>
  <si>
    <t>GEN_T_2.0.spik_4012</t>
  </si>
  <si>
    <t>ADK0000001978</t>
  </si>
  <si>
    <t>MR.NIRAJ KUMAR (AN42831)(24Y/M)</t>
  </si>
  <si>
    <t>GEN_T_2.0.spik_4013</t>
  </si>
  <si>
    <t>ADK0000002025</t>
  </si>
  <si>
    <t>SADIYA NAZ(AN75499)</t>
  </si>
  <si>
    <t>GEN_T_2.0.spik_4014</t>
  </si>
  <si>
    <t>ADK0000002061</t>
  </si>
  <si>
    <t>BABY.SHAIK HABEEYA (4Y/F)</t>
  </si>
  <si>
    <t>GEN_T_2.0.spik_4015</t>
  </si>
  <si>
    <t>ADK0000001914</t>
  </si>
  <si>
    <t>Report released Amount is due</t>
  </si>
  <si>
    <t>MS.HBD 86(22Y/F)</t>
  </si>
  <si>
    <t>GEN_T_2.0.spik_4016</t>
  </si>
  <si>
    <t>ADK0000001992</t>
  </si>
  <si>
    <t>08.06.2026</t>
  </si>
  <si>
    <t>MR.HBD 88(38Y/M)</t>
  </si>
  <si>
    <t>GEN_T_2.0.spik_4017</t>
  </si>
  <si>
    <t>ADK0000001993</t>
  </si>
  <si>
    <t>MR.HBD 92(26Y/M)</t>
  </si>
  <si>
    <t>GEN_T_2.0.spik_4018</t>
  </si>
  <si>
    <t>ADK0000002006</t>
  </si>
  <si>
    <t>MR.HBD 93(30Y/M)</t>
  </si>
  <si>
    <t>GEN_T_2.0.spik_4019</t>
  </si>
  <si>
    <t>ADK0000002007</t>
  </si>
  <si>
    <t>MS.HBD 94(21Y/F)</t>
  </si>
  <si>
    <t>GEN_T_2.0.spik_4020</t>
  </si>
  <si>
    <t>ADK0000002008</t>
  </si>
  <si>
    <t>MS.HBD 95(38Y/F)</t>
  </si>
  <si>
    <t>GEN_T_2.0.spik_4021</t>
  </si>
  <si>
    <t>ADK0000002009</t>
  </si>
  <si>
    <t>MS.HBD 96(30Y/F)</t>
  </si>
  <si>
    <t>GEN_T_2.0.spik_4022</t>
  </si>
  <si>
    <t>ADK0000002010</t>
  </si>
  <si>
    <t>MS.HBD 97(30Y/F)</t>
  </si>
  <si>
    <t>GEN_T_2.0.spik_4023</t>
  </si>
  <si>
    <t>ADK0000002011</t>
  </si>
  <si>
    <t>MS.HBD 98(43Y/F)</t>
  </si>
  <si>
    <t>GEN_T_2.0.spik_4024</t>
  </si>
  <si>
    <t>ADK0000002012</t>
  </si>
  <si>
    <t>MR.HBD 99(43Y/M)</t>
  </si>
  <si>
    <t>GEN_T_2.0.spik_4025</t>
  </si>
  <si>
    <t>ADK0000002013</t>
  </si>
  <si>
    <t>MR.HBD 101(42Y/M)</t>
  </si>
  <si>
    <t>GEN_T_2.0.spik_4026</t>
  </si>
  <si>
    <t>ADK0000002014</t>
  </si>
  <si>
    <t>MR.HBD 102(23Y/M)</t>
  </si>
  <si>
    <t>GEN_T_2.0.spik_4027</t>
  </si>
  <si>
    <t>ADK0000002015</t>
  </si>
  <si>
    <t>MR.HBD 103(33Y/M)</t>
  </si>
  <si>
    <t>GEN_T_2.0.spik_4028</t>
  </si>
  <si>
    <t>ADK0000002016</t>
  </si>
  <si>
    <t>MS.HBD 104(30Y/F)</t>
  </si>
  <si>
    <t>GEN_T_2.0.spik_4029</t>
  </si>
  <si>
    <t>ADK0000002017</t>
  </si>
  <si>
    <t>MR.HBD 105(28Y/M)</t>
  </si>
  <si>
    <t>GEN_T_2.0.spik_4030</t>
  </si>
  <si>
    <t>ADK0000002018</t>
  </si>
  <si>
    <t>MR.AVINASH SINGH(25Y/M)</t>
  </si>
  <si>
    <t>GEN_T_2.0.spik_4031</t>
  </si>
  <si>
    <t>DCC0000004543</t>
  </si>
  <si>
    <t>TARUN JHAMB</t>
  </si>
  <si>
    <t>28-052026</t>
  </si>
  <si>
    <t>MRS.SIRISHA G (29Y/F)</t>
  </si>
  <si>
    <t>GEN_T_2.0.spik_4032</t>
  </si>
  <si>
    <t>ADB0000036298</t>
  </si>
  <si>
    <t>ST.JOHNS HOSPITAL - BANGALORE</t>
  </si>
  <si>
    <t>Bill Not done</t>
  </si>
  <si>
    <t>MRS.NANDINI N (38Y/F)</t>
  </si>
  <si>
    <t>GEN_T_2.0.spik_4033</t>
  </si>
  <si>
    <t>ADB0000036309</t>
  </si>
  <si>
    <t>MRS.MANASA H (14Y/F)</t>
  </si>
  <si>
    <t>GEN_T_2.0.spik_4034</t>
  </si>
  <si>
    <t>ADB0000036346</t>
  </si>
  <si>
    <t>BABY.KIVINYA S(1Y/F)</t>
  </si>
  <si>
    <t>GEN_T_2.0.spik_4035</t>
  </si>
  <si>
    <t>ADK0000001946</t>
  </si>
  <si>
    <t>BABY.HITHANVI(1Y/F)</t>
  </si>
  <si>
    <t>GEN_T_2.0.spik_4036</t>
  </si>
  <si>
    <t>ADK0000001947</t>
  </si>
  <si>
    <t>BABY.SINDHU MATHI(2Y/F)</t>
  </si>
  <si>
    <t>GEN_T_2.0.spik_4037</t>
  </si>
  <si>
    <t>ADK0000001948</t>
  </si>
  <si>
    <t>Dr. Meera (28-05-2026)</t>
  </si>
  <si>
    <t>09-06-2026 (amount is due)</t>
  </si>
  <si>
    <t>MR.PRABHAKAR S(62Y/M)</t>
  </si>
  <si>
    <t>GEN_T_2.0.spik_4038</t>
  </si>
  <si>
    <t>ADK0000002026</t>
  </si>
  <si>
    <t>BABY.MITHRAN(0Y/M)</t>
  </si>
  <si>
    <t>GEN_T_2.0.spik_4039</t>
  </si>
  <si>
    <t>ADK0000002027</t>
  </si>
  <si>
    <t>Internal writeup</t>
  </si>
  <si>
    <t>MRS.DIPIKA(36Y/F)</t>
  </si>
  <si>
    <t>GEN_T_2.0.spik_4040</t>
  </si>
  <si>
    <t>ANL0000007810</t>
  </si>
  <si>
    <t>MR.SHANKARA NARAYANAN(40Y/M)</t>
  </si>
  <si>
    <t>GEN_T_2.0.spik_4041</t>
  </si>
  <si>
    <t>ANL0000007811</t>
  </si>
  <si>
    <t>MR.SHIVAM NEMA (39Y/M)</t>
  </si>
  <si>
    <t>GEN_T_2.0.spik_4042</t>
  </si>
  <si>
    <t>AMB0000009747</t>
  </si>
  <si>
    <t>NOVA IVF CENTER - INDORE</t>
  </si>
  <si>
    <t>MRS.RITU NEMA(37Y/F)</t>
  </si>
  <si>
    <t>GEN_T_2.0.spik_4043</t>
  </si>
  <si>
    <t>AMB0000009748</t>
  </si>
  <si>
    <t>30-05-2027</t>
  </si>
  <si>
    <t>MR.LOGESH P(0Y/M)</t>
  </si>
  <si>
    <t>GEN_T_2.0.spik_4044</t>
  </si>
  <si>
    <t>ADR0000005084</t>
  </si>
  <si>
    <t>DEEPAK ARJUNDAS</t>
  </si>
  <si>
    <t>MRS.DANDA CHAITANYA(24Y/F)</t>
  </si>
  <si>
    <t>GEN_T_2.0.spik_4045</t>
  </si>
  <si>
    <t>HYP0000001759</t>
  </si>
  <si>
    <t>OASIS FERTILITY - ONGOLE (A UNIT OF SADGURU HEALTHCARE SERVICES PVT LTD )</t>
  </si>
  <si>
    <t>11.06.2026</t>
  </si>
  <si>
    <t>MR.Y SRINIVASULA REDDY(33Y/M)</t>
  </si>
  <si>
    <t>GEN_T_2.0.spik_4046</t>
  </si>
  <si>
    <t>HYP0000001760</t>
  </si>
  <si>
    <t>MR.RANJITH KUMAR A,R (31Y/M)</t>
  </si>
  <si>
    <t>GEN_T_2.0.spik_4047</t>
  </si>
  <si>
    <t>GRM0000004003</t>
  </si>
  <si>
    <t>ARUNA ASHOK</t>
  </si>
  <si>
    <t>MRS.DEEPA R (32Y/F)</t>
  </si>
  <si>
    <t>GEN_T_2.0.spik_4048</t>
  </si>
  <si>
    <t>GRM0000004004</t>
  </si>
  <si>
    <t>MRS.MUKTHAMBA C P(33Y/F) POC</t>
  </si>
  <si>
    <t>GEN_T_2.0.spik_4049</t>
  </si>
  <si>
    <t>ADB0000036563</t>
  </si>
  <si>
    <t>SHREE KAUSTUBHA WOMEN S SPECIALTY CLINIC - BANGALORE</t>
  </si>
  <si>
    <t>MR.DINESH (27Y/M)</t>
  </si>
  <si>
    <t>GEN_T_2.0.spik_4050</t>
  </si>
  <si>
    <t>MGR0000000314</t>
  </si>
  <si>
    <t>MOGAPPAIR ANDERSON CC</t>
  </si>
  <si>
    <t>no history available</t>
  </si>
  <si>
    <t>27-06-2026</t>
  </si>
  <si>
    <t>MISS.RIYOLA FALEIRA (14Y/F)</t>
  </si>
  <si>
    <t>GEN_T_2.0.spik_4051</t>
  </si>
  <si>
    <t>ADB0000036869</t>
  </si>
  <si>
    <t>WENLOCK HOSPITAL - MANGALORE</t>
  </si>
  <si>
    <t>ARHAM AYSHA K K (1M/F)</t>
  </si>
  <si>
    <t>GEN_T_2.0.spik_4052</t>
  </si>
  <si>
    <t>ADK0000002119</t>
  </si>
  <si>
    <t>17-06-2026</t>
  </si>
  <si>
    <t>MASTER.AYUSH RAJ (AP65844) (14Y/M)</t>
  </si>
  <si>
    <t>GEN_T_2.0.spik_4053</t>
  </si>
  <si>
    <t>ADK0000002082</t>
  </si>
  <si>
    <t>MR. NIRANJAN .M ( DYSTONIA GENE PANEL)(31Y/M)</t>
  </si>
  <si>
    <t>GEN_T_2.0.spik_4054</t>
  </si>
  <si>
    <t>TPJ0000016271</t>
  </si>
  <si>
    <t>MR.SHIKHAR KAPOOR(40Y/M)</t>
  </si>
  <si>
    <t>GEN_T_2.0.spik_4055</t>
  </si>
  <si>
    <t>AMB0000009777</t>
  </si>
  <si>
    <t>Dr. Meera (01-06-2026)</t>
  </si>
  <si>
    <t>MRS.RUCHI BHATIA KAPOOR(40Y/F)</t>
  </si>
  <si>
    <t>GEN_T_2.0.spik_4056</t>
  </si>
  <si>
    <t>AMB0000009776</t>
  </si>
  <si>
    <t>AL48-Y-388(14Y/F)</t>
  </si>
  <si>
    <t>GEN_T_2.0.spik_4057</t>
  </si>
  <si>
    <t>ADK0000002106</t>
  </si>
  <si>
    <t>AL48-Y-389(42Y/M)</t>
  </si>
  <si>
    <t>GEN_T_2.0.spik_4058</t>
  </si>
  <si>
    <t>ADK0000002107</t>
  </si>
  <si>
    <t>AL48-Y-390(39Y/F)</t>
  </si>
  <si>
    <t>GEN_T_2.0.spik_4059</t>
  </si>
  <si>
    <t>ADK0000002108</t>
  </si>
  <si>
    <t>AL48-Y-396(51Y/F)</t>
  </si>
  <si>
    <t>GEN_T_2.0.spik_4062</t>
  </si>
  <si>
    <t>ADK0000002112</t>
  </si>
  <si>
    <t>AL48-Y-394(28Y/F)</t>
  </si>
  <si>
    <t>GEN_T_2.0.spik_4060</t>
  </si>
  <si>
    <t>ADK0000002110</t>
  </si>
  <si>
    <t>AL48-Y-395(30Y/M)</t>
  </si>
  <si>
    <t>GEN_T_2.0.spik_4061</t>
  </si>
  <si>
    <t>ADK0000002111</t>
  </si>
  <si>
    <t>AL48-Y-397(1Y/M)</t>
  </si>
  <si>
    <t>GEN_T_2.0.spik_4063</t>
  </si>
  <si>
    <t>ADK0000002113</t>
  </si>
  <si>
    <t>AL48-Y-401(39Y/F)</t>
  </si>
  <si>
    <t>GEN_T_2.0.spik_4064</t>
  </si>
  <si>
    <t>ADK0000002114</t>
  </si>
  <si>
    <t>AL48-Y-393(24Y/F)</t>
  </si>
  <si>
    <t>GEN_T_2.0.spik_4065</t>
  </si>
  <si>
    <t>ADK0000002115</t>
  </si>
  <si>
    <t>AL48-Y-402(3Y/M)</t>
  </si>
  <si>
    <t>GEN_T_2.0.spik_4066</t>
  </si>
  <si>
    <t>ADK0000002116</t>
  </si>
  <si>
    <t>AL48-Y-403(25Y/F)</t>
  </si>
  <si>
    <t>GEN_T_2.0.spik_4067</t>
  </si>
  <si>
    <t>ADK0000002117</t>
  </si>
  <si>
    <t>AL48-Y-407(2Y/MF</t>
  </si>
  <si>
    <t>GEN_T_2.0.spik_4068</t>
  </si>
  <si>
    <t>ADK0000002118</t>
  </si>
  <si>
    <t>SURFseq- Run-85A</t>
  </si>
  <si>
    <t>MRS.ARCHANA NARESH(21Y/F) CVS</t>
  </si>
  <si>
    <t>GEN_T_2.0.spik_4069AF</t>
  </si>
  <si>
    <t>ADB0000037492</t>
  </si>
  <si>
    <t>Fetus of Kavitha CVS</t>
  </si>
  <si>
    <t>GEN_T_2.0.spik_4070AF</t>
  </si>
  <si>
    <t>ADK0000002311</t>
  </si>
  <si>
    <t>MRS.KAVYA K HEGDE (33Y/F)</t>
  </si>
  <si>
    <t>GEN_T_2.0.spik_4071</t>
  </si>
  <si>
    <t>ADB0000037305</t>
  </si>
  <si>
    <t>Greyzone (GLS),Greyzone (TCF4)</t>
  </si>
  <si>
    <t>MR.KARTHIK (33Y/M)</t>
  </si>
  <si>
    <t>GEN_T_2.0.spik_4072</t>
  </si>
  <si>
    <t>ADB0000037318</t>
  </si>
  <si>
    <t>MR.PRADEEP B (30Y/M)</t>
  </si>
  <si>
    <t>GEN_T_2.0.spik_4073</t>
  </si>
  <si>
    <t>ATR0000014017</t>
  </si>
  <si>
    <t>MRS.SUSHMA H B (29Y/F)</t>
  </si>
  <si>
    <t>GEN_T_2.0.spik_4074</t>
  </si>
  <si>
    <t>ADB0000037566</t>
  </si>
  <si>
    <t>MR.ARUN KUMAR (38Y/M)</t>
  </si>
  <si>
    <t>GEN_T_2.0.spik_4075</t>
  </si>
  <si>
    <t>ADB0000037565</t>
  </si>
  <si>
    <t>MR.SURESH KUMAR (39Y/M) HCGP</t>
  </si>
  <si>
    <t>GEN_T_2.0.spik_4076</t>
  </si>
  <si>
    <t>HYP0000001831</t>
  </si>
  <si>
    <t>NOVA IVF FERTILITY CENTER - RAJAHMUNDRY</t>
  </si>
  <si>
    <t>Sent to Dr. Shiva sir team (28-05-2026)</t>
  </si>
  <si>
    <t>RGS- 433</t>
  </si>
  <si>
    <t>GEN_T_2.0.spik_4077</t>
  </si>
  <si>
    <t>ADK0000002485</t>
  </si>
  <si>
    <t>RGS- 434</t>
  </si>
  <si>
    <t>GEN_T_2.0.spik_4078</t>
  </si>
  <si>
    <t>ADK0000002486</t>
  </si>
  <si>
    <t>RGS- 435</t>
  </si>
  <si>
    <t>GEN_T_2.0.spik_4079</t>
  </si>
  <si>
    <t>ADK0000002487</t>
  </si>
  <si>
    <t>RGS- 436</t>
  </si>
  <si>
    <t>GEN_T_2.0.spik_4080</t>
  </si>
  <si>
    <t>ADK0000002488</t>
  </si>
  <si>
    <t>RGS- 437</t>
  </si>
  <si>
    <t>GEN_T_2.0.spik_4081</t>
  </si>
  <si>
    <t>ADK0000002489</t>
  </si>
  <si>
    <t>RGS- 438</t>
  </si>
  <si>
    <t>GEN_T_2.0.spik_4082</t>
  </si>
  <si>
    <t>ADK0000002490</t>
  </si>
  <si>
    <t>Pathogenic (GLS)</t>
  </si>
  <si>
    <t>RGS- 439</t>
  </si>
  <si>
    <t>GEN_T_2.0.spik_4083</t>
  </si>
  <si>
    <t>ADK0000002491</t>
  </si>
  <si>
    <t>RGS- 440</t>
  </si>
  <si>
    <t>GEN_T_2.0.spik_4084</t>
  </si>
  <si>
    <t>ADK0000002493</t>
  </si>
  <si>
    <t>BABY.NIVITHA S (3Y/F)</t>
  </si>
  <si>
    <t>GEN_T_2.0.spik_4085</t>
  </si>
  <si>
    <t>PH50000017264</t>
  </si>
  <si>
    <t>BABY.DHESHVAN V (3Y/M)</t>
  </si>
  <si>
    <t>GEN_T_2.0.spik_4086</t>
  </si>
  <si>
    <t>PH50000017583</t>
  </si>
  <si>
    <t>BABY.SHIVANYA R (1Y/F)</t>
  </si>
  <si>
    <t>GEN_T_2.0.spik_4087</t>
  </si>
  <si>
    <t>PH50000017585</t>
  </si>
  <si>
    <t>BABY.VISHNU PRIYAN R (5Y/M)</t>
  </si>
  <si>
    <t>GEN_T_2.0.spik_4088</t>
  </si>
  <si>
    <t>PH50000018127</t>
  </si>
  <si>
    <t>BABY OF.VINODHINI(0Y/F)</t>
  </si>
  <si>
    <t>GEN_T_2.0.spik_4089</t>
  </si>
  <si>
    <t>ADS0000010894</t>
  </si>
  <si>
    <t>NAAM HOSPITALS - SALEM</t>
  </si>
  <si>
    <t>MRS.MANJULA G H(30Y/F)</t>
  </si>
  <si>
    <t>GEN_T_2.0.spik_4090</t>
  </si>
  <si>
    <t>ADB0000037499</t>
  </si>
  <si>
    <t>History Not recevied</t>
  </si>
  <si>
    <t>MR.HANUMANTH RAJ(33Y/M)</t>
  </si>
  <si>
    <t>GEN_T_2.0.spik_4091</t>
  </si>
  <si>
    <t>ADB0000037500</t>
  </si>
  <si>
    <t>MR.SYED AHAMED (AP73361) (37Y/M)</t>
  </si>
  <si>
    <t>GEN_T_2.0.spik_4092</t>
  </si>
  <si>
    <t>ADK0000002157</t>
  </si>
  <si>
    <t>MR.MD c (AP66512) (28Y/M)</t>
  </si>
  <si>
    <t>GEN_T_2.0.spik_4093</t>
  </si>
  <si>
    <t>ADK0000002159</t>
  </si>
  <si>
    <t>MR.SYED UMMEHANI (AN82728) (29Y/M)</t>
  </si>
  <si>
    <t>GEN_T_2.0.spik_4094</t>
  </si>
  <si>
    <t>ADK0000002158</t>
  </si>
  <si>
    <t>MS.TANIYA KHATUN (AP12832) (28Y/F)</t>
  </si>
  <si>
    <t>GEN_T_2.0.spik_4095</t>
  </si>
  <si>
    <t>ADK0000002155</t>
  </si>
  <si>
    <t>MR.MD MAHMUDUL HASAN (AP12832) (28Y/M)</t>
  </si>
  <si>
    <t>GEN_T_2.0.spik_4096</t>
  </si>
  <si>
    <t>ADK0000002156</t>
  </si>
  <si>
    <t>BABY.AAYAN RAZA (AP67565) (4Y/M)</t>
  </si>
  <si>
    <t>GEN_T_2.0.spik_4097</t>
  </si>
  <si>
    <t>ADK0000002179</t>
  </si>
  <si>
    <t>BABY.OF ANKITA GUPTA (2Y/F)</t>
  </si>
  <si>
    <t>GEN_T_2.0.spik_4098</t>
  </si>
  <si>
    <t>DCC0000004640</t>
  </si>
  <si>
    <t>Dr. Meera (02-06-2026)</t>
  </si>
  <si>
    <t>BABY.HELINA PRINCY (4Y/F)</t>
  </si>
  <si>
    <t>GEN_T_2.0.spik_4099</t>
  </si>
  <si>
    <t>ADK0000002165</t>
  </si>
  <si>
    <t>MS.SHARMIYA SREE (11Y/F)</t>
  </si>
  <si>
    <t>GEN_T_2.0.spik_4100</t>
  </si>
  <si>
    <t>ADK0000002166</t>
  </si>
  <si>
    <t>BABY.SHREENIKA PAUL (AP65730)(0Y/F)</t>
  </si>
  <si>
    <t>GEN_T_2.0.spik_4101</t>
  </si>
  <si>
    <t>ADK0000002201</t>
  </si>
  <si>
    <t>MRS.RATCHHA (28Y/F)</t>
  </si>
  <si>
    <t>GEN_T_2.0.spik_4102</t>
  </si>
  <si>
    <t>ACO0000008491</t>
  </si>
  <si>
    <t>18.06.2026</t>
  </si>
  <si>
    <t>MR.NAVEEN KUMAR (28Y/M)</t>
  </si>
  <si>
    <t>GEN_T_2.0.spik_4103</t>
  </si>
  <si>
    <t>ACO0000008494</t>
  </si>
  <si>
    <t>MR.NITHIN KUMAR S(18Y/M)</t>
  </si>
  <si>
    <t>GEN_T_2.0.spik_4104</t>
  </si>
  <si>
    <t>ADB0000037872</t>
  </si>
  <si>
    <t>18-06-2026</t>
  </si>
  <si>
    <t>BABY.VAISHNAV BILAGIKAR(1Y/M)</t>
  </si>
  <si>
    <t>GEN_T_2.0.spik_4105</t>
  </si>
  <si>
    <t>ADH0000026606</t>
  </si>
  <si>
    <t>23-06-2026</t>
  </si>
  <si>
    <t>MS.AL49-Y-423(10Y/F)</t>
  </si>
  <si>
    <t>GEN_T_2.0.spik_4106</t>
  </si>
  <si>
    <t>ADK0000002180</t>
  </si>
  <si>
    <t>13-6-2026</t>
  </si>
  <si>
    <t>MS.AL49-Y-425(9Y/F)</t>
  </si>
  <si>
    <t>GEN_T_2.0.spik_4107</t>
  </si>
  <si>
    <t>ADK0000002192</t>
  </si>
  <si>
    <t>MS.AL49-Y-427(16Y/F)</t>
  </si>
  <si>
    <t>GEN_T_2.0.spik_4108</t>
  </si>
  <si>
    <t>ADK0000002193</t>
  </si>
  <si>
    <t>SURFseq- Run-85B</t>
  </si>
  <si>
    <t>MRS.ILAKIYA DEVI W/O MADHAN KUMAR (34Y/F) AFCC</t>
  </si>
  <si>
    <t>GEN_T_2.0.spik_3944AF_A</t>
  </si>
  <si>
    <t>C H PALLAVI (27Y/F) AFCC</t>
  </si>
  <si>
    <t>GEN_T_2.0.spik_4109AF</t>
  </si>
  <si>
    <t>Internal</t>
  </si>
  <si>
    <t>MRS.MADURA DEVI (33Y/F)</t>
  </si>
  <si>
    <t>GEN_T_2.0.spik_4110</t>
  </si>
  <si>
    <t>ADB0000037717</t>
  </si>
  <si>
    <t>29_06_26</t>
  </si>
  <si>
    <t>RGS- 441</t>
  </si>
  <si>
    <t>GEN_T_2.0.spik_4111</t>
  </si>
  <si>
    <t>ADK0000002494</t>
  </si>
  <si>
    <t>RGS- 442</t>
  </si>
  <si>
    <t>GEN_T_2.0.spik_4112</t>
  </si>
  <si>
    <t>ADK0000002495</t>
  </si>
  <si>
    <t>RGS- 443</t>
  </si>
  <si>
    <t>GEN_T_2.0.spik_4113</t>
  </si>
  <si>
    <t>ADK0000002496</t>
  </si>
  <si>
    <t>RGS- 444</t>
  </si>
  <si>
    <t>GEN_T_2.0.spik_4114</t>
  </si>
  <si>
    <t>ADK0000002497</t>
  </si>
  <si>
    <t>RGS- 445</t>
  </si>
  <si>
    <t>GEN_T_2.0.spik_4115</t>
  </si>
  <si>
    <t>ADK0000002498</t>
  </si>
  <si>
    <t>RGS- 446</t>
  </si>
  <si>
    <t>GEN_T_2.0.spik_4116</t>
  </si>
  <si>
    <t>ADK0000002499</t>
  </si>
  <si>
    <t>RGS - 447</t>
  </si>
  <si>
    <t>GEN_T_2.0.spik_4117</t>
  </si>
  <si>
    <t>ADK0000002500</t>
  </si>
  <si>
    <t>MR.ROHITH (15Y/M)</t>
  </si>
  <si>
    <t>GEN_T_2.0.spik_4118</t>
  </si>
  <si>
    <t>MDP0000000641</t>
  </si>
  <si>
    <t>MADIPAKKAM FRC CHENNAI</t>
  </si>
  <si>
    <t>Sent to Siva sir team</t>
  </si>
  <si>
    <t>MS.AL49-CD-26-106(12Y/F)</t>
  </si>
  <si>
    <t>GEN_T_2.0.spik_4119</t>
  </si>
  <si>
    <t>ADK0000002194</t>
  </si>
  <si>
    <t>MS.AL49-CD-26-107(38Y/F)</t>
  </si>
  <si>
    <t>GEN_T_2.0.spik_4120</t>
  </si>
  <si>
    <t>ADK0000002195</t>
  </si>
  <si>
    <t>MS.AL49-CD-26-113(45Y/F)</t>
  </si>
  <si>
    <t>GEN_T_2.0.spik_4121</t>
  </si>
  <si>
    <t>ADK0000002196</t>
  </si>
  <si>
    <t>MR.AL49-Y-422(29Y/M)</t>
  </si>
  <si>
    <t>GEN_T_2.0.spik_4122</t>
  </si>
  <si>
    <t>ADK0000002197</t>
  </si>
  <si>
    <t>14.06.2026</t>
  </si>
  <si>
    <t>MR.AL49-Y-424(27Y/M)</t>
  </si>
  <si>
    <t>GEN_T_2.0.spik_4123</t>
  </si>
  <si>
    <t>ADK0000002198</t>
  </si>
  <si>
    <t>MS. AL49-Y-426(0Y/F)</t>
  </si>
  <si>
    <t>GEN_T_2.0.spik_4124</t>
  </si>
  <si>
    <t>ADK0000002199</t>
  </si>
  <si>
    <t>MS. AL49-Y-433(16Y/F)</t>
  </si>
  <si>
    <t>GEN_T_2.0.spik_4125</t>
  </si>
  <si>
    <t>ADK0000002200</t>
  </si>
  <si>
    <t>MR.HBD 106(30Y/M)</t>
  </si>
  <si>
    <t>GEN_T_2.0.spik_4126</t>
  </si>
  <si>
    <t>ADK0000002247</t>
  </si>
  <si>
    <t>MR.HBD 108(28Y/M)</t>
  </si>
  <si>
    <t>GEN_T_2.0.spik_4127</t>
  </si>
  <si>
    <t>ADK0000002248</t>
  </si>
  <si>
    <t>MR.HBD 109(30Y/M)</t>
  </si>
  <si>
    <t>GEN_T_2.0.spik_4128</t>
  </si>
  <si>
    <t>ADK0000002249</t>
  </si>
  <si>
    <t>MR.HBD 110(24Y/M)</t>
  </si>
  <si>
    <t>GEN_T_2.0.spik_4129</t>
  </si>
  <si>
    <t>ADK0000002251</t>
  </si>
  <si>
    <t>MS.HBD 111(45Y/F)</t>
  </si>
  <si>
    <t>GEN_T_2.0.spik_4130</t>
  </si>
  <si>
    <t>ADK0000002252</t>
  </si>
  <si>
    <t>MR.HBD 114(42Y/M)</t>
  </si>
  <si>
    <t>GEN_T_2.0.spik_4131</t>
  </si>
  <si>
    <t>ADK0000002253</t>
  </si>
  <si>
    <t>MS.HBD 115(42Y/F)</t>
  </si>
  <si>
    <t>GEN_T_2.0.spik_4132</t>
  </si>
  <si>
    <t>ADK0000002254</t>
  </si>
  <si>
    <t>MR.HBD 121(19Y/M)</t>
  </si>
  <si>
    <t>GEN_T_2.0.spik_4133</t>
  </si>
  <si>
    <t>ADK0000002255</t>
  </si>
  <si>
    <t>MR.HBD 122(41Y/M)</t>
  </si>
  <si>
    <t>GEN_T_2.0.spik_4134</t>
  </si>
  <si>
    <t>ADK0000002256</t>
  </si>
  <si>
    <t>MR.HBD 123(35Y/M)</t>
  </si>
  <si>
    <t>GEN_T_2.0.spik_4135</t>
  </si>
  <si>
    <t>ADK0000002257</t>
  </si>
  <si>
    <t>MR.HBD 124(16Y/M)</t>
  </si>
  <si>
    <t>GEN_T_2.0.spik_4136</t>
  </si>
  <si>
    <t>ADK0000002258</t>
  </si>
  <si>
    <t>MS.HBD 125(38Y/F)</t>
  </si>
  <si>
    <t>GEN_T_2.0.spik_4137</t>
  </si>
  <si>
    <t>ADK0000002259</t>
  </si>
  <si>
    <t>MR.HBD 127(28Y/M)</t>
  </si>
  <si>
    <t>GEN_T_2.0.spik_4138</t>
  </si>
  <si>
    <t>ADK0000002260</t>
  </si>
  <si>
    <t>MR.HBD 129(33Y/M)</t>
  </si>
  <si>
    <t>GEN_T_2.0.spik_4139</t>
  </si>
  <si>
    <t>ADK0000002261</t>
  </si>
  <si>
    <t>MR.HBD 132(36Y/M)</t>
  </si>
  <si>
    <t>GEN_T_2.0.spik_4140</t>
  </si>
  <si>
    <t>ADK0000002262</t>
  </si>
  <si>
    <t>MR.SHRAVAN KUMAR S(36Y/M)</t>
  </si>
  <si>
    <t>GEN_T_2.0.spik_4141</t>
  </si>
  <si>
    <t>ATR0000014142</t>
  </si>
  <si>
    <t>MRS.K SOWMYA (27Y/F) poc</t>
  </si>
  <si>
    <t>GEN_T_2.0.spik_4142</t>
  </si>
  <si>
    <t>HYP0000001847</t>
  </si>
  <si>
    <t>DR. G. SHREEJA</t>
  </si>
  <si>
    <t>25-06-2026</t>
  </si>
  <si>
    <t>MRS.INDUSHREE (30 Y 0 M 0 D /Female) POC</t>
  </si>
  <si>
    <t>GEN_T_2.0.spik_4143</t>
  </si>
  <si>
    <t>ADB0000037906</t>
  </si>
  <si>
    <t>SPANDANA FERTILITY &amp; WOMEN WELLNESS CENTER - MYSURU</t>
  </si>
  <si>
    <t>MRS.SWATHI(29Y/F) POC</t>
  </si>
  <si>
    <t>GEN_T_2.0.spik_4144</t>
  </si>
  <si>
    <t>ADH0000026605</t>
  </si>
  <si>
    <t>22-06-2026</t>
  </si>
  <si>
    <t>MRS.PRIYA (29Y/F) poc</t>
  </si>
  <si>
    <t>GEN_T_2.0.spik_4145</t>
  </si>
  <si>
    <t>AND0000033384</t>
  </si>
  <si>
    <t>NANDHINI PEARL HOSPITAL LLP PHARMACY - VELACHERY</t>
  </si>
  <si>
    <t>15.06.2026</t>
  </si>
  <si>
    <t>MRS. AFSHAN FATHIMA HUSSAIN (26Y/F) poc</t>
  </si>
  <si>
    <t>GEN_T_2.0.spik_4146</t>
  </si>
  <si>
    <t>MDU0000016755</t>
  </si>
  <si>
    <t>ASHWINI HOSPITAL - MADURAI</t>
  </si>
  <si>
    <t>MR.MD ARFAT ANSARI (AP64252) (28Y/M)</t>
  </si>
  <si>
    <t>GEN_T_2.0.spik_4147</t>
  </si>
  <si>
    <t>ADK0000002312</t>
  </si>
  <si>
    <t>SURFseq- Run-86A</t>
  </si>
  <si>
    <t>MRS.S.SARASWATHI(26Y/F) AF</t>
  </si>
  <si>
    <t>GEN_T_2.0.spik_4148AF</t>
  </si>
  <si>
    <t>ADN0000025385</t>
  </si>
  <si>
    <t>SARASWATHI SCAN CENTRE - NELLORE</t>
  </si>
  <si>
    <t>MRS.DHULI BAI(30 Y 4 M 19 D /Female) AF</t>
  </si>
  <si>
    <t>GEN_T_2.0.spik_4149AF</t>
  </si>
  <si>
    <t>ADH0000027434</t>
  </si>
  <si>
    <t>AL50-Y-449(12Y/M)</t>
  </si>
  <si>
    <t>GEN_T_2.0.spik_4150</t>
  </si>
  <si>
    <t>ADK0000002374</t>
  </si>
  <si>
    <t>MS.AL51-Y-456 (25Y/F)</t>
  </si>
  <si>
    <t>GEN_T_2.0.spik_4151</t>
  </si>
  <si>
    <t>ADK0000002449</t>
  </si>
  <si>
    <t>Greyzone (ATXN1),Greyzone (GLS)</t>
  </si>
  <si>
    <t>MRS.MEGHANA J W/O KRITHESH RAJ(28 Y 0 M 0 D /Female)</t>
  </si>
  <si>
    <t>GEN_T_2.0.spik_4152</t>
  </si>
  <si>
    <t>ADB0000038508</t>
  </si>
  <si>
    <t>MANIPAL HOSPITAL - MYSORE</t>
  </si>
  <si>
    <t>MR.MANOJ KUMAR (30Y/M)</t>
  </si>
  <si>
    <t>GEN_T_2.0.spik_4153</t>
  </si>
  <si>
    <t>ADB0000037935</t>
  </si>
  <si>
    <t>MRS.DIVYA BK (31Y/F)</t>
  </si>
  <si>
    <t>GEN_T_2.0.spik_4154</t>
  </si>
  <si>
    <t>ADB0000037937</t>
  </si>
  <si>
    <t>Greyzone (FMR1)</t>
  </si>
  <si>
    <t>MR.D SRINIVAS RAO(49Y/M)</t>
  </si>
  <si>
    <t>GEN_T_2.0.spik_4155</t>
  </si>
  <si>
    <t>HYP0000001912</t>
  </si>
  <si>
    <t>G S N HOSPITAL - HYDERABAD</t>
  </si>
  <si>
    <t>MRS.PRASHANTHI S (32Y/F)</t>
  </si>
  <si>
    <t>GEN_T_2.0.spik_4156</t>
  </si>
  <si>
    <t>ATR0000013927</t>
  </si>
  <si>
    <t>MRS.MANISHA D (31Y/F)</t>
  </si>
  <si>
    <t>GEN_T_2.0.spik_4157</t>
  </si>
  <si>
    <t>ABC0000001312</t>
  </si>
  <si>
    <t>BABY OF.PON REVATHI (260504528) (0Y/M)</t>
  </si>
  <si>
    <t>GEN_T_2.0.spik_4158</t>
  </si>
  <si>
    <t>ANG0000008118</t>
  </si>
  <si>
    <t>BABY.SAI SESHWANTH (0Y/M)</t>
  </si>
  <si>
    <t>GEN_T_2.0.spik_4159</t>
  </si>
  <si>
    <t>ADK0000002121</t>
  </si>
  <si>
    <t xml:space="preserve">Amount due </t>
  </si>
  <si>
    <t>09.06.2026</t>
  </si>
  <si>
    <t>MS.NIKITHA (10Y/F)</t>
  </si>
  <si>
    <t>GEN_T_2.0.spik_4160</t>
  </si>
  <si>
    <t>ADK0000002122</t>
  </si>
  <si>
    <t>Report released in ITDOSE Alone, Amount is due</t>
  </si>
  <si>
    <t>BABY.THAZHINI (0Y/F)</t>
  </si>
  <si>
    <t>GEN_T_2.0.spik_4161</t>
  </si>
  <si>
    <t>ADK0000002123</t>
  </si>
  <si>
    <t>MRS.JAHNAVI VALLABHANENI (CH 26014818) (27Y/F)</t>
  </si>
  <si>
    <t>GEN_T_2.0.spik_4162</t>
  </si>
  <si>
    <t>HYP0000001804</t>
  </si>
  <si>
    <t>DR.MANJUNATH L R (39Y/M)</t>
  </si>
  <si>
    <t>GEN_T_2.0.spik_4163</t>
  </si>
  <si>
    <t>ADB0000037428</t>
  </si>
  <si>
    <t>MRS.PARVEEN BHANU S (9166-67) (34Y/F)</t>
  </si>
  <si>
    <t>GEN_T_2.0.spik_4164</t>
  </si>
  <si>
    <t>ADH0000026465</t>
  </si>
  <si>
    <t>MR.MOHAMMED ARIF MIRZA (9088-62) (40Y/M)</t>
  </si>
  <si>
    <t>GEN_T_2.0.spik_4165</t>
  </si>
  <si>
    <t>ADH0000026466</t>
  </si>
  <si>
    <t>BABY.YOGAN(1Y/M)</t>
  </si>
  <si>
    <t>GEN_T_2.0.spik_4166</t>
  </si>
  <si>
    <t>ADK0000002215</t>
  </si>
  <si>
    <t>Amount is due</t>
  </si>
  <si>
    <t xml:space="preserve">15-06-2026 </t>
  </si>
  <si>
    <t>MR.V TARUNTEJA H/O. SRAVANI SIRAMDAS (HEG M0036848)(32Y/M)</t>
  </si>
  <si>
    <t>GEN_T_2.0.spik_4167</t>
  </si>
  <si>
    <t>HYP0000001880</t>
  </si>
  <si>
    <t>MRS.ARUTLA SNIGDHA W/IO. A ASHWIN SIDDARTH (HEG 36572)(31Y/F)</t>
  </si>
  <si>
    <t>GEN_T_2.0.spik_4168</t>
  </si>
  <si>
    <t>HYP0000001881</t>
  </si>
  <si>
    <t>Greyzone (GLS),Greyzone (HTT)</t>
  </si>
  <si>
    <t>16/06/2026</t>
  </si>
  <si>
    <t>MR.A ASHWIN SIDDARTH H/O. A SNIGDHA - (HEG 36573)(35Y/M)</t>
  </si>
  <si>
    <t>GEN_T_2.0.spik_4169</t>
  </si>
  <si>
    <t>HYP0000001882</t>
  </si>
  <si>
    <t>MRS.PUSHPA P(29Y/F)</t>
  </si>
  <si>
    <t>GEN_T_2.0.spik_4170</t>
  </si>
  <si>
    <t>ATR0000014155</t>
  </si>
  <si>
    <t>13/06/2026</t>
  </si>
  <si>
    <t>BABY.BABY OF MONIKA (AP46275) (0Y/F)</t>
  </si>
  <si>
    <t>GEN_T_2.0.spik_4171</t>
  </si>
  <si>
    <t>ADK0000002313</t>
  </si>
  <si>
    <t>BABY.SYED AFRAA(1Y/F)</t>
  </si>
  <si>
    <t>GEN_T_2.0.spik_4172</t>
  </si>
  <si>
    <t>ABC0000001391</t>
  </si>
  <si>
    <t>MRS.SAMEENA BEGUM (32Y/F)</t>
  </si>
  <si>
    <t>GEN_T_2.0.spik_4173</t>
  </si>
  <si>
    <t>HYP0000001927</t>
  </si>
  <si>
    <t>Dr. Meera (05.06.2026)</t>
  </si>
  <si>
    <t>MR.MOHMMOD ARIF (34Y/M)</t>
  </si>
  <si>
    <t>GEN_T_2.0.spik_4174</t>
  </si>
  <si>
    <t>HYP0000001928</t>
  </si>
  <si>
    <t>MR.BUJJI BABU (44Y/M)</t>
  </si>
  <si>
    <t>GEN_T_2.0.spik_4175</t>
  </si>
  <si>
    <t>PH50000019089</t>
  </si>
  <si>
    <t>RAJIV GANDHI GOVERNMENT HOSPITAL</t>
  </si>
  <si>
    <t>MR.SHEKHAR PATEL (43Y/M)</t>
  </si>
  <si>
    <t>GEN_T_2.0.spik_4176</t>
  </si>
  <si>
    <t>AMB0000010226</t>
  </si>
  <si>
    <t>raghavi</t>
  </si>
  <si>
    <t>MR.RAGHAVENDRA KUMAR R (39Y/M)</t>
  </si>
  <si>
    <t>GEN_T_2.0.spik_4177</t>
  </si>
  <si>
    <t>ADB0000038143</t>
  </si>
  <si>
    <t>SANTASA FERTILITY PVT LTD-HASSAN</t>
  </si>
  <si>
    <t>26-06-2026</t>
  </si>
  <si>
    <t>MR.GIREESH SAI (15Y/M)</t>
  </si>
  <si>
    <t>GEN_T_2.0.spik_4178</t>
  </si>
  <si>
    <t>ADB0000038104</t>
  </si>
  <si>
    <t>APOLLO HOSPITAL - JAYANAGAR</t>
  </si>
  <si>
    <t>AL50-Y-448(2Y/M)</t>
  </si>
  <si>
    <t>GEN_T_2.0.spik_4179</t>
  </si>
  <si>
    <t>ADK0000002370</t>
  </si>
  <si>
    <t>AL50-Y-445(21Y/M)</t>
  </si>
  <si>
    <t>GEN_T_2.0.spik_4180</t>
  </si>
  <si>
    <t>ADK0000002371</t>
  </si>
  <si>
    <t>AL50-Y-442(25Y/M)</t>
  </si>
  <si>
    <t>GEN_T_2.0.spik_4181</t>
  </si>
  <si>
    <t>ADK0000002372</t>
  </si>
  <si>
    <t>AL50-Y-451(5Y/M)</t>
  </si>
  <si>
    <t>GEN_T_2.0.spik_4182</t>
  </si>
  <si>
    <t>ADK0000002373</t>
  </si>
  <si>
    <t>18-6-2026</t>
  </si>
  <si>
    <t>AL50-446(46Y/F)</t>
  </si>
  <si>
    <t>GEN_T_2.0.spik_4183</t>
  </si>
  <si>
    <t>ADK0000002375</t>
  </si>
  <si>
    <t>MISS.KERINA(59Y/F)</t>
  </si>
  <si>
    <t>GEN_T_2.0.spik_4184</t>
  </si>
  <si>
    <t>AVP0000008750</t>
  </si>
  <si>
    <t>SRI BAALAJI CLINICAL LABORATORY - VILLUPURAM</t>
  </si>
  <si>
    <t>BABY.ASJAD RAZA (5Y/M)</t>
  </si>
  <si>
    <t>GEN_T_2.0.spik_4185</t>
  </si>
  <si>
    <t>ADK0000002446</t>
  </si>
  <si>
    <t>19.06.2026</t>
  </si>
  <si>
    <t>MRS.YOGYATHA VANKELU W/O. B GOWTHAM(33y/f)</t>
  </si>
  <si>
    <t>GEN_T_2.0.spik_4186</t>
  </si>
  <si>
    <t>HYP0000002045</t>
  </si>
  <si>
    <t>19.06.2027</t>
  </si>
  <si>
    <t>MR.GOWTHAM BOMMADEVARA H/O. Y VANKELU(35Y/M)</t>
  </si>
  <si>
    <t>GEN_T_2.0.spik_4187</t>
  </si>
  <si>
    <t>HYP0000002046</t>
  </si>
  <si>
    <t>19.06.2028</t>
  </si>
  <si>
    <t>BABY OF.GEETA SUBHAS MHETRE(0 Y 0 M 1 D /Female)</t>
  </si>
  <si>
    <t>GEN_T_2.0.spik_4188</t>
  </si>
  <si>
    <t>AMB0000010297</t>
  </si>
  <si>
    <t>Released in ITDos alone</t>
  </si>
  <si>
    <t>20.06.2026</t>
  </si>
  <si>
    <t>BABY.SRI DHARAN (250201518)(2Y/M)</t>
  </si>
  <si>
    <t>GEN_T_2.0.spik_4189</t>
  </si>
  <si>
    <t>ANG0000009197</t>
  </si>
  <si>
    <t>MRS.AL51-Y-453 (45Y/F)</t>
  </si>
  <si>
    <t>GEN_T_2.0.spik_4190</t>
  </si>
  <si>
    <t>ADK0000002447</t>
  </si>
  <si>
    <t>20/06/2026</t>
  </si>
  <si>
    <t>MS.AL5-Y-454 (8Y/F)</t>
  </si>
  <si>
    <t>GEN_T_2.0.spik_4191</t>
  </si>
  <si>
    <t>ADK0000002448</t>
  </si>
  <si>
    <t>BABY.AL51-Y-457 (6Y/F)</t>
  </si>
  <si>
    <t>GEN_T_2.0.spik_4192</t>
  </si>
  <si>
    <t>ADK0000002450</t>
  </si>
  <si>
    <t>MR.AL51-Y-461 (19Y/M)</t>
  </si>
  <si>
    <t>GEN_T_2.0.spik_4193</t>
  </si>
  <si>
    <t>ADK0000002451</t>
  </si>
  <si>
    <t>MS.AL51-Y-463 (7Y/F)</t>
  </si>
  <si>
    <t>GEN_T_2.0.spik_4194</t>
  </si>
  <si>
    <t>ADK0000002452</t>
  </si>
  <si>
    <t>MS.AL51-Y-455 (30Y/F)</t>
  </si>
  <si>
    <t>GEN_T_2.0.spik_4195</t>
  </si>
  <si>
    <t>ADK0000002453</t>
  </si>
  <si>
    <t>MS.AL51-Y-459 (39Y/F)</t>
  </si>
  <si>
    <t>GEN_T_2.0.spik_4196</t>
  </si>
  <si>
    <t>ADK0000002454</t>
  </si>
  <si>
    <t>MR.AL51-Y-460 (45Y/M)</t>
  </si>
  <si>
    <t>GEN_T_2.0.spik_4197</t>
  </si>
  <si>
    <t>ADK0000002455</t>
  </si>
  <si>
    <t>MR.HARCHARAN SINGH ARORA (64Y/M)</t>
  </si>
  <si>
    <t>GEN_T_2.0.spik_4198</t>
  </si>
  <si>
    <t>ADB0000038593</t>
  </si>
  <si>
    <t>22.06.2026</t>
  </si>
  <si>
    <t>MISS.KANISHKA R (12Y/F)</t>
  </si>
  <si>
    <t>GEN_T_2.0.spik_4199</t>
  </si>
  <si>
    <t>ADB0000038581</t>
  </si>
  <si>
    <t>22.07.2026</t>
  </si>
  <si>
    <t>MRS.LAVANYA (38Y/F)</t>
  </si>
  <si>
    <t>GEN_T_2.0.spik_4200</t>
  </si>
  <si>
    <t>MDU0000018449</t>
  </si>
  <si>
    <t>BOOMA NURSING HOME - MADURAI</t>
  </si>
  <si>
    <t>14-07-2026</t>
  </si>
  <si>
    <t>MR.R ARUN KUMAR (35Y/M)</t>
  </si>
  <si>
    <t>GEN_T_2.0.spik_4201</t>
  </si>
  <si>
    <t>MDU0000018450</t>
  </si>
  <si>
    <t>BABY.SAI SHANMUGA S (3Y/M)</t>
  </si>
  <si>
    <t>GEN_T_2.0.spik_4202</t>
  </si>
  <si>
    <t>ADK0000002456</t>
  </si>
  <si>
    <t>Report released Amount due</t>
  </si>
  <si>
    <t>BABY.KALAIYAMUTHAN N S (0Y/M)</t>
  </si>
  <si>
    <t>GEN_T_2.0.spik_4203</t>
  </si>
  <si>
    <t>ADK0000002457</t>
  </si>
  <si>
    <t>SURFseq- Run-87B</t>
  </si>
  <si>
    <t>MRS.K SOUJANYA(31Y/F) AF</t>
  </si>
  <si>
    <t>GEN_T_2.0.spik_4204AF</t>
  </si>
  <si>
    <t>ADH0000027633</t>
  </si>
  <si>
    <t>14/06/2026</t>
  </si>
  <si>
    <t>MRS.MALA K (53Y/F)</t>
  </si>
  <si>
    <t>COMPREHENSIVE HEREDITARY CANCER PANEL</t>
  </si>
  <si>
    <t>GEN_T_2.0.spik_4205</t>
  </si>
  <si>
    <t>CHM0000033504</t>
  </si>
  <si>
    <t>SERVICEMEN CONTRIBUTORY HEALTH SCHEME ECHS</t>
  </si>
  <si>
    <t>BABY.THARUN C (3Y/M)</t>
  </si>
  <si>
    <t>GEN_T_2.0.spik_4206</t>
  </si>
  <si>
    <t>PH50000019374</t>
  </si>
  <si>
    <t>20-06-2026</t>
  </si>
  <si>
    <t>BABY.SAIIRAM JAYARAJ (6Y/M)</t>
  </si>
  <si>
    <t>GEN_T_2.0.spik_4207</t>
  </si>
  <si>
    <t>PH50000019375</t>
  </si>
  <si>
    <t>BABY.MUTHU MIRUTHULA R (3Y/F)</t>
  </si>
  <si>
    <t>GEN_T_2.0.spik_4208</t>
  </si>
  <si>
    <t>PH50000019259</t>
  </si>
  <si>
    <t>15/06/2026</t>
  </si>
  <si>
    <t xml:space="preserve">Report released in ITDOSE ALONE </t>
  </si>
  <si>
    <t>MR.K VINOD KUMAR (38Y/M)</t>
  </si>
  <si>
    <t>GEN_T_2.0.spik_4209</t>
  </si>
  <si>
    <t>ADB0000038106</t>
  </si>
  <si>
    <t>MANIPAL HOSPITAL HAL ROAD - BANGALORE</t>
  </si>
  <si>
    <t>MRS.SHRUTHI C (35Y/F)</t>
  </si>
  <si>
    <t>GEN_T_2.0.spik_4210</t>
  </si>
  <si>
    <t>ADB0000038115</t>
  </si>
  <si>
    <t>MRS.LALITHA (36Y/F)</t>
  </si>
  <si>
    <t>GEN_T_2.0.spik_4211</t>
  </si>
  <si>
    <t>ADS0000011976</t>
  </si>
  <si>
    <t>MR.ANANDH (37Y/M)</t>
  </si>
  <si>
    <t>GEN_T_2.0.spik_4212</t>
  </si>
  <si>
    <t>ADS0000011977</t>
  </si>
  <si>
    <t>BABY.SUBISHA(1Y/F)</t>
  </si>
  <si>
    <t>GEN_T_2.0.spik_4213</t>
  </si>
  <si>
    <t>ADK0000002381</t>
  </si>
  <si>
    <t>24-06-2026</t>
  </si>
  <si>
    <t>MRS. DIVYALAKSHMI (41Y/F)</t>
  </si>
  <si>
    <t>GEN_T_2.0.spik_4214</t>
  </si>
  <si>
    <t>AND0000036010</t>
  </si>
  <si>
    <t>BABY.AYANSHI YADAV(1Y/F)</t>
  </si>
  <si>
    <t>GEN_T_2.0.spik_4215</t>
  </si>
  <si>
    <t>DCC0000004788</t>
  </si>
  <si>
    <t>Report released in ITDOSE alone</t>
  </si>
  <si>
    <t>MRS.KESIRAJU MOUNIKA W/O. SANTOSH KUMAR (HEG 41487) (33Y/F)</t>
  </si>
  <si>
    <t>GEN_T_2.0.spik_4216</t>
  </si>
  <si>
    <t>HYP0000001963</t>
  </si>
  <si>
    <t>MR.SANTOSH KUMAR H/O. MOUNIKA (HEG 41488) (36Y/M)</t>
  </si>
  <si>
    <t>GEN_T_2.0.spik_4217</t>
  </si>
  <si>
    <t>HYP0000001964</t>
  </si>
  <si>
    <t>MR.HAMEED KHAN M (32Y/M)</t>
  </si>
  <si>
    <t>GEN_T_2.0.spik_4218</t>
  </si>
  <si>
    <t>TCC0000001043</t>
  </si>
  <si>
    <t>DIVYA M</t>
  </si>
  <si>
    <t>MRS.MAHALAKSHMI (260516467692) (29Y/F)</t>
  </si>
  <si>
    <t>GEN_T_2.0.spik_4219</t>
  </si>
  <si>
    <t>AND0000036488</t>
  </si>
  <si>
    <t>MR.SUJITH KUMAR S(37Y/M)</t>
  </si>
  <si>
    <t>GEN_T_2.0.spik_4220</t>
  </si>
  <si>
    <t>ATR0000014389</t>
  </si>
  <si>
    <t>18-06-2026 (Not Released in group)</t>
  </si>
  <si>
    <t>BABY.MOULIDARAN P (6Y/M)</t>
  </si>
  <si>
    <t>GEN_T_2.0.spik_4221</t>
  </si>
  <si>
    <t>PH50000020196</t>
  </si>
  <si>
    <t>BABY.SABAREESAN M (1Y/M)</t>
  </si>
  <si>
    <t>GEN_T_2.0.spik_4222</t>
  </si>
  <si>
    <t>PH50000020259</t>
  </si>
  <si>
    <t>22/06/2026</t>
  </si>
  <si>
    <t>ANBARASI (34Y/F)</t>
  </si>
  <si>
    <t>GEN_T_2.0.spik_4223</t>
  </si>
  <si>
    <t>ADK0000002477</t>
  </si>
  <si>
    <t>BABY.PAAVAI MOZHIYAL D (0Y/F)</t>
  </si>
  <si>
    <t>GEN_T_2.0.spik_4224</t>
  </si>
  <si>
    <t>PH50000020439</t>
  </si>
  <si>
    <t>21/06/2026</t>
  </si>
  <si>
    <t>BABY.RIDHAISEYYON B S (0Y/M)</t>
  </si>
  <si>
    <t>GEN_T_2.0.spik_4225</t>
  </si>
  <si>
    <t>PH50000020441</t>
  </si>
  <si>
    <t>MR.JAGAN (37Y/M)</t>
  </si>
  <si>
    <t>GEN_T_2.0.spik_4226</t>
  </si>
  <si>
    <t>PH50000020844</t>
  </si>
  <si>
    <t>23/06/2026</t>
  </si>
  <si>
    <t>30-06-2026</t>
  </si>
  <si>
    <t>MR.GANESH PRABHU R (35Y/M)</t>
  </si>
  <si>
    <t>GEN_T_2.0.spik_4227</t>
  </si>
  <si>
    <t>ACL0000000827</t>
  </si>
  <si>
    <t>18/06/2026</t>
  </si>
  <si>
    <t>MRS.MALA (30Y/F) POC</t>
  </si>
  <si>
    <t>GEN_T_2.0.spik_4228</t>
  </si>
  <si>
    <t>ADH0000027755</t>
  </si>
  <si>
    <t>DIVAKAR S HEALTH CARE - DAVANAGERE</t>
  </si>
  <si>
    <t>Released in ITdose alone</t>
  </si>
  <si>
    <t>MR.SAI SARAN T (32Y/M)</t>
  </si>
  <si>
    <t>GEN_T_2.0.spik_4229</t>
  </si>
  <si>
    <t>ATR0000014560</t>
  </si>
  <si>
    <t>MOTHER HOSPITAL - TIRUPATHI</t>
  </si>
  <si>
    <t>29-06-2026</t>
  </si>
  <si>
    <t>MRS.HARSHINI G (22Y/F)</t>
  </si>
  <si>
    <t>GEN_T_2.0.spik_4230</t>
  </si>
  <si>
    <t>ATR0000014561</t>
  </si>
  <si>
    <t>MR.RAMA KRISHNA SRUJAN T (28Y/M)</t>
  </si>
  <si>
    <t>GEN_T_2.0.spik_4231</t>
  </si>
  <si>
    <t>ATR0000014562</t>
  </si>
  <si>
    <t>29.06.2026</t>
  </si>
  <si>
    <t>BABY.POORANASHRI(1Y/F)</t>
  </si>
  <si>
    <t>GEN_T_2.0.spik_4232</t>
  </si>
  <si>
    <t>ADK0000002478</t>
  </si>
  <si>
    <t>amount due</t>
  </si>
  <si>
    <t>MS.KEERTHI(7Y/F)</t>
  </si>
  <si>
    <t>GEN_T_2.0.spik_4233</t>
  </si>
  <si>
    <t>ADK0000002479</t>
  </si>
  <si>
    <t>BABY.JOEESHA EVANGELINE1(4Y/F)</t>
  </si>
  <si>
    <t>GEN_T_2.0.spik_4234</t>
  </si>
  <si>
    <t>ADK0000002480</t>
  </si>
  <si>
    <t>Billing is pending</t>
  </si>
  <si>
    <t>ADRIJA GIRI (5Y/F)</t>
  </si>
  <si>
    <t>GEN_T_2.0.spik_4235</t>
  </si>
  <si>
    <t>ADK0000002546</t>
  </si>
  <si>
    <t>ANITA DEVI (38Y/F)</t>
  </si>
  <si>
    <t>GEN_T_2.0.spik_4236</t>
  </si>
  <si>
    <t>ADK0000002549</t>
  </si>
  <si>
    <t>PUJA ROY (33Y/F)</t>
  </si>
  <si>
    <t>GEN_T_2.0.spik_4237</t>
  </si>
  <si>
    <t>ADK0000002547</t>
  </si>
  <si>
    <t>ILHAM (20Y/M)</t>
  </si>
  <si>
    <t>GEN_T_2.0.spik_4238</t>
  </si>
  <si>
    <t>ADK0000002545</t>
  </si>
  <si>
    <t>AVINASH ARYAN (5Y/M)</t>
  </si>
  <si>
    <t>GEN_T_2.0.spik_4239</t>
  </si>
  <si>
    <t>ADK0000002548</t>
  </si>
  <si>
    <t>GOLAB DESHMUKH (50Y/F)</t>
  </si>
  <si>
    <t>GEN_T_2.0.spik_4240</t>
  </si>
  <si>
    <t>CMC sample_Yet to be billed</t>
  </si>
  <si>
    <t>MUHAMMED PADINHARE (40Y/M)</t>
  </si>
  <si>
    <t>GEN_T_2.0.spik_4241</t>
  </si>
  <si>
    <t>ADK0000002552</t>
  </si>
  <si>
    <t>MASTER.TALARI GAGAN(0Y/M)</t>
  </si>
  <si>
    <t>GEN_T_2.0.spik_4242</t>
  </si>
  <si>
    <t>ABC0000001519</t>
  </si>
  <si>
    <t>MASTER.JOSEPH (16Y/M)</t>
  </si>
  <si>
    <t>GEN_T_2.0.spik_4243</t>
  </si>
  <si>
    <t>ACL0000002638</t>
  </si>
  <si>
    <t>16.07.2026</t>
  </si>
  <si>
    <t>MRS.DEEPA (UMR2605061368) (30Y/F)</t>
  </si>
  <si>
    <t>GEN_T_2.0.spik_4244</t>
  </si>
  <si>
    <t>CHM0000035831</t>
  </si>
  <si>
    <t>FERTILITY CENTRE - TAMBARAM</t>
  </si>
  <si>
    <t>MR.ABISHEK (19Y/F)</t>
  </si>
  <si>
    <t>GEN_T_2.0.spik_4245</t>
  </si>
  <si>
    <t>GRM0000004440</t>
  </si>
  <si>
    <t>MRS.SREE VIDYA (29Y/F)</t>
  </si>
  <si>
    <t>GEN_T_2.0.spik_4246</t>
  </si>
  <si>
    <t>ADB0000038978</t>
  </si>
  <si>
    <t>OASIS FERTILITY - HSR LAYOUT (A UNIT OF SADGURU HEALTHCARE SERVICES PVT LTD )</t>
  </si>
  <si>
    <t>No history available</t>
  </si>
  <si>
    <t>MR.MATHAIYAN P (60Y/ M)</t>
  </si>
  <si>
    <t>GEN_T_2.0.spik_4247</t>
  </si>
  <si>
    <t>ADB0000039071</t>
  </si>
  <si>
    <t>MS.AL52-CD-26-118 (40Y/F)</t>
  </si>
  <si>
    <t>GEN_T_2.0.spik_4248</t>
  </si>
  <si>
    <t>ADK0000002531</t>
  </si>
  <si>
    <t>Dr. sudha</t>
  </si>
  <si>
    <t>22/6/2026</t>
  </si>
  <si>
    <t>MS.AL52-Y-465 (45Y/F)</t>
  </si>
  <si>
    <t>GEN_T_2.0.spik_4249</t>
  </si>
  <si>
    <t>ADK0000002532</t>
  </si>
  <si>
    <t>MS.AL52-Y-466 (29Y/F)</t>
  </si>
  <si>
    <t>GEN_T_2.0.spik_4250</t>
  </si>
  <si>
    <t>ADK0000002533</t>
  </si>
  <si>
    <t>23.06.2026</t>
  </si>
  <si>
    <t>M 02/26 (4Y/F)</t>
  </si>
  <si>
    <t>GEN_T_2.0.spik_4251</t>
  </si>
  <si>
    <t>ADK0000002618</t>
  </si>
  <si>
    <t>17/06/2026</t>
  </si>
  <si>
    <t>SURFseq- Run-88B</t>
  </si>
  <si>
    <t>MRS.VJJWAL CHOHAN (30Y/F)</t>
  </si>
  <si>
    <t>GEN_T_2.0.spik_4252</t>
  </si>
  <si>
    <t>ADB0000039349</t>
  </si>
  <si>
    <t>MRS.AKANKSHYA MOHANTY (22Y/F)</t>
  </si>
  <si>
    <t>GEN_T_2.0.spik_4253</t>
  </si>
  <si>
    <t>HYP0000002124</t>
  </si>
  <si>
    <t>CONTINENTAL FERTILITY CENTER - CONTINENTAL HOSPITALS PVT LTD – GACHIBOWLI</t>
  </si>
  <si>
    <t>Greyzone(GLS)</t>
  </si>
  <si>
    <t>MRS.RENUKA (31Y/F)</t>
  </si>
  <si>
    <t>GEN_T_2.0.spik_4254</t>
  </si>
  <si>
    <t>ADB0000039390</t>
  </si>
  <si>
    <t>KIMS HOSPITALS - BANGALORE</t>
  </si>
  <si>
    <t>MR.NINGAPPA (36Y/M)</t>
  </si>
  <si>
    <t>GEN_T_2.0.spik_4255</t>
  </si>
  <si>
    <t>ADB0000039393</t>
  </si>
  <si>
    <t>BABY.BHARGAVI (2Y/F)</t>
  </si>
  <si>
    <t>GEN_T_2.0.spik_4256</t>
  </si>
  <si>
    <t>ADB0000039416</t>
  </si>
  <si>
    <t>MR.GIRI (34Y/M)</t>
  </si>
  <si>
    <t>GEN_T_2.0.spik_4257</t>
  </si>
  <si>
    <t>GRM0000004515</t>
  </si>
  <si>
    <t>MRS.SAILAJA (29Y/F)</t>
  </si>
  <si>
    <t>GEN_T_2.0.spik_4258</t>
  </si>
  <si>
    <t>GRM0000004516</t>
  </si>
  <si>
    <t>MR.SEAN ETHAN(987372 F) (10Y/M)</t>
  </si>
  <si>
    <t>GEN_T_2.0.spik_4259</t>
  </si>
  <si>
    <t>ADK0000002551</t>
  </si>
  <si>
    <t>MR.BADHRINATH (714141 P) (35Y/M)</t>
  </si>
  <si>
    <t>GEN_T_2.0.spik_4260</t>
  </si>
  <si>
    <t>ADK0000002550</t>
  </si>
  <si>
    <t>MRS.PREETHA K OD (D/CHN-ANG/00219) (24Y/F)</t>
  </si>
  <si>
    <t>GEN_T_2.0.spik_4261</t>
  </si>
  <si>
    <t>ARP0000000938</t>
  </si>
  <si>
    <t>RHEA HEALTHCARE PRIVATE LIMITED - ANNANAGAR (NOVA IVF)</t>
  </si>
  <si>
    <t>MR.BHARATH S (ANG02454) (40Y/M)</t>
  </si>
  <si>
    <t>GEN_T_2.0.spik_4262</t>
  </si>
  <si>
    <t>ARP0000000942</t>
  </si>
  <si>
    <t>MR.GAOUGAPENTA RAHUL H/O. N MOUNIKA _ (HEG 41312) (33Y/M)</t>
  </si>
  <si>
    <t>GEN_T_2.0.spik_4263</t>
  </si>
  <si>
    <t>HYP0000002166</t>
  </si>
  <si>
    <t>MRS.N MOUNIKA W/O. G RAHUL - (HEG 41311) (32Y/F)</t>
  </si>
  <si>
    <t>GEN_T_2.0.spik_4264</t>
  </si>
  <si>
    <t>HYP0000002167</t>
  </si>
  <si>
    <t>BABY.SHIVARJUNAN A (0Y/M)</t>
  </si>
  <si>
    <t>GEN_T_2.0.spik_4265</t>
  </si>
  <si>
    <t>HCC0000013536</t>
  </si>
  <si>
    <t>27.07.2026</t>
  </si>
  <si>
    <t>BABY.RAGVI SARKAR (8Y/F)</t>
  </si>
  <si>
    <t>GEN_T_2.0.spik_4266</t>
  </si>
  <si>
    <t>ACL0000004069</t>
  </si>
  <si>
    <t>APOLLO CLINIC NEW LIFE DIAGNOSTIC - PORT BLAIR</t>
  </si>
  <si>
    <t>31-07-2026</t>
  </si>
  <si>
    <t>MR.THAMEEM ASHRAF (18Y/M)</t>
  </si>
  <si>
    <t>GEN_T_2.0.spik_4267</t>
  </si>
  <si>
    <t>ACO0000009775</t>
  </si>
  <si>
    <t>MR.AL53-Y-480 (1Y/M)</t>
  </si>
  <si>
    <t>GEN_T_2.0.spik_4268</t>
  </si>
  <si>
    <t>ADK0000002577</t>
  </si>
  <si>
    <t>MR.AL53-Y-482 (1Y/M)</t>
  </si>
  <si>
    <t>GEN_T_2.0.spik_4269</t>
  </si>
  <si>
    <t>ADK0000002578</t>
  </si>
  <si>
    <t>MR.AL53-Y-487 (1Y/M)</t>
  </si>
  <si>
    <t>GEN_T_2.0.spik_4270</t>
  </si>
  <si>
    <t>ADK0000002579</t>
  </si>
  <si>
    <t>MR.AL53-Y-492 (1Y/M)</t>
  </si>
  <si>
    <t>GEN_T_2.0.spik_4271</t>
  </si>
  <si>
    <t>ADK0000002580</t>
  </si>
  <si>
    <t>MR.AL53-Y-493 (1Y/M)</t>
  </si>
  <si>
    <t>GEN_T_2.0.spik_4272</t>
  </si>
  <si>
    <t>ADK0000002581</t>
  </si>
  <si>
    <t>MR. AL53-Y-473 (1Y/M)</t>
  </si>
  <si>
    <t>GEN_T_2.0.spik_4273</t>
  </si>
  <si>
    <t>ADK0000002582</t>
  </si>
  <si>
    <t>MR. AL53-Y-476 (1Y/M)</t>
  </si>
  <si>
    <t>GEN_T_2.0.spik_4274</t>
  </si>
  <si>
    <t>ADK0000002583</t>
  </si>
  <si>
    <t>MR.AL53-Y-477 (1Y/M)</t>
  </si>
  <si>
    <t>GEN_T_2.0.spik_4275</t>
  </si>
  <si>
    <t>ADK0000002584</t>
  </si>
  <si>
    <t>SURFseq- Run-89B</t>
  </si>
  <si>
    <t>MR.MANIKANTAN DHAL (60Y/M)</t>
  </si>
  <si>
    <t>GEN_T_2.0.spik_4276</t>
  </si>
  <si>
    <t>ADK0000002656</t>
  </si>
  <si>
    <t>MRS.POOJA (28Y/F)</t>
  </si>
  <si>
    <t>GEN_T_2.0.spik_4277</t>
  </si>
  <si>
    <t>ADB0000039866</t>
  </si>
  <si>
    <t>VEENA PATIL</t>
  </si>
  <si>
    <t>03.07.2026</t>
  </si>
  <si>
    <t>MR.AVINASH ARYAN(AP69871) (32Y/M)</t>
  </si>
  <si>
    <t>GEN_T_2.0.spik_4278</t>
  </si>
  <si>
    <t>ADB0000039867</t>
  </si>
  <si>
    <t>MR.RAMARAJU GOUTHAM (9MGHB 436) H/O. CHEPURI ANKITA (39Y/M)</t>
  </si>
  <si>
    <t>F4257</t>
  </si>
  <si>
    <t>HYP0000002213</t>
  </si>
  <si>
    <t>MASTER.ADVIK (53423) (5Y/M)</t>
  </si>
  <si>
    <t>GEN_T_2.0.spik_4280</t>
  </si>
  <si>
    <t>CHM0000038256</t>
  </si>
  <si>
    <t>TMCRI HEALTH CARE PRIVATE LIMITED - TAMBARAM</t>
  </si>
  <si>
    <t>MR.M.YUVAN YAATHITHA (9Y/M)</t>
  </si>
  <si>
    <t>GEN_T_2.0.spik_4281</t>
  </si>
  <si>
    <t>ATV0000015498</t>
  </si>
  <si>
    <t>ARC INTERNATIONAL FERTILITY AND RESEARCH CENTRE PVT LTD- KUMBAKONAM</t>
  </si>
  <si>
    <t>28-06-2026</t>
  </si>
  <si>
    <t>22-07-2026</t>
  </si>
  <si>
    <t>MISS.DEEPSHIKA S (10Y/F)</t>
  </si>
  <si>
    <t>GEN_T_2.0.spik_4282</t>
  </si>
  <si>
    <t>CHM0000038691</t>
  </si>
  <si>
    <t>Greyzone(GLS), Pathogenic(TCF4)</t>
  </si>
  <si>
    <t>23-07-2026</t>
  </si>
  <si>
    <t>MISS.SUBASRI S (12Y/F)</t>
  </si>
  <si>
    <t>GEN_T_2.0.spik_4283</t>
  </si>
  <si>
    <t>CHM0000038692</t>
  </si>
  <si>
    <t xml:space="preserve">history available </t>
  </si>
  <si>
    <t>MRS.SIRISHA W/O. VISHWA (46Y/F)</t>
  </si>
  <si>
    <t>GEN_T_2.0.spik_4284</t>
  </si>
  <si>
    <t>HYP0000002221</t>
  </si>
  <si>
    <t>29-07-2026</t>
  </si>
  <si>
    <t>MR.VISHWA H/O. SIRISHA (47Y/M)</t>
  </si>
  <si>
    <t>GEN_T_2.0.spik_4285</t>
  </si>
  <si>
    <t>HYP0000002222</t>
  </si>
  <si>
    <t>MR.S MUKHOPADHYAY (HEG 41095) H/O. M SANGEETA (40Y/M)</t>
  </si>
  <si>
    <t>GEN_T_2.0.spik_4286</t>
  </si>
  <si>
    <t>HYP0000002223</t>
  </si>
  <si>
    <t>MRS.M SANGEETA NAIK - (HEG 41094) W/O. S MUKHOPADHYAY (38Y/F)</t>
  </si>
  <si>
    <t>GEN_T_2.0.spik_4287</t>
  </si>
  <si>
    <t>HYP0000002224</t>
  </si>
  <si>
    <t>MRS.M NAGALAKSHMI (HEG R00483) W/O. D SHIVAJI (25Y/M)</t>
  </si>
  <si>
    <t>GEN_T_2.0.spik_4288</t>
  </si>
  <si>
    <t>HYP0000002225</t>
  </si>
  <si>
    <t>MR.D SHIVAJI (HEG R00484) H/O. M NAGALAKSHMI (32Y/M)</t>
  </si>
  <si>
    <t>GEN_T_2.0.spik_4289</t>
  </si>
  <si>
    <t>HYP0000002226</t>
  </si>
  <si>
    <t>MRS.DEEPIKA (242602211) (35Y/F)</t>
  </si>
  <si>
    <t>GEN_T_2.0.spik_4290</t>
  </si>
  <si>
    <t>ACO0000010165</t>
  </si>
  <si>
    <t>MR.ASHOK KUMAR (242602211) (42Y/M)</t>
  </si>
  <si>
    <t>GEN_T_2.0.spik_4291</t>
  </si>
  <si>
    <t>ACO0000010166</t>
  </si>
  <si>
    <t>MRS.AL54-Y-495 (24Y/F)</t>
  </si>
  <si>
    <t>GEN_T_2.0.spik_4292</t>
  </si>
  <si>
    <t>ADK0000002646</t>
  </si>
  <si>
    <t>MRS.AL54-Y-497 (19Y/F)</t>
  </si>
  <si>
    <t>GEN_T_2.0.spik_4293</t>
  </si>
  <si>
    <t>ADK0000002647</t>
  </si>
  <si>
    <t>MR.AL54-Y-499 (11Y/M)</t>
  </si>
  <si>
    <t>GEN_T_2.0.spik_4294</t>
  </si>
  <si>
    <t>ADK0000002648</t>
  </si>
  <si>
    <t>MRS.AL54-Y-500 (11Y/F)</t>
  </si>
  <si>
    <t>GEN_T_2.0.spik_4295</t>
  </si>
  <si>
    <t>ADK0000002649</t>
  </si>
  <si>
    <t>MR.AL54-Y-494 (22Y/M)</t>
  </si>
  <si>
    <t>GEN_T_2.0.spik_4296</t>
  </si>
  <si>
    <t>ADK0000002650</t>
  </si>
  <si>
    <t>WES-226/26 (6Y/F)</t>
  </si>
  <si>
    <t>GEN_T_2.0.spik_4297</t>
  </si>
  <si>
    <t>ADK0000002711</t>
  </si>
  <si>
    <t>Nikhil</t>
  </si>
  <si>
    <t>WES-227/26 (2Y/M)</t>
  </si>
  <si>
    <t>GEN_T_2.0.spik_4298</t>
  </si>
  <si>
    <t>ADK0000002708</t>
  </si>
  <si>
    <t>WES-228-26 (4Y/M)</t>
  </si>
  <si>
    <t>GEN_T_2.0.spik_4299</t>
  </si>
  <si>
    <t>ADK0000002713</t>
  </si>
  <si>
    <t>SURFseq- Run-89A</t>
  </si>
  <si>
    <t>PRIMARY REVIEWER</t>
  </si>
  <si>
    <t>MRS.THUVARAL (23Y/F) AF</t>
  </si>
  <si>
    <t>GEN_T_2.0.spik_4300AF</t>
  </si>
  <si>
    <t>MDU0000019592</t>
  </si>
  <si>
    <t>MRS.MANIMEGALAI W/O ARUN PANDIAN (24Y/F) AF</t>
  </si>
  <si>
    <t>GEN_T_2.0.spik_4301AF</t>
  </si>
  <si>
    <t>MDU0000019313</t>
  </si>
  <si>
    <t>MRS.TRUPTI AGRAWAL (35Y/F)</t>
  </si>
  <si>
    <t>GEN_T_2.0.spik_4302</t>
  </si>
  <si>
    <t>DCC0000004963</t>
  </si>
  <si>
    <t>PARUL KATIYAR</t>
  </si>
  <si>
    <t>25_06_26</t>
  </si>
  <si>
    <t>MRS.DR. R YAMUNA DEVI (38Y/F)</t>
  </si>
  <si>
    <t>WES/FEMALE INFERTILITY NGS PANEL</t>
  </si>
  <si>
    <t>GEN_T_2.0.spik_4303</t>
  </si>
  <si>
    <t>HYP0000002097</t>
  </si>
  <si>
    <t>DR. YAMUNA DEVI - POLY CLINIC</t>
  </si>
  <si>
    <t>MRS.MAHALAKSHMI (30Y/F)</t>
  </si>
  <si>
    <t>GEN_T_2.0.spik_4304</t>
  </si>
  <si>
    <t>GRM0000004582</t>
  </si>
  <si>
    <t>LALITHAMBIGAI FERTILITY CENTRE (A UNITE OF SRI LAKITHAMBIGAI MEDICAL COLLEGE) - ADAYALAMPATTU</t>
  </si>
  <si>
    <t>14-06-2026</t>
  </si>
  <si>
    <t>MRS.MOHANA PRIYAA.M (28Y/F)</t>
  </si>
  <si>
    <t>GEN_T_2.0.spik_4305</t>
  </si>
  <si>
    <t>MDU0000015028</t>
  </si>
  <si>
    <t>MR.VENKATESHWARAN.J (34Y.M)</t>
  </si>
  <si>
    <t>GEN_T_2.0.spik_4306</t>
  </si>
  <si>
    <t>MDU0000015029</t>
  </si>
  <si>
    <t>MRS.B PRIYANKA (31Y/F)</t>
  </si>
  <si>
    <t>GEN_T_2.0.spik_4307</t>
  </si>
  <si>
    <t>HYP0000002204</t>
  </si>
  <si>
    <t>DR. MOUNICA</t>
  </si>
  <si>
    <t>Siva sir team</t>
  </si>
  <si>
    <t>MR.AMILA BUDDIKA KULATUNGA K (43Y/M)</t>
  </si>
  <si>
    <t>GEN_T_2.0.spik_4308</t>
  </si>
  <si>
    <t>NKM0000007500</t>
  </si>
  <si>
    <t>RANJITH PEIRIS</t>
  </si>
  <si>
    <t>BABY.NIKITHA MENON (5Y/F)</t>
  </si>
  <si>
    <t>GEN_T_2.0.spik_4309</t>
  </si>
  <si>
    <t>ADK0000002526</t>
  </si>
  <si>
    <t>MR.DR. Y SRIKANTH (37Y/M)</t>
  </si>
  <si>
    <t>GEN_T_2.0.spik_4310</t>
  </si>
  <si>
    <t>HYP0000002098</t>
  </si>
  <si>
    <t>MR.SHIVARUDRAIAH (66Y/M)</t>
  </si>
  <si>
    <t>GEN_T_2.0.spik_4311</t>
  </si>
  <si>
    <t>ADB0000039135</t>
  </si>
  <si>
    <t>MISS.JUWAIRIA AMJED (20Y/F)</t>
  </si>
  <si>
    <t>GEN_T_2.0.spik_4312</t>
  </si>
  <si>
    <t>FR20000010801</t>
  </si>
  <si>
    <t>EAST COAST HOSPITALS - PUDHUCHERRY</t>
  </si>
  <si>
    <t>MASTER.MOHITH JUDA (0Y/M)</t>
  </si>
  <si>
    <t>GEN_T_2.0.spik_4313</t>
  </si>
  <si>
    <t>ACL0000003379</t>
  </si>
  <si>
    <t>BABY.SHERLIN SARAH ANGEL (0Y/F)</t>
  </si>
  <si>
    <t>GEN_T_2.0.spik_4314</t>
  </si>
  <si>
    <t>CHM0000036641</t>
  </si>
  <si>
    <t>MAHESH N</t>
  </si>
  <si>
    <t>MRS.NARMADHA J (35619) (30Y/F) poc</t>
  </si>
  <si>
    <t>GEN_T_2.0.spik_4315</t>
  </si>
  <si>
    <t>AKP0000026573</t>
  </si>
  <si>
    <t>Greyzone (CSTB),Greyzone (GLS),Greyzone (HTT)</t>
  </si>
  <si>
    <t>In Dr. SRP review</t>
  </si>
  <si>
    <t>MR.BADAL SARKAR (78Y/M)</t>
  </si>
  <si>
    <t>GEN_T_2.0.spik_4316</t>
  </si>
  <si>
    <t>ADB0000039545</t>
  </si>
  <si>
    <t>MISS.AVANTHIKA (9Y/F)</t>
  </si>
  <si>
    <t>GEN_T_2.0.spik_4317</t>
  </si>
  <si>
    <t>ADB0000039565</t>
  </si>
  <si>
    <t>PMSSY - BENGALURU</t>
  </si>
  <si>
    <t>MASTER.RUPESH (7Y/M)</t>
  </si>
  <si>
    <t>GEN_T_2.0.spik_4318</t>
  </si>
  <si>
    <t>ADK0000002587</t>
  </si>
  <si>
    <t>DR.SURE SAI SRAVANI (24Y/F)</t>
  </si>
  <si>
    <t>GEN_T_2.0.spik_4319</t>
  </si>
  <si>
    <t>NKM0000007650</t>
  </si>
  <si>
    <t>THIRUMOORTHI N</t>
  </si>
  <si>
    <t>MRS.SAKKEENA K (66Y/F)</t>
  </si>
  <si>
    <t>GEN_T_2.0.spik_4320</t>
  </si>
  <si>
    <t>ADB0000039682</t>
  </si>
  <si>
    <t>MR.MUKUNDA S (67Y/M)</t>
  </si>
  <si>
    <t>GEN_T_2.0.spik_4321</t>
  </si>
  <si>
    <t>ADB0000039709</t>
  </si>
  <si>
    <t xml:space="preserve">Writeup available </t>
  </si>
  <si>
    <t>MR.NARESH G (30Y/M)</t>
  </si>
  <si>
    <t>GEN_T_2.0.spik_4322</t>
  </si>
  <si>
    <t>ATR0000014966</t>
  </si>
  <si>
    <t>MR.SUJAN (1Y/M)</t>
  </si>
  <si>
    <t>GEN_T_2.0.spik_4323</t>
  </si>
  <si>
    <t>ADK0000002586</t>
  </si>
  <si>
    <t>MR.MANJUNATH H (32Y/M)</t>
  </si>
  <si>
    <t>GEN_T_2.0.spik_4324</t>
  </si>
  <si>
    <t>ADH0000028762</t>
  </si>
  <si>
    <t>SRI MANJUNATHA HOSPITAL - CHITRADURGA</t>
  </si>
  <si>
    <t>MRS.SUMA D (22Y/F)</t>
  </si>
  <si>
    <t>GEN_T_2.0.spik_4325</t>
  </si>
  <si>
    <t>ADH0000028763</t>
  </si>
  <si>
    <t>WES229/26</t>
  </si>
  <si>
    <t>GEN_T_2.0.spik_4326</t>
  </si>
  <si>
    <t>ADK0000002699</t>
  </si>
  <si>
    <t>WES230/26</t>
  </si>
  <si>
    <t>GEN_T_2.0.spik_4327</t>
  </si>
  <si>
    <t>ADK0000002698</t>
  </si>
  <si>
    <t>Pathogenic (GLS),Greyzone (NIPA1),Pathogenic (TCF4)</t>
  </si>
  <si>
    <t>AL-55-Y-501</t>
  </si>
  <si>
    <t>GEN_T_2.0.spik_4328</t>
  </si>
  <si>
    <t>ADK0000002690</t>
  </si>
  <si>
    <t>AL-55-Y-504</t>
  </si>
  <si>
    <t>GEN_T_2.0.spik_4329</t>
  </si>
  <si>
    <t>ADK0000002685</t>
  </si>
  <si>
    <t>AL-55-Y-506</t>
  </si>
  <si>
    <t>GEN_T_2.0.spik_4330</t>
  </si>
  <si>
    <t>ADK0000002686</t>
  </si>
  <si>
    <t>AL-55-Y-515</t>
  </si>
  <si>
    <t>GEN_T_2.0.spik_4331</t>
  </si>
  <si>
    <t>ADK0000002688</t>
  </si>
  <si>
    <t>MEGHA SAINI</t>
  </si>
  <si>
    <t>GEN_T_2.0.spik_4332</t>
  </si>
  <si>
    <t>DCC0000005116</t>
  </si>
  <si>
    <t>AJAY</t>
  </si>
  <si>
    <t>GEN_T_2.0.spik_4333</t>
  </si>
  <si>
    <t>DCC0000005115</t>
  </si>
  <si>
    <t>BABY.SHARMIKA (3Y/F)</t>
  </si>
  <si>
    <t>GEN_T_2.0.spik_4334</t>
  </si>
  <si>
    <t>ADK0000002616</t>
  </si>
  <si>
    <t>BABY OF.KAYALA NAGINI (0Y/F)</t>
  </si>
  <si>
    <t>GEN_T_2.0.spik_4335</t>
  </si>
  <si>
    <t>ADK0000002617</t>
  </si>
  <si>
    <t>MR.THULASINATHAN (23Y/M)</t>
  </si>
  <si>
    <t>GEN_T_2.0.spik_4336</t>
  </si>
  <si>
    <t>ACL0000005864</t>
  </si>
  <si>
    <t>MISS.SUJITHA C S BABY (1Y/F)</t>
  </si>
  <si>
    <t>GEN_T_2.0.spik_4337</t>
  </si>
  <si>
    <t>ADK0000002655</t>
  </si>
  <si>
    <t>AAROOHI DANDAPAT (9Y/F)</t>
  </si>
  <si>
    <t>GEN_T_2.0.spik_4338</t>
  </si>
  <si>
    <t>ADK0000002706</t>
  </si>
  <si>
    <t>MRS.RANJITHA(AP19721) (24Y/F)</t>
  </si>
  <si>
    <t>GEN_T_2.0.spik_4339</t>
  </si>
  <si>
    <t>ADK0000002654</t>
  </si>
  <si>
    <t>SURFseq- Run-90A</t>
  </si>
  <si>
    <t>MRS.ASHA (32Y/F) AF</t>
  </si>
  <si>
    <t>WHOLE EXOME SEQUENCING : COVERING ALL THE CODING REGIONS (23,000 GENES)</t>
  </si>
  <si>
    <t>GEN_T_2.0.spik_4340AF</t>
  </si>
  <si>
    <t>ANG0000010989</t>
  </si>
  <si>
    <t>VASANTH 4 D SCANS &amp; FETAL MEDICINE CENTRE - VETTUVENI</t>
  </si>
  <si>
    <t>MRS.LAKSHMI PRIYA W/O DINESH KUMAR (27Y/F) AF</t>
  </si>
  <si>
    <t>GEN_T_2.0.spik_4341AF</t>
  </si>
  <si>
    <t>MDU0000019300</t>
  </si>
  <si>
    <t>MRS.NAVYASHRI SHETTAR (27Y/F) AF</t>
  </si>
  <si>
    <t>GEN_T_2.0.spik_4342AF</t>
  </si>
  <si>
    <t>ADH0000028642</t>
  </si>
  <si>
    <t>KUMAR GURUPRASAD</t>
  </si>
  <si>
    <t>21-06-2026</t>
  </si>
  <si>
    <t>Greyzone (AR),Greyzone (NOTCH2NL),Greyzone (TCF4)</t>
  </si>
  <si>
    <t>Writeup written internally</t>
  </si>
  <si>
    <t>MR.ABHI KUMAR (34Y/M)</t>
  </si>
  <si>
    <t>GEN_T_2.0.spik_4343</t>
  </si>
  <si>
    <t>ADB0000040587</t>
  </si>
  <si>
    <t>MR.SANDIPAN MAITRA (37Y/F)</t>
  </si>
  <si>
    <t>GEN_T_2.0.spik_4344</t>
  </si>
  <si>
    <t>ADB0000040789</t>
  </si>
  <si>
    <t>MRS.AKANKSHA SHETTI(36 Y 0 M 0 D /Female)</t>
  </si>
  <si>
    <t>GEN_T_2.0.spik_4345</t>
  </si>
  <si>
    <t>ADB0000040791</t>
  </si>
  <si>
    <t>MRS.SUSHMA REDDY(31Y/F)</t>
  </si>
  <si>
    <t>GEN_T_2.0.spik_4346</t>
  </si>
  <si>
    <t>HYP0000002326</t>
  </si>
  <si>
    <t>MR.P SENE ALEX EDWARD (45Y/M)</t>
  </si>
  <si>
    <t>GEN_T_2.0.spik_4347</t>
  </si>
  <si>
    <t>HYP0000002378</t>
  </si>
  <si>
    <t>MRS.MOHAMED JANILA SALVEN (39Y/F)</t>
  </si>
  <si>
    <t>GEN_T_2.0.spik_4348</t>
  </si>
  <si>
    <t>HYP0000002379</t>
  </si>
  <si>
    <t>MR.RAMANJANEYULU K(29Y/M)</t>
  </si>
  <si>
    <t>GEN_T_2.0.spik_4349</t>
  </si>
  <si>
    <t>ATR0000015371</t>
  </si>
  <si>
    <t>T.G.VARNIKA (7Y/F)</t>
  </si>
  <si>
    <t>GEN_T_2.0.spik_4350</t>
  </si>
  <si>
    <t>PH50000020863</t>
  </si>
  <si>
    <t>MR.DBA17/26 (OY/M)</t>
  </si>
  <si>
    <t>GEN_T_2.0.spik_4351</t>
  </si>
  <si>
    <t>ADK0000002700</t>
  </si>
  <si>
    <t>MRS.BHUVANA T (28Y/F) POC</t>
  </si>
  <si>
    <t>GEN_T_2.0.spik_4352</t>
  </si>
  <si>
    <t>ATR0000014919</t>
  </si>
  <si>
    <t>SUBHASHINI FERTILITY CENTRE - PUTTUR</t>
  </si>
  <si>
    <t>BABY.TOBIAS JACOB.J (1Y/M)</t>
  </si>
  <si>
    <t>GEN_T_2.0.spik_4353</t>
  </si>
  <si>
    <t>ADK0000002652</t>
  </si>
  <si>
    <t>MASTER.MOHAN RAJ (12Y/M)</t>
  </si>
  <si>
    <t>GEN_T_2.0.spik_4354</t>
  </si>
  <si>
    <t>ADK0000002627</t>
  </si>
  <si>
    <t>MISS.M.RAKSHITHA (9Y/F)</t>
  </si>
  <si>
    <t>GEN_T_2.0.spik_4355</t>
  </si>
  <si>
    <t>13-07-2026</t>
  </si>
  <si>
    <t>MR.DHARMESH ARJUN PATEL (35Y/M)</t>
  </si>
  <si>
    <t>GEN_T_2.0.spik_4356</t>
  </si>
  <si>
    <t>AMB0000010790</t>
  </si>
  <si>
    <t>Greyzone (HTT),Greyzone (NOTCH2NL)</t>
  </si>
  <si>
    <t>MRS.DONISHA PATEL (31Y/F)</t>
  </si>
  <si>
    <t>GEN_T_2.0.spik_4357</t>
  </si>
  <si>
    <t>AMB0000010791</t>
  </si>
  <si>
    <t>BABY.AARAV (0Y/M)</t>
  </si>
  <si>
    <t>GEN_T_2.0.spik_4358</t>
  </si>
  <si>
    <t>ADK0000002625</t>
  </si>
  <si>
    <t>01.07.2026</t>
  </si>
  <si>
    <t>BABY.MOKSHITHA SRI (3Y/F)</t>
  </si>
  <si>
    <t>GEN_T_2.0.spik_4359</t>
  </si>
  <si>
    <t>ADK0000002626</t>
  </si>
  <si>
    <t>BABY.SRINIDHI .G (0Y/F)</t>
  </si>
  <si>
    <t>GEN_T_2.0.spik_4360</t>
  </si>
  <si>
    <t>ADK0000002651</t>
  </si>
  <si>
    <t>Greyzone (AR),Greyzone (GLS)</t>
  </si>
  <si>
    <t>BABY.ZIHA (1Y/F)</t>
  </si>
  <si>
    <t>GEN_T_2.0.spik_4361</t>
  </si>
  <si>
    <t>FR20000011202</t>
  </si>
  <si>
    <t>08.07.2026</t>
  </si>
  <si>
    <t>MR.SUBASH CHANDRA SHETTY (74Y/M)</t>
  </si>
  <si>
    <t>GEN_T_2.0.spik_4362</t>
  </si>
  <si>
    <t>ADB0000040443</t>
  </si>
  <si>
    <t>Greyzone (GLS),Greyzone (NIPA1),Greyzone (NOTCH2NL)</t>
  </si>
  <si>
    <t>MR.SUNEEL T (31Y/M)</t>
  </si>
  <si>
    <t>GEN_T_2.0.spik_4363</t>
  </si>
  <si>
    <t>ABC0000001687</t>
  </si>
  <si>
    <t>DR. BEHARA PRAVEENYA., MBBS., DGO</t>
  </si>
  <si>
    <t>MRS.MOULI PRIYA D (19Y/F)</t>
  </si>
  <si>
    <t>GEN_T_2.0.spik_4364</t>
  </si>
  <si>
    <t>ABC0000001688</t>
  </si>
  <si>
    <t>LAVANYA (2Y/F)</t>
  </si>
  <si>
    <t>GEN_T_2.0.spik_4365</t>
  </si>
  <si>
    <t>ADK0000002705</t>
  </si>
  <si>
    <t>SHAIK JANNAT UL FIRDOUS (0Y/F)</t>
  </si>
  <si>
    <t>GEN_T_2.0.spik_4366</t>
  </si>
  <si>
    <t>ADK0000002704</t>
  </si>
  <si>
    <t>MASTER.ANVITH ANAND KUDAGI (5Y/M)</t>
  </si>
  <si>
    <t>GEN_T_2.0.spik_4367</t>
  </si>
  <si>
    <t>ADH0000029483</t>
  </si>
  <si>
    <t>MR.RANJITH KUMAR(17Y/M)</t>
  </si>
  <si>
    <t>GEN_T_2.0.spik_4368</t>
  </si>
  <si>
    <t>ADB0000040643</t>
  </si>
  <si>
    <t>BOWRING AND LADY CURZON HOSPITAL - BANGALORE</t>
  </si>
  <si>
    <t>MRS.VAISHALI LAXMAN BENGRE(42Y/F)</t>
  </si>
  <si>
    <t>GEN_T_2.0.spik_4369</t>
  </si>
  <si>
    <t>ADB0000040640</t>
  </si>
  <si>
    <t>NIRMALA</t>
  </si>
  <si>
    <t>Greyzone (AR),Greyzone (NOTCH2NL),Pathogenic (TCF4)</t>
  </si>
  <si>
    <t>MR.PUSHPARAJ SADASHIVA KUNDER(44Y/M)</t>
  </si>
  <si>
    <t>GEN_T_2.0.spik_4370</t>
  </si>
  <si>
    <t>ADB0000040641</t>
  </si>
  <si>
    <t>MRS.ETY BAKALI(34 Y 0 M 0 D /Female)</t>
  </si>
  <si>
    <t>GEN_T_2.0.spik_4371</t>
  </si>
  <si>
    <t>DCC0000005218</t>
  </si>
  <si>
    <t>GLOBAL FERTILITY SOLUTION PRIVATE LIMITED DEFENCE COLONY - NEW DELHI</t>
  </si>
  <si>
    <t>MR.PRANAY KUMAR MONDAL(45 Y 0 M 0 D /Male)</t>
  </si>
  <si>
    <t>GEN_T_2.0.spik_4372</t>
  </si>
  <si>
    <t>DCC0000005219</t>
  </si>
  <si>
    <t>Greyzone (DIP2B)</t>
  </si>
  <si>
    <t>MASTER.KARTHIKEYA (AF16913)(13Y/M)</t>
  </si>
  <si>
    <t>GEN_T_2.0.spik_4373</t>
  </si>
  <si>
    <t>ADK0000002768</t>
  </si>
  <si>
    <t>MR.PARTHIV NANDAN (AF16951)(17Y/M)</t>
  </si>
  <si>
    <t>GEN_T_2.0.spik_4374</t>
  </si>
  <si>
    <t>ADK0000002767</t>
  </si>
  <si>
    <t>MR.JOEL STEPHEN GEORGE (AN19679)(27Y/M)</t>
  </si>
  <si>
    <t>GEN_T_2.0.spik_4375</t>
  </si>
  <si>
    <t>ADK0000002766</t>
  </si>
  <si>
    <t>MR.SATHISH KUMAR F/O KARTHIKEYA (AF16913)(48Y/M)</t>
  </si>
  <si>
    <t>GEN_T_2.0.spik_4376</t>
  </si>
  <si>
    <t>ADK0000002764</t>
  </si>
  <si>
    <t>MS.SWETHA M/O KARTHIKEYA (AF16913)(38Y/F)</t>
  </si>
  <si>
    <t>GEN_T_2.0.spik_4377</t>
  </si>
  <si>
    <t>ADK0000002765</t>
  </si>
  <si>
    <t>BABY.CHAITANYA THAWLE(0 Y 8 M 25 D /Female)</t>
  </si>
  <si>
    <t>GEN_T_2.0.spik_4378</t>
  </si>
  <si>
    <t>AMB0000010878</t>
  </si>
  <si>
    <t>MR.PRABHU(33 Y 0 M 0 D /Male)</t>
  </si>
  <si>
    <t>GEN_T_2.0.spik_4379</t>
  </si>
  <si>
    <t>ADB0000040792</t>
  </si>
  <si>
    <t>28/07/2026</t>
  </si>
  <si>
    <t>MRS.SHWETA(23 Y 0 M 0 D /Female)</t>
  </si>
  <si>
    <t>GEN_T_2.0.spik_4380</t>
  </si>
  <si>
    <t>ADB0000040793</t>
  </si>
  <si>
    <t>MR.SHIVATEJ T S(11Y/M)</t>
  </si>
  <si>
    <t>GEN_T_2.0.spik_4381</t>
  </si>
  <si>
    <t>ADB0000040845</t>
  </si>
  <si>
    <t>ESHWARI</t>
  </si>
  <si>
    <t>15-07-2026</t>
  </si>
  <si>
    <t>BABY.KAVIN(5Y/M)</t>
  </si>
  <si>
    <t>GEN_T_2.0.spik_4382</t>
  </si>
  <si>
    <t>ADK0000002729</t>
  </si>
  <si>
    <t>amount in duee</t>
  </si>
  <si>
    <t>28-07-2026</t>
  </si>
  <si>
    <t>MISS.SK MYNOOL (11Y/F)</t>
  </si>
  <si>
    <t>GEN_T_2.0.spik_4383</t>
  </si>
  <si>
    <t>ADK0000002763</t>
  </si>
  <si>
    <t>20-07-2026</t>
  </si>
  <si>
    <t>BABY OF.ADITI(0 Y 0 M 15 D /Male)</t>
  </si>
  <si>
    <t>GEN_T_2.0.spik_4384</t>
  </si>
  <si>
    <t>ADH0000029793</t>
  </si>
  <si>
    <t>DARSH HOSPITAL-KALABURAGI</t>
  </si>
  <si>
    <t>SHAFIULL(25Y/M)</t>
  </si>
  <si>
    <t>NEPHROTIC SYNDROME GENE PANEL</t>
  </si>
  <si>
    <t>GEN_T_2.0.spik_4385</t>
  </si>
  <si>
    <t>PH50000013647</t>
  </si>
  <si>
    <t>MURUGAN (42Y/M)</t>
  </si>
  <si>
    <t>GEN_T_2.0.spik_4386</t>
  </si>
  <si>
    <t>PH50000014590</t>
  </si>
  <si>
    <t>HARISH K (12Y/M)</t>
  </si>
  <si>
    <t>GEN_T_2.0.spik_4387</t>
  </si>
  <si>
    <t>PH50000013648</t>
  </si>
  <si>
    <t>SURFseq- Run-91A</t>
  </si>
  <si>
    <t>MRS.DEEPA SHANTILAL OZA(36Y/F)AF</t>
  </si>
  <si>
    <t>GEN_T_2.0.spik_4388AF</t>
  </si>
  <si>
    <t>ADH0000029853</t>
  </si>
  <si>
    <t>MRS.ASHWITA(34Y/F) AF</t>
  </si>
  <si>
    <t>GEN_T_2.0.spik_4389AF</t>
  </si>
  <si>
    <t>ADH0000030132</t>
  </si>
  <si>
    <t>MRS.SASIKALA ARUNACHALAM (30Y/F) AF</t>
  </si>
  <si>
    <t>GEN_T_2.0.spik_4390AF</t>
  </si>
  <si>
    <t>ADS0000015654</t>
  </si>
  <si>
    <t>MRS.SMITHA H M W/O MANJUNATH (30Y/F)</t>
  </si>
  <si>
    <t>GEN_T_2.0.spik_4391</t>
  </si>
  <si>
    <t>ADB0000041079</t>
  </si>
  <si>
    <t>MRS.REKHA NOORANDEVARMATH (35Y/F) POC</t>
  </si>
  <si>
    <t>GEN_T_2.0.spik_4392</t>
  </si>
  <si>
    <t>ADH0000029492</t>
  </si>
  <si>
    <t>VASUDA FERTILITY - DAVANGERE</t>
  </si>
  <si>
    <t xml:space="preserve">Nikhil </t>
  </si>
  <si>
    <t>MRS.NEHA AMAR PATIL (20Y/F) POC</t>
  </si>
  <si>
    <t>GEN_T_2.0.spik_4393</t>
  </si>
  <si>
    <t>ADH0000029553</t>
  </si>
  <si>
    <t>MRS.AL56-Y-527(36Y/F)</t>
  </si>
  <si>
    <t>GEN_T_2.0.spik_4394</t>
  </si>
  <si>
    <t>ADK0000002816</t>
  </si>
  <si>
    <t>MR.AL56-Y-519(0Y/M)</t>
  </si>
  <si>
    <t>GEN_T_2.0.spik_4395</t>
  </si>
  <si>
    <t>ADK0000002817</t>
  </si>
  <si>
    <t>MR.AL56-Y-523(25YU/M)</t>
  </si>
  <si>
    <t>GEN_T_2.0.spik_4396</t>
  </si>
  <si>
    <t>ADK0000002818</t>
  </si>
  <si>
    <t>RGS 448</t>
  </si>
  <si>
    <t>GEN_T_2.0.spik_4397</t>
  </si>
  <si>
    <t>ADK0000003152</t>
  </si>
  <si>
    <t>RGS 449</t>
  </si>
  <si>
    <t>GEN_T_2.0.spik_4398</t>
  </si>
  <si>
    <t>ADK0000003153</t>
  </si>
  <si>
    <t>RGS 450</t>
  </si>
  <si>
    <t>GEN_T_2.0.spik_4399</t>
  </si>
  <si>
    <t>ADK0000003154</t>
  </si>
  <si>
    <t>RGS 451</t>
  </si>
  <si>
    <t>GEN_T_2.0.spik_4400</t>
  </si>
  <si>
    <t>ADK0000003155</t>
  </si>
  <si>
    <t>RGS 452</t>
  </si>
  <si>
    <t>GEN_T_2.0.spik_4401</t>
  </si>
  <si>
    <t>ADK0000003156</t>
  </si>
  <si>
    <t>RGS 453</t>
  </si>
  <si>
    <t>GEN_T_2.0.spik_4402</t>
  </si>
  <si>
    <t>ADK0000003157</t>
  </si>
  <si>
    <t>RGS 454</t>
  </si>
  <si>
    <t>GEN_T_2.0.spik_4403</t>
  </si>
  <si>
    <t>ADK0000003158</t>
  </si>
  <si>
    <t>RGS 455</t>
  </si>
  <si>
    <t>GEN_T_2.0.spik_4404</t>
  </si>
  <si>
    <t>ADK0000003159</t>
  </si>
  <si>
    <t>RGS 456</t>
  </si>
  <si>
    <t>GEN_T_2.0.spik_4405</t>
  </si>
  <si>
    <t>ADK0000003160</t>
  </si>
  <si>
    <t>RGS 457</t>
  </si>
  <si>
    <t>GEN_T_2.0.spik_4406</t>
  </si>
  <si>
    <t>ADK0000003161</t>
  </si>
  <si>
    <t>RGS 458</t>
  </si>
  <si>
    <t>GEN_T_2.0.spik_4407</t>
  </si>
  <si>
    <t>ADK0000003162</t>
  </si>
  <si>
    <t>RGS 459</t>
  </si>
  <si>
    <t>GEN_T_2.0.spik_4408</t>
  </si>
  <si>
    <t>ADK0000003163</t>
  </si>
  <si>
    <t>RGS 460</t>
  </si>
  <si>
    <t>GEN_T_2.0.spik_4409</t>
  </si>
  <si>
    <t>ADK0000003207</t>
  </si>
  <si>
    <t>BABY.MUKUNDHAN(4Y/M)</t>
  </si>
  <si>
    <t>GEN_T_2.0.spik_4410</t>
  </si>
  <si>
    <t>ADK0000002806</t>
  </si>
  <si>
    <t>BABY.JERWIN GOD SON(0Y/M)</t>
  </si>
  <si>
    <t>GEN_T_2.0.spik_4411</t>
  </si>
  <si>
    <t>ADK0000002804</t>
  </si>
  <si>
    <t xml:space="preserve">Bill amount in due </t>
  </si>
  <si>
    <t>BABY.THIRUVETRI(1Y/M)</t>
  </si>
  <si>
    <t>GEN_T_2.0.spik_4412</t>
  </si>
  <si>
    <t>ADK0000002805</t>
  </si>
  <si>
    <t>Amount Due</t>
  </si>
  <si>
    <t>BABY.JAYANSH(0Y/M)</t>
  </si>
  <si>
    <t>GEN_T_2.0.spik_4413</t>
  </si>
  <si>
    <t>ADK0000002807</t>
  </si>
  <si>
    <t>Greyzone (ATXN2)</t>
  </si>
  <si>
    <t>MASTER.DEEYESH P R(14Y/M)</t>
  </si>
  <si>
    <t>GEN_T_2.0.spik_4414</t>
  </si>
  <si>
    <t>ADK0000002808</t>
  </si>
  <si>
    <t xml:space="preserve">amount in due </t>
  </si>
  <si>
    <t>06.07.2026</t>
  </si>
  <si>
    <t>BABY.KAVIYA(9Y/F)</t>
  </si>
  <si>
    <t>GEN_T_2.0.spik_4415</t>
  </si>
  <si>
    <t>ADK0000002857</t>
  </si>
  <si>
    <t>MRS.MADHU BALA V(24Y/F)</t>
  </si>
  <si>
    <t>GEN_T_2.0.spik_4416</t>
  </si>
  <si>
    <t>ADK0000002858</t>
  </si>
  <si>
    <t>18.07.2026</t>
  </si>
  <si>
    <t>BABY.ALAIDA HAVEN J (1Y/F)</t>
  </si>
  <si>
    <t>GEN_T_2.0.spik_4417</t>
  </si>
  <si>
    <t>ADK0000002834</t>
  </si>
  <si>
    <t>BABY.B\O RAJINI (0Y/M)</t>
  </si>
  <si>
    <t>GEN_T_2.0.spik_4418</t>
  </si>
  <si>
    <t>ADK0000002835</t>
  </si>
  <si>
    <t>MRS.SHARADDA BANGA(31Y/F)</t>
  </si>
  <si>
    <t>GEN_T_2.0.spik_4419</t>
  </si>
  <si>
    <t>ADB0000041496</t>
  </si>
  <si>
    <t>MRS.PRIYANKA THOKAL(37Y/F)</t>
  </si>
  <si>
    <t>GEN_T_2.0.spik_4420</t>
  </si>
  <si>
    <t>ADB0000041499</t>
  </si>
  <si>
    <t>25/07/26</t>
  </si>
  <si>
    <t>MR. HIMANSHU YADAV(32Y/M)</t>
  </si>
  <si>
    <t>GEN_T_2.0.spik_4421</t>
  </si>
  <si>
    <t>ADB0000041493</t>
  </si>
  <si>
    <t>MRS.NIRMLADEVI (900039830)(9070094221/OP)(27Y/F)</t>
  </si>
  <si>
    <t>GEN_T_2.0.spik_4422</t>
  </si>
  <si>
    <t>ACL0000010152</t>
  </si>
  <si>
    <t>15.07.2026</t>
  </si>
  <si>
    <t>MR.MURUGAN (900039831)(9070094220/OP)(29Y/M)</t>
  </si>
  <si>
    <t>GEN_T_2.0.spik_4423</t>
  </si>
  <si>
    <t>ACL0000010147</t>
  </si>
  <si>
    <t>MASTER.RAGULAN(7 Y 0 M 0 D /Male)</t>
  </si>
  <si>
    <t>GEN_T_2.0.spik_4424</t>
  </si>
  <si>
    <t>ACL0000010639</t>
  </si>
  <si>
    <t>BABY.VED KUMAR(AP89810)(0Y/M)</t>
  </si>
  <si>
    <t>GEN_T_2.0.spik_4425</t>
  </si>
  <si>
    <t>ADK0000002856</t>
  </si>
  <si>
    <t>MRS.KARTHIGA(AP73911)(36Y/F)</t>
  </si>
  <si>
    <t>GEN_T_2.0.spik_4426</t>
  </si>
  <si>
    <t>ADK0000002855</t>
  </si>
  <si>
    <t>MR.MANOJ KUMAR MAHATO (AP78604)(33Y/M)</t>
  </si>
  <si>
    <t>GEN_T_2.0.spik_4427</t>
  </si>
  <si>
    <t>ADK0000002874</t>
  </si>
  <si>
    <t>SURFseq- Run-91B</t>
  </si>
  <si>
    <t>MRS.YASHODA N(20Y/F)</t>
  </si>
  <si>
    <t>GEN_T_2.0.spik_4428</t>
  </si>
  <si>
    <t>ADH0000030375</t>
  </si>
  <si>
    <t>Writeup avaialble</t>
  </si>
  <si>
    <t>MR.RAMESH S(28Y/M)</t>
  </si>
  <si>
    <t>GEN_T_2.0.spik_4429</t>
  </si>
  <si>
    <t>ADH0000030376</t>
  </si>
  <si>
    <t>BABY.ANTONY SHARON.S (2Y/M)</t>
  </si>
  <si>
    <t>GEN_T_2.0.spik_4430</t>
  </si>
  <si>
    <t>ANG0000011930</t>
  </si>
  <si>
    <t>JEYASEKARAN HOSPITAL (GENERAL)</t>
  </si>
  <si>
    <t>MR.AL57-CD-26-139(23Y/M)</t>
  </si>
  <si>
    <t>GEN_T_2.0.spik_4431</t>
  </si>
  <si>
    <t>ADK0000002868</t>
  </si>
  <si>
    <t>BABY.AL57-Y-539(4Y/F)</t>
  </si>
  <si>
    <t>GEN_T_2.0.spik_4432</t>
  </si>
  <si>
    <t>ADK0000002869</t>
  </si>
  <si>
    <t>BABY.AL 57-Y-538(0Y/F)</t>
  </si>
  <si>
    <t>GEN_T_2.0.spik_4433</t>
  </si>
  <si>
    <t>ADK0000002870</t>
  </si>
  <si>
    <t>BABY.AL57-Y-534(0Y/F)</t>
  </si>
  <si>
    <t>GEN_T_2.0.spik_4434</t>
  </si>
  <si>
    <t>ADK0000002871</t>
  </si>
  <si>
    <t>MR.AL57-Y-529(50Y/M)</t>
  </si>
  <si>
    <t>ADK0000002872</t>
  </si>
  <si>
    <t>MR.AL57-Y-537(48Y/M)</t>
  </si>
  <si>
    <t>GEN_T_2.0.spik_4436</t>
  </si>
  <si>
    <t>ADK0000002873</t>
  </si>
  <si>
    <t>MEL - 16404</t>
  </si>
  <si>
    <t>GEN_T_2.0.spik_4437</t>
  </si>
  <si>
    <t>ADK0000002921</t>
  </si>
  <si>
    <t>MEL - 16414</t>
  </si>
  <si>
    <t>GEN_T_2.0.spik_4438</t>
  </si>
  <si>
    <t>ADK0000002922</t>
  </si>
  <si>
    <t>MEL - 16428</t>
  </si>
  <si>
    <t>GEN_T_2.0.spik_4439</t>
  </si>
  <si>
    <t>ADK0000002923</t>
  </si>
  <si>
    <t>MEL - 16446</t>
  </si>
  <si>
    <t>GEN_T_2.0.spik_4440</t>
  </si>
  <si>
    <t>ADK0000002924</t>
  </si>
  <si>
    <t>MEL - 16454</t>
  </si>
  <si>
    <t>GEN_T_2.0.spik_4441</t>
  </si>
  <si>
    <t>ADK0000002925</t>
  </si>
  <si>
    <t>MEL - 16456</t>
  </si>
  <si>
    <t>GEN_T_2.0.spik_4442</t>
  </si>
  <si>
    <t>ADK0000002926</t>
  </si>
  <si>
    <t>MEL - 16462</t>
  </si>
  <si>
    <t>GEN_T_2.0.spik_4443</t>
  </si>
  <si>
    <t>ADK0000002927</t>
  </si>
  <si>
    <t>MEL - 16464</t>
  </si>
  <si>
    <t>GEN_T_2.0.spik_4444</t>
  </si>
  <si>
    <t>ADK0000002928</t>
  </si>
  <si>
    <t>MEL - 16465</t>
  </si>
  <si>
    <t>GEN_T_2.0.spik_4445</t>
  </si>
  <si>
    <t>ADK0000002929</t>
  </si>
  <si>
    <t>MEL - 16469</t>
  </si>
  <si>
    <t>GEN_T_2.0.spik_4446</t>
  </si>
  <si>
    <t>ADK0000002930</t>
  </si>
  <si>
    <t>MEL - 16470</t>
  </si>
  <si>
    <t>GEN_T_2.0.spik_4447</t>
  </si>
  <si>
    <t>ADK0000002931</t>
  </si>
  <si>
    <t>MEL - 16478</t>
  </si>
  <si>
    <t>GEN_T_2.0.spik_4448</t>
  </si>
  <si>
    <t>ADK0000002932</t>
  </si>
  <si>
    <t>MEL - 16483</t>
  </si>
  <si>
    <t>GEN_T_2.0.spik_4449</t>
  </si>
  <si>
    <t>ADK0000002936</t>
  </si>
  <si>
    <t>MEL - 16503</t>
  </si>
  <si>
    <t>GEN_T_2.0.spik_4450</t>
  </si>
  <si>
    <t>ADK0000002937</t>
  </si>
  <si>
    <t>MEL - 16511</t>
  </si>
  <si>
    <t>GEN_T_2.0.spik_4451</t>
  </si>
  <si>
    <t>ADK0000002953</t>
  </si>
  <si>
    <t>MEL - 16515</t>
  </si>
  <si>
    <t>GEN_T_2.0.spik_4452</t>
  </si>
  <si>
    <t>ADK0000002957</t>
  </si>
  <si>
    <t>MEL - 16520</t>
  </si>
  <si>
    <t>GEN_T_2.0.spik_4453</t>
  </si>
  <si>
    <t>ADK0000002961</t>
  </si>
  <si>
    <t>MEL - 16524</t>
  </si>
  <si>
    <t>GEN_T_2.0.spik_4454</t>
  </si>
  <si>
    <t>ADK0000002962</t>
  </si>
  <si>
    <t>MEL - 16526</t>
  </si>
  <si>
    <t>GEN_T_2.0.spik_4455</t>
  </si>
  <si>
    <t>ADK0000002963</t>
  </si>
  <si>
    <t>MEL - 16532</t>
  </si>
  <si>
    <t>GEN_T_2.0.spik_4456</t>
  </si>
  <si>
    <t>ADK0000002964</t>
  </si>
  <si>
    <t>MEL - 16541</t>
  </si>
  <si>
    <t>GEN_T_2.0.spik_4457</t>
  </si>
  <si>
    <t>ADK0000002965</t>
  </si>
  <si>
    <t>MEL - 16288</t>
  </si>
  <si>
    <t>GEN_T_2.0.spik_4458</t>
  </si>
  <si>
    <t>CMC_yet to be billed</t>
  </si>
  <si>
    <t>MEL - 16458</t>
  </si>
  <si>
    <t>GEN_T_2.0.spik_4459</t>
  </si>
  <si>
    <t>ADK0000002966</t>
  </si>
  <si>
    <t>nikhil</t>
  </si>
  <si>
    <t>SURFseq- Run-92A</t>
  </si>
  <si>
    <t>MRS.AVITY UMA RANI (33Y/F) AFCC</t>
  </si>
  <si>
    <t>WES+MITO</t>
  </si>
  <si>
    <t>GEN_T_2.0.spik_4460AF</t>
  </si>
  <si>
    <t>ADB0000038680</t>
  </si>
  <si>
    <t>MAHALAKSHMI</t>
  </si>
  <si>
    <t>GEN_T_2.0.spik_4304A</t>
  </si>
  <si>
    <t>SUMA</t>
  </si>
  <si>
    <t>GEN_T_2.0.spik_4325A</t>
  </si>
  <si>
    <t>MANJUNATHA HOSPITAL - CHITRADURGA</t>
  </si>
  <si>
    <t>AL-55-501</t>
  </si>
  <si>
    <t>GEN_T_2.0.spik_4328A</t>
  </si>
  <si>
    <t>AL-55-515</t>
  </si>
  <si>
    <t>GEN_T_2.0.spik_4331A</t>
  </si>
  <si>
    <t>MRS.R.ROOPA SREE(27Y/F)</t>
  </si>
  <si>
    <t>GEN_T_2.0.spik_4461</t>
  </si>
  <si>
    <t>ADN0000028417</t>
  </si>
  <si>
    <t>C.NIKHITHA REDDY</t>
  </si>
  <si>
    <t>MR.CH.GOKUL CHARAN(27Y/M)</t>
  </si>
  <si>
    <t>GEN_T_2.0.spik_4462</t>
  </si>
  <si>
    <t>ADN0000028418</t>
  </si>
  <si>
    <t>MRS.AKANSHA GOEL(37Y/F) POC</t>
  </si>
  <si>
    <t>GEN_T_2.0.spik_4463</t>
  </si>
  <si>
    <t>ADB0000041995</t>
  </si>
  <si>
    <t>JYOTI KALA</t>
  </si>
  <si>
    <t>MRS.FARHANAAZ W/O SMAIL QURESHI(27Y/F)</t>
  </si>
  <si>
    <t>GEN_T_2.0.spik_4464</t>
  </si>
  <si>
    <t>ADH0000030636</t>
  </si>
  <si>
    <t>BIDAR LAB &amp; DIAGNOSTICS - BIDAR</t>
  </si>
  <si>
    <t>MR.ISMAIL QURESHI(32Y/M)</t>
  </si>
  <si>
    <t>GEN_T_2.0.spik_4465</t>
  </si>
  <si>
    <t>ADH0000030637</t>
  </si>
  <si>
    <t>BABY.MOHAMED HAATIM H(1Y/M)</t>
  </si>
  <si>
    <t>GEN_T_2.0.spik_4466</t>
  </si>
  <si>
    <t>PH50000023824</t>
  </si>
  <si>
    <t>MRS.ILAKIYA(35Y/F)</t>
  </si>
  <si>
    <t>GEN_T_2.0.spik_4467</t>
  </si>
  <si>
    <t>GUD0000001286</t>
  </si>
  <si>
    <t>MONICA T</t>
  </si>
  <si>
    <t>BABY.SYED ZEHAAN (4Y/M)</t>
  </si>
  <si>
    <t>GEN_T_2.0.spik_4468</t>
  </si>
  <si>
    <t>ADK0000002895</t>
  </si>
  <si>
    <t>MR.BIRAN DOMINIC RODRIGUES (47Y/M)</t>
  </si>
  <si>
    <t>GEN_T_2.0.spik_4469</t>
  </si>
  <si>
    <t>AMB0000011160</t>
  </si>
  <si>
    <t>MS.YUVADHARAA(2Y/F)</t>
  </si>
  <si>
    <t>GEN_T_2.0.spik_4470</t>
  </si>
  <si>
    <t>ACL0000011566</t>
  </si>
  <si>
    <t>SAVIOUR LAB - TIRUVALLUR</t>
  </si>
  <si>
    <t>MRS.JAGADEESHWARI(30Y/F)</t>
  </si>
  <si>
    <t>GEN_T_2.0.spik_4471</t>
  </si>
  <si>
    <t>TMC0000000793</t>
  </si>
  <si>
    <t>AJANTHA B_</t>
  </si>
  <si>
    <t>18-07-2026</t>
  </si>
  <si>
    <t>MR.VIGNESH(33Y/M)</t>
  </si>
  <si>
    <t>GEN_T_2.0.spik_4472</t>
  </si>
  <si>
    <t>TMC0000000794</t>
  </si>
  <si>
    <t>MR.MUHAMMADHU AYAAN MOHAMMED (AP93953)(8Y/M)</t>
  </si>
  <si>
    <t>GEN_T_2.0.spik_4473</t>
  </si>
  <si>
    <t>ADK0000002971</t>
  </si>
  <si>
    <t>MR.AL58-Y-555(11Y/M)</t>
  </si>
  <si>
    <t>GEN_T_2.0.spik_4474</t>
  </si>
  <si>
    <t>ADK0000002954</t>
  </si>
  <si>
    <t>MRS.AL58-CD-26-140(21Y/F)</t>
  </si>
  <si>
    <t>GEN_T_2.0.spik_4475</t>
  </si>
  <si>
    <t>ADK0000002955</t>
  </si>
  <si>
    <t>MR.AL58-Y-562(16Y/M)</t>
  </si>
  <si>
    <t>GEN_T_2.0.spik_4476</t>
  </si>
  <si>
    <t>ADK0000002956</t>
  </si>
  <si>
    <t>MRS.AL58-Y-567(35Y/F)</t>
  </si>
  <si>
    <t>GEN_T_2.0.spik_4477</t>
  </si>
  <si>
    <t>ADK0000002958</t>
  </si>
  <si>
    <t>MRS.AL58-Y-556(46Y/F)</t>
  </si>
  <si>
    <t>GEN_T_2.0.spik_4478</t>
  </si>
  <si>
    <t>ADK0000002959</t>
  </si>
  <si>
    <t>MR.AL58-Y-558(30Y/M)</t>
  </si>
  <si>
    <t>GEN_T_2.0.spik_4479</t>
  </si>
  <si>
    <t>ADK0000002960</t>
  </si>
  <si>
    <t>MR.DBA 12/26(0Y/M)</t>
  </si>
  <si>
    <t>GEN_T_2.0.spik_4480</t>
  </si>
  <si>
    <t>ADK0000002967</t>
  </si>
  <si>
    <t>MR.DBA 18/26(0Y/M)</t>
  </si>
  <si>
    <t>GEN_T_2.0.spik_4481</t>
  </si>
  <si>
    <t>ADK0000002968</t>
  </si>
  <si>
    <t>MS.MEL-16234(36Y/F)</t>
  </si>
  <si>
    <t>GEN_T_2.0.spik_4482</t>
  </si>
  <si>
    <t>ADK0000003211</t>
  </si>
  <si>
    <t xml:space="preserve">CHRISTIAN MEDICAL COLLEGE - MOLECULAR ENDOCRINOLOGY </t>
  </si>
  <si>
    <t>MS.MEL-16235(52Y/F)</t>
  </si>
  <si>
    <t>GEN_T_2.0.spik_4483</t>
  </si>
  <si>
    <t>ADK0000003212</t>
  </si>
  <si>
    <t>MS.MEL-16233(47Y/F)</t>
  </si>
  <si>
    <t>GEN_T_2.0.spik_4484</t>
  </si>
  <si>
    <t>ADK0000003213</t>
  </si>
  <si>
    <t>MS.MEL-16239(34Y/F)</t>
  </si>
  <si>
    <t>GEN_T_2.0.spik_4485</t>
  </si>
  <si>
    <t>ADK0000003214</t>
  </si>
  <si>
    <t>MS.MEL-16236(38Y/F)</t>
  </si>
  <si>
    <t>GEN_T_2.0.spik_4486</t>
  </si>
  <si>
    <t>ADK0000003215</t>
  </si>
  <si>
    <t>MS.MEL-16241(47Y/F)</t>
  </si>
  <si>
    <t>GEN_T_2.0.spik_4487</t>
  </si>
  <si>
    <t>ADK0000003216</t>
  </si>
  <si>
    <t>MS.MEL-16237(56Y/F)</t>
  </si>
  <si>
    <t>GEN_T_2.0.spik_4488</t>
  </si>
  <si>
    <t>ADK0000003217</t>
  </si>
  <si>
    <t>MS.MEL-16254(43Y/F)</t>
  </si>
  <si>
    <t>GEN_T_2.0.spik_4489</t>
  </si>
  <si>
    <t>ADK0000003218</t>
  </si>
  <si>
    <t>MS.MEL-16249(27Y/F)</t>
  </si>
  <si>
    <t>GEN_T_2.0.spik_4490</t>
  </si>
  <si>
    <t>ADK0000003219</t>
  </si>
  <si>
    <t>MS.MEL-16243(29Y/F)</t>
  </si>
  <si>
    <t>GEN_T_2.0.spik_4491</t>
  </si>
  <si>
    <t>ADK0000003220</t>
  </si>
  <si>
    <r>
      <rPr>
        <rFont val="Arial"/>
        <color rgb="FFED7D31"/>
        <sz val="11.0"/>
      </rPr>
      <t>Greyzone (CSTB),Greyzone (GLS),</t>
    </r>
    <r>
      <rPr>
        <rFont val="Arial"/>
        <color rgb="FFFF0000"/>
        <sz val="11.0"/>
      </rPr>
      <t>Pathogenic (PHOX2B)</t>
    </r>
  </si>
  <si>
    <t>MS.MEL-16248(50Y/F)</t>
  </si>
  <si>
    <t>GEN_T_2.0.spik_4492</t>
  </si>
  <si>
    <t>ADK0000003221</t>
  </si>
  <si>
    <t>MS.MEL-16246(79Y/F)</t>
  </si>
  <si>
    <t>GEN_T_2.0.spik_4493</t>
  </si>
  <si>
    <t>ADK0000003222</t>
  </si>
  <si>
    <t>MS.MEL-16247(62Y/F)</t>
  </si>
  <si>
    <t>GEN_T_2.0.spik_4494</t>
  </si>
  <si>
    <t>ADK0000003223</t>
  </si>
  <si>
    <t>MS.MEL-16256(62Y/F)</t>
  </si>
  <si>
    <t>GEN_T_2.0.spik_4495</t>
  </si>
  <si>
    <t>ADK0000003224</t>
  </si>
  <si>
    <t>SURFseq- Run-92B</t>
  </si>
  <si>
    <t>MS.MEL-16264(36Y/F)</t>
  </si>
  <si>
    <t>GEN_T_2.0.spik_4496</t>
  </si>
  <si>
    <t>ADK0000003225</t>
  </si>
  <si>
    <t>MS.MEL-16263(36Y/F)</t>
  </si>
  <si>
    <t>GEN_T_2.0.spik_4497</t>
  </si>
  <si>
    <t>ADK0000003226</t>
  </si>
  <si>
    <t>MS.MEL-16274(32Y/F)</t>
  </si>
  <si>
    <t>GEN_T_2.0.spik_4498</t>
  </si>
  <si>
    <t>ADK0000003227</t>
  </si>
  <si>
    <t>MS.MEL-16270(50Y/F)</t>
  </si>
  <si>
    <t>GEN_T_2.0.spik_4499</t>
  </si>
  <si>
    <t>ADK0000003228</t>
  </si>
  <si>
    <t>MS.MEL-16282(48Y/F)</t>
  </si>
  <si>
    <t>GEN_T_2.0.spik_4500</t>
  </si>
  <si>
    <t>ADK0000003229</t>
  </si>
  <si>
    <t>MS.MEL-16259(67Y/F)</t>
  </si>
  <si>
    <t>GEN_T_2.0.spik_4501</t>
  </si>
  <si>
    <t>ADK0000003230</t>
  </si>
  <si>
    <t>MS.MEL-16258(51Y/F)</t>
  </si>
  <si>
    <t>GEN_T_2.0.spik_4502</t>
  </si>
  <si>
    <t>ADK0000003231</t>
  </si>
  <si>
    <t>MS.MEL-16289(42Y/F)</t>
  </si>
  <si>
    <t>GEN_T_2.0.spik_4503</t>
  </si>
  <si>
    <t>ADK0000003232</t>
  </si>
  <si>
    <t>MS.MEL-16284(43Y/F)</t>
  </si>
  <si>
    <t>GEN_T_2.0.spik_4504</t>
  </si>
  <si>
    <t>ADK0000003233</t>
  </si>
  <si>
    <t>MS.MEL-16291(43Y/F)</t>
  </si>
  <si>
    <t>GEN_T_2.0.spik_4505</t>
  </si>
  <si>
    <t>ADK0000003234</t>
  </si>
  <si>
    <t>MS.MEL-16292(40Y/F)</t>
  </si>
  <si>
    <t>GEN_T_2.0.spik_4506</t>
  </si>
  <si>
    <t>ADK0000003235</t>
  </si>
  <si>
    <t>MS.MEL-16296(40Y/F)</t>
  </si>
  <si>
    <t>GEN_T_2.0.spik_4507</t>
  </si>
  <si>
    <t>ADK0000003236</t>
  </si>
  <si>
    <t>MS.MEL-16309(48Y/F)</t>
  </si>
  <si>
    <t>GEN_T_2.0.spik_4508</t>
  </si>
  <si>
    <t>ADK0000003237</t>
  </si>
  <si>
    <t>MS.MEL-16303(39Y/F)</t>
  </si>
  <si>
    <t>GEN_T_2.0.spik_4509</t>
  </si>
  <si>
    <t>ADK0000003238</t>
  </si>
  <si>
    <t>MS.MEL-16307(48Y/F)</t>
  </si>
  <si>
    <t>GEN_T_2.0.spik_4510</t>
  </si>
  <si>
    <t>ADK0000003239</t>
  </si>
  <si>
    <t>MS.MEL-16308(44Y/F)</t>
  </si>
  <si>
    <t>GEN_T_2.0.spik_4511</t>
  </si>
  <si>
    <t>ADK0000003240</t>
  </si>
  <si>
    <t>MS.MEL-16314(52Y/F)</t>
  </si>
  <si>
    <t>GEN_T_2.0.spik_4512</t>
  </si>
  <si>
    <t>ADK0000003241</t>
  </si>
  <si>
    <t>MRS.G PRAVEENA (27Y/F) POC</t>
  </si>
  <si>
    <t>GEN_T_2.0.spik_4513</t>
  </si>
  <si>
    <t>HYP0000002296</t>
  </si>
  <si>
    <t>DIVI SPECIALITY CLINICS - HYDERABAD</t>
  </si>
  <si>
    <t>MS.MEL-16315(64Y/F)</t>
  </si>
  <si>
    <t>GEN_T_2.0.spik_4514</t>
  </si>
  <si>
    <t>ADK0000003243</t>
  </si>
  <si>
    <t>MS.MEL-16327(58Y/F)</t>
  </si>
  <si>
    <t>GEN_T_2.0.spik_4515</t>
  </si>
  <si>
    <t>ADK0000003244</t>
  </si>
  <si>
    <t>MS.MEL-16330(53Y/F)</t>
  </si>
  <si>
    <t>GEN_T_2.0.spik_4516</t>
  </si>
  <si>
    <t>ADK0000003245</t>
  </si>
  <si>
    <t>MS.MEL-16322(35Y/F)</t>
  </si>
  <si>
    <t>GEN_T_2.0.spik_4517</t>
  </si>
  <si>
    <t>ADK0000003246</t>
  </si>
  <si>
    <t>MR.SHRAVANTH N(17Y/M)</t>
  </si>
  <si>
    <t>GEN_T_2.0.spik_4518</t>
  </si>
  <si>
    <t>ADB0000042023</t>
  </si>
  <si>
    <t>REKHA.</t>
  </si>
  <si>
    <t>MS.MEL-16326(60Y/F)</t>
  </si>
  <si>
    <t>GEN_T_2.0.spik_4519</t>
  </si>
  <si>
    <t>ADK0000003248</t>
  </si>
  <si>
    <t>MS.MEL-16334(49Y/F)</t>
  </si>
  <si>
    <t>GEN_T_2.0.spik_4520</t>
  </si>
  <si>
    <t>ADK0000003249</t>
  </si>
  <si>
    <t>MS.MEL-16333(44Y/F)</t>
  </si>
  <si>
    <t>GEN_T_2.0.spik_4521</t>
  </si>
  <si>
    <t>ADK0000003250</t>
  </si>
  <si>
    <t>MS.MEL-16341(37Y/F)</t>
  </si>
  <si>
    <t>GEN_T_2.0.spik_4522</t>
  </si>
  <si>
    <t>ADK0000003251</t>
  </si>
  <si>
    <t>MS.MEL-16345(59Y/F)</t>
  </si>
  <si>
    <t>GEN_T_2.0.spik_4523</t>
  </si>
  <si>
    <t>ADK0000003252</t>
  </si>
  <si>
    <t>MS.MEL-16340(42Y/F)</t>
  </si>
  <si>
    <t>GEN_T_2.0.spik_4524</t>
  </si>
  <si>
    <t>ADK0000003253</t>
  </si>
  <si>
    <t>MS.MEL-16351(76Y/F)</t>
  </si>
  <si>
    <t>GEN_T_2.0.spik_4525</t>
  </si>
  <si>
    <t>ADK0000003254</t>
  </si>
  <si>
    <t>MS.MEL-16353(32Y/F)</t>
  </si>
  <si>
    <t>GEN_T_2.0.spik_4526</t>
  </si>
  <si>
    <t>ADK0000003255</t>
  </si>
  <si>
    <t>MS.MEL-16346(44Y/F)</t>
  </si>
  <si>
    <t>GEN_T_2.0.spik_4527</t>
  </si>
  <si>
    <t>ADK0000003256</t>
  </si>
  <si>
    <t>MS.MEL-16356(54Y/F)</t>
  </si>
  <si>
    <t>GEN_T_2.0.spik_4528</t>
  </si>
  <si>
    <t>ADK0000003257</t>
  </si>
  <si>
    <t>MS.MEL-16369(54Y/F)</t>
  </si>
  <si>
    <t>GEN_T_2.0.spik_4529</t>
  </si>
  <si>
    <t>ADK0000003258</t>
  </si>
  <si>
    <t>MS.MEL-16362(54Y/F)</t>
  </si>
  <si>
    <t>GEN_T_2.0.spik_4530</t>
  </si>
  <si>
    <t>ADK0000003259</t>
  </si>
  <si>
    <t>MS.MEL-16363(48Y/F)</t>
  </si>
  <si>
    <t>GEN_T_2.0.spik_4531</t>
  </si>
  <si>
    <t>ADK0000003260</t>
  </si>
  <si>
    <t>MS.MEL-16368(67Y/F)</t>
  </si>
  <si>
    <t>GEN_T_2.0.spik_4532</t>
  </si>
  <si>
    <t>ADK0000003261</t>
  </si>
  <si>
    <t>MS.MEL-16377(48Y/F)</t>
  </si>
  <si>
    <t>GEN_T_2.0.spik_4533</t>
  </si>
  <si>
    <t>ADK0000003262</t>
  </si>
  <si>
    <t>MS.MEL-16373(34Y/F)</t>
  </si>
  <si>
    <t>GEN_T_2.0.spik_4534</t>
  </si>
  <si>
    <t>ADK0000003263</t>
  </si>
  <si>
    <t>MS.MEL-16380(30Y/F)</t>
  </si>
  <si>
    <t>GEN_T_2.0.spik_4535</t>
  </si>
  <si>
    <t>ADK0000003264</t>
  </si>
  <si>
    <t>SURFseq- Run-93A</t>
  </si>
  <si>
    <t>MS.MEL-16383(44Y/F)</t>
  </si>
  <si>
    <t>GEN_T_2.0.spik_4536</t>
  </si>
  <si>
    <t>ADK0000003265</t>
  </si>
  <si>
    <t>13.07.2026</t>
  </si>
  <si>
    <t>MS.MEL-16385(28Y/F)</t>
  </si>
  <si>
    <t>GEN_T_2.0.spik_4537</t>
  </si>
  <si>
    <t>ADK0000003266</t>
  </si>
  <si>
    <t>MS.MEL-16387(31Y/F)</t>
  </si>
  <si>
    <t>GEN_T_2.0.spik_4538</t>
  </si>
  <si>
    <t>ADK0000003267</t>
  </si>
  <si>
    <t>MS.MEL-16393(33Y/F)</t>
  </si>
  <si>
    <t>GEN_T_2.0.spik_4539</t>
  </si>
  <si>
    <t>ADK0000003268</t>
  </si>
  <si>
    <t>MS.MEL-16392(63Y/F)</t>
  </si>
  <si>
    <t>GEN_T_2.0.spik_4540</t>
  </si>
  <si>
    <t>ADK0000003269</t>
  </si>
  <si>
    <t>MS.MEL-16394(58Y/F)</t>
  </si>
  <si>
    <t>GEN_T_2.0.spik_4541</t>
  </si>
  <si>
    <t>ADK0000003270</t>
  </si>
  <si>
    <t>MS.MEL-16390(44Y/F)</t>
  </si>
  <si>
    <t>GEN_T_2.0.spik_4542</t>
  </si>
  <si>
    <t>ADK0000003271</t>
  </si>
  <si>
    <t>MS.MEL-16161(30Y/F)</t>
  </si>
  <si>
    <t>GEN_T_2.0.spik_4543</t>
  </si>
  <si>
    <t>ADK0000003272</t>
  </si>
  <si>
    <t>MS.MEL-16202(36Y/F)</t>
  </si>
  <si>
    <t>GEN_T_2.0.spik_4544</t>
  </si>
  <si>
    <t>ADK0000003273</t>
  </si>
  <si>
    <t>14.07.2026</t>
  </si>
  <si>
    <t>MS.MEL-16211(66Y/F)</t>
  </si>
  <si>
    <t>GEN_T_2.0.spik_4545</t>
  </si>
  <si>
    <t>ADK0000003274</t>
  </si>
  <si>
    <t>MS.MEL-15891(65Y/F)</t>
  </si>
  <si>
    <t>GEN_T_2.0.spik_4546</t>
  </si>
  <si>
    <t>ADK0000003275</t>
  </si>
  <si>
    <t>MR.MEL-16514(24Y/M)</t>
  </si>
  <si>
    <t>GEN_T_2.0.spik_4547</t>
  </si>
  <si>
    <t>ADK0000003276</t>
  </si>
  <si>
    <t>MS.MEL-16214(25Y/F)</t>
  </si>
  <si>
    <t>GEN_T_2.0.spik_4548</t>
  </si>
  <si>
    <t>ADK0000003277</t>
  </si>
  <si>
    <t>MR.MEL-16540(24Y/M)</t>
  </si>
  <si>
    <t>GEN_T_2.0.spik_4549</t>
  </si>
  <si>
    <t>ADK0000003278</t>
  </si>
  <si>
    <t>MS.MEL-16542(45Y/F)</t>
  </si>
  <si>
    <t>GEN_T_2.0.spik_4550</t>
  </si>
  <si>
    <t>ADK0000003279</t>
  </si>
  <si>
    <t>MS.MEL-16543(41Y/F)</t>
  </si>
  <si>
    <t>GEN_T_2.0.spik_4551</t>
  </si>
  <si>
    <t>ADK0000003280</t>
  </si>
  <si>
    <t>SURFseq- Run-93B</t>
  </si>
  <si>
    <t>MRS.SHWETHA H(33Y/F) AF</t>
  </si>
  <si>
    <t>GEN_T_2.0.spik_4552AF</t>
  </si>
  <si>
    <t>ADH0000031494</t>
  </si>
  <si>
    <t>MRS.SUNITA THAKUR W/O. SAI SHAKTI KUMAR (CH 25039419)(39Y/F)</t>
  </si>
  <si>
    <t>GEN_T_2.0.spik_4553</t>
  </si>
  <si>
    <t>HYP0000002532</t>
  </si>
  <si>
    <t>MRS.NAVYA GURRALA (ID - 26020286)(26Y/F)</t>
  </si>
  <si>
    <t>GEN_T_2.0.spik_4554</t>
  </si>
  <si>
    <t>HYP0000002538</t>
  </si>
  <si>
    <t>13/07/2026</t>
  </si>
  <si>
    <t>MR.VISHAL AKULA (CH 26021003)(33Y/M)</t>
  </si>
  <si>
    <t>GEN_T_2.0.spik_4555</t>
  </si>
  <si>
    <t>HYP0000002539</t>
  </si>
  <si>
    <t>MR.VENKATA MANJIRA YERAMILLI(30Y/M)</t>
  </si>
  <si>
    <t>GEN_T_2.0.spik_4556</t>
  </si>
  <si>
    <t>HYP0000002540</t>
  </si>
  <si>
    <t>AMVI HOSPITAL - HYDERABAD</t>
  </si>
  <si>
    <t>DR.PRIYA G(30Y/F)</t>
  </si>
  <si>
    <t>GEN_T_2.0.spik_4557</t>
  </si>
  <si>
    <t>ADB0000042604</t>
  </si>
  <si>
    <t>MR.SENTHIL R (51Y/M)</t>
  </si>
  <si>
    <t>UGT1A1</t>
  </si>
  <si>
    <t>GEN_T_2.0.spik_4558</t>
  </si>
  <si>
    <t>ACO0000011543</t>
  </si>
  <si>
    <t>MS.MEL-32(60Y/F)</t>
  </si>
  <si>
    <t>GEN_T_2.0.spik_4559</t>
  </si>
  <si>
    <t>ADK0000003242</t>
  </si>
  <si>
    <t>MS.MEL-37(28Y/F)</t>
  </si>
  <si>
    <t>GEN_T_2.0.spik_4560</t>
  </si>
  <si>
    <t>ADK0000003247</t>
  </si>
  <si>
    <t>MRS.SHAHILA MUJEEB(0Y/F)</t>
  </si>
  <si>
    <t>GEN_T_2.0.spik_4561</t>
  </si>
  <si>
    <t>ACO0000011516</t>
  </si>
  <si>
    <t>MRS.PRIYANKA PRIYADASHINI SAHOO(33Y/F)</t>
  </si>
  <si>
    <t>GEN_T_2.0.spik_4562</t>
  </si>
  <si>
    <t>AMB0000011321</t>
  </si>
  <si>
    <t>ANDERSON LAB - BHUBANESHWAR</t>
  </si>
  <si>
    <t>25/07/2026</t>
  </si>
  <si>
    <t>MR.AMIT KUMAR NAYAK(31Y/M)</t>
  </si>
  <si>
    <t>GEN_T_2.0.spik_4563</t>
  </si>
  <si>
    <t>AMB0000011322</t>
  </si>
  <si>
    <t>ANDERSON LAB – BHUBANESHWAR</t>
  </si>
  <si>
    <t>MISS.DHARANI DEVI(19Y/F)</t>
  </si>
  <si>
    <t>GEN_T_2.0.spik_4564</t>
  </si>
  <si>
    <t>FR20000012145</t>
  </si>
  <si>
    <t>VENKATESHWARAA MEDICAL COLLEGE - PONDY</t>
  </si>
  <si>
    <t>History recieved on 25.07.2026</t>
  </si>
  <si>
    <t>MRS.HIDHAYATHUNNISHA(46Y/F)</t>
  </si>
  <si>
    <t>GEN_T_2.0.spik_4565</t>
  </si>
  <si>
    <t>FR20000012108</t>
  </si>
  <si>
    <t>NDIRA GANDHI GOVERNMENT GENERAL HOSPITAL -PUDUCHERRY</t>
  </si>
  <si>
    <t>BABY.KAIRAV (AP81152)(5Y/M)</t>
  </si>
  <si>
    <t>GEN_T_2.0.spik_4566</t>
  </si>
  <si>
    <t>ADK0000003034</t>
  </si>
  <si>
    <t>MR.MALLESWARI (AQ00775)(31Y/M)</t>
  </si>
  <si>
    <t>GEN_T_2.0.spik_4567</t>
  </si>
  <si>
    <t>ADK0000003032</t>
  </si>
  <si>
    <t>BABY.KRITANSH GUPTA (AP99286)(0Y/M)</t>
  </si>
  <si>
    <t>GEN_T_2.0.spik_4568</t>
  </si>
  <si>
    <t>ADK0000003033</t>
  </si>
  <si>
    <t>MR.RAGHAVENDRA (124332P)(32Y/M)</t>
  </si>
  <si>
    <t>GEN_T_2.0.spik_4569</t>
  </si>
  <si>
    <t>ADK0000003035</t>
  </si>
  <si>
    <t>MRS.TATA GIRIJA (20260602931)(56Y/F)</t>
  </si>
  <si>
    <t>GEN_T_2.0.spik_4570</t>
  </si>
  <si>
    <t>ADB0000043157</t>
  </si>
  <si>
    <t>BABY.ASKA(2Y/F)</t>
  </si>
  <si>
    <t>GEN_T_2.0.spik_4571</t>
  </si>
  <si>
    <t>ADB0000043172</t>
  </si>
  <si>
    <t>KUSHAL</t>
  </si>
  <si>
    <t>History written internally</t>
  </si>
  <si>
    <t>MRS.JULI KUMARI(35Y/F)</t>
  </si>
  <si>
    <t>GEN_T_2.0.spik_4572</t>
  </si>
  <si>
    <t>ADB0000043067</t>
  </si>
  <si>
    <t>MRS.SUMITRA IRANNA(39Y/F)</t>
  </si>
  <si>
    <t>GEN_T_2.0.spik_4573</t>
  </si>
  <si>
    <t>ADB0000043116</t>
  </si>
  <si>
    <t>MR.VAIBHAV(13Y/M)</t>
  </si>
  <si>
    <t>GEN_T_2.0.spik_4574</t>
  </si>
  <si>
    <t>PLD0000001110</t>
  </si>
  <si>
    <t>23.07.2026</t>
  </si>
  <si>
    <t>MR.AL59-Y-553(62Y/M)</t>
  </si>
  <si>
    <t>GEN_T_2.0.spik_4575</t>
  </si>
  <si>
    <t>ADK0000003025</t>
  </si>
  <si>
    <t>MR.AL59-Y-547(17Y/M)</t>
  </si>
  <si>
    <t>GEN_T_2.0.spik_4576</t>
  </si>
  <si>
    <t>ADK0000003026</t>
  </si>
  <si>
    <t>Pathogenic (PHOX2B)</t>
  </si>
  <si>
    <t>MR.AL59-Y-564(44Y/M)</t>
  </si>
  <si>
    <t>GEN_T_2.0.spik_4577</t>
  </si>
  <si>
    <t>ADK0000003027</t>
  </si>
  <si>
    <t>MASTER.AL59-Y-570(9Y/M)</t>
  </si>
  <si>
    <t>GEN_T_2.0.spik_4578</t>
  </si>
  <si>
    <t>ADK0000003028</t>
  </si>
  <si>
    <t>MR.AL59-Y-563(62Y/M)</t>
  </si>
  <si>
    <t>GEN_T_2.0.spik_4579</t>
  </si>
  <si>
    <t>ADK0000003024</t>
  </si>
  <si>
    <t>MRS.NITHISHA W/O. P MADHUSHUDHAN REDDY (HEG K005432)(34Y/F)</t>
  </si>
  <si>
    <t>GEN_T_2.0.spik_4580</t>
  </si>
  <si>
    <t>HYP0000002554</t>
  </si>
  <si>
    <t>MR.P MADHUSUDHAN REDDY H/O.NITHISHA (HEG K005433)(38Y/M)</t>
  </si>
  <si>
    <t>GEN_T_2.0.spik_4581</t>
  </si>
  <si>
    <t>HYP0000002555</t>
  </si>
  <si>
    <t>MR.ROHIT AGARWAL H/O. ASHA AGARWAL(42Y/M)</t>
  </si>
  <si>
    <t>GEN_T_2.0.spik_4582</t>
  </si>
  <si>
    <t>HYP0000002557</t>
  </si>
  <si>
    <t>21.07.2026</t>
  </si>
  <si>
    <t>MISS.AATHIFA ZEENATH S(15 Y 3 M 27 D /Female)</t>
  </si>
  <si>
    <t>GEN_T_2.0.spik_4583</t>
  </si>
  <si>
    <t>PH60000012985</t>
  </si>
  <si>
    <t>SURFseq- Run-94A</t>
  </si>
  <si>
    <t>MRS.DEEPTI NAGRATH (35Y/F)</t>
  </si>
  <si>
    <t>GEN_T_2.0.spik_4640</t>
  </si>
  <si>
    <t>DCC0000005517</t>
  </si>
  <si>
    <t>ALTRUS HEALTHCARE - DEHRADUN</t>
  </si>
  <si>
    <t>MRS.NEHA GAUTAM (34Y/F)</t>
  </si>
  <si>
    <t>GEN_T_2.0.spik_4641A</t>
  </si>
  <si>
    <t>AMB0000011576</t>
  </si>
  <si>
    <t>23/07/26</t>
  </si>
  <si>
    <t>NARESH G (30Y/M)</t>
  </si>
  <si>
    <t>GEN_T_2.0.spik_4322A</t>
  </si>
  <si>
    <t>Baby Sujan</t>
  </si>
  <si>
    <t>GEN_T_2.0.spik_4323A</t>
  </si>
  <si>
    <t>MANJUNATH H (32Y/M)</t>
  </si>
  <si>
    <t>GEN_T_2.0.spik_4324A</t>
  </si>
  <si>
    <t>MASTER.WES 229/26 (12Y/M)</t>
  </si>
  <si>
    <t>GEN_T_2.0.spik_4326A</t>
  </si>
  <si>
    <t>BABY.WES 230/26 (1Y/M)</t>
  </si>
  <si>
    <t>GEN_T_2.0.spik_4327A</t>
  </si>
  <si>
    <t>AL55-Y-504 (35Y/M)</t>
  </si>
  <si>
    <t>GEN_T_2.0.spik_4329A</t>
  </si>
  <si>
    <t>24-07-2026</t>
  </si>
  <si>
    <t>AL55-Y-506 (24Y/M)</t>
  </si>
  <si>
    <t>GEN_T_2.0.spik_4330A</t>
  </si>
  <si>
    <t>MRS.MEGHA SAINI (36/F)</t>
  </si>
  <si>
    <t>GEN_T_2.0.spik_4332A</t>
  </si>
  <si>
    <t>AJAY SAINI (36Y/M)</t>
  </si>
  <si>
    <t>GEN_T_2.0.spik_4333A</t>
  </si>
  <si>
    <t>K. MOHAMMED UMAR (2Y/M)</t>
  </si>
  <si>
    <t>GEN_T_2.0.spik_4642</t>
  </si>
  <si>
    <t>ADK0000003115</t>
  </si>
  <si>
    <t>Bill due</t>
  </si>
  <si>
    <t>THAMILYARASI(11Y/F)</t>
  </si>
  <si>
    <t>GEN_T_2.0.spik_4643</t>
  </si>
  <si>
    <t>ADK0000003116</t>
  </si>
  <si>
    <t>ABDULLAH ALI KHALFAN OMANI (35Y/M)</t>
  </si>
  <si>
    <t>GEN_T_2.0.spik_4644</t>
  </si>
  <si>
    <t>ACO0000012512</t>
  </si>
  <si>
    <t>SURFseq- Run-94B</t>
  </si>
  <si>
    <t>MRS.SAVITHA(23Y/F) AF</t>
  </si>
  <si>
    <t>GEN_T_2.0.spik_4584AF</t>
  </si>
  <si>
    <t>ADH0000030804</t>
  </si>
  <si>
    <t>YOGIATREYA DIAGNOSTIC CENTRE - DAVANGERE</t>
  </si>
  <si>
    <t>MRS.VAISHNAVI AKASH OTARI(25Y/F) AF</t>
  </si>
  <si>
    <t>GEN_T_2.0.spik_4585AF</t>
  </si>
  <si>
    <t>ADH0000030800</t>
  </si>
  <si>
    <t>MRS.PAVITHRA MANIKANDAN(AMNIOTIC FLUID)(31Y/F) AF</t>
  </si>
  <si>
    <t>GEN_T_2.0.spik_4586AF</t>
  </si>
  <si>
    <t>ADS0000015860</t>
  </si>
  <si>
    <t>MRS.SHABARI SHETTY(28Y/F) AF</t>
  </si>
  <si>
    <t>GEN_T_2.0.spik_4587AF</t>
  </si>
  <si>
    <t>ADB0000042661</t>
  </si>
  <si>
    <t>KASTURBA HOSPITAL - MANIPAL</t>
  </si>
  <si>
    <t>30/06/2026</t>
  </si>
  <si>
    <t>kalaiyarasi Solai (30Y/F) AF</t>
  </si>
  <si>
    <t>GEN_T_2.0.spik_4588AF</t>
  </si>
  <si>
    <t>Internal Sample - Dr. Anandbabu</t>
  </si>
  <si>
    <t>MRS.MEHNAJ BEE SONI(ASHB0000056759)(34Y/F) AF</t>
  </si>
  <si>
    <t>GEN_T_2.0.spik_4589AF</t>
  </si>
  <si>
    <t>AMB0000011388</t>
  </si>
  <si>
    <t>APOLLOSAGE HOSPITAL - BHOPAL</t>
  </si>
  <si>
    <t>MRS.SUPRITHA K L (RYR1) ( 30 Y 2 M 29 D | Female )</t>
  </si>
  <si>
    <t>GEN_T_2.0.spik_4590</t>
  </si>
  <si>
    <t>ADB0000042789</t>
  </si>
  <si>
    <t>KAMAKSHI HOSPITAL - MYSORE</t>
  </si>
  <si>
    <t>MR.DINESH D S (RYR1) ( 33 Y 2 M 5 D | Male )</t>
  </si>
  <si>
    <t>GEN_T_2.0.spik_4591</t>
  </si>
  <si>
    <t>ADB0000042787</t>
  </si>
  <si>
    <t>MRS.NAVRAJ KAUR(30Y/F)</t>
  </si>
  <si>
    <t>GEN_T_2.0.spik_4592</t>
  </si>
  <si>
    <t>ADB0000042455</t>
  </si>
  <si>
    <t>AIKYA FERTILITY AND RESEARCH CENTER – BANGALORE</t>
  </si>
  <si>
    <t>29/07/2026</t>
  </si>
  <si>
    <t>MR.CHARANJEET SINGH(35Y/M)</t>
  </si>
  <si>
    <t>GEN_T_2.0.spik_4593</t>
  </si>
  <si>
    <t>ADB0000042458</t>
  </si>
  <si>
    <t xml:space="preserve">DANAMMA </t>
  </si>
  <si>
    <t>DR.SANA KHAN(34Y/F)</t>
  </si>
  <si>
    <t>GEN_T_2.0.spik_4594</t>
  </si>
  <si>
    <t>AMB0000011315</t>
  </si>
  <si>
    <t>ANDERSON LABS - BHOPAL</t>
  </si>
  <si>
    <t>30-06-3036</t>
  </si>
  <si>
    <t>20/07/2026</t>
  </si>
  <si>
    <t>MRS.SUSHMA K W/O MALLIKARJUN (34Y/F)</t>
  </si>
  <si>
    <t>GEN_T_2.0.spik_4595</t>
  </si>
  <si>
    <t>ADB0000043543</t>
  </si>
  <si>
    <t>MRS.D SRILAKSHMI W/O. VENKATESHWARLU(29Y/F)</t>
  </si>
  <si>
    <t>GEN_T_2.0.spik_4596</t>
  </si>
  <si>
    <t>HYP0000002595</t>
  </si>
  <si>
    <t>ANKURA MEDICAL AND RESEARCH CENTRE PVT LTD - TELANGANA</t>
  </si>
  <si>
    <t>13/07/26</t>
  </si>
  <si>
    <t>MR.P UMESH(43Y/M)</t>
  </si>
  <si>
    <t>GEN_T_2.0.spik_4597</t>
  </si>
  <si>
    <t>HYP0000002575</t>
  </si>
  <si>
    <t>DR. SURABHI</t>
  </si>
  <si>
    <t>25-07-2026</t>
  </si>
  <si>
    <t>MASTER.ANIRUDH U ACHARYA(7Y/M)</t>
  </si>
  <si>
    <t>GEN_T_2.0.spik_4598</t>
  </si>
  <si>
    <t>HYP0000002577</t>
  </si>
  <si>
    <t>MRS.SANDHIYA S(27Y/F)</t>
  </si>
  <si>
    <t>GEN_T_2.0.spik_4599</t>
  </si>
  <si>
    <t>PH50000024670</t>
  </si>
  <si>
    <t>SAVITHA (23Y/F)</t>
  </si>
  <si>
    <t>GEN_T_2.0.spik_4600</t>
  </si>
  <si>
    <t>ADH0000030806</t>
  </si>
  <si>
    <r>
      <rPr>
        <rFont val="Arial"/>
        <color rgb="FFB45F06"/>
      </rPr>
      <t>Greyzone (GLS),</t>
    </r>
    <r>
      <rPr>
        <rFont val="Arial"/>
        <color rgb="FFFF0000"/>
      </rPr>
      <t>Pathogenic (TCF4)</t>
    </r>
  </si>
  <si>
    <t>MR.K C BAGADAPPA(32Y/M)</t>
  </si>
  <si>
    <t>GEN_T_2.0.spik_4601</t>
  </si>
  <si>
    <t>ADH0000030805</t>
  </si>
  <si>
    <t>BABY.NEESHIKA (9Y/F)</t>
  </si>
  <si>
    <t>GEN_T_2.0.spik_4602</t>
  </si>
  <si>
    <t>PH50000023978</t>
  </si>
  <si>
    <t>31/06/2026</t>
  </si>
  <si>
    <t>BABY.IQRA PARUTABAD (3Y/F)</t>
  </si>
  <si>
    <t>GEN_T_2.0.spik_4603</t>
  </si>
  <si>
    <t>ADH0000030923</t>
  </si>
  <si>
    <t>RK HOSPITAL- BIJAPUR</t>
  </si>
  <si>
    <t>27-07-2026</t>
  </si>
  <si>
    <t>MISS.MAIMUNA TADAVALAGA(16Y/F)</t>
  </si>
  <si>
    <t>GEN_T_2.0.spik_4604</t>
  </si>
  <si>
    <t>ADH0000030793</t>
  </si>
  <si>
    <t>MASTER.MOHAMED NAVFAR (12Y/M)</t>
  </si>
  <si>
    <t>GEN_T_2.0.spik_4605</t>
  </si>
  <si>
    <t>TPJ0000022594</t>
  </si>
  <si>
    <t>MUKESH ORTHO CARE - TRICHY</t>
  </si>
  <si>
    <t>MR.VINODH KUMAR G (35Y/M)</t>
  </si>
  <si>
    <t>GEN_T_2.0.spik_4606</t>
  </si>
  <si>
    <t>ATR0000015593</t>
  </si>
  <si>
    <t>24.07.2026</t>
  </si>
  <si>
    <t>MR.RUTHVIK M K(7Y/M)</t>
  </si>
  <si>
    <t>GEN_T_2.0.spik_4607</t>
  </si>
  <si>
    <t>ADB0000042111</t>
  </si>
  <si>
    <t>DR.RUPA S REACH FERTILITY CLINIC - BANGALORE</t>
  </si>
  <si>
    <t>17/07/2026</t>
  </si>
  <si>
    <t>MRS.AMBIKA _ (HEG M0036823) (25Y/F)</t>
  </si>
  <si>
    <t>GEN_T_2.0.spik_4608</t>
  </si>
  <si>
    <t>HYP0000002490</t>
  </si>
  <si>
    <t>MR.JYOTIBAL (HEG M0036824) (34Y/M)</t>
  </si>
  <si>
    <t>GEN_T_2.0.spik_4609</t>
  </si>
  <si>
    <t>HYP0000002491</t>
  </si>
  <si>
    <t>BABY.JOEL(1Y/M)</t>
  </si>
  <si>
    <t>GEN_T_2.0.spik_4610</t>
  </si>
  <si>
    <t>ADK0000002998</t>
  </si>
  <si>
    <t>BABY.HALEN JASMITH S(1Y/M)</t>
  </si>
  <si>
    <t>GEN_T_2.0.spik_4611</t>
  </si>
  <si>
    <t>ADK0000002999</t>
  </si>
  <si>
    <t>Bill amount in due</t>
  </si>
  <si>
    <t>BABY.JEEVITHA K(4Y/F)</t>
  </si>
  <si>
    <t>GEN_T_2.0.spik_4612</t>
  </si>
  <si>
    <t>ADK0000003000</t>
  </si>
  <si>
    <t>BABY.M MAGHIZHINIYAL (6Y/F)</t>
  </si>
  <si>
    <t>GEN_T_2.0.spik_4613</t>
  </si>
  <si>
    <t>ADK0000003001</t>
  </si>
  <si>
    <t>BABY.HEERADHYA G(0Y/F)</t>
  </si>
  <si>
    <t>GEN_T_2.0.spik_4614</t>
  </si>
  <si>
    <t>HCC0000015808</t>
  </si>
  <si>
    <t>17.07.2026</t>
  </si>
  <si>
    <t>MRS.SUSHMA R HALAGERI(23Y/F)</t>
  </si>
  <si>
    <t>GEN_T_2.0.spik_4615</t>
  </si>
  <si>
    <t>ADH0000031219</t>
  </si>
  <si>
    <t>MRS.BHAGYASHREE W/O SABANNA (22Y/F)</t>
  </si>
  <si>
    <t>GEN_T_2.0.spik_4616</t>
  </si>
  <si>
    <t>ADH0000031240</t>
  </si>
  <si>
    <t>MR.SABANNA (28Y/M)</t>
  </si>
  <si>
    <t>GEN_T_2.0.spik_4617</t>
  </si>
  <si>
    <t>ADH0000031241</t>
  </si>
  <si>
    <t>MRS.ANUSHA S(47Y/F)</t>
  </si>
  <si>
    <t>GEN_T_2.0.spik_4618</t>
  </si>
  <si>
    <t>PH50000023772</t>
  </si>
  <si>
    <t>JANARTHANAKANI M</t>
  </si>
  <si>
    <t>MRS.RUPAL KRISHAN(34Y/F)</t>
  </si>
  <si>
    <t>GEN_T_2.0.spik_4619</t>
  </si>
  <si>
    <t>ADB0000042771</t>
  </si>
  <si>
    <t>25.07.2026</t>
  </si>
  <si>
    <t>MR.KUMAR RAHUL(35Y/M)</t>
  </si>
  <si>
    <t>GEN_T_2.0.spik_4620</t>
  </si>
  <si>
    <t>ADB0000042772</t>
  </si>
  <si>
    <t>MR.RAMESH N(46Y/M)</t>
  </si>
  <si>
    <t>GEN_T_2.0.spik_4621</t>
  </si>
  <si>
    <t>ATR0000015807</t>
  </si>
  <si>
    <t>MASTER.A MOHAN(15Y/M)</t>
  </si>
  <si>
    <t>GEN_T_2.0.spik_4622</t>
  </si>
  <si>
    <t>AVD0000001605</t>
  </si>
  <si>
    <t>MS.AL60-Y-575(32Y/F)</t>
  </si>
  <si>
    <t>GEN_T_2.0.spik_4623</t>
  </si>
  <si>
    <t>ADK0000003049</t>
  </si>
  <si>
    <t>BABY.AL60-Y-576(2Y/M)</t>
  </si>
  <si>
    <t>GEN_T_2.0.spik_4624</t>
  </si>
  <si>
    <t>ADK0000003050</t>
  </si>
  <si>
    <t>BABY.AL60-Y--577(2Y/M)</t>
  </si>
  <si>
    <t>GEN_T_2.0.spik_4625</t>
  </si>
  <si>
    <t>ADK0000003051</t>
  </si>
  <si>
    <t>MR.AL60-CD-26-142(35Y/M)</t>
  </si>
  <si>
    <t>GEN_T_2.0.spik_4626</t>
  </si>
  <si>
    <t>ADK0000003052</t>
  </si>
  <si>
    <t>MR.AL60-Y-572(23Y/M)</t>
  </si>
  <si>
    <t>GEN_T_2.0.spik_4627</t>
  </si>
  <si>
    <t>ADK0000003053</t>
  </si>
  <si>
    <t>MR.AL60-Y-579(22Y/M)</t>
  </si>
  <si>
    <t>GEN_T_2.0.spik_4628</t>
  </si>
  <si>
    <t>ADK0000003054</t>
  </si>
  <si>
    <t>MR.AL60-Y-581(38Y/M)</t>
  </si>
  <si>
    <t>GEN_T_2.0.spik_4629</t>
  </si>
  <si>
    <t>ADK0000003055</t>
  </si>
  <si>
    <t>BABY. ELAMURUGAN (260615010701) (3Y/M)</t>
  </si>
  <si>
    <t>GEN_T_2.0.spik_4630</t>
  </si>
  <si>
    <t>ACL0000015656</t>
  </si>
  <si>
    <t>MR.RAJAGOPALAN[2334](47Y/M)</t>
  </si>
  <si>
    <t>GEN_T_2.0.spik_4631</t>
  </si>
  <si>
    <t>SCF0000000787</t>
  </si>
  <si>
    <t>30/07/2026</t>
  </si>
  <si>
    <r>
      <rPr>
        <rFont val="Arial"/>
        <color rgb="FF38761D"/>
      </rPr>
      <t>Writeup available</t>
    </r>
    <r>
      <rPr>
        <rFont val="Arial"/>
        <color theme="1"/>
      </rPr>
      <t xml:space="preserve"> </t>
    </r>
  </si>
  <si>
    <t>AL61-CD-147</t>
  </si>
  <si>
    <t>GEN_T_2.0.spik_4632</t>
  </si>
  <si>
    <t>ADK0000003146</t>
  </si>
  <si>
    <t>AL61-Y-582</t>
  </si>
  <si>
    <t>GEN_T_2.0.spik_4633</t>
  </si>
  <si>
    <t>ADK0000003147</t>
  </si>
  <si>
    <t>AL61-Y-599</t>
  </si>
  <si>
    <t>GEN_T_2.0.spik_4634</t>
  </si>
  <si>
    <t>ADK0000003148</t>
  </si>
  <si>
    <t>AL61-Y-601</t>
  </si>
  <si>
    <t>GEN_T_2.0.spik_4635</t>
  </si>
  <si>
    <t>ADK0000003149</t>
  </si>
  <si>
    <t>BHUVANA J (13Y/F)</t>
  </si>
  <si>
    <t>GEN_T_2.0.spik_4636</t>
  </si>
  <si>
    <t>ADK0000003165</t>
  </si>
  <si>
    <t>Greyzone (CNBP),Greyzone (GLS)</t>
  </si>
  <si>
    <t>MURUGAN S (54Y/M)</t>
  </si>
  <si>
    <t>GEN_T_2.0.spik_4637</t>
  </si>
  <si>
    <t>ADK0000003167</t>
  </si>
  <si>
    <t>SRIDEVI R (69Y/F)</t>
  </si>
  <si>
    <t>GEN_T_2.0.spik_4638</t>
  </si>
  <si>
    <t>ADK0000003166</t>
  </si>
  <si>
    <r>
      <rPr>
        <rFont val="Arial"/>
        <color rgb="FFB45F06"/>
      </rPr>
      <t>Greyzone (GLS),</t>
    </r>
    <r>
      <rPr>
        <rFont val="Arial"/>
        <color rgb="FFFF0000"/>
      </rPr>
      <t>Pathogenic (TCF4)</t>
    </r>
  </si>
  <si>
    <t>GEN_T_2.0.spik_4639</t>
  </si>
  <si>
    <t>SURFseq- Run-95B</t>
  </si>
  <si>
    <t>MRS.SURAYYA (34Y/F) AF</t>
  </si>
  <si>
    <t>GEN_T_2.0.spik_4640AF</t>
  </si>
  <si>
    <t>ADB0000044056</t>
  </si>
  <si>
    <t>MRS.ARIPAKA VIJAYA LAVANYA W/O. SUMAN (IKOM 0674) (30Y/F)</t>
  </si>
  <si>
    <t>HYP0000002678</t>
  </si>
  <si>
    <t>MRS.USHA ANNAMALAI (24Y/F)</t>
  </si>
  <si>
    <t>GEN_T_2.0.spik_4642A</t>
  </si>
  <si>
    <t>ADS0000017661</t>
  </si>
  <si>
    <t>MR.ANNAMALAI (36Y/M)</t>
  </si>
  <si>
    <t>GEN_T_2.0.spik_4643A</t>
  </si>
  <si>
    <t>ADS0000017660</t>
  </si>
  <si>
    <t>MR.SATISH KUMAR KARAMUNGE H/O. K NIKITHA (CH 26022673) (35Y/M)</t>
  </si>
  <si>
    <t>GEN_T_2.0.spik_4644A</t>
  </si>
  <si>
    <t>HYP0000002732</t>
  </si>
  <si>
    <t>23/07/2026</t>
  </si>
  <si>
    <t>BABY.R.PRANAV (5Y/M)</t>
  </si>
  <si>
    <t>GEN_T_2.0.spik_4645</t>
  </si>
  <si>
    <t>ADS0000017031</t>
  </si>
  <si>
    <t>History written by internal team</t>
  </si>
  <si>
    <t>MRS.JANANI C (31Y/F)</t>
  </si>
  <si>
    <t>GEN_T_2.0.spik_4646</t>
  </si>
  <si>
    <t>CHM0000045474</t>
  </si>
  <si>
    <t>SREE SUPRIYA</t>
  </si>
  <si>
    <t>MR.DINESH D (31Y/M)</t>
  </si>
  <si>
    <t>GEN_T_2.0.spik_4647</t>
  </si>
  <si>
    <t>CHM0000045475</t>
  </si>
  <si>
    <t>MRS.PRIYADHARSHINI W/O MOKAN (32Y/F)</t>
  </si>
  <si>
    <t>GEN_T_2.0.spik_4648</t>
  </si>
  <si>
    <t>ADS0000016984</t>
  </si>
  <si>
    <t>SUDHA FERTILITY CENTRE - SALEM</t>
  </si>
  <si>
    <t>BABY.MAGIZHINI (0Y/F)</t>
  </si>
  <si>
    <t>GEN_T_2.0.spik_4649</t>
  </si>
  <si>
    <t>PH50000025658</t>
  </si>
  <si>
    <t>MRS.SANGEETHA A (30Y/F)</t>
  </si>
  <si>
    <t>GEN_T_2.0.spik_4650</t>
  </si>
  <si>
    <t>HCC0000016308</t>
  </si>
  <si>
    <t>INDIGO WOMEN S CENTER - ANNA NAGAR</t>
  </si>
  <si>
    <t>BABY.VEERAN RUDHRAN (0Y/M)</t>
  </si>
  <si>
    <t>GEN_T_2.0.spik_4651</t>
  </si>
  <si>
    <t>FR20000012380</t>
  </si>
  <si>
    <t>RAJIV GANDHI GOVERNMENT WOMEN AND CHILDREN HOSPITAL - PONDICHERY</t>
  </si>
  <si>
    <t>Greyzone (GLS),Greyzone (HTT),Greyzone (TCF4)</t>
  </si>
  <si>
    <t>MRS.MEHATAJ (29Y/F)</t>
  </si>
  <si>
    <t>GEN_T_2.0.spik_4652</t>
  </si>
  <si>
    <t>ATR0000015902</t>
  </si>
  <si>
    <t>MASTER.HEMA CHANDRA REDDY (AD49050)(12Y/M)</t>
  </si>
  <si>
    <t>GEN_T_2.0.spik_4653</t>
  </si>
  <si>
    <t>ADK0000003114</t>
  </si>
  <si>
    <t>MR.GOPI .K (40Y/M)</t>
  </si>
  <si>
    <t>GEN_T_2.0.spik_4654</t>
  </si>
  <si>
    <t>ADK0000003093</t>
  </si>
  <si>
    <t>Amount due</t>
  </si>
  <si>
    <t>MR.ROHITH (1Y/M)</t>
  </si>
  <si>
    <t>GEN_T_2.0.spik_4655</t>
  </si>
  <si>
    <t>ADK0000003094</t>
  </si>
  <si>
    <t>MR.PARAMVEER SINGH (30Y/M)</t>
  </si>
  <si>
    <t>MATERNAL CELL CONTAMINATION CHECK</t>
  </si>
  <si>
    <t>GEN_T_2.0.spik_4656</t>
  </si>
  <si>
    <t>DCC0000005493</t>
  </si>
  <si>
    <t>16/07/2026</t>
  </si>
  <si>
    <t>MRS.KANJOOR DEEPTHI DAMODARAN NAIR (37Y/F)</t>
  </si>
  <si>
    <t>GEN_T_2.0.spik_4657</t>
  </si>
  <si>
    <t>ACO0000012176</t>
  </si>
  <si>
    <t>BABY.ANVIKA (1Y/F)</t>
  </si>
  <si>
    <t>GEN_T_2.0.spik_4658</t>
  </si>
  <si>
    <t>ADK0000003132</t>
  </si>
  <si>
    <t>BABY.SHRUSHTI MASHALE (5Y/F)</t>
  </si>
  <si>
    <t>GEN_T_2.0.spik_4659</t>
  </si>
  <si>
    <t>AMB0000011527</t>
  </si>
  <si>
    <t>SHRI SAI DIAGNOSTIC LABORATORY - SOLAPUR</t>
  </si>
  <si>
    <t>MRS.VARIJA M (29Y/F)</t>
  </si>
  <si>
    <t>GEN_T_2.0.spik_4660</t>
  </si>
  <si>
    <t>ADB0000043754</t>
  </si>
  <si>
    <t>MR.VISHWAS V NADEG (31Y/M)</t>
  </si>
  <si>
    <t>GEN_T_2.0.spik_4661</t>
  </si>
  <si>
    <t>ADB0000043755</t>
  </si>
  <si>
    <t>MRS.KASHINATH(70Y/F)</t>
  </si>
  <si>
    <t>GEN_T_2.0.spik_4662</t>
  </si>
  <si>
    <t>ADB0000043930</t>
  </si>
  <si>
    <t>UNIQUE DIAGNOSTICS AND POLY CLINIC - BENGALURU</t>
  </si>
  <si>
    <t>MR.AL61-Y-590 (25Y/M)</t>
  </si>
  <si>
    <t>GEN_T_2.0.spik_4663</t>
  </si>
  <si>
    <t>ADK0000003140</t>
  </si>
  <si>
    <t>MR.AL61-Y-592 (32Y/M)</t>
  </si>
  <si>
    <t>GEN_T_2.0.spik_4664</t>
  </si>
  <si>
    <t>ADK0000003141</t>
  </si>
  <si>
    <t>MASTER.AL61-Y-587 (15Y/M)</t>
  </si>
  <si>
    <t>GEN_T_2.0.spik_4665</t>
  </si>
  <si>
    <t>ADK0000003142</t>
  </si>
  <si>
    <t>BABY.AL61-Y-591 (2Y/M)</t>
  </si>
  <si>
    <t>GEN_T_2.0.spik_4666</t>
  </si>
  <si>
    <t>ADK0000003143</t>
  </si>
  <si>
    <t>MISS.AL61-Y-600 (10Y/F)</t>
  </si>
  <si>
    <t>GEN_T_2.0.spik_4667</t>
  </si>
  <si>
    <t>ADK0000003144</t>
  </si>
  <si>
    <t>MR.AL61-Y-603 (36Y/M)</t>
  </si>
  <si>
    <t>GEN_T_2.0.spik_4668</t>
  </si>
  <si>
    <t>ADK0000003145</t>
  </si>
  <si>
    <t>MS.AL62-Y-619(13Y/F)</t>
  </si>
  <si>
    <t>GEN_T_2.0.spik_4669</t>
  </si>
  <si>
    <t>ADK0000003323</t>
  </si>
  <si>
    <t>28.07.2026</t>
  </si>
  <si>
    <t>MS.AL62-Y-610(43Y/F)</t>
  </si>
  <si>
    <t>GEN_T_2.0.spik_4670</t>
  </si>
  <si>
    <t>ADK0000003325</t>
  </si>
  <si>
    <t>MR.AL62-Y-611(41Y/M)</t>
  </si>
  <si>
    <t>GEN_T_2.0.spik_4671</t>
  </si>
  <si>
    <t>ADK0000003326</t>
  </si>
  <si>
    <t>MS.AL62-Y-604(0Y/F)</t>
  </si>
  <si>
    <t>GEN_T_2.0.spik_4672</t>
  </si>
  <si>
    <t>ADK0000003327</t>
  </si>
  <si>
    <t>MS.AL62-Y-606(14Y/F)</t>
  </si>
  <si>
    <t>GEN_T_2.0.spik_4673</t>
  </si>
  <si>
    <t>ADK0000003328</t>
  </si>
  <si>
    <t>BABY.AL62-CD-150(2Y/M)</t>
  </si>
  <si>
    <t>GEN_T_2.0.spik_4674</t>
  </si>
  <si>
    <t>ADK0000003330</t>
  </si>
  <si>
    <t>BABY.AL62-Y-605(4Y/F)</t>
  </si>
  <si>
    <t>GEN_T_2.0.spik_4675</t>
  </si>
  <si>
    <t>ADK0000003331</t>
  </si>
  <si>
    <t>MS.AL62-Y-615(26Y/F)</t>
  </si>
  <si>
    <t>GEN_T_2.0.spik_4676</t>
  </si>
  <si>
    <t>ADK0000003332</t>
  </si>
  <si>
    <t>BABY.AL62-Y-614(3Y/M)</t>
  </si>
  <si>
    <t>GEN_T_2.0.spik_4677</t>
  </si>
  <si>
    <t>ADK0000003333</t>
  </si>
  <si>
    <t>BABY OF.SK JAREENA (28Y/F) POC</t>
  </si>
  <si>
    <t>GEN_T_2.0.spik_4678</t>
  </si>
  <si>
    <t>HYP0000002658</t>
  </si>
  <si>
    <t>DR. BEHTUNE NURSING HOME - ONGOLE</t>
  </si>
  <si>
    <t>MRS.SHAHISTA KULSUM S(25Y/F) POC</t>
  </si>
  <si>
    <t>GEN_T_2.0.spik_4679</t>
  </si>
  <si>
    <t>ATR0000015804</t>
  </si>
  <si>
    <t>29.07.2026</t>
  </si>
  <si>
    <t>MRS.DEEKSHA SHAKYA(29 Y 9 M 23 D /Female) poc</t>
  </si>
  <si>
    <t>GEN_T_2.0.spik_4680</t>
  </si>
  <si>
    <t>AMB0000012273</t>
  </si>
  <si>
    <t>MRS.FARHEEN AZAM SAYYED (26Y/F)</t>
  </si>
  <si>
    <t>GEN_T_2.0.spik_4681</t>
  </si>
  <si>
    <t>AMB0000011577</t>
  </si>
  <si>
    <t>MRS.SYEDA SUMAIYA (POC)(30Y/F) POC</t>
  </si>
  <si>
    <t>GEN_T_2.0.spik_4682</t>
  </si>
  <si>
    <t>ADH0000032287</t>
  </si>
  <si>
    <t>MRS.VYDEESWARI (25Y/F)</t>
  </si>
  <si>
    <t>GEN_T_2.0.spik_4683</t>
  </si>
  <si>
    <t>ACL0000017417</t>
  </si>
  <si>
    <t>MR.MAHENDRAN (33Y/M)</t>
  </si>
  <si>
    <t>GEN_T_2.0.spik_4684</t>
  </si>
  <si>
    <t>ACL0000017416</t>
  </si>
  <si>
    <t>MRS.NITHIYA SRINITHI (23Y/F)</t>
  </si>
  <si>
    <t>GEN_T_2.0.spik_4685</t>
  </si>
  <si>
    <t>FR20000012589</t>
  </si>
  <si>
    <t>MRS.MANO RANJANI (30Y/F)</t>
  </si>
  <si>
    <t>GEN_T_2.0.spik_4686</t>
  </si>
  <si>
    <t>ADB0000043956</t>
  </si>
  <si>
    <t>DR.CHANDANA .</t>
  </si>
  <si>
    <t>MRS.ANJALI (32Y/F)</t>
  </si>
  <si>
    <t>GEN_T_2.0.spik_4687</t>
  </si>
  <si>
    <t>ADB0000044111</t>
  </si>
  <si>
    <t>MR.MANJESH (36Y/M)</t>
  </si>
  <si>
    <t>GEN_T_2.0.spik_4688</t>
  </si>
  <si>
    <t>ADB0000044114</t>
  </si>
  <si>
    <t>MRS.POOJA KUMARI (28Y/F)</t>
  </si>
  <si>
    <t>GEN_T_2.0.spik_4689</t>
  </si>
  <si>
    <t>DCC0000005550</t>
  </si>
  <si>
    <t>WOMEN PRIDE HOSPITAL - HARYANA</t>
  </si>
  <si>
    <t>MR.DEEPAK KUMAR (31Y/M)</t>
  </si>
  <si>
    <t>GEN_T_2.0.spik_4690</t>
  </si>
  <si>
    <t>DCC0000005551</t>
  </si>
  <si>
    <t>MRS.YOGESWARI M (OP)(900042251) (37Y/F)</t>
  </si>
  <si>
    <t>GEN_T_2.0.spik_4691</t>
  </si>
  <si>
    <t>ACL0000018058</t>
  </si>
  <si>
    <t>MR.BALAMURUGAN K (900043010) (42Y/M)</t>
  </si>
  <si>
    <t>GEN_T_2.0.spik_4692</t>
  </si>
  <si>
    <t>ACL0000018057</t>
  </si>
  <si>
    <t>MRS.NADIYA (40Y/F)</t>
  </si>
  <si>
    <t>GEN_T_2.0.spik_4693</t>
  </si>
  <si>
    <t>ADB0000044303</t>
  </si>
  <si>
    <t>MR.NOOR MOHAMED (15Y/M)</t>
  </si>
  <si>
    <t>GEN_T_2.0.spik_4694</t>
  </si>
  <si>
    <t>CHM0000047111</t>
  </si>
  <si>
    <t>CHANDRAMOULEESWARAN V</t>
  </si>
  <si>
    <t>MR.REVANNA KUMAR S (39Y/M)</t>
  </si>
  <si>
    <t>GEN_T_2.0.spik_4695</t>
  </si>
  <si>
    <t>ADB0000044304</t>
  </si>
  <si>
    <t>MR.ANBARASAN (34Y/M)</t>
  </si>
  <si>
    <t>GEN_T_2.0.spik_4696</t>
  </si>
  <si>
    <t>FR20000012702</t>
  </si>
  <si>
    <t>19-07-2026</t>
  </si>
  <si>
    <t>MRS.SAMUNDESHWARI (30Y/F)</t>
  </si>
  <si>
    <t>GEN_T_2.0.spik_4697</t>
  </si>
  <si>
    <t>FR20000012703</t>
  </si>
  <si>
    <t>31-07-2026 (amount due)</t>
  </si>
  <si>
    <t>MISS.JACQULIN ESTHER RANI(14Y/F)</t>
  </si>
  <si>
    <t>GEN_T_2.0.spik_4698</t>
  </si>
  <si>
    <t>CHM0000047158</t>
  </si>
  <si>
    <t>MS.FAHEREEHA THASNEEM - SN00806406(20Y/F)</t>
  </si>
  <si>
    <t>GEN_T_2.0.spik_4699</t>
  </si>
  <si>
    <t>ANV0000001701</t>
  </si>
  <si>
    <t>BABY.LUCKEY (1Y/F)</t>
  </si>
  <si>
    <t>GEN_T_2.0.spik_4700</t>
  </si>
  <si>
    <t>ADB0000044917</t>
  </si>
  <si>
    <t>ROHAN KHANDELEAL</t>
  </si>
  <si>
    <t>MR.RAJESH (32Y/M)</t>
  </si>
  <si>
    <t>GEN_T_2.0.spik_4701</t>
  </si>
  <si>
    <t>HCC0000017058</t>
  </si>
  <si>
    <t>MRS.KAVITHA M(24Y/F)</t>
  </si>
  <si>
    <t>GEN_T_2.0.spik_4702</t>
  </si>
  <si>
    <t>ATR0000016197</t>
  </si>
  <si>
    <t>MR.VISWANATH M(30Y/M)</t>
  </si>
  <si>
    <t>GEN_T_2.0.spik_4703</t>
  </si>
  <si>
    <t>ATR0000016198</t>
  </si>
  <si>
    <t>SURFseq- Run-96B</t>
  </si>
  <si>
    <t>MRS.SUCHETHA (32Y/F) AF</t>
  </si>
  <si>
    <t>GEN_T_2.0.spik_4704AF</t>
  </si>
  <si>
    <t>ADB0000044974</t>
  </si>
  <si>
    <t>MRS.DEEPA SHANTILAL OZA(36Y/F)AFCC</t>
  </si>
  <si>
    <t>GEN_T_2.0.spik_4388AF_A</t>
  </si>
  <si>
    <t>MRS.NISHMITHA (04144955) (27Y/F) CVS</t>
  </si>
  <si>
    <t>GEN_T_2.0.spik_4705AF</t>
  </si>
  <si>
    <t>ADB0000045243</t>
  </si>
  <si>
    <t>MRS.CHITHRA (04144538) (29Y/F) AF</t>
  </si>
  <si>
    <t>GEN_T_2.0.spik_4706AF</t>
  </si>
  <si>
    <t>ADB0000045370</t>
  </si>
  <si>
    <t>MRS.TEJASWINI DONOR OF ROHIT ASHA AGARWAL (42Y/F)</t>
  </si>
  <si>
    <t>GEN_T_2.0.spik_4707</t>
  </si>
  <si>
    <t>HYP0000002758</t>
  </si>
  <si>
    <t>MASTER.HIMANSHU BAIRWA (11Y/M)</t>
  </si>
  <si>
    <t>GEN_T_2.0.spik_4708</t>
  </si>
  <si>
    <t>ADK0000003401</t>
  </si>
  <si>
    <t>BABY.M MAGATHI(0Y/F)</t>
  </si>
  <si>
    <t>GEN_T_2.0.spik_4709</t>
  </si>
  <si>
    <t>ADK0000003340</t>
  </si>
  <si>
    <t xml:space="preserve">bill amount in due </t>
  </si>
  <si>
    <t>20.07.2026</t>
  </si>
  <si>
    <t>BABY.NIKITHA YUGASRI(0Y/F)</t>
  </si>
  <si>
    <t>GEN_T_2.0.spik_4710</t>
  </si>
  <si>
    <t>ADK0000003336</t>
  </si>
  <si>
    <t>BABY.KAVIN ENZO(1Y/M)</t>
  </si>
  <si>
    <t>GEN_T_2.0.spik_4711</t>
  </si>
  <si>
    <t>ADK0000003334</t>
  </si>
  <si>
    <t>BABY.FOUZHIYA A</t>
  </si>
  <si>
    <t>GEN_T_2.0.spik_4712</t>
  </si>
  <si>
    <t>ACL0000019414</t>
  </si>
  <si>
    <t>MISS.SANDHIYA(21Y/F)</t>
  </si>
  <si>
    <t>GEN_T_2.0.spik_4713</t>
  </si>
  <si>
    <t>PH50000026626</t>
  </si>
  <si>
    <t>BABY.RANJITH N V (0Y/M)</t>
  </si>
  <si>
    <t>GEN_T_2.0.spik_4714</t>
  </si>
  <si>
    <t>PH50000026451</t>
  </si>
  <si>
    <t>MR.PARUSHU RAMUDU (26Y/M)</t>
  </si>
  <si>
    <t>GEN_T_2.0.spik_4715</t>
  </si>
  <si>
    <t>ABC0000002076</t>
  </si>
  <si>
    <t>BABY.SRINIVASA PRAHALATH V(1Y/M)</t>
  </si>
  <si>
    <t>GEN_T_2.0.spik_4716</t>
  </si>
  <si>
    <t>ADK0000003324</t>
  </si>
  <si>
    <t>BABY.KRITHICK(0Y/M)</t>
  </si>
  <si>
    <t>GEN_T_2.0.spik_4717</t>
  </si>
  <si>
    <t>ADK0000003329</t>
  </si>
  <si>
    <t>MS.JUSTINA ANN VINNISH (AP65233) (19Y/F)</t>
  </si>
  <si>
    <t>GEN_T_2.0.spik_4718</t>
  </si>
  <si>
    <t>ADK0000003374</t>
  </si>
  <si>
    <t>MR.RAMAIAH K (47Y/M)</t>
  </si>
  <si>
    <t>GEN_T_2.0.spik_4719</t>
  </si>
  <si>
    <t>ADB0000044934</t>
  </si>
  <si>
    <t>21-07-2026</t>
  </si>
  <si>
    <t>MRS.ZEBA JAOHAK (27Y/F)</t>
  </si>
  <si>
    <t>GEN_T_2.0.spik_4720</t>
  </si>
  <si>
    <t>ACO0000013033</t>
  </si>
  <si>
    <t>MRS.SAVITHA(33Y/F)</t>
  </si>
  <si>
    <t>GEN_T_2.0.spik_4721</t>
  </si>
  <si>
    <t>CHM0000048215</t>
  </si>
  <si>
    <t>30.7.2026</t>
  </si>
  <si>
    <t>MR.SURENDRA KUMAR (UMR26063889)(33Y/M)</t>
  </si>
  <si>
    <t>GEN_T_2.0.spik_4722</t>
  </si>
  <si>
    <t>CHM0000048217</t>
  </si>
  <si>
    <t>BABY.SUBAENA SREE (241111400)(2Y/F)</t>
  </si>
  <si>
    <t>GEN_T_2.0.spik_4723</t>
  </si>
  <si>
    <t>ANG0000014406</t>
  </si>
  <si>
    <t>MR.KISHORE(20Y/M)</t>
  </si>
  <si>
    <t>GEN_T_2.0.spik_4724</t>
  </si>
  <si>
    <t>ACL0000020395</t>
  </si>
  <si>
    <t>GOVERNMENT KILPAUK MEDICAL COLLEGE HOSPITAL</t>
  </si>
  <si>
    <t>BABY.TAMIZHINIYAN(0Y/M)</t>
  </si>
  <si>
    <t>GEN_T_2.0.spik_4725</t>
  </si>
  <si>
    <t>ADK0000003382</t>
  </si>
  <si>
    <t>BABY.KENRITH(0Y/M)</t>
  </si>
  <si>
    <t>GEN_T_2.0.spik_4726</t>
  </si>
  <si>
    <t>ADK0000003383</t>
  </si>
  <si>
    <t>BABY.VARSHITH(1Y/M)</t>
  </si>
  <si>
    <t>GEN_T_2.0.spik_4727</t>
  </si>
  <si>
    <t>ADK0000003384</t>
  </si>
  <si>
    <t>MRS.ANUSHA SAGAR (30Y/F)</t>
  </si>
  <si>
    <t>GEN_T_2.0.spik_4728</t>
  </si>
  <si>
    <t>AMB0000011798</t>
  </si>
  <si>
    <t>MEDX CLINIC &amp; TINY FEET IVF CENTER - PUNE</t>
  </si>
  <si>
    <t>MR.SAGAR RAMANNAVRU (32Y/M)</t>
  </si>
  <si>
    <t>GEN_T_2.0.spik_4729</t>
  </si>
  <si>
    <t>AMB0000011799</t>
  </si>
  <si>
    <t>MRS.SHEELA M(72Y/F)</t>
  </si>
  <si>
    <t>GEN_T_2.0.spik_4730</t>
  </si>
  <si>
    <t>ADN0000031223</t>
  </si>
  <si>
    <t>PRASHANTH FERTILITY &amp; WOMEN CENTER - NELLORE</t>
  </si>
  <si>
    <t>MR.D.JEEVAN(36Y/M)</t>
  </si>
  <si>
    <t>GEN_T_2.0.spik_4731</t>
  </si>
  <si>
    <t>ADN0000031327</t>
  </si>
  <si>
    <t>MR.RAJA KATHIRAVAN (32Y/M)</t>
  </si>
  <si>
    <t>GEN_T_2.0.spik_4732</t>
  </si>
  <si>
    <t>ADK0000003404</t>
  </si>
  <si>
    <t>MR.R. MAHENDRAN (41Y/M)</t>
  </si>
  <si>
    <t>GEN_T_2.0.spik_4733</t>
  </si>
  <si>
    <t>ATN0000011446</t>
  </si>
  <si>
    <t>BABY OF.SHAKUNTALA (0Y/M)</t>
  </si>
  <si>
    <t>GEN_T_2.0.spik_4734</t>
  </si>
  <si>
    <t>ADB0000045213</t>
  </si>
  <si>
    <t>PRERANA</t>
  </si>
  <si>
    <t>MRS.POOJA KAUR (28Y/F) W/O MR.GURPREET SINGH (30Y/M)</t>
  </si>
  <si>
    <t>GEN_T_2.0.spik_4735</t>
  </si>
  <si>
    <t>DCC0000005644</t>
  </si>
  <si>
    <t>AAKRITI GUPTA</t>
  </si>
  <si>
    <t>Report is being finalised</t>
  </si>
  <si>
    <t>MR.MURALIDHARAN P (16Y/M)</t>
  </si>
  <si>
    <t>GEN_T_2.0.spik_4736</t>
  </si>
  <si>
    <t>ADR0000007843</t>
  </si>
  <si>
    <t>MRS.ARCHANA BHARATHI (30Y/F)</t>
  </si>
  <si>
    <t>GEN_T_2.0.spik_4737</t>
  </si>
  <si>
    <t>MDU0000026048</t>
  </si>
  <si>
    <t>MR.SOUNDARA PANDI (38Y/M)</t>
  </si>
  <si>
    <t>GEN_T_2.0.spik_4738</t>
  </si>
  <si>
    <t>MDU0000026049</t>
  </si>
  <si>
    <t>MRS.MADHUMITHA (UMR2606064081) (33Y/F)</t>
  </si>
  <si>
    <t>GEN_T_2.0.spik_4739</t>
  </si>
  <si>
    <t>ACL0000020965</t>
  </si>
  <si>
    <t>MR.KARTHIKEYAN (37Y/M)</t>
  </si>
  <si>
    <t>GEN_T_2.0.spik_4740</t>
  </si>
  <si>
    <t>ACL0000020966</t>
  </si>
  <si>
    <t>BABY.VICKRAM ADHITHYA (2Y/M)</t>
  </si>
  <si>
    <t>GEN_T_2.0.spik_4741</t>
  </si>
  <si>
    <t>ADK0000003431</t>
  </si>
  <si>
    <t>BABY.PRITHVIN V (1Y/M)</t>
  </si>
  <si>
    <t>GEN_T_2.0.spik_4742</t>
  </si>
  <si>
    <t>ADK0000003432</t>
  </si>
  <si>
    <t>Dr. Sarath review pending</t>
  </si>
  <si>
    <t>BABY OF.RANJANI (0Y/F)</t>
  </si>
  <si>
    <t>GEN_T_2.0.spik_4743</t>
  </si>
  <si>
    <t>ADK0000003433</t>
  </si>
  <si>
    <t>MRS.MAITRA BATAGERI (22YF)"</t>
  </si>
  <si>
    <t>GEN_T_2.0.spik_4744</t>
  </si>
  <si>
    <t>ADH0000033324</t>
  </si>
  <si>
    <t>MR.SOWMIYA(31Y/F)</t>
  </si>
  <si>
    <t>GEN_T_2.0.spik_4745</t>
  </si>
  <si>
    <t>CHM0000048732</t>
  </si>
  <si>
    <t>MAA KAUVERY - KOVILAMBAKKAM</t>
  </si>
  <si>
    <t>MR. JOHN WISLY (21Y/M)</t>
  </si>
  <si>
    <t>GEN_T_2.0.spik_4746</t>
  </si>
  <si>
    <t>ADB0000045276</t>
  </si>
  <si>
    <t>MISS.PAIJUN BEE (14Y/F)</t>
  </si>
  <si>
    <t>GEN_T_2.0.spik_4747</t>
  </si>
  <si>
    <t>AVD0000001740</t>
  </si>
  <si>
    <t>BABY.AKSHAYA (0Y/F)</t>
  </si>
  <si>
    <t>GEN_T_2.0.spik_4748</t>
  </si>
  <si>
    <t>ADK0000003451</t>
  </si>
  <si>
    <t>MRS.RAJESWARI (26Y/F)</t>
  </si>
  <si>
    <t>GEN_T_2.0.spik_4749</t>
  </si>
  <si>
    <t>HYP0000002864</t>
  </si>
  <si>
    <t>MASTER.THOMAS JOE (5Y/M)</t>
  </si>
  <si>
    <t>GEN_T_2.0.spik_4750</t>
  </si>
  <si>
    <t>AVP0000014075</t>
  </si>
  <si>
    <t>ANNAI DIAGNOSTIC LAB - KULLANCHAVADI</t>
  </si>
  <si>
    <t>MISS.VEDITA M (5Y/F)</t>
  </si>
  <si>
    <t>GEN_T_2.0.spik_4751</t>
  </si>
  <si>
    <t>ADH0000033445</t>
  </si>
  <si>
    <t>MR.BHARATH PATIL (31Y/M)</t>
  </si>
  <si>
    <t>GEN_T_2.0.spik_4752</t>
  </si>
  <si>
    <t>ADB0000045483</t>
  </si>
  <si>
    <t>ARYAMBA FERTILITY AND RESEARCH CENTRE A UNIT.OF SSPCT - BANGALORE</t>
  </si>
  <si>
    <t>MR.INTY LAKYAN (GGJN04454)(33Y/M)</t>
  </si>
  <si>
    <t>GEN_T_2.0.spik_4753</t>
  </si>
  <si>
    <t>ADB0000045488</t>
  </si>
  <si>
    <t>GARBHAGUDI IVF CENTER BASVANAGUDI-BANGALORE</t>
  </si>
  <si>
    <t>MR.ROHAN DENIN (18Y/M)</t>
  </si>
  <si>
    <t>GEN_T_2.0.spik_4754</t>
  </si>
  <si>
    <t>FR20000013064</t>
  </si>
  <si>
    <t>MASTER.NIDEV ATHIYAN (0Y/M)</t>
  </si>
  <si>
    <t>GEN_T_2.0.spik_4755</t>
  </si>
  <si>
    <t>FR20000013069</t>
  </si>
  <si>
    <t>MRS.GEDDADA MADHURI (GGJN04054)(35Y/F)</t>
  </si>
  <si>
    <t>GEN_T_2.0.spik_4756</t>
  </si>
  <si>
    <t>ADB0000045487</t>
  </si>
  <si>
    <t>MS.JANSIRANI(26Y/F)</t>
  </si>
  <si>
    <t>GEN_T_2.0.spik_4757</t>
  </si>
  <si>
    <t>PH60000014308</t>
  </si>
  <si>
    <t>MRS.AZIMA PATEL (66Y/F)</t>
  </si>
  <si>
    <t>GEN_T_2.0.spik_4758</t>
  </si>
  <si>
    <t>ADR0000008437</t>
  </si>
  <si>
    <t>ASRA PATEL</t>
  </si>
  <si>
    <t>Sent to siva sir</t>
  </si>
  <si>
    <t>MRS.ANNIE PERPET FEMILA (41Y/F)</t>
  </si>
  <si>
    <t>COMPREHENSIVE CARDIOMYOPATHY GENE PANEL (129 GENES)</t>
  </si>
  <si>
    <t>GEN_T_2.0.spik_4759</t>
  </si>
  <si>
    <t>AKP0000034333</t>
  </si>
  <si>
    <t>SHANMUGA SUNDARAM S MD,DM</t>
  </si>
  <si>
    <t>MRS.VIDYASHREE HIREMATH (30Y/F)</t>
  </si>
  <si>
    <t>GEN_T_2.0.spik_4760</t>
  </si>
  <si>
    <t>ADB0000045485</t>
  </si>
  <si>
    <t>MR.AL63-Y-625 (0Y/M)</t>
  </si>
  <si>
    <t>GEN_T_2.0.spik_4761</t>
  </si>
  <si>
    <t>ADK0000003414</t>
  </si>
  <si>
    <t>30.07.2026</t>
  </si>
  <si>
    <t>MS. AL63-Y-624 (43Y/F)</t>
  </si>
  <si>
    <t>GEN_T_2.0.spik_4762</t>
  </si>
  <si>
    <t>ADK0000003416</t>
  </si>
  <si>
    <t>MS.AL63-CD-26-151 (61Y/F)</t>
  </si>
  <si>
    <t>GEN_T_2.0.spik_4763</t>
  </si>
  <si>
    <t>ADK0000003417</t>
  </si>
  <si>
    <t>MS.AL63-Y-626 (37Y/F)</t>
  </si>
  <si>
    <t>GEN_T_2.0.spik_4764</t>
  </si>
  <si>
    <t>ADK0000003421</t>
  </si>
  <si>
    <t>MR.AL63-Y-623 (0Y/M)</t>
  </si>
  <si>
    <t>GEN_T_2.0.spik_4765</t>
  </si>
  <si>
    <t>ADK0000003418</t>
  </si>
  <si>
    <t>MS.AL63-Y-622 (13Y/F)</t>
  </si>
  <si>
    <t>GEN_T_2.0.spik_4766</t>
  </si>
  <si>
    <t>ADK0000003419</t>
  </si>
  <si>
    <t>MR.AL63-Y-621 (42Y/M)</t>
  </si>
  <si>
    <t>GEN_T_2.0.spik_4767</t>
  </si>
  <si>
    <t>ADK0000003420</t>
  </si>
  <si>
    <t>MASTER. AKSHIT ROY (AQ09162)(7Y/M)</t>
  </si>
  <si>
    <t>GEN_T_2.0.spik_4768</t>
  </si>
  <si>
    <t>ADK0000003465</t>
  </si>
  <si>
    <t>BABY.ARISHA PARVIN (AG19057)(7Y/F)</t>
  </si>
  <si>
    <t>GEN_T_2.0.spik_4769</t>
  </si>
  <si>
    <t>ADK0000003464</t>
  </si>
  <si>
    <t>MR.FAHAD HOSSAIN (AP24732)(29Y/M)</t>
  </si>
  <si>
    <t>GEN_T_2.0.spik_4770</t>
  </si>
  <si>
    <t>ADK0000003466</t>
  </si>
  <si>
    <t>BABY. TRISHA JANA (AG72117)(4Y/F)</t>
  </si>
  <si>
    <t>GEN_T_2.0.spik_4771</t>
  </si>
  <si>
    <t>ADK0000003461</t>
  </si>
  <si>
    <t>MR.SREE NAYON SADHU (AN96578)(25Y/M)</t>
  </si>
  <si>
    <t>GEN_T_2.0.spik_4772</t>
  </si>
  <si>
    <t>ADK0000003463</t>
  </si>
  <si>
    <t>MR.ABHISHEK JINDAL (AQ01743) (29Y/M)</t>
  </si>
  <si>
    <t>GEN_T_2.0.spik_4773</t>
  </si>
  <si>
    <t>ADK0000003459</t>
  </si>
  <si>
    <t>MASTER.ANAS MOLLA (AP46402)(6Y/M)</t>
  </si>
  <si>
    <t>GEN_T_2.0.spik_4774</t>
  </si>
  <si>
    <t>ADK0000003460</t>
  </si>
  <si>
    <t>MS.POOJA KUMARI (A138538)(32Y/F)</t>
  </si>
  <si>
    <t>GEN_T_2.0.spik_4775</t>
  </si>
  <si>
    <t>ADK0000003467</t>
  </si>
  <si>
    <t>Greyzone (PHOX2B)</t>
  </si>
  <si>
    <t>MR.AVINASH A (AQ04460)(25Y/M)</t>
  </si>
  <si>
    <t>GEN_T_2.0.spik_4776</t>
  </si>
  <si>
    <t>ADK0000003462</t>
  </si>
  <si>
    <t>MR.AARAV SHETTY(9Y/M)</t>
  </si>
  <si>
    <t>GEN_T_2.0.spik_4777</t>
  </si>
  <si>
    <t>ADB0000045606</t>
  </si>
  <si>
    <t>MR.PRIYAM PANI (631488D) (17 Y 5 M 22 D /M)</t>
  </si>
  <si>
    <t>GEN_T_2.0.spik_4778</t>
  </si>
  <si>
    <t>ADK0000003488</t>
  </si>
  <si>
    <t>BABY.PROSMTA DEY (AQ04054)(0Y/F)</t>
  </si>
  <si>
    <t>GEN_T_2.0.spik_4779</t>
  </si>
  <si>
    <t>ADK0000003484</t>
  </si>
  <si>
    <t>MR.SHARMIN FATIMA (AN77544)(28 Y 5 M 20 D /Male)</t>
  </si>
  <si>
    <t>GEN_T_2.0.spik_4780</t>
  </si>
  <si>
    <t>ADK0000003483</t>
  </si>
  <si>
    <t>MR.DHRUVISHA AAYUSHI SURARA (AQ11385)(4 Y 11 M 28 D /Male)</t>
  </si>
  <si>
    <t>GEN_T_2.0.spik_4781</t>
  </si>
  <si>
    <t>ADK0000003485</t>
  </si>
  <si>
    <t>MS.LAVISHNA (113575) (17Y/F)</t>
  </si>
  <si>
    <t>GEN_T_2.0.spik_4782</t>
  </si>
  <si>
    <t>ACL0000022058</t>
  </si>
  <si>
    <t>PRIME INDIAN HOSPITAL - ARUMBAKKAM</t>
  </si>
  <si>
    <t>SURFseq- Run-97B</t>
  </si>
  <si>
    <t>MRS.RADHIKA DHUMAL(34Y/F) AF</t>
  </si>
  <si>
    <t>GEN_T_2.0.spik_4783AF</t>
  </si>
  <si>
    <t>ADH0000033631</t>
  </si>
  <si>
    <t>TUNGA MATERNITY CLINIC - HUBLI</t>
  </si>
  <si>
    <t>MRS.PUNYATOYA MOHANTY(36Y/F) POC</t>
  </si>
  <si>
    <t>GEN_T_2.0.spik_4784</t>
  </si>
  <si>
    <t>AMB0000011923</t>
  </si>
  <si>
    <t>BHUBANESWARI LAB -ODISHA</t>
  </si>
  <si>
    <t>MRS.ANANDAMMA W/O NARSAPPA(26Y/F)</t>
  </si>
  <si>
    <t>GEN_T_2.0.spik_4785</t>
  </si>
  <si>
    <t>ADH0000033582</t>
  </si>
  <si>
    <t>MR.NARASAPPA(31Y/M)</t>
  </si>
  <si>
    <t>GEN_T_2.0.spik_4786</t>
  </si>
  <si>
    <t>ADH0000033583</t>
  </si>
  <si>
    <t>MRS.BOONTHAMIZH SADHINI (33Y/F)</t>
  </si>
  <si>
    <t>GEN_T_2.0.spik_4787</t>
  </si>
  <si>
    <t>KOR0000000745</t>
  </si>
  <si>
    <t>KORATTUR - FRC - CHENNAI</t>
  </si>
  <si>
    <t>BABY OF.REKHA PUJAR (1Y/M)</t>
  </si>
  <si>
    <t>GEN_T_2.0.spik_4788</t>
  </si>
  <si>
    <t>ADH0000033640</t>
  </si>
  <si>
    <t>SHRI KRISHNA HOSPITAL - BIJAPUR</t>
  </si>
  <si>
    <t>MRS.SHRUTHI V L (32Y/F)</t>
  </si>
  <si>
    <t>GEN_T_2.0.spik_4789</t>
  </si>
  <si>
    <t>ADB0000046167</t>
  </si>
  <si>
    <t>RAKKESH SHARMA (10Y/M)</t>
  </si>
  <si>
    <t>GEN_T_2.0.spik_4790</t>
  </si>
  <si>
    <t>ADK0000003593</t>
  </si>
  <si>
    <t>KALIMUTHU</t>
  </si>
  <si>
    <t>WES + MITO</t>
  </si>
  <si>
    <t>GEN_T_2.0.spik_4791</t>
  </si>
  <si>
    <t>ADK0000003594</t>
  </si>
  <si>
    <t>VIJAYAKANTH (39Y/M)</t>
  </si>
  <si>
    <t>GEN_T_2.0.spik_4792</t>
  </si>
  <si>
    <t>ADK0000003592</t>
  </si>
  <si>
    <t>ANANYA BAUL (6Y/F)</t>
  </si>
  <si>
    <t>GEN_T_2.0.spik_4793</t>
  </si>
  <si>
    <t>ADK0000003596</t>
  </si>
  <si>
    <t>UPAMA BARAI</t>
  </si>
  <si>
    <t>GEN_T_2.0.spik_4794</t>
  </si>
  <si>
    <t>ADK0000003597</t>
  </si>
  <si>
    <t>GOPIKASREE .S (16Y/F)</t>
  </si>
  <si>
    <t>GEN_T_2.0.spik_4795</t>
  </si>
  <si>
    <t>ADK0000003595</t>
  </si>
  <si>
    <t>MR.PANKAJ YADAV (31Y/M)</t>
  </si>
  <si>
    <t>GEN_T_2.0.spik_4796</t>
  </si>
  <si>
    <t>DCC0000005698</t>
  </si>
  <si>
    <t>GLOBAL FERTILITY SOLUTION PRIVATE LIMITED GURUGRAM</t>
  </si>
  <si>
    <t>26-07-2026</t>
  </si>
  <si>
    <t>MRS.POOJA YADAV (27Y/F)</t>
  </si>
  <si>
    <t>GEN_T_2.0.spik_4797</t>
  </si>
  <si>
    <t>DCC0000005699</t>
  </si>
  <si>
    <t>BABY.KAVIN P (0Y/M)</t>
  </si>
  <si>
    <t>GEN_T_2.0.spik_4798</t>
  </si>
  <si>
    <t>ADK0000003504</t>
  </si>
  <si>
    <t>MRS.PADMAVATHI (64Y/F)</t>
  </si>
  <si>
    <t>GEN_T_2.0.spik_4799</t>
  </si>
  <si>
    <t>ANL0000012191</t>
  </si>
  <si>
    <t>NAGARAJAN A</t>
  </si>
  <si>
    <t>MRS.ROSHA BEEVI (67Y/F)</t>
  </si>
  <si>
    <t>GEN_T_2.0.spik_4800</t>
  </si>
  <si>
    <t>CHM0000050455</t>
  </si>
  <si>
    <t>SUDAR HOSPITAL - TAMBARAM</t>
  </si>
  <si>
    <t>BABY.AL64-Y-637(3Y/M)</t>
  </si>
  <si>
    <t>GEN_T_2.0.spik_4801</t>
  </si>
  <si>
    <t>ADK0000003543</t>
  </si>
  <si>
    <t>MS.AL64-Y-638(25Y/F)</t>
  </si>
  <si>
    <t>GEN_T_2.0.spik_4802</t>
  </si>
  <si>
    <t>ADK0000003544</t>
  </si>
  <si>
    <t>BABY.AL64-Y-640(1Y/M)</t>
  </si>
  <si>
    <t>GEN_T_2.0.spik_4803</t>
  </si>
  <si>
    <t>ADK0000003545</t>
  </si>
  <si>
    <t>MS.AL64-CD-26-152(28Y/F)</t>
  </si>
  <si>
    <t>GEN_T_2.0.spik_4804</t>
  </si>
  <si>
    <t>ADK0000003546</t>
  </si>
  <si>
    <t>MRS.ANITHA R (43Y/F)</t>
  </si>
  <si>
    <t>CHCP (NGS+MLPA)</t>
  </si>
  <si>
    <t>GEN_T_2.0.spik_4805</t>
  </si>
  <si>
    <t>HCC0000018161</t>
  </si>
  <si>
    <t>HVF HOSPITAL, MINISTRY OF DEFENCE - AVADI</t>
  </si>
  <si>
    <t>MR.GURPREET SINGH (30Y/M) H/O MRS.POOJA KAUR (28Y/F)</t>
  </si>
  <si>
    <t>GEN_T_2.0.spik_4806</t>
  </si>
  <si>
    <t>DCC0000005763</t>
  </si>
  <si>
    <t>SURFseq- Run-98B</t>
  </si>
  <si>
    <t>MRS.DANAMMA YATANUR (31Y/F) AFCC</t>
  </si>
  <si>
    <t>GEN_T_2.0.spik_4807AF</t>
  </si>
  <si>
    <t>ADH0000032214</t>
  </si>
  <si>
    <t>SRINIVAS MATERNITY HOSPITAL - SINDAGI</t>
  </si>
  <si>
    <t>MRS.SIVARANJANI AJITHKUMAR(21Y/F) AF</t>
  </si>
  <si>
    <t>GEN_T_2.0.spik_4808AF</t>
  </si>
  <si>
    <t>ADS0000019730</t>
  </si>
  <si>
    <t>MRS.BHAVANI B N (28Y/F) AF</t>
  </si>
  <si>
    <t>GEN_T_2.0.spik_4809AF</t>
  </si>
  <si>
    <t>ADH0000033788</t>
  </si>
  <si>
    <t>MRS.FETUS OF ASHA (30Y/F) AF</t>
  </si>
  <si>
    <t>GEN_T_2.0.spik_4810AF</t>
  </si>
  <si>
    <t>ADH0000034003</t>
  </si>
  <si>
    <t>MRS.PRAJNA V SHETTY(04146464) (32Y/F) AF</t>
  </si>
  <si>
    <t>GEN_T_2.0.spik_4811AF</t>
  </si>
  <si>
    <t>ADB0000046687</t>
  </si>
  <si>
    <t>MRS.RITA DEVI DONOR OF MRS SRAVANI (HEG M0036847) (29Y/F)</t>
  </si>
  <si>
    <t>GEN_T_2.0.spik_4812</t>
  </si>
  <si>
    <t>HYP0000002927</t>
  </si>
  <si>
    <t>MR.SALIM CHOUDARI (25Y/M)</t>
  </si>
  <si>
    <t>GEN_T_2.0.spik_4813</t>
  </si>
  <si>
    <t>ADH0000033832</t>
  </si>
  <si>
    <t>MR.CHATLA LOKESH (20260512614) (25Y/M)</t>
  </si>
  <si>
    <t>GEN_T_2.0.spik_4814</t>
  </si>
  <si>
    <t>ADB0000046326</t>
  </si>
  <si>
    <t>31/07/2026</t>
  </si>
  <si>
    <t>MRS.HANUFA KHATUN (28Y/F)</t>
  </si>
  <si>
    <t>GEN_T_2.0.spik_4815</t>
  </si>
  <si>
    <t>ADB0000046369</t>
  </si>
  <si>
    <t>MR.MARUTHI K(28Y/M)</t>
  </si>
  <si>
    <t>GEN_T_2.0.spik_4816</t>
  </si>
  <si>
    <t>ADB0000046424</t>
  </si>
  <si>
    <t>PREETHAM</t>
  </si>
  <si>
    <t>Pathogenic (ATXN2),Greyzone (GLS)</t>
  </si>
  <si>
    <t>MISS.KAMALI (13Y/F)</t>
  </si>
  <si>
    <t>GEN_T_2.0.spik_4817</t>
  </si>
  <si>
    <t>ADK0000003560</t>
  </si>
  <si>
    <t>BABY.M.CHAITANYA (1Y/M)</t>
  </si>
  <si>
    <t>GEN_T_2.0.spik_4818</t>
  </si>
  <si>
    <t>ADK0000003561</t>
  </si>
  <si>
    <t>BABY.VENKATA NITHIN (5Y/M)</t>
  </si>
  <si>
    <t>GEN_T_2.0.spik_4819</t>
  </si>
  <si>
    <t>ADK0000003562</t>
  </si>
  <si>
    <t>MASTER.AL65-Y-648(6Y/M)</t>
  </si>
  <si>
    <t>GEN_T_2.0.spik_4820</t>
  </si>
  <si>
    <t>ADK0000003644</t>
  </si>
  <si>
    <t>MR.AL65-Y-649(18Y/M)</t>
  </si>
  <si>
    <t>GEN_T_2.0.spik_4821</t>
  </si>
  <si>
    <t>ADK0000003645</t>
  </si>
  <si>
    <t>MS.AL65-Y-650(46Y/F)</t>
  </si>
  <si>
    <t>GEN_T_2.0.spik_4822</t>
  </si>
  <si>
    <t>ADK0000003646</t>
  </si>
  <si>
    <t>BABY.AL65-Y-651(2Y/M)</t>
  </si>
  <si>
    <t>GEN_T_2.0.spik_4823</t>
  </si>
  <si>
    <t>ADK0000003647</t>
  </si>
  <si>
    <t>MR.AL65-Y-653(22Y/M)</t>
  </si>
  <si>
    <t>GEN_T_2.0.spik_4824</t>
  </si>
  <si>
    <t>ADK0000003648</t>
  </si>
  <si>
    <t>MR.AL65-Y-665(33Y/M)</t>
  </si>
  <si>
    <t>GEN_T_2.0.spik_4825</t>
  </si>
  <si>
    <t>ADK0000003649</t>
  </si>
  <si>
    <t>MR.AL65-CD-26-153(23Y/M)</t>
  </si>
  <si>
    <t>GEN_T_2.0.spik_4826</t>
  </si>
  <si>
    <t>ADK0000003650</t>
  </si>
  <si>
    <t>MS.AL65-CD-26-154(50Y/F)</t>
  </si>
  <si>
    <t>GEN_T_2.0.spik_4827</t>
  </si>
  <si>
    <t>ADK0000003651</t>
  </si>
  <si>
    <t>BABY.AL65-Y-652(1Y/F)</t>
  </si>
  <si>
    <t>GEN_T_2.0.spik_4828</t>
  </si>
  <si>
    <t>ADK0000003652</t>
  </si>
  <si>
    <t>MS.AL65-Y-654(19Y/F)</t>
  </si>
  <si>
    <t>GEN_T_2.0.spik_4829</t>
  </si>
  <si>
    <t>ADK0000003653</t>
  </si>
  <si>
    <t>MR.AL65-Y-662(24Y/M)</t>
  </si>
  <si>
    <t>GEN_T_2.0.spik_4830</t>
  </si>
  <si>
    <t>ADK0000003654</t>
  </si>
  <si>
    <t>MR.BASAVARAJ (35Y/M)</t>
  </si>
  <si>
    <t>GEN_T_2.0.spik_4831</t>
  </si>
  <si>
    <t>ADH0000034001</t>
  </si>
  <si>
    <t>MRS.ASHA B (30Y/F)</t>
  </si>
  <si>
    <t>GEN_T_2.0.spik_4832</t>
  </si>
  <si>
    <t>ADH0000034002</t>
  </si>
  <si>
    <t>MR.ANKIT SARKAR (AP23974) (0Y/M)</t>
  </si>
  <si>
    <t>GEN_T_2.0.spik_4833</t>
  </si>
  <si>
    <t>ADK0000003633</t>
  </si>
  <si>
    <t>MRS.SHWETHA K RAJU W/O SRINIVAS RAJU (42Y/F)</t>
  </si>
  <si>
    <t>GEN_T_2.0.spik_4834</t>
  </si>
  <si>
    <t>ADB0000046739</t>
  </si>
  <si>
    <t>MRS.SARASU KAVERI (62Y/F)</t>
  </si>
  <si>
    <t>GEN_T_2.0.spik_4835</t>
  </si>
  <si>
    <t>ADS0000019955</t>
  </si>
  <si>
    <t>VIJAY SUPER SPECIALITY HOSPITAL &amp; CANCER CENTER - BAISUHALLI</t>
  </si>
  <si>
    <t>MRS.SCINDIYA(40Y/F)</t>
  </si>
  <si>
    <t>GEN_T_2.0.spik_4836</t>
  </si>
  <si>
    <t>MDU0000027417</t>
  </si>
  <si>
    <t>MRS.FARSANA PARVEEN(23Y/F)</t>
  </si>
  <si>
    <t>GEN_T_2.0.spik_4837</t>
  </si>
  <si>
    <t>MDU0000027396</t>
  </si>
  <si>
    <t>MRS.SUPARNA DUTTA (35Y/F) POC</t>
  </si>
  <si>
    <t>GEN_T_2.0.spik_4838</t>
  </si>
  <si>
    <t>ADB0000046285</t>
  </si>
  <si>
    <t>DR.NIKITA SINGH .</t>
  </si>
  <si>
    <t>SURFseq- Run-98B WGS</t>
  </si>
  <si>
    <t>GEN_T_2.0.spik_4570A</t>
  </si>
  <si>
    <t>GEN_T_2.0.spik_4573A</t>
  </si>
  <si>
    <t>SURFseq- Run-99A</t>
  </si>
  <si>
    <t>MRS.SHAKRIN KHAN (26Y/F) AFCC</t>
  </si>
  <si>
    <t>GEN_T_2.0.spik_4839AF</t>
  </si>
  <si>
    <t>AMB0000011850</t>
  </si>
  <si>
    <t>TIETEN MEDICITY PRIVATE LIMITED (OVA FERTILITY AND WOMEN CARE - THANE WEST)</t>
  </si>
  <si>
    <t>MRS.CHAITHRA CHEGARADDI(28Y/F)</t>
  </si>
  <si>
    <t>GEN_T_2.0.spik_4840AF</t>
  </si>
  <si>
    <t>ADH0000035367</t>
  </si>
  <si>
    <t>Pathogenic (GLS),Greyzone (HTT)</t>
  </si>
  <si>
    <t>MRS.LAXMI NANA MULE(25Y/F) AF</t>
  </si>
  <si>
    <t>GEN_T_2.0.spik_4841AF</t>
  </si>
  <si>
    <t>AMB0000012174</t>
  </si>
  <si>
    <t>MRS.YAMINI SAROJA(29Y/F)</t>
  </si>
  <si>
    <t>GEN_T_2.0.spik_4842</t>
  </si>
  <si>
    <t>HYP0000002948</t>
  </si>
  <si>
    <t>MRS.REVATHY SREE(36Y/F)</t>
  </si>
  <si>
    <t>GEN_T_2.0.spik_4843</t>
  </si>
  <si>
    <t>ACO0000013827</t>
  </si>
  <si>
    <t>MR.G VENKATA PRAKASH (HEG C0008717) (35Y/M)</t>
  </si>
  <si>
    <t>GEN_T_2.0.spik_4844</t>
  </si>
  <si>
    <t>HYP0000002986</t>
  </si>
  <si>
    <t>MRS.N REDDY TEJASWINI (HEG C0008716) (31Y/F)</t>
  </si>
  <si>
    <t>GEN_T_2.0.spik_4845</t>
  </si>
  <si>
    <t>HYP0000002987</t>
  </si>
  <si>
    <t>MASTER.CH TRINAY (ID 7940)(6Y/M)</t>
  </si>
  <si>
    <t>GEN_T_2.0.spik_4846</t>
  </si>
  <si>
    <t>HYP0000002936</t>
  </si>
  <si>
    <t>OASIS FERTILITY - VIZAG (A UNIT OF SADGURU HEALTHCARE SERVICES PVT LTD )</t>
  </si>
  <si>
    <t>MRS.PUNITHA (31Y/F)</t>
  </si>
  <si>
    <t>GEN_T_2.0.spik_4847</t>
  </si>
  <si>
    <t>ACL0000024236</t>
  </si>
  <si>
    <t>MR.SRIKANTH (35Y/M)</t>
  </si>
  <si>
    <t>GEN_T_2.0.spik_4848</t>
  </si>
  <si>
    <t>ACL0000024237</t>
  </si>
  <si>
    <t>MASTER.MICHAEL HADDEN (250605918)(1Y/M)</t>
  </si>
  <si>
    <t>GEN_T_2.0.spik_4849</t>
  </si>
  <si>
    <t>ANG0000015548</t>
  </si>
  <si>
    <t>MASTER.JAMES JEBADURAI (240101119)(2Y/M)</t>
  </si>
  <si>
    <t>GEN_T_2.0.spik_4850</t>
  </si>
  <si>
    <t>ANG0000015547</t>
  </si>
  <si>
    <t>MASTER.MAHATH PANDI R (6Y/M)</t>
  </si>
  <si>
    <t>GEN_T_2.0.spik_4851</t>
  </si>
  <si>
    <t>TPJ0000027386</t>
  </si>
  <si>
    <t>MASTER.KARTHIKEYAN V (14Y/M)</t>
  </si>
  <si>
    <t>GEN_T_2.0.spik_4852</t>
  </si>
  <si>
    <t>TPJ0000027387</t>
  </si>
  <si>
    <t>MASTER.DIVAKARAN(12Y/M)</t>
  </si>
  <si>
    <t>GEN_T_2.0.spik_4853</t>
  </si>
  <si>
    <t>PH60000014789</t>
  </si>
  <si>
    <t>MR.RAMESH P(32Y/M)</t>
  </si>
  <si>
    <t>GEN_T_2.0.spik_4854</t>
  </si>
  <si>
    <t>ADB0000046536</t>
  </si>
  <si>
    <t>MRS.LAXMI(22Y/F)</t>
  </si>
  <si>
    <t>GEN_T_2.0.spik_4855</t>
  </si>
  <si>
    <t>ADB0000046537</t>
  </si>
  <si>
    <t>Greyzone (HTT),Pathogenic (TCF4)</t>
  </si>
  <si>
    <t>BABY.DESHVANTH (2Y/M)</t>
  </si>
  <si>
    <t>GEN_T_2.0.spik_4856</t>
  </si>
  <si>
    <t>ADK0000003605</t>
  </si>
  <si>
    <t>BABY.ENAYAH RAFIQUEPATHAN (0Y/F)</t>
  </si>
  <si>
    <t>GEN_T_2.0.spik_4857</t>
  </si>
  <si>
    <t>ADK0000003606</t>
  </si>
  <si>
    <t>MR.RANJITH KUMAR (31Y/M)</t>
  </si>
  <si>
    <t>GEN_T_2.0.spik_4858</t>
  </si>
  <si>
    <t>ACL0000024990</t>
  </si>
  <si>
    <t>PINK LINES FERTILITY CLINIC &amp; WOMEN S CENTRE - AMINJIKARAI</t>
  </si>
  <si>
    <t>MASTER.DHARAN THALAPATHY (11Y/M)</t>
  </si>
  <si>
    <t>GEN_T_2.0.spik_4859</t>
  </si>
  <si>
    <t>TPJ0000027739</t>
  </si>
  <si>
    <t>WELLCARE INTERNATIONAL HOSPITAL &amp; RESEARCH INSTITUTE PVT LTD</t>
  </si>
  <si>
    <t>MASTER.AL66-Y-668 (7Y/M)</t>
  </si>
  <si>
    <t>GEN_T_2.0.spik_4860</t>
  </si>
  <si>
    <t>ADK0000003734</t>
  </si>
  <si>
    <t>CHRISTIAN MEDICAL COLLEGE – HAEMOTOLOGY</t>
  </si>
  <si>
    <t>BABY.AL66-Y-670 (5Y/F)</t>
  </si>
  <si>
    <t>GEN_T_2.0.spik_4861</t>
  </si>
  <si>
    <t>MASTER.AL66-Y-671 (8Y/M)</t>
  </si>
  <si>
    <t>GEN_T_2.0.spik_4862</t>
  </si>
  <si>
    <t>ADK0000003736</t>
  </si>
  <si>
    <t>MS.AL66-Y-674 (44Y/F)</t>
  </si>
  <si>
    <t>GEN_T_2.0.spik_4863</t>
  </si>
  <si>
    <t>ADK0000003737</t>
  </si>
  <si>
    <t>MS.AL66-CD-26-155 (20Y/F)</t>
  </si>
  <si>
    <t>GEN_T_2.0.spik_4864</t>
  </si>
  <si>
    <t>ADK0000003738</t>
  </si>
  <si>
    <t>BABY.AL66-Y-676 (2Y/M)</t>
  </si>
  <si>
    <t>GEN_T_2.0.spik_4865</t>
  </si>
  <si>
    <t>ADK0000003739</t>
  </si>
  <si>
    <t>MS.AL66-Y-677 (23Y/F)</t>
  </si>
  <si>
    <t>GEN_T_2.0.spik_4866</t>
  </si>
  <si>
    <t>ADK0000003740</t>
  </si>
  <si>
    <t>MASTER.AL66-Y-678 (8Y/M)</t>
  </si>
  <si>
    <t>GEN_T_2.0.spik_4867</t>
  </si>
  <si>
    <t>ADK0000003741</t>
  </si>
  <si>
    <t>MS.AL66-Y-675 (19Y/F)</t>
  </si>
  <si>
    <t>GEN_T_2.0.spik_4868</t>
  </si>
  <si>
    <t>ADK0000003742</t>
  </si>
  <si>
    <t>MR.AL66-Y-672 (25Y/M)</t>
  </si>
  <si>
    <t>GEN_T_2.0.spik_4869</t>
  </si>
  <si>
    <t>ADK0000003743</t>
  </si>
  <si>
    <t>BABY.BANHI SIKHA KUNDU S BABY (695772P) (4Y/M)</t>
  </si>
  <si>
    <t>GEN_T_2.0.spik_4870</t>
  </si>
  <si>
    <t>ADK0000003751</t>
  </si>
  <si>
    <t>MASTER.SHIBAM BAIDYA (AP77229) (6Y/M)</t>
  </si>
  <si>
    <t>GEN_T_2.0.spik_4871</t>
  </si>
  <si>
    <t>ADK0000003757</t>
  </si>
  <si>
    <t>MS.POOJA M (AH30040) (17Y/F)</t>
  </si>
  <si>
    <t>GEN_T_2.0.spik_4872</t>
  </si>
  <si>
    <t>ADK0000003763</t>
  </si>
  <si>
    <t>MR.GIRIDHARAN M S (703695A) (68Y/M)</t>
  </si>
  <si>
    <t>GEN_T_2.0.spik_4873</t>
  </si>
  <si>
    <t>ADK0000003762</t>
  </si>
  <si>
    <t>MR.KANAGARAJ (AP87781) (10Y/M)</t>
  </si>
  <si>
    <t>GEN_T_2.0.spik_4874</t>
  </si>
  <si>
    <t>ADK0000003764</t>
  </si>
  <si>
    <t>BABY.GEETHIKA SHRI J (AP13494) (7Y/F)</t>
  </si>
  <si>
    <t>GEN_T_2.0.spik_4875</t>
  </si>
  <si>
    <t>ADK0000003758</t>
  </si>
  <si>
    <t>MS.LAVANYA R (744655F) (28Y/F)</t>
  </si>
  <si>
    <t>GEN_T_2.0.spik_4876</t>
  </si>
  <si>
    <t>ADK0000003756</t>
  </si>
  <si>
    <t>MASTER.UMAIR KHAN (AP89557) (6Y/M)</t>
  </si>
  <si>
    <t>GEN_T_2.0.spik_4877</t>
  </si>
  <si>
    <t>ADK0000003761</t>
  </si>
  <si>
    <t>MR.GIRIJESH KUMAR DUBEY (AN84201) (67Y/M)</t>
  </si>
  <si>
    <t>GEN_T_2.0.spik_4878</t>
  </si>
  <si>
    <t>ADK0000003760</t>
  </si>
  <si>
    <t>MR.KARTHIK RAJA (844892A) (42Y/M)</t>
  </si>
  <si>
    <t>GEN_T_2.0.spik_4879</t>
  </si>
  <si>
    <t>ADK0000003759</t>
  </si>
  <si>
    <t>BABY.DEBRAJ SANS (AQ14800)(1Y/M)</t>
  </si>
  <si>
    <t>GEN_T_2.0.spik_4880</t>
  </si>
  <si>
    <t>ADK0000003850</t>
  </si>
  <si>
    <t>BABY.MUHAMMAD ALI HASAN (AQ14544)(2Y/M)</t>
  </si>
  <si>
    <t>GEN_T_2.0.spik_4881</t>
  </si>
  <si>
    <t>ADK0000003852</t>
  </si>
  <si>
    <t>MR.SABARESH J (285482B)(31Y/M)</t>
  </si>
  <si>
    <t>GEN_T_2.0.spik_4882</t>
  </si>
  <si>
    <t>ADK0000003854</t>
  </si>
  <si>
    <t>MR.PRATIK SINGH (AQ22187)(16Y/M)</t>
  </si>
  <si>
    <t>GEN_T_2.0.spik_4883</t>
  </si>
  <si>
    <t>ADK0000003851</t>
  </si>
  <si>
    <t>MRS.SANGEETHA S (AA09115)(28Y/F)</t>
  </si>
  <si>
    <t>GEN_T_2.0.spik_4884</t>
  </si>
  <si>
    <t>ADK0000003853</t>
  </si>
  <si>
    <t>MR.AL67-Y-684(36Y/M)</t>
  </si>
  <si>
    <t>GEN_T_2.0.spik_4885</t>
  </si>
  <si>
    <t>ADK0000003813</t>
  </si>
  <si>
    <t>MR.AL67-Y-696(23Y/M)</t>
  </si>
  <si>
    <t>GEN_T_2.0.spik_4886</t>
  </si>
  <si>
    <t>ADK0000003814</t>
  </si>
  <si>
    <t>MS.AL67-Y-697(38Y/F)</t>
  </si>
  <si>
    <t>GEN_T_2.0.spik_4887</t>
  </si>
  <si>
    <t>ADK0000003815</t>
  </si>
  <si>
    <t>MS.AL67-Y-634(17Y/F)</t>
  </si>
  <si>
    <t>GEN_T_2.0.spik_4888</t>
  </si>
  <si>
    <t>ADK0000003816</t>
  </si>
  <si>
    <t>MR.AL67-Y-698 (15Y/M)</t>
  </si>
  <si>
    <t>GEN_T_2.0.spik_4889</t>
  </si>
  <si>
    <t>ADK0000003817</t>
  </si>
  <si>
    <t>MR.NANA RAMCHANDRA MULE(46Y/M)</t>
  </si>
  <si>
    <t>GEN_T_2.0.spik_4890</t>
  </si>
  <si>
    <t>AMB0000012138</t>
  </si>
  <si>
    <t>MRS.LAXMI NANA MULE (25Y/F)</t>
  </si>
  <si>
    <t>GEN_T_2.0.spik_4891</t>
  </si>
  <si>
    <t>AMB0000012137</t>
  </si>
  <si>
    <t>MRS.PRIYANKA SHANKAR (CVS)(25Y/F)</t>
  </si>
  <si>
    <t>GEN_T_2.0.spik_4892</t>
  </si>
  <si>
    <t>AMB0000012275</t>
  </si>
  <si>
    <t>Writeup availale</t>
  </si>
  <si>
    <t>MRS.ABHINAYA W/O SRIRAM(20Y/F) POC</t>
  </si>
  <si>
    <t>GEN_T_2.0.spik_4893</t>
  </si>
  <si>
    <t>CHM0000052759</t>
  </si>
  <si>
    <t>MRS.NEELAVENI (POC)(36Y/F) POC</t>
  </si>
  <si>
    <t>GEN_T_2.0.spik_4894</t>
  </si>
  <si>
    <t>ADS0000020583</t>
  </si>
  <si>
    <t>SURFseq- Run-100A</t>
  </si>
  <si>
    <t>MRS.PARUL AGARWAL (CVS)(27Y/F)</t>
  </si>
  <si>
    <t>GEN_T_2.0.spik_4895AF</t>
  </si>
  <si>
    <t>AMB0000012432</t>
  </si>
  <si>
    <t>MRS.DONOR OF SARITA DUDHE(31Y/F)</t>
  </si>
  <si>
    <t>GEN_T_2.0.spik_4896</t>
  </si>
  <si>
    <t>AMB0000012539</t>
  </si>
  <si>
    <t>RHEA HEALTHCARE PVT LTD - AURANGABAD</t>
  </si>
  <si>
    <t>MRS.VAISHNAVI M (27Y/F)</t>
  </si>
  <si>
    <t>GEN_T_2.0.spik_4897</t>
  </si>
  <si>
    <t>ADB0000048175</t>
  </si>
  <si>
    <t>MR.VIVEK B N (32Y/M)</t>
  </si>
  <si>
    <t>GEN_T_2.0.spik_4898</t>
  </si>
  <si>
    <t>ADB0000048176</t>
  </si>
  <si>
    <t>MR.MANIVANNAN .R (SN00293257)(31Y/M)</t>
  </si>
  <si>
    <t>GEN_T_2.0.spik_4899</t>
  </si>
  <si>
    <t>ANV0000001952</t>
  </si>
  <si>
    <t>MRS.NIKITA SARANG AVHAD (30Y/F)</t>
  </si>
  <si>
    <t>GEN_T_2.0.spik_4900</t>
  </si>
  <si>
    <t>AMB0000012316</t>
  </si>
  <si>
    <t>PANACEA HOSPITAL - MUMBAI</t>
  </si>
  <si>
    <t>MR.AL68-Y-700(22Y/M)</t>
  </si>
  <si>
    <t>GEN_T_2.0.spik_4901</t>
  </si>
  <si>
    <t>ADK0000003911</t>
  </si>
  <si>
    <t>MR.AL68-Y-709(21Y/M)</t>
  </si>
  <si>
    <t>GEN_T_2.0.spik_4902</t>
  </si>
  <si>
    <t>ADK0000003912</t>
  </si>
  <si>
    <t>MS.AL68-Y-699(39Y/F)</t>
  </si>
  <si>
    <t>GEN_T_2.0.spik_4903</t>
  </si>
  <si>
    <t>ADK0000003913</t>
  </si>
  <si>
    <t>MS.AL68-Y-695(0Y/F)</t>
  </si>
  <si>
    <t>GEN_T_2.0.spik_4904</t>
  </si>
  <si>
    <t>ADK0000003914</t>
  </si>
  <si>
    <t>MS.AL68-CD-26-166(21Y/F)</t>
  </si>
  <si>
    <t>GEN_T_2.0.spik_4905</t>
  </si>
  <si>
    <t>ADK0000003915</t>
  </si>
  <si>
    <t>Greyzone (ATXN2),Greyzone (GLS)</t>
  </si>
  <si>
    <t>MS.AL68-Y-703(19Y/F)</t>
  </si>
  <si>
    <t>GEN_T_2.0.spik_4906</t>
  </si>
  <si>
    <t>ADK0000003917</t>
  </si>
  <si>
    <t>MS.AL68-Y-707(20Y/F)</t>
  </si>
  <si>
    <t>GEN_T_2.0.spik_4907</t>
  </si>
  <si>
    <t>ADK0000003918</t>
  </si>
  <si>
    <t>MR.KARTHIKEYAN G [2340] (34Y/M)</t>
  </si>
  <si>
    <t>GEN_T_2.0.spik_4908</t>
  </si>
  <si>
    <t>SCF0000000912</t>
  </si>
  <si>
    <t>MASTER.SAI PRANITH G (12Y/M)</t>
  </si>
  <si>
    <t>GEN_T_2.0.spik_4909</t>
  </si>
  <si>
    <t>ADK0000003604</t>
  </si>
  <si>
    <t>31.07.2026</t>
  </si>
  <si>
    <t>BABY OF.DEEPA NANDARAGI(0Y/M)</t>
  </si>
  <si>
    <t>GEN_T_2.0.spik_4910</t>
  </si>
  <si>
    <t>ADH0000034179</t>
  </si>
  <si>
    <t>MRS.GAYATHRI(26Y/F)</t>
  </si>
  <si>
    <t>GEN_T_2.0.spik_4911</t>
  </si>
  <si>
    <t>ADK0000003666</t>
  </si>
  <si>
    <t>MS.SASI(31Y/F)</t>
  </si>
  <si>
    <t>GEN_T_2.0.spik_4912</t>
  </si>
  <si>
    <t>ADK0000003667</t>
  </si>
  <si>
    <t>MR.HARISH KUMAR R (32Y/M)</t>
  </si>
  <si>
    <t>GEN_T_2.0.spik_4913</t>
  </si>
  <si>
    <t>ADK0000003603</t>
  </si>
  <si>
    <t>NIRAV (1Y/M)</t>
  </si>
  <si>
    <t>GEN_T_2.0.spik_4914</t>
  </si>
  <si>
    <t>PH50000028931</t>
  </si>
  <si>
    <t>BABY.NARUMUGAI K S(0Y/F)</t>
  </si>
  <si>
    <t>GEN_T_2.0.spik_4915</t>
  </si>
  <si>
    <t>PH50000028927</t>
  </si>
  <si>
    <t>MR.ANAND BABU(42Y/M)</t>
  </si>
  <si>
    <t>GEN_T_2.0.spik_4916</t>
  </si>
  <si>
    <t>ABC0000002350</t>
  </si>
  <si>
    <t>MASTER.KAKARLAPUDI JAYAN VARMA(8Y/M)</t>
  </si>
  <si>
    <t>GEN_T_2.0.spik_4917</t>
  </si>
  <si>
    <t>HYP0000002971</t>
  </si>
  <si>
    <t>MRS.UPPALAPATI ANUSHA(32Y/F)</t>
  </si>
  <si>
    <t>GEN_T_2.0.spik_4918</t>
  </si>
  <si>
    <t>HYP0000002972</t>
  </si>
  <si>
    <t>MR.ALEXANDER (39Y/M)</t>
  </si>
  <si>
    <t>GEN_T_2.0.spik_4919</t>
  </si>
  <si>
    <t>ATN0000012186</t>
  </si>
  <si>
    <t>KAUVERY MULTI-SPECIALITY HOSPITAL-TIRUNELVEL</t>
  </si>
  <si>
    <t>MRS.SOUNDARYA LAKSHMI W/O. SIVA DASUPRAVEEN (31Y/F)</t>
  </si>
  <si>
    <t>GEN_T_2.0.spik_4920</t>
  </si>
  <si>
    <t>HYP0000002967</t>
  </si>
  <si>
    <t>MR.SIVA DASUPRAVEEN (32Y/M)</t>
  </si>
  <si>
    <t>GEN_T_2.0.spik_4921</t>
  </si>
  <si>
    <t>HYP0000002968</t>
  </si>
  <si>
    <t>MRS.VIJAYALAKSHMI L (39Y/F)</t>
  </si>
  <si>
    <t>GEN_T_2.0.spik_4922</t>
  </si>
  <si>
    <t>ADB0000047153</t>
  </si>
  <si>
    <t>PRIYA RANGANATH</t>
  </si>
  <si>
    <t>MRS.M K USHA(49 Y 0 M 0 D /Female)</t>
  </si>
  <si>
    <t>GEN_T_2.0.spik_4923</t>
  </si>
  <si>
    <t>ADB0000047372</t>
  </si>
  <si>
    <t>NAYAM DIAGNOSTICS - BANGALORE</t>
  </si>
  <si>
    <t>MR.SHAMANTH S(32Y/M)</t>
  </si>
  <si>
    <t>GEN_T_2.0.spik_4924</t>
  </si>
  <si>
    <t>ADB0000047322</t>
  </si>
  <si>
    <t>MRS.SAROJINI DEVI P (78Y/F)</t>
  </si>
  <si>
    <t>GEN_T_2.0.spik_4925</t>
  </si>
  <si>
    <t>ADN0000032769</t>
  </si>
  <si>
    <t>SRINIVASA CLINICAL LAB - NELLOR</t>
  </si>
  <si>
    <t>Mrs. KARUNA DAVID (70 Y 0 M 0 D /Female)</t>
  </si>
  <si>
    <t>GEN_T_2.0.spik_4926</t>
  </si>
  <si>
    <t>GRF0000000744</t>
  </si>
  <si>
    <t>GREAMS ROAD - CC - FRC - CHENNAI</t>
  </si>
  <si>
    <t>BABY OF.SUNITHA(0Y/M)</t>
  </si>
  <si>
    <t>GEN_T_2.0.spik_4927</t>
  </si>
  <si>
    <t>ADK0000003712</t>
  </si>
  <si>
    <t>BABY.MANVIKA S(0Y/F)</t>
  </si>
  <si>
    <t>GEN_T_2.0.spik_4928</t>
  </si>
  <si>
    <t>ADK0000003713</t>
  </si>
  <si>
    <t>BABY.KAVI MITHRA B(0Y/F)</t>
  </si>
  <si>
    <t>GEN_T_2.0.spik_4929</t>
  </si>
  <si>
    <t>ADK0000003714</t>
  </si>
  <si>
    <t>MRS.MADHU (34Y/F)</t>
  </si>
  <si>
    <t>GEN_T_2.0.spik_4930</t>
  </si>
  <si>
    <t>ADB0000047445</t>
  </si>
  <si>
    <t>MR.GURUPRASAD (37Y/M)</t>
  </si>
  <si>
    <t>GEN_T_2.0.spik_4931</t>
  </si>
  <si>
    <t>ADB0000047446</t>
  </si>
  <si>
    <t>MR.HARISH G(34Y/M)</t>
  </si>
  <si>
    <t>GEN_T_2.0.spik_4932</t>
  </si>
  <si>
    <t>HCC0000019117</t>
  </si>
  <si>
    <t>MRS.SELVI R(34Y/F)</t>
  </si>
  <si>
    <t>GEN_T_2.0.spik_4933</t>
  </si>
  <si>
    <t>HCC0000019118</t>
  </si>
  <si>
    <t>BABY.NAGANDLA (3Y/M)</t>
  </si>
  <si>
    <t>GEN_T_2.0.spik_4934</t>
  </si>
  <si>
    <t>ADK0000003769</t>
  </si>
  <si>
    <t>BABY.KRITHI JASWIK (3Y/M)</t>
  </si>
  <si>
    <t>GEN_T_2.0.spik_4935</t>
  </si>
  <si>
    <t>ADK0000003767</t>
  </si>
  <si>
    <t>MR.GUGANATHAN - PDN04884 (38Y/M)</t>
  </si>
  <si>
    <t>GEN_T_2.0.spik_4936</t>
  </si>
  <si>
    <t>FR20000014003</t>
  </si>
  <si>
    <t>K. AMBIKADEVI</t>
  </si>
  <si>
    <t>MRS.MAHALAKSHMI (55Y/F)</t>
  </si>
  <si>
    <t>GEN_T_2.0.spik_4937</t>
  </si>
  <si>
    <t>ADB0000047664</t>
  </si>
  <si>
    <t>MOHAN KUMAR</t>
  </si>
  <si>
    <t>BABY.VEDANTH KENJODI(2Y/M)</t>
  </si>
  <si>
    <t>GEN_T_2.0.spik_4938</t>
  </si>
  <si>
    <t>ADH0000035071</t>
  </si>
  <si>
    <t>DR.RAASI(36Y/F)</t>
  </si>
  <si>
    <t>GEN_T_2.0.spik_4939</t>
  </si>
  <si>
    <t>WMC0000000859</t>
  </si>
  <si>
    <t>RADHIKA V</t>
  </si>
  <si>
    <t>BABY OF.MONICA SUDHENDIRAN(0056)(0Y/M)</t>
  </si>
  <si>
    <t>GEN_T_2.0.spik_4940</t>
  </si>
  <si>
    <t>ADS0000021142</t>
  </si>
  <si>
    <t>MRS.VISHALY (26Y/F)</t>
  </si>
  <si>
    <t>GEN_T_2.0.spik_4941</t>
  </si>
  <si>
    <t>ACL0000029096</t>
  </si>
  <si>
    <t>MRS.JYOTI DAWKHARE (35Y/F)</t>
  </si>
  <si>
    <t>GEN_T_2.0.spik_4942</t>
  </si>
  <si>
    <t>AMB0000012374</t>
  </si>
  <si>
    <t>SHREE FERTILITY &amp; HEALTHCARE PRIVATE LIMITED - EAST MUMBAI</t>
  </si>
  <si>
    <t>MR.GOVIND DAWKHARE (37Y/M)</t>
  </si>
  <si>
    <t>GEN_T_2.0.spik_4943</t>
  </si>
  <si>
    <t>AMB0000012375</t>
  </si>
  <si>
    <t>BABY.MOHAMED NUFAIZ (3Y/M)</t>
  </si>
  <si>
    <t>GEN_T_2.0.spik_4944</t>
  </si>
  <si>
    <t>ADK0000003766</t>
  </si>
  <si>
    <t>BABY.SAVITA DASHAVANT (3Y/M)</t>
  </si>
  <si>
    <t>GEN_T_2.0.spik_4945</t>
  </si>
  <si>
    <t>ADH0000035311</t>
  </si>
  <si>
    <t>MS.SWATHI (25Y/F)</t>
  </si>
  <si>
    <t>GEN_T_2.0.spik_4946</t>
  </si>
  <si>
    <t>ACL0000029367</t>
  </si>
  <si>
    <t>DR.VIJAY S HOSPITAL - MOGAPPAIR EAST</t>
  </si>
  <si>
    <t>MR.BALA PALANI (35Y/M)</t>
  </si>
  <si>
    <t>GEN_T_2.0.spik_4947</t>
  </si>
  <si>
    <t>ADM0000000263</t>
  </si>
  <si>
    <t>PADMASHRI PARIMALAM</t>
  </si>
  <si>
    <t>MRS.KEERTHANA (30Y/F)</t>
  </si>
  <si>
    <t>GEN_T_2.0.spik_4948</t>
  </si>
  <si>
    <t>ADM0000000264</t>
  </si>
  <si>
    <t>Greyzone (NIPA1),Greyzone (TCF4)</t>
  </si>
  <si>
    <t>MRS.NITA SACHIN JAGADALE (33Y/F)</t>
  </si>
  <si>
    <t>GEN_T_2.0.spik_4949</t>
  </si>
  <si>
    <t>AMB0000012467</t>
  </si>
  <si>
    <t>RUPAM POLY CLINIC - MUMBAI</t>
  </si>
  <si>
    <t>MR.SACHIN JAGADALE (37Y/M)</t>
  </si>
  <si>
    <t>GEN_T_2.0.spik_4950</t>
  </si>
  <si>
    <t>AMB0000012468</t>
  </si>
  <si>
    <t>MASTER.SHERVIN ROY (13Y/M)</t>
  </si>
  <si>
    <t>GEN_T_2.0.spik_4951</t>
  </si>
  <si>
    <t>FR20000014351</t>
  </si>
  <si>
    <t>MR.MOLOY TORALDER (111639)(44Y/M)</t>
  </si>
  <si>
    <t>GEN_T_2.0.spik_4952</t>
  </si>
  <si>
    <t>CHM0000055648</t>
  </si>
  <si>
    <t>MRS.PURABI MONDAL (111641)(37Y/F)</t>
  </si>
  <si>
    <t>GEN_T_2.0.spik_4953</t>
  </si>
  <si>
    <t>CHM0000055652</t>
  </si>
  <si>
    <t>MR.RAMESHWAR SURE(37Y/M)</t>
  </si>
  <si>
    <t>GEN_T_2.0.spik_4954</t>
  </si>
  <si>
    <t>AMB0000012538</t>
  </si>
  <si>
    <t>MRS.SEEMAVATI(33Y/F)</t>
  </si>
  <si>
    <t>GEN_T_2.0.spik_4955</t>
  </si>
  <si>
    <t>ADB0000048554</t>
  </si>
  <si>
    <t>MR.C VINOD KUMAR(35Y/M)</t>
  </si>
  <si>
    <t>GEN_T_2.0.spik_4956</t>
  </si>
  <si>
    <t>ADB0000048556</t>
  </si>
  <si>
    <t>MRS.PRIYANKA M R (GGDVG/00779)(30Y/F)</t>
  </si>
  <si>
    <t>GEN_T_2.0.spik_4957</t>
  </si>
  <si>
    <t>ADH0000036139</t>
  </si>
  <si>
    <t>GARBHAGUDI IVF CENTER - DAVANAGERE</t>
  </si>
  <si>
    <t>MR.CHANNABASAPPA (GGDVG/00780)(43Y/M)</t>
  </si>
  <si>
    <t>GEN_T_2.0.spik_4958</t>
  </si>
  <si>
    <t>ADH0000036138</t>
  </si>
  <si>
    <t>MRS.MUDALIAR MAHESHWARI W/O NAGARAJAN(31Y/F) POC</t>
  </si>
  <si>
    <t>GEN_T_2.0.spik_4959</t>
  </si>
  <si>
    <t>AVP0000016082</t>
  </si>
  <si>
    <t>MASTER.RAKSHITH V(13Y/M)</t>
  </si>
  <si>
    <t>GEN_T_2.0.spik_4960</t>
  </si>
  <si>
    <t>ADK0000003803</t>
  </si>
  <si>
    <t>BABY.YASHWIK D(3Y/M)</t>
  </si>
  <si>
    <t>GEN_T_2.0.spik_4961</t>
  </si>
  <si>
    <t>ADK0000003804</t>
  </si>
  <si>
    <t>MR.ZAMEER KHAZI (28Y/M)</t>
  </si>
  <si>
    <t>GEN_T_2.0.spik_4962</t>
  </si>
  <si>
    <t>ADH0000035266</t>
  </si>
  <si>
    <t>MATRUCHAAYA HEALTH CARE-DAVANGERE</t>
  </si>
  <si>
    <t>MRS.KHAJI TASEENA BANU (25Y/F)</t>
  </si>
  <si>
    <t>GEN_T_2.0.spik_4963</t>
  </si>
  <si>
    <t>ADH0000035265</t>
  </si>
  <si>
    <t>MRS.PARUL AGARWAL (27Y/F)</t>
  </si>
  <si>
    <t>GEN_T_2.0.spik_4964</t>
  </si>
  <si>
    <t>AMB0000012383</t>
  </si>
  <si>
    <t>MR.PANKAJ GOYAL (28Y/M)</t>
  </si>
  <si>
    <t>GEN_T_2.0.spik_4965</t>
  </si>
  <si>
    <t>AMB0000012385</t>
  </si>
  <si>
    <t>SURFseq- Run-100A-WGS</t>
  </si>
  <si>
    <t>CLINICAL REVIEW</t>
  </si>
  <si>
    <t>GEN_T_2.0.spik_4799A</t>
  </si>
  <si>
    <t>SURFseq- Run-101A</t>
  </si>
  <si>
    <t>MANJULA AF</t>
  </si>
  <si>
    <t>Point Mutation</t>
  </si>
  <si>
    <t>GEN_T_2.0.spik_4966AF</t>
  </si>
  <si>
    <t>INTERNAL VALIDATION</t>
  </si>
  <si>
    <t>MRS.SENTHAMIL DEVI.R(75Y/F)</t>
  </si>
  <si>
    <t>BRCA Internal Validation</t>
  </si>
  <si>
    <t>GEN_T_2.0.spik_4967</t>
  </si>
  <si>
    <t>MRS.MEENAKSHI-32yrs</t>
  </si>
  <si>
    <t>GEN_T_2.0.spik_4968</t>
  </si>
  <si>
    <t>MRS.RENUKA(53Y/F)</t>
  </si>
  <si>
    <t>BRCA and HRD Internal Validation</t>
  </si>
  <si>
    <t>GEN_T_2.0.spik_4969</t>
  </si>
  <si>
    <t>P NAGALAKSHMI</t>
  </si>
  <si>
    <t>GEN_T_2.0.spik_4970</t>
  </si>
  <si>
    <t>Dr. Anand Babu</t>
  </si>
  <si>
    <t>case followup wil be done by Dr. anad babu sir</t>
  </si>
  <si>
    <t>P VENKATA SUBHAYYA</t>
  </si>
  <si>
    <t>GEN_T_2.0.spik_4971</t>
  </si>
  <si>
    <t>MR.RAJEEV KUMAR (AQ28002) (36Y/M)</t>
  </si>
  <si>
    <t>GEN_T_2.0.spik_4972</t>
  </si>
  <si>
    <t>ADK0000003960</t>
  </si>
  <si>
    <t>MS.SHILPA KUMARI (AQ21642) (33Y/F)</t>
  </si>
  <si>
    <t>GEN_T_2.0.spik_4973</t>
  </si>
  <si>
    <t>ADK0000003959</t>
  </si>
  <si>
    <t>BABY.NGANGOM TOMTHINNGANBA MEETEI (AP75251) (3Y/M)</t>
  </si>
  <si>
    <t>GEN_T_2.0.spik_4974</t>
  </si>
  <si>
    <t>ADK0000003961</t>
  </si>
  <si>
    <t>MRS.HASINA KHATUN (AN25842) (0Y/F)</t>
  </si>
  <si>
    <t>GEN_T_2.0.spik_4975</t>
  </si>
  <si>
    <t>ADK0000003987</t>
  </si>
  <si>
    <t>MR.SEKH MANOYAR ALI (AN28856) (42Y/M)</t>
  </si>
  <si>
    <t>GEN_T_2.0.spik_4976</t>
  </si>
  <si>
    <t>ADK0000003985</t>
  </si>
  <si>
    <t>CHRISTIAN MEDICAL COLLEGE - MEDICAL GENTIC</t>
  </si>
  <si>
    <t>Greyzone (CNBP),Greyzone (NIPA1)</t>
  </si>
  <si>
    <t>MR.AL69-Y-706 (22Y/M)</t>
  </si>
  <si>
    <t>GEN_T_2.0.spik_4977</t>
  </si>
  <si>
    <t>ADK0000003973</t>
  </si>
  <si>
    <t xml:space="preserve">Dr. Sudha </t>
  </si>
  <si>
    <t>MR.AL69-Y-705 (30Y/M)</t>
  </si>
  <si>
    <t>GEN_T_2.0.spik_4978</t>
  </si>
  <si>
    <t>ADK0000003974</t>
  </si>
  <si>
    <t>BABY.AL69-Y-708 (3Y/M)</t>
  </si>
  <si>
    <t>GEN_T_2.0.spik_4979</t>
  </si>
  <si>
    <t>ADK0000003975</t>
  </si>
  <si>
    <t>MR.AL69-Y-711 (29Y/M)</t>
  </si>
  <si>
    <t>GEN_T_2.0.spik_4980</t>
  </si>
  <si>
    <t>ADK0000003976</t>
  </si>
  <si>
    <t>AL70-Y-712</t>
  </si>
  <si>
    <t>GEN_T_2.0.spik_4981</t>
  </si>
  <si>
    <t>ADK0000004015</t>
  </si>
  <si>
    <t>AL70-Y-716</t>
  </si>
  <si>
    <t>GEN_T_2.0.spik_4982</t>
  </si>
  <si>
    <t>ADK0000004016</t>
  </si>
  <si>
    <t>AL70-Y-725</t>
  </si>
  <si>
    <t>GEN_T_2.0.spik_4983</t>
  </si>
  <si>
    <t>ADK0000004017</t>
  </si>
  <si>
    <t>AL70-Y-726</t>
  </si>
  <si>
    <t>GEN_T_2.0.spik_4984</t>
  </si>
  <si>
    <t>ADK0000004018</t>
  </si>
  <si>
    <t>AL70-Y-728</t>
  </si>
  <si>
    <t>GEN_T_2.0.spik_4985</t>
  </si>
  <si>
    <t>ADK0000004019</t>
  </si>
  <si>
    <t>SK MD ESRAIL (6Y/M)</t>
  </si>
  <si>
    <t>GEN_T_2.0.spik_4986</t>
  </si>
  <si>
    <t>ADK0000004031</t>
  </si>
  <si>
    <t>MRS.MINI SHIVHARE (34Y/F)</t>
  </si>
  <si>
    <t>GEN_T_2.0.spik_4987</t>
  </si>
  <si>
    <t>AMB0000012472</t>
  </si>
  <si>
    <t>MS.PRIYA(16Y/F)</t>
  </si>
  <si>
    <t>GEN_T_2.0.spik_4988</t>
  </si>
  <si>
    <t>ACL0000031057</t>
  </si>
  <si>
    <t>BABY.OLIVE JESSICA(9Y/F)</t>
  </si>
  <si>
    <t>GEN_T_2.0.spik_4989</t>
  </si>
  <si>
    <t>FR20000014484</t>
  </si>
  <si>
    <t>MRS.NIRMALA(59Y/F)</t>
  </si>
  <si>
    <t>GEN_T_2.0.spik_4990</t>
  </si>
  <si>
    <t>ACO0000015370</t>
  </si>
  <si>
    <t>BABY.SHALIH BASHA (1Y/M)</t>
  </si>
  <si>
    <t>GEN_T_2.0.spik_4991</t>
  </si>
  <si>
    <t>ADK0000003966</t>
  </si>
  <si>
    <t>MRS. GOWSIKA (CORD TISSUE)(27Y/F)</t>
  </si>
  <si>
    <t>GEN_T_2.0.spik_4992</t>
  </si>
  <si>
    <t>ADK0000003910</t>
  </si>
  <si>
    <t>S RAJESWARI</t>
  </si>
  <si>
    <t>MRS.MANJULA K(23Y/F) POC</t>
  </si>
  <si>
    <t>GEN_T_2.0.spik_4993</t>
  </si>
  <si>
    <t>ATR0000017099</t>
  </si>
  <si>
    <t>J.J MOTHER &amp; CHILD MULTI SPECIALITY HOSPITAL - PUNGANUR</t>
  </si>
  <si>
    <t>GEN_T_2.0.spik_4994</t>
  </si>
  <si>
    <t>BABY.MOHAMED IMRAN (9Y/M)</t>
  </si>
  <si>
    <t>GEN_T_2.0.spik_4995</t>
  </si>
  <si>
    <t>PH50000031170</t>
  </si>
  <si>
    <t>CHIEF MINISTERS COMPREHENSIVE HEALTH INSURANCE SCHEM</t>
  </si>
  <si>
    <t>MRS.SHALINI B (25Y/F)</t>
  </si>
  <si>
    <t>GEN_T_2.0.spik_4996</t>
  </si>
  <si>
    <t>PH60000016242</t>
  </si>
  <si>
    <t>BABY.ANUSRI S (5Y/F)</t>
  </si>
  <si>
    <t>GEN_T_2.0.spik_4997</t>
  </si>
  <si>
    <t>ADK0000003962</t>
  </si>
  <si>
    <t>BABY.VEDHANYA SRI G (0Y/F)</t>
  </si>
  <si>
    <t>GEN_T_2.0.spik_4998</t>
  </si>
  <si>
    <t>ADK0000003963</t>
  </si>
  <si>
    <t>MRS.MAHALAKSHMI (28Y/F)</t>
  </si>
  <si>
    <t>GEN_T_2.0.spik_4999</t>
  </si>
  <si>
    <t>ADK0000003964</t>
  </si>
  <si>
    <t>MR.RAVI T (64Y/M)</t>
  </si>
  <si>
    <t>GEN_T_2.0.spik_5000</t>
  </si>
  <si>
    <t>PH60000016146</t>
  </si>
  <si>
    <t>MR.SIVARAMAN S (51Y/M)</t>
  </si>
  <si>
    <t>GEN_T_2.0.spik_5001</t>
  </si>
  <si>
    <t>ICF0000002232</t>
  </si>
  <si>
    <t>MR.GUNASEELAN V (39Y/M)</t>
  </si>
  <si>
    <t>GEN_T_2.0.spik_5002</t>
  </si>
  <si>
    <t>CHM0000056546</t>
  </si>
  <si>
    <t>PAVITHRA</t>
  </si>
  <si>
    <t>Greyzone (CNBP),Greyzone (CSTB)</t>
  </si>
  <si>
    <t>MRS.ANITHA (30Y/F)</t>
  </si>
  <si>
    <t>GEN_T_2.0.spik_5003</t>
  </si>
  <si>
    <t>CHM0000056551</t>
  </si>
  <si>
    <t>MRS.MUSKAN AGARWAL(29 Y 3 M 23 D /Female)</t>
  </si>
  <si>
    <t>GEN_T_2.0.spik_5004</t>
  </si>
  <si>
    <t>AMB0000012501</t>
  </si>
  <si>
    <t>MR.ATUL AGARWAL(29 Y 6 M 10 D /Male)</t>
  </si>
  <si>
    <t>GEN_T_2.0.spik_5005</t>
  </si>
  <si>
    <t>AMB0000012502</t>
  </si>
  <si>
    <t>SURFseq- Run-101A-WGS</t>
  </si>
  <si>
    <t xml:space="preserve">PRIMARY REVIWER </t>
  </si>
  <si>
    <t>MR.AAKASH</t>
  </si>
  <si>
    <t>GEN_T_2.0.spik_5006</t>
  </si>
  <si>
    <t>NKM0000000190</t>
  </si>
  <si>
    <t>SANKARA SUBRAMANIAN K</t>
  </si>
  <si>
    <t>SURFseq- Run-102A</t>
  </si>
  <si>
    <t>PRIMARY REVIWER</t>
  </si>
  <si>
    <t>MRS.DAKSHAYINI RAGAVENDRA(04145369)(36Y/F) AF</t>
  </si>
  <si>
    <t>GEN_T_2.0.spik_5007AF</t>
  </si>
  <si>
    <t>MGL0000000072</t>
  </si>
  <si>
    <t>MRS. H N CHAYA(32Y/F) AF</t>
  </si>
  <si>
    <t>GEN_T_2.0.spik_5008AF</t>
  </si>
  <si>
    <t>ADH0000036933</t>
  </si>
  <si>
    <t>MR.SANDEEP SHETTY(46Y/M)</t>
  </si>
  <si>
    <t>GEN_T_2.0.spik_5009</t>
  </si>
  <si>
    <t>MGL0000000075</t>
  </si>
  <si>
    <t>MRS.RAJASHRI(33Y/F)</t>
  </si>
  <si>
    <t>GEN_T_2.0.spik_5010</t>
  </si>
  <si>
    <t>MGL0000000076</t>
  </si>
  <si>
    <t>MR.AL71-Y-727 (12Y/M)</t>
  </si>
  <si>
    <t>GEN_T_2.0.spik_5011</t>
  </si>
  <si>
    <t>ADK0000004065</t>
  </si>
  <si>
    <t>MS.AL71-Y-730 (22Y/F)</t>
  </si>
  <si>
    <t>GEN_T_2.0.spik_5012</t>
  </si>
  <si>
    <t>ADK0000004066</t>
  </si>
  <si>
    <t>MS.AL71-Y-740 (34Y/F)</t>
  </si>
  <si>
    <t>GEN_T_2.0.spik_5013</t>
  </si>
  <si>
    <t>ADK0000004067</t>
  </si>
  <si>
    <t>MS.AL71-CD-26-170 (11Y/F)</t>
  </si>
  <si>
    <t>GEN_T_2.0.spik_5014</t>
  </si>
  <si>
    <t>ADK0000004068</t>
  </si>
  <si>
    <t>MR.MOHAMMAD HIMEL KHAN (AQ21251) (27Y/M)</t>
  </si>
  <si>
    <t>GEN_T_2.0.spik_5015</t>
  </si>
  <si>
    <t>ADK0000004072</t>
  </si>
  <si>
    <t>MR.BALAJI SHANKAR S K (AP12641) (51Y/M)</t>
  </si>
  <si>
    <t>GEN_T_2.0.spik_5016</t>
  </si>
  <si>
    <t>ADK0000004073</t>
  </si>
  <si>
    <t>MS.THAMAYANTHI (AN55514) (57Y/F)</t>
  </si>
  <si>
    <t>GEN_T_2.0.spik_5017</t>
  </si>
  <si>
    <t>ADK0000004074</t>
  </si>
  <si>
    <t>MR.RAMAMOORTHY (101595F) (45Y/M)</t>
  </si>
  <si>
    <t>GEN_T_2.0.spik_5018</t>
  </si>
  <si>
    <t>ADK0000004071</t>
  </si>
  <si>
    <t>MRS.HARSHINI (28Y/F) POC</t>
  </si>
  <si>
    <t>GEN_T_2.0.spik_5019</t>
  </si>
  <si>
    <t>MDU0000030402</t>
  </si>
  <si>
    <t>BABY.ZAHRA (260713020565) (1Y/F)</t>
  </si>
  <si>
    <t>GEN_T_2.0.spik_5020</t>
  </si>
  <si>
    <t>ACL0000032204</t>
  </si>
  <si>
    <t>MR.BANU CHANDRA D (44Y/M)</t>
  </si>
  <si>
    <t>GEN_T_2.0.spik_5021</t>
  </si>
  <si>
    <t>PH60000016272</t>
  </si>
  <si>
    <t>MRS.KAVIYA BHARATHI (UMR2607068641)(31Y/F)</t>
  </si>
  <si>
    <t>GEN_T_2.0.spik_5022</t>
  </si>
  <si>
    <t>ACL0000032654</t>
  </si>
  <si>
    <t>SURFseq- Run-103B</t>
  </si>
  <si>
    <t>MRS. M SWATHI DEVI SREE (TULASI) (24Y/F)</t>
  </si>
  <si>
    <t>GEN_T_2.0.spik_5023</t>
  </si>
  <si>
    <t>HYP0000003281</t>
  </si>
  <si>
    <t>MRS.REVATHI (26Y/F)</t>
  </si>
  <si>
    <t>GEN_T_2.0.spik_5024</t>
  </si>
  <si>
    <t>ADH0000036207</t>
  </si>
  <si>
    <t>SANTAANA SHAKTHI IVF CENTRE- GANGAVATHI</t>
  </si>
  <si>
    <t>MRS.MOURIYA P(27Y/F)</t>
  </si>
  <si>
    <t>GEN_T_2.0.spik_5025</t>
  </si>
  <si>
    <t>ACO0000015736</t>
  </si>
  <si>
    <t>MR.SOUMAVA ROY(38Y/M)</t>
  </si>
  <si>
    <t>GEN_T_2.0.spik_5026</t>
  </si>
  <si>
    <t>ADB0000049627</t>
  </si>
  <si>
    <t>MRS.RUPSHA ROY(35Y/F)</t>
  </si>
  <si>
    <t>GEN_T_2.0.spik_5027</t>
  </si>
  <si>
    <t>ADB0000049628</t>
  </si>
  <si>
    <t>MRS.PADMAPRIYA SHANMUGAM (37Y/F)</t>
  </si>
  <si>
    <t>GEN_T_2.0.spik_5028</t>
  </si>
  <si>
    <t>ADS0000022905</t>
  </si>
  <si>
    <t>MRS.SHAMINI S(34Y/F)</t>
  </si>
  <si>
    <t>GEN_T_2.0.spik_5029</t>
  </si>
  <si>
    <t>ADB0000049791</t>
  </si>
  <si>
    <t>MRS.USHA / MOVEEN (27061) (29Y/F)</t>
  </si>
  <si>
    <t>GEN_T_2.0.spik_5030</t>
  </si>
  <si>
    <t>AKP0000040976</t>
  </si>
  <si>
    <t>MRS.VISHNUPRIYA (31Y/F)</t>
  </si>
  <si>
    <t>GEN_T_2.0.spik_5031</t>
  </si>
  <si>
    <t>ACO0000016071</t>
  </si>
  <si>
    <t>MRS.ROHINI M(62Y/F)</t>
  </si>
  <si>
    <t>GEN_T_2.0.spik_5032</t>
  </si>
  <si>
    <t>CHM0000043953</t>
  </si>
  <si>
    <t>KRINAL TAMBOLI</t>
  </si>
  <si>
    <t>BABY.VIHAAN M VIJITH (2 Y 0 M 0 D /Male)</t>
  </si>
  <si>
    <t>GEN_T_2.0.spik_5033</t>
  </si>
  <si>
    <t>ACO0000015560</t>
  </si>
  <si>
    <t>Greyzone (GLS),Greyzone (TBP)</t>
  </si>
  <si>
    <t>BABY OF.ABINAYA (0Y/M)</t>
  </si>
  <si>
    <t>WES + MITOCHONDRIAL GENOME SEQUENCING</t>
  </si>
  <si>
    <t>GEN_T_2.0.spik_5034</t>
  </si>
  <si>
    <t>ADS0000022481</t>
  </si>
  <si>
    <t>MRS.PRIYA (30Y/F)</t>
  </si>
  <si>
    <t>GEN_T_2.0.spik_5035</t>
  </si>
  <si>
    <t>ACL0000033145</t>
  </si>
  <si>
    <t>MR.GOKULA KRISHNAN (31Y/M)</t>
  </si>
  <si>
    <t>GEN_T_2.0.spik_5036</t>
  </si>
  <si>
    <t>ACL0000033146</t>
  </si>
  <si>
    <t>BABY.HARSHITH ESWAR (3Y/M)</t>
  </si>
  <si>
    <t>GEN_T_2.0.spik_5037</t>
  </si>
  <si>
    <t>AKP0000040136</t>
  </si>
  <si>
    <t>RELA INSTITUTE - REDHILLS</t>
  </si>
  <si>
    <t>MRS.KALUPUGULLA NAGAMANI(41Y/F)</t>
  </si>
  <si>
    <t>GEN_T_2.0.spik_5038</t>
  </si>
  <si>
    <t>ABC0000002704</t>
  </si>
  <si>
    <t>MISS.BAKIYALAKSHMI S(18Y/F)</t>
  </si>
  <si>
    <t>GEN_T_2.0.spik_5039</t>
  </si>
  <si>
    <t>CHM0000058054</t>
  </si>
  <si>
    <t>MR.M. GOVID H/O. M SUNITHA (36Y/M)</t>
  </si>
  <si>
    <t>GEN_T_2.0.spik_5040</t>
  </si>
  <si>
    <t>HYP0000003293</t>
  </si>
  <si>
    <t>MRS.M SUNITHA W/O. M GOVIND(26Y/F)</t>
  </si>
  <si>
    <t>GEN_T_2.0.spik_5041</t>
  </si>
  <si>
    <t>HYP0000003255</t>
  </si>
  <si>
    <t>MRS.SHAIK AYESHA(27Y/F)</t>
  </si>
  <si>
    <t>GEN_T_2.0.spik_5042</t>
  </si>
  <si>
    <t>ABC0000002712</t>
  </si>
  <si>
    <t>ASWINI DIAGNOSTICS - ANANTAPUR</t>
  </si>
  <si>
    <t>MR.MAHAMMAD HUJEFA(28Y/M)</t>
  </si>
  <si>
    <t>GEN_T_2.0.spik_5043</t>
  </si>
  <si>
    <t>ABC0000002713</t>
  </si>
  <si>
    <t>SANJAY JASHWA (15Y/M)</t>
  </si>
  <si>
    <t>GEN_T_2.0.spik_5044</t>
  </si>
  <si>
    <t>ADK0000003965</t>
  </si>
  <si>
    <t>SRIJIT KUMAR GHASH (13Y/M)</t>
  </si>
  <si>
    <t>GEN_T_2.0.spik_5045</t>
  </si>
  <si>
    <t>ADK0000004211</t>
  </si>
  <si>
    <t>MS.TAMILARASI (976678F) (10Y/F)</t>
  </si>
  <si>
    <t>GEN_T_2.0.spik_5046</t>
  </si>
  <si>
    <t>ADK0000004205</t>
  </si>
  <si>
    <t>MASTER.BALAGURU ARANGANATHAN (AQ34566) (9Y/M)</t>
  </si>
  <si>
    <t>GEN_T_2.0.spik_5047</t>
  </si>
  <si>
    <t>ADK0000004204</t>
  </si>
  <si>
    <t>MR.AL72-Y-745 (25Y/M)</t>
  </si>
  <si>
    <t>GEN_T_2.0.spik_5048</t>
  </si>
  <si>
    <t>ADK0000004176</t>
  </si>
  <si>
    <t>MR.AL72-CD-26-167 (17Y/M)</t>
  </si>
  <si>
    <t>GEN_T_2.0.spik_5049</t>
  </si>
  <si>
    <t>ADK0000004177</t>
  </si>
  <si>
    <t>MR.AL72-Y-743 (41Y/M)</t>
  </si>
  <si>
    <t>GEN_T_2.0.spik_5050</t>
  </si>
  <si>
    <t>ADK0000004178</t>
  </si>
  <si>
    <t>BABY.AL72-Y-744 (3Y/M)</t>
  </si>
  <si>
    <t>GEN_T_2.0.spik_5051</t>
  </si>
  <si>
    <t>ADK0000004179</t>
  </si>
  <si>
    <t>MR.TELLA DARLA OBULESU (37Y/M)</t>
  </si>
  <si>
    <t>GEN_T_2.0.spik_5052</t>
  </si>
  <si>
    <t>ABC0000002762</t>
  </si>
  <si>
    <t>MR.ESWAR REDDY (38Y/M)</t>
  </si>
  <si>
    <t>GEN_T_2.0.spik_5053</t>
  </si>
  <si>
    <t>ATR0000017535</t>
  </si>
  <si>
    <t>MRS.MURALI KUMARI B (24Y/F)</t>
  </si>
  <si>
    <t>GEN_T_2.0.spik_5054</t>
  </si>
  <si>
    <t>ATR0000017536</t>
  </si>
  <si>
    <t>MRS.ARCHANA(27Y/F)</t>
  </si>
  <si>
    <t>GEN_T_2.0.spik_5055</t>
  </si>
  <si>
    <t>CHM0000058457</t>
  </si>
  <si>
    <t>DR.PUVITHRA.T IVF CLINIC- KELAMBAKKAM</t>
  </si>
  <si>
    <t>MR.MANOJ KUMAR(31Y/M)</t>
  </si>
  <si>
    <t>GEN_T_2.0.spik_5056</t>
  </si>
  <si>
    <t>CHM0000058458</t>
  </si>
  <si>
    <t>MRS.HEMASRI (31Y/F)</t>
  </si>
  <si>
    <t>GEN_T_2.0.spik_5057</t>
  </si>
  <si>
    <t>HYP0000003283</t>
  </si>
  <si>
    <t>MR.SANTHOSH KIRAN (33Y/M)</t>
  </si>
  <si>
    <t>GEN_T_2.0.spik_5058</t>
  </si>
  <si>
    <t>HYP0000003282</t>
  </si>
  <si>
    <t>MR.RAHUL PANDEY(36Y/M)</t>
  </si>
  <si>
    <t>GEN_T_2.0.spik_5059</t>
  </si>
  <si>
    <t>DCC0000006223</t>
  </si>
  <si>
    <t>GOD CARE S POLYCLINIC - LUCKNOW</t>
  </si>
  <si>
    <t>MRS.SONIKA(34Y/F)</t>
  </si>
  <si>
    <t>GEN_T_2.0.spik_5060</t>
  </si>
  <si>
    <t>DCC0000006224</t>
  </si>
  <si>
    <t>BABY.SASTIKA (1Y/F)</t>
  </si>
  <si>
    <t>GEN_T_2.0.spik_5061</t>
  </si>
  <si>
    <t>ADK0000004069</t>
  </si>
  <si>
    <t>MR.SELVADURAI S (36Y/M)</t>
  </si>
  <si>
    <t>GEN_T_2.0.spik_5062</t>
  </si>
  <si>
    <t>NKM0000011096</t>
  </si>
  <si>
    <t>PUSHPA BALASUBRAMANYAM</t>
  </si>
  <si>
    <t>MRS.GOMATHI S (35Y/F)</t>
  </si>
  <si>
    <t>GEN_T_2.0.spik_5063</t>
  </si>
  <si>
    <t>NKM0000011093</t>
  </si>
  <si>
    <t>MRS.SINY JAIN(26Y/F)</t>
  </si>
  <si>
    <t>GEN_T_2.0.spik_5064</t>
  </si>
  <si>
    <t>AMB0000012756</t>
  </si>
  <si>
    <t>BABY OF.SUBASHINI (0Y/F)</t>
  </si>
  <si>
    <t>GEN_T_2.0.spik_5065</t>
  </si>
  <si>
    <t>TPJ0000031499</t>
  </si>
  <si>
    <t>MRS.HEMA NANDHINI ( 20Y/F)</t>
  </si>
  <si>
    <t>GEN_T_2.0.spik_5066</t>
  </si>
  <si>
    <t>ATR0000017690</t>
  </si>
  <si>
    <t>BABY.A LIYANA MARIYAM(2Y/M)</t>
  </si>
  <si>
    <t>GEN_T_2.0.spik_5067</t>
  </si>
  <si>
    <t>ADK0000004156</t>
  </si>
  <si>
    <t>BABY.PRABHANJAN (2Y/M)</t>
  </si>
  <si>
    <t>GEN_T_2.0.spik_5068</t>
  </si>
  <si>
    <t>PH50000032972</t>
  </si>
  <si>
    <t>MS.SHARMILA S (13Y/F)</t>
  </si>
  <si>
    <t>GEN_T_2.0.spik_5069</t>
  </si>
  <si>
    <t>ADK0000004171</t>
  </si>
  <si>
    <t>RANJITH KUMAR M</t>
  </si>
  <si>
    <t>MS.SAADHANA SHREE S (3Y/F)</t>
  </si>
  <si>
    <t>GEN_T_2.0.spik_5070</t>
  </si>
  <si>
    <t>ACL0000036615</t>
  </si>
  <si>
    <t>SURFseq- Run-104B</t>
  </si>
  <si>
    <t>MEL-17046-27</t>
  </si>
  <si>
    <t>GEN_T_2.0.spik_5071</t>
  </si>
  <si>
    <t>ADK0000004453</t>
  </si>
  <si>
    <t>MEL-17051-28</t>
  </si>
  <si>
    <t>GEN_T_2.0.spik_5072</t>
  </si>
  <si>
    <t>ADK0000004454</t>
  </si>
  <si>
    <t>MEL-17059-29</t>
  </si>
  <si>
    <t>GEN_T_2.0.spik_5073</t>
  </si>
  <si>
    <t>ADK0000004456</t>
  </si>
  <si>
    <t>MEL-17061-30</t>
  </si>
  <si>
    <t>GEN_T_2.0.spik_5074</t>
  </si>
  <si>
    <t>ADK0000004457</t>
  </si>
  <si>
    <t>MEL-17062-31</t>
  </si>
  <si>
    <t>GEN_T_2.0.spik_5075</t>
  </si>
  <si>
    <t>ADK0000004459</t>
  </si>
  <si>
    <t>MEL-17069-32</t>
  </si>
  <si>
    <t>GEN_T_2.0.spik_5076</t>
  </si>
  <si>
    <t>ADK0000004461</t>
  </si>
  <si>
    <t>MEL-17083-33</t>
  </si>
  <si>
    <t>GEN_T_2.0.spik_5077</t>
  </si>
  <si>
    <t>ADK0000004462</t>
  </si>
  <si>
    <t>MEL-9889-34</t>
  </si>
  <si>
    <t>GEN_T_2.0.spik_5078</t>
  </si>
  <si>
    <t>ADK0000004463</t>
  </si>
  <si>
    <t>MEL-15856-35</t>
  </si>
  <si>
    <t>GEN_T_2.0.spik_5079</t>
  </si>
  <si>
    <t>ADK0000004465</t>
  </si>
  <si>
    <t>MEL-16508-36</t>
  </si>
  <si>
    <t>GEN_T_2.0.spik_5080</t>
  </si>
  <si>
    <t>ADK0000004466</t>
  </si>
  <si>
    <t>MEL-17100-37</t>
  </si>
  <si>
    <t>GEN_T_2.0.spik_5081</t>
  </si>
  <si>
    <t>ADK0000004467</t>
  </si>
  <si>
    <t>MEL-16339-38</t>
  </si>
  <si>
    <t>GEN_T_2.0.spik_5082</t>
  </si>
  <si>
    <t>ADK0000004468</t>
  </si>
  <si>
    <t>MEL-16043-39</t>
  </si>
  <si>
    <t>GEN_T_2.0.spik_5083</t>
  </si>
  <si>
    <t>ADK0000004469</t>
  </si>
  <si>
    <t>MS.SATHANA(14Y/F)</t>
  </si>
  <si>
    <t>HYPERTROPHIC CARDIOMYOPATHY (HCM) GENE PANEL</t>
  </si>
  <si>
    <t>GEN_T_2.0.spik_5084</t>
  </si>
  <si>
    <t>CHM0000060193</t>
  </si>
  <si>
    <t>AGAM HOSPITALS</t>
  </si>
  <si>
    <t>BABY.RIDDHI SINGH (1Y/F)</t>
  </si>
  <si>
    <t>GEN_T_2.0.spik_5085</t>
  </si>
  <si>
    <t>DCC0000006310</t>
  </si>
  <si>
    <t>MA GANGA HOSPITAL - PRAYAGRAJ</t>
  </si>
  <si>
    <t>MASTER.ESHAN RAJ V (4Y/M)</t>
  </si>
  <si>
    <t>GEN_T_2.0.spik_5086</t>
  </si>
  <si>
    <t>ANL0000014787</t>
  </si>
  <si>
    <t>SUDHA PRABHU</t>
  </si>
  <si>
    <t>https://meet.google.com/gdr-pibc-xme</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</si>
</sst>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mm-dd-yyyy"/>
    <numFmt numFmtId="166" formatCode="dd/mm/yyyy"/>
    <numFmt numFmtId="167" formatCode="m/d/yyyy"/>
    <numFmt numFmtId="168" formatCode="mm/dd/yyyy"/>
    <numFmt numFmtId="169" formatCode="mm-dd-yy"/>
    <numFmt numFmtId="170" formatCode="mm/dd/yy"/>
    <numFmt numFmtId="171" formatCode="dd\-mm\-yyyy"/>
    <numFmt numFmtId="172" formatCode="dd&quot;-&quot;mm&quot;-&quot;yyyy"/>
    <numFmt numFmtId="173" formatCode="dd&quot;/&quot;mm&quot;/&quot;yyyy"/>
    <numFmt numFmtId="174" formatCode="dd/MM/yyyy"/>
    <numFmt numFmtId="175" formatCode="m-d-yyyy"/>
    <numFmt numFmtId="176" formatCode="d/m/yyyy"/>
    <numFmt numFmtId="177" formatCode="m/d/yy"/>
    <numFmt numFmtId="178" formatCode="m-d-yy"/>
    <numFmt numFmtId="179" formatCode="d-m-yyyy"/>
    <numFmt numFmtId="180" formatCode="dd-mm-yyyy"/>
    <numFmt numFmtId="181" formatCode="dd/mm/yy"/>
    <numFmt numFmtId="182" formatCode="M/d/yyyy H:mm:ss"/>
  </numFmts>
  <fonts count="166">
    <font>
      <sz val="10.0"/>
      <color rgb="FF000000"/>
      <name val="Arial"/>
      <scheme val="minor"/>
    </font>
    <font>
      <b/>
      <color theme="1"/>
      <name val="Arial"/>
      <scheme val="minor"/>
    </font>
    <font>
      <b/>
      <color theme="1"/>
      <name val="Arial"/>
    </font>
    <font>
      <b/>
      <sz val="26.0"/>
      <color theme="1"/>
      <name val="Times New Roman"/>
    </font>
    <font/>
    <font>
      <b/>
      <sz val="13.0"/>
      <color theme="1"/>
      <name val="Calibri"/>
    </font>
    <font>
      <b/>
      <sz val="11.0"/>
      <color theme="1"/>
      <name val="Calibri"/>
    </font>
    <font>
      <color theme="1"/>
      <name val="Arial"/>
      <scheme val="minor"/>
    </font>
    <font>
      <b/>
      <u/>
      <sz val="11.0"/>
      <color rgb="FF1155CC"/>
      <name val="Times New Roman"/>
    </font>
    <font>
      <b/>
      <sz val="13.0"/>
      <color theme="1"/>
      <name val="Times New Roman"/>
    </font>
    <font>
      <b/>
      <sz val="14.0"/>
      <color theme="1"/>
      <name val="Calibri"/>
    </font>
    <font>
      <sz val="11.0"/>
      <color rgb="FF000000"/>
      <name val="&quot;Aptos Narrow&quot;"/>
    </font>
    <font>
      <b/>
      <sz val="11.0"/>
      <color theme="1"/>
      <name val="Times New Roman"/>
    </font>
    <font>
      <color rgb="FFFF0000"/>
      <name val="Arial"/>
      <scheme val="minor"/>
    </font>
    <font>
      <sz val="11.0"/>
      <color rgb="FF000000"/>
      <name val="Calibri"/>
    </font>
    <font>
      <color theme="1"/>
      <name val="Arial"/>
    </font>
    <font>
      <sz val="10.0"/>
      <color theme="1"/>
      <name val="Arial"/>
    </font>
    <font>
      <b/>
      <u/>
      <sz val="11.0"/>
      <color rgb="FF000000"/>
      <name val="Calibri"/>
    </font>
    <font>
      <b/>
      <sz val="11.0"/>
      <color rgb="FF000000"/>
      <name val="Calibri"/>
    </font>
    <font>
      <sz val="10.0"/>
      <color rgb="FF222222"/>
      <name val="Arial"/>
    </font>
    <font>
      <sz val="10.0"/>
      <color rgb="FF202020"/>
      <name val="Arial"/>
    </font>
    <font>
      <b/>
      <color rgb="FF000000"/>
      <name val="Arial"/>
      <scheme val="minor"/>
    </font>
    <font>
      <sz val="11.0"/>
      <color theme="1"/>
      <name val="Aptos Narrow"/>
    </font>
    <font>
      <sz val="11.0"/>
      <color theme="1"/>
      <name val="Arial"/>
    </font>
    <font>
      <color rgb="FF6AA84F"/>
      <name val="Arial"/>
    </font>
    <font>
      <sz val="10.0"/>
      <color rgb="FF000000"/>
      <name val="Arial"/>
    </font>
    <font>
      <b/>
      <sz val="24.0"/>
      <color theme="1"/>
      <name val="Arial"/>
    </font>
    <font>
      <sz val="14.0"/>
      <color theme="1"/>
      <name val="Calibri"/>
    </font>
    <font>
      <b/>
      <sz val="25.0"/>
      <color theme="1"/>
      <name val="Arial"/>
    </font>
    <font>
      <color rgb="FF38761D"/>
      <name val="Arial"/>
    </font>
    <font>
      <sz val="11.0"/>
      <color theme="1"/>
      <name val="Calibri"/>
    </font>
    <font>
      <b/>
      <sz val="14.0"/>
      <color rgb="FF000000"/>
      <name val="Calibri"/>
    </font>
    <font>
      <color rgb="FF38761D"/>
      <name val="Arial"/>
      <scheme val="minor"/>
    </font>
    <font>
      <sz val="11.0"/>
      <color rgb="FF000000"/>
      <name val="Arial"/>
    </font>
    <font>
      <color theme="1"/>
      <name val="Times New Roman"/>
    </font>
    <font>
      <b/>
      <sz val="11.0"/>
      <color rgb="FF80350E"/>
      <name val="Calibri"/>
    </font>
    <font>
      <b/>
      <sz val="26.0"/>
      <color rgb="FF000000"/>
      <name val="Times New Roman"/>
    </font>
    <font>
      <b/>
      <sz val="11.0"/>
      <color rgb="FF000000"/>
      <name val="Times New Roman"/>
    </font>
    <font>
      <b/>
      <sz val="13.0"/>
      <color rgb="FF000000"/>
      <name val="Times New Roman"/>
    </font>
    <font>
      <b/>
      <sz val="13.0"/>
      <color rgb="FF000000"/>
      <name val="Calibri"/>
    </font>
    <font>
      <color rgb="FF000000"/>
      <name val="Arial"/>
      <scheme val="minor"/>
    </font>
    <font>
      <sz val="12.0"/>
      <color rgb="FF000000"/>
      <name val="Roboto"/>
    </font>
    <font>
      <sz val="8.0"/>
      <color rgb="FF000000"/>
      <name val="Verdana"/>
    </font>
    <font>
      <color theme="1"/>
      <name val="Calibri"/>
    </font>
    <font>
      <color rgb="FF000000"/>
      <name val="Arial"/>
    </font>
    <font>
      <sz val="8.0"/>
      <color rgb="FF000000"/>
      <name val="&quot;Aptos Narrow&quot;"/>
    </font>
    <font>
      <sz val="8.0"/>
      <color theme="1"/>
      <name val="Arial"/>
    </font>
    <font>
      <sz val="8.0"/>
      <color rgb="FF000000"/>
      <name val="Calibri"/>
    </font>
    <font>
      <sz val="8.0"/>
      <color theme="1"/>
      <name val="Arial"/>
      <scheme val="minor"/>
    </font>
    <font>
      <sz val="8.0"/>
      <color rgb="FF38761D"/>
      <name val="Arial"/>
      <scheme val="minor"/>
    </font>
    <font>
      <b/>
      <sz val="11.0"/>
      <color rgb="FF000000"/>
      <name val="&quot;Aptos Narrow&quot;"/>
    </font>
    <font>
      <b/>
      <sz val="24.0"/>
      <color rgb="FF000000"/>
      <name val="Calibri"/>
    </font>
    <font>
      <b/>
      <u/>
      <sz val="13.0"/>
      <color rgb="FF000000"/>
      <name val="Calibri"/>
    </font>
    <font>
      <sz val="11.0"/>
      <color rgb="FF202020"/>
      <name val="Calibri"/>
    </font>
    <font>
      <sz val="8.0"/>
      <color rgb="FF000000"/>
      <name val="Arial"/>
    </font>
    <font>
      <sz val="8.0"/>
      <color rgb="FFFF0000"/>
      <name val="Arial"/>
      <scheme val="minor"/>
    </font>
    <font>
      <sz val="8.0"/>
      <color rgb="FF34A853"/>
      <name val="Arial"/>
      <scheme val="minor"/>
    </font>
    <font>
      <sz val="8.0"/>
      <color theme="7"/>
      <name val="Arial"/>
      <scheme val="minor"/>
    </font>
    <font>
      <b/>
      <u/>
      <sz val="13.0"/>
      <color rgb="FF000000"/>
      <name val="Calibri"/>
    </font>
    <font>
      <sz val="8.0"/>
      <color theme="1"/>
      <name val="&quot;Times New Roman&quot;"/>
    </font>
    <font>
      <color rgb="FF34A853"/>
      <name val="Arial"/>
      <scheme val="minor"/>
    </font>
    <font>
      <color theme="7"/>
      <name val="Arial"/>
      <scheme val="minor"/>
    </font>
    <font>
      <color rgb="FF202020"/>
      <name val="Roboto"/>
    </font>
    <font>
      <sz val="14.0"/>
      <color theme="1"/>
      <name val="Arial"/>
      <scheme val="minor"/>
    </font>
    <font>
      <sz val="14.0"/>
      <color rgb="FF000000"/>
      <name val="Arial"/>
    </font>
    <font>
      <sz val="8.0"/>
      <color rgb="FF202020"/>
      <name val="Roboto"/>
    </font>
    <font>
      <sz val="8.0"/>
      <color rgb="FF000000"/>
      <name val="Arial"/>
      <scheme val="minor"/>
    </font>
    <font>
      <b/>
      <sz val="8.0"/>
      <color rgb="FF85200C"/>
      <name val="Arial"/>
      <scheme val="minor"/>
    </font>
    <font>
      <color rgb="FF000000"/>
      <name val="Calibri"/>
    </font>
    <font>
      <color rgb="FFFF00FF"/>
      <name val="Roboto"/>
    </font>
    <font>
      <b/>
      <sz val="9.0"/>
      <color rgb="FF242629"/>
      <name val="Arial"/>
    </font>
    <font>
      <color rgb="FF000000"/>
      <name val="Verdana"/>
    </font>
    <font>
      <b/>
      <u/>
      <sz val="13.0"/>
      <color rgb="FF0000FF"/>
      <name val="Calibri"/>
    </font>
    <font>
      <color rgb="FFFF00FF"/>
      <name val="Arial"/>
      <scheme val="minor"/>
    </font>
    <font>
      <b/>
      <u/>
      <color rgb="FF1155CC"/>
      <name val="Arial"/>
    </font>
    <font>
      <color rgb="FFFF00FF"/>
      <name val="Arial"/>
    </font>
    <font>
      <color rgb="FF202020"/>
      <name val="Arial"/>
    </font>
    <font>
      <sz val="8.0"/>
      <color theme="1"/>
      <name val="Verdana"/>
    </font>
    <font>
      <color rgb="FFFF0000"/>
      <name val="Arial"/>
    </font>
    <font>
      <color rgb="FF34A853"/>
      <name val="Arial"/>
    </font>
    <font>
      <color rgb="FF980000"/>
      <name val="Arial"/>
    </font>
    <font>
      <sz val="9.0"/>
      <color rgb="FF34A853"/>
      <name val="Arial"/>
      <scheme val="minor"/>
    </font>
    <font>
      <b/>
      <sz val="26.0"/>
      <color rgb="FFFF0000"/>
      <name val="Times New Roman"/>
    </font>
    <font>
      <b/>
      <u/>
      <color rgb="FFFF0000"/>
      <name val="Arial"/>
    </font>
    <font>
      <b/>
      <color rgb="FFFF0000"/>
      <name val="Arial"/>
    </font>
    <font>
      <b/>
      <sz val="13.0"/>
      <color rgb="FFFF0000"/>
      <name val="Calibri"/>
    </font>
    <font>
      <b/>
      <sz val="11.0"/>
      <color rgb="FFFF0000"/>
      <name val="Calibri"/>
    </font>
    <font>
      <color rgb="FFFF0000"/>
      <name val="Roboto"/>
    </font>
    <font>
      <sz val="8.0"/>
      <color rgb="FFFF0000"/>
      <name val="Arial"/>
    </font>
    <font>
      <b/>
      <u/>
      <color rgb="FF1155CC"/>
      <name val="Arial"/>
    </font>
    <font>
      <b/>
      <sz val="11.0"/>
      <color rgb="FF7E350E"/>
      <name val="Calibri"/>
    </font>
    <font>
      <b/>
      <color rgb="FF000000"/>
      <name val="Arial"/>
    </font>
    <font>
      <sz val="9.0"/>
      <color theme="1"/>
      <name val="Arial"/>
      <scheme val="minor"/>
    </font>
    <font>
      <b/>
      <sz val="10.0"/>
      <color rgb="FFB47804"/>
      <name val="Arial"/>
      <scheme val="minor"/>
    </font>
    <font>
      <sz val="10.0"/>
      <color rgb="FF202020"/>
      <name val="Arial"/>
      <scheme val="minor"/>
    </font>
    <font>
      <b/>
      <sz val="10.0"/>
      <color rgb="FF000000"/>
      <name val="Arial"/>
      <scheme val="minor"/>
    </font>
    <font>
      <sz val="9.0"/>
      <color rgb="FF000000"/>
      <name val="Arial"/>
      <scheme val="minor"/>
    </font>
    <font>
      <sz val="9.0"/>
      <color rgb="FF34A853"/>
      <name val="Arial"/>
    </font>
    <font>
      <sz val="7.0"/>
      <color rgb="FF000000"/>
      <name val="Arial"/>
      <scheme val="minor"/>
    </font>
    <font>
      <sz val="7.0"/>
      <color theme="1"/>
      <name val="Arial"/>
      <scheme val="minor"/>
    </font>
    <font>
      <sz val="7.0"/>
      <color rgb="FF34A853"/>
      <name val="Arial"/>
    </font>
    <font>
      <sz val="10.0"/>
      <color theme="1"/>
      <name val="Arial"/>
      <scheme val="minor"/>
    </font>
    <font>
      <color rgb="FF8D281E"/>
      <name val="Arial"/>
    </font>
    <font>
      <sz val="9.0"/>
      <color theme="1"/>
      <name val="Arial"/>
    </font>
    <font>
      <color rgb="FFB45F06"/>
      <name val="Arial"/>
      <scheme val="minor"/>
    </font>
    <font>
      <sz val="9.0"/>
      <color rgb="FF202020"/>
      <name val="Arial"/>
    </font>
    <font>
      <sz val="11.0"/>
      <color rgb="FFFF0000"/>
      <name val="Calibri"/>
    </font>
    <font>
      <color rgb="FFB45F06"/>
      <name val="Arial"/>
    </font>
    <font>
      <color rgb="FF202020"/>
      <name val="Arial"/>
      <scheme val="minor"/>
    </font>
    <font>
      <color rgb="FF8D281E"/>
      <name val="Arial"/>
      <scheme val="minor"/>
    </font>
    <font>
      <sz val="11.0"/>
      <color rgb="FFE06666"/>
      <name val="Calibri"/>
    </font>
    <font>
      <color rgb="FFB85C00"/>
      <name val="Arial"/>
    </font>
    <font>
      <color rgb="FFC9211E"/>
      <name val="Arial"/>
      <scheme val="minor"/>
    </font>
    <font>
      <color rgb="FFB85C00"/>
      <name val="Arial"/>
      <scheme val="minor"/>
    </font>
    <font>
      <b/>
      <color rgb="FF7B3D00"/>
      <name val="Arial"/>
      <scheme val="minor"/>
    </font>
    <font>
      <color rgb="FFA61C00"/>
      <name val="Arial"/>
      <scheme val="minor"/>
    </font>
    <font>
      <color rgb="FFC9211E"/>
      <name val="Arial"/>
    </font>
    <font>
      <sz val="9.0"/>
      <color rgb="FF000000"/>
      <name val="Arial"/>
    </font>
    <font>
      <color rgb="FF7B3D00"/>
      <name val="Arial"/>
      <scheme val="minor"/>
    </font>
    <font>
      <color rgb="FFF10D0C"/>
      <name val="Arial"/>
      <scheme val="minor"/>
    </font>
    <font>
      <color rgb="FF729FCF"/>
      <name val="Arial"/>
      <scheme val="minor"/>
    </font>
    <font>
      <color rgb="FFCC0000"/>
      <name val="Arial"/>
    </font>
    <font>
      <color rgb="FFFF4000"/>
      <name val="Arial"/>
    </font>
    <font>
      <color rgb="FFFF4000"/>
      <name val="Arial"/>
      <scheme val="minor"/>
    </font>
    <font>
      <color rgb="FF7B3D00"/>
      <name val="Arial"/>
    </font>
    <font>
      <b/>
      <sz val="11.0"/>
      <color theme="1"/>
      <name val="Arial"/>
    </font>
    <font>
      <b/>
      <sz val="11.0"/>
      <color theme="1"/>
      <name val="Aptos Narrow"/>
    </font>
    <font>
      <color rgb="FF000000"/>
      <name val="Times New Roman"/>
    </font>
    <font>
      <color rgb="FF7B3D00"/>
      <name val="Times New Roman"/>
    </font>
    <font>
      <sz val="12.0"/>
      <color theme="1"/>
      <name val="Times New Roman"/>
    </font>
    <font>
      <sz val="12.0"/>
      <color theme="1"/>
      <name val="Verdana"/>
    </font>
    <font>
      <sz val="12.0"/>
      <color rgb="FF202020"/>
      <name val="Times New Roman"/>
    </font>
    <font>
      <sz val="12.0"/>
      <color theme="1"/>
      <name val="Aptos Narrow"/>
    </font>
    <font>
      <color rgb="FFFF6D01"/>
      <name val="Arial"/>
    </font>
    <font>
      <color rgb="FFB47804"/>
      <name val="Arial"/>
    </font>
    <font>
      <b/>
      <sz val="24.0"/>
      <color theme="1"/>
      <name val="Times New Roman"/>
    </font>
    <font>
      <b/>
      <u/>
      <color rgb="FF0000FF"/>
      <name val="Arial"/>
    </font>
    <font>
      <color rgb="FFEA4335"/>
      <name val="Arial"/>
      <scheme val="minor"/>
    </font>
    <font>
      <sz val="12.0"/>
      <color rgb="FF202020"/>
      <name val="Arial"/>
    </font>
    <font>
      <sz val="12.0"/>
      <color rgb="FF000000"/>
      <name val="Arial"/>
    </font>
    <font>
      <sz val="12.0"/>
      <color theme="1"/>
      <name val="Arial"/>
      <scheme val="minor"/>
    </font>
    <font>
      <sz val="12.0"/>
      <color rgb="FFFF0000"/>
      <name val="Arial"/>
      <scheme val="minor"/>
    </font>
    <font>
      <sz val="12.0"/>
      <color rgb="FFED7D31"/>
      <name val="Arial"/>
      <scheme val="minor"/>
    </font>
    <font>
      <sz val="12.0"/>
      <color rgb="FFED7D31"/>
      <name val="Arial"/>
    </font>
    <font>
      <sz val="12.0"/>
      <color rgb="FFFF0000"/>
      <name val="Arial"/>
    </font>
    <font>
      <sz val="12.0"/>
      <color theme="1"/>
      <name val="Arial"/>
    </font>
    <font>
      <sz val="11.0"/>
      <color theme="1"/>
      <name val="Arial"/>
      <scheme val="minor"/>
    </font>
    <font>
      <color rgb="FFED7D31"/>
      <name val="Arial"/>
      <scheme val="minor"/>
    </font>
    <font>
      <color rgb="FFFF8000"/>
      <name val="Arial"/>
    </font>
    <font>
      <color rgb="FFFF8000"/>
      <name val="Arial"/>
      <scheme val="minor"/>
    </font>
    <font>
      <b/>
      <color rgb="FF1F1F1F"/>
      <name val="Arial"/>
    </font>
    <font>
      <color rgb="FFED7D31"/>
      <name val="Arial"/>
    </font>
    <font>
      <color rgb="FFFF0000"/>
      <name val="Times New Roman"/>
    </font>
    <font>
      <sz val="11.0"/>
      <color rgb="FFFF0000"/>
      <name val="Arial"/>
    </font>
    <font>
      <color rgb="FF6AA84F"/>
      <name val="Arial"/>
      <scheme val="minor"/>
    </font>
    <font>
      <sz val="10.0"/>
      <color theme="1"/>
      <name val="Times New Roman"/>
    </font>
    <font>
      <sz val="10.0"/>
      <color rgb="FF000000"/>
      <name val="Verdana"/>
    </font>
    <font>
      <sz val="11.0"/>
      <color rgb="FFED7D31"/>
      <name val="&quot;Aptos Narrow&quot;"/>
    </font>
    <font>
      <color rgb="FF274E13"/>
      <name val="Arial"/>
      <scheme val="minor"/>
    </font>
    <font>
      <color rgb="FFFF9900"/>
      <name val="Arial"/>
    </font>
    <font>
      <b/>
      <color rgb="FFFFFFFF"/>
      <name val="Arial"/>
    </font>
    <font>
      <b/>
      <color rgb="FFFFFFFF"/>
      <name val="Times New Roman"/>
    </font>
    <font>
      <b/>
      <color rgb="FFFFFFFF"/>
      <name val="Arial"/>
      <scheme val="minor"/>
    </font>
    <font>
      <sz val="12.0"/>
      <color rgb="FF000000"/>
      <name val="Times New Roman"/>
    </font>
    <font>
      <sz val="12.0"/>
      <color rgb="FF000000"/>
      <name val="Arial"/>
      <scheme val="minor"/>
    </font>
    <font>
      <u/>
      <color rgb="FF000000"/>
      <name val="Arial"/>
    </font>
  </fonts>
  <fills count="56">
    <fill>
      <patternFill patternType="none"/>
    </fill>
    <fill>
      <patternFill patternType="lightGray"/>
    </fill>
    <fill>
      <patternFill patternType="solid">
        <fgColor rgb="FFCFE2F3"/>
        <bgColor rgb="FFCFE2F3"/>
      </patternFill>
    </fill>
    <fill>
      <patternFill patternType="solid">
        <fgColor rgb="FFC9DAF8"/>
        <bgColor rgb="FFC9DAF8"/>
      </patternFill>
    </fill>
    <fill>
      <patternFill patternType="solid">
        <fgColor rgb="FFBDD7EE"/>
        <bgColor rgb="FFBDD7EE"/>
      </patternFill>
    </fill>
    <fill>
      <patternFill patternType="solid">
        <fgColor theme="0"/>
        <bgColor theme="0"/>
      </patternFill>
    </fill>
    <fill>
      <patternFill patternType="solid">
        <fgColor rgb="FFC5E0B4"/>
        <bgColor rgb="FFC5E0B4"/>
      </patternFill>
    </fill>
    <fill>
      <patternFill patternType="solid">
        <fgColor rgb="FFFFFFFF"/>
        <bgColor rgb="FFFFFFFF"/>
      </patternFill>
    </fill>
    <fill>
      <patternFill patternType="solid">
        <fgColor rgb="FFF6F2E9"/>
        <bgColor rgb="FFF6F2E9"/>
      </patternFill>
    </fill>
    <fill>
      <patternFill patternType="solid">
        <fgColor rgb="FFC6E0B4"/>
        <bgColor rgb="FFC6E0B4"/>
      </patternFill>
    </fill>
    <fill>
      <patternFill patternType="solid">
        <fgColor rgb="FFB6D7A8"/>
        <bgColor rgb="FFB6D7A8"/>
      </patternFill>
    </fill>
    <fill>
      <patternFill patternType="solid">
        <fgColor rgb="FFFFE599"/>
        <bgColor rgb="FFFFE599"/>
      </patternFill>
    </fill>
    <fill>
      <patternFill patternType="solid">
        <fgColor theme="5"/>
        <bgColor theme="5"/>
      </patternFill>
    </fill>
    <fill>
      <patternFill patternType="solid">
        <fgColor rgb="FFD9EAD3"/>
        <bgColor rgb="FFD9EAD3"/>
      </patternFill>
    </fill>
    <fill>
      <patternFill patternType="solid">
        <fgColor rgb="FFFFFF00"/>
        <bgColor rgb="FFFFFF00"/>
      </patternFill>
    </fill>
    <fill>
      <patternFill patternType="solid">
        <fgColor rgb="FF93C47D"/>
        <bgColor rgb="FF93C47D"/>
      </patternFill>
    </fill>
    <fill>
      <patternFill patternType="solid">
        <fgColor rgb="FFFFD966"/>
        <bgColor rgb="FFFFD966"/>
      </patternFill>
    </fill>
    <fill>
      <patternFill patternType="solid">
        <fgColor rgb="FF00FF00"/>
        <bgColor rgb="FF00FF00"/>
      </patternFill>
    </fill>
    <fill>
      <patternFill patternType="solid">
        <fgColor rgb="FFC27BA0"/>
        <bgColor rgb="FFC27BA0"/>
      </patternFill>
    </fill>
    <fill>
      <patternFill patternType="solid">
        <fgColor rgb="FFF1C232"/>
        <bgColor rgb="FFF1C232"/>
      </patternFill>
    </fill>
    <fill>
      <patternFill patternType="solid">
        <fgColor rgb="FFD5A6BD"/>
        <bgColor rgb="FFD5A6BD"/>
      </patternFill>
    </fill>
    <fill>
      <patternFill patternType="solid">
        <fgColor rgb="FFFFFFA6"/>
        <bgColor rgb="FFFFFFA6"/>
      </patternFill>
    </fill>
    <fill>
      <patternFill patternType="solid">
        <fgColor rgb="FFFFD7D7"/>
        <bgColor rgb="FFFFD7D7"/>
      </patternFill>
    </fill>
    <fill>
      <patternFill patternType="solid">
        <fgColor rgb="FFD4EA6B"/>
        <bgColor rgb="FFD4EA6B"/>
      </patternFill>
    </fill>
    <fill>
      <patternFill patternType="solid">
        <fgColor rgb="FF00FFFF"/>
        <bgColor rgb="FF00FFFF"/>
      </patternFill>
    </fill>
    <fill>
      <patternFill patternType="solid">
        <fgColor theme="9"/>
        <bgColor theme="9"/>
      </patternFill>
    </fill>
    <fill>
      <patternFill patternType="solid">
        <fgColor rgb="FFFF9900"/>
        <bgColor rgb="FFFF9900"/>
      </patternFill>
    </fill>
    <fill>
      <patternFill patternType="solid">
        <fgColor theme="6"/>
        <bgColor theme="6"/>
      </patternFill>
    </fill>
    <fill>
      <patternFill patternType="solid">
        <fgColor rgb="FF5EB91E"/>
        <bgColor rgb="FF5EB91E"/>
      </patternFill>
    </fill>
    <fill>
      <patternFill patternType="solid">
        <fgColor rgb="FF9FC5E8"/>
        <bgColor rgb="FF9FC5E8"/>
      </patternFill>
    </fill>
    <fill>
      <patternFill patternType="solid">
        <fgColor rgb="FFFFD428"/>
        <bgColor rgb="FFFFD428"/>
      </patternFill>
    </fill>
    <fill>
      <patternFill patternType="solid">
        <fgColor rgb="FFE8F2A1"/>
        <bgColor rgb="FFE8F2A1"/>
      </patternFill>
    </fill>
    <fill>
      <patternFill patternType="solid">
        <fgColor rgb="FFE0C2CD"/>
        <bgColor rgb="FFE0C2CD"/>
      </patternFill>
    </fill>
    <fill>
      <patternFill patternType="solid">
        <fgColor rgb="FFFFB66C"/>
        <bgColor rgb="FFFFB66C"/>
      </patternFill>
    </fill>
    <fill>
      <patternFill patternType="solid">
        <fgColor rgb="FFFF972F"/>
        <bgColor rgb="FFFF972F"/>
      </patternFill>
    </fill>
    <fill>
      <patternFill patternType="solid">
        <fgColor rgb="FF6FA8DC"/>
        <bgColor rgb="FF6FA8DC"/>
      </patternFill>
    </fill>
    <fill>
      <patternFill patternType="solid">
        <fgColor rgb="FFFF6D6D"/>
        <bgColor rgb="FFFF6D6D"/>
      </patternFill>
    </fill>
    <fill>
      <patternFill patternType="solid">
        <fgColor rgb="FFFFDBB6"/>
        <bgColor rgb="FFFFDBB6"/>
      </patternFill>
    </fill>
    <fill>
      <patternFill patternType="solid">
        <fgColor rgb="FFE69138"/>
        <bgColor rgb="FFE69138"/>
      </patternFill>
    </fill>
    <fill>
      <patternFill patternType="solid">
        <fgColor theme="4"/>
        <bgColor theme="4"/>
      </patternFill>
    </fill>
    <fill>
      <patternFill patternType="solid">
        <fgColor theme="8"/>
        <bgColor theme="8"/>
      </patternFill>
    </fill>
    <fill>
      <patternFill patternType="solid">
        <fgColor rgb="FFF4CCCC"/>
        <bgColor rgb="FFF4CCCC"/>
      </patternFill>
    </fill>
    <fill>
      <patternFill patternType="solid">
        <fgColor rgb="FF4A86E8"/>
        <bgColor rgb="FF4A86E8"/>
      </patternFill>
    </fill>
    <fill>
      <patternFill patternType="solid">
        <fgColor rgb="FF34A853"/>
        <bgColor rgb="FF34A853"/>
      </patternFill>
    </fill>
    <fill>
      <patternFill patternType="solid">
        <fgColor rgb="FFFF00FF"/>
        <bgColor rgb="FFFF00FF"/>
      </patternFill>
    </fill>
    <fill>
      <patternFill patternType="solid">
        <fgColor rgb="FFF9CB9C"/>
        <bgColor rgb="FFF9CB9C"/>
      </patternFill>
    </fill>
    <fill>
      <patternFill patternType="solid">
        <fgColor rgb="FFA9D08E"/>
        <bgColor rgb="FFA9D08E"/>
      </patternFill>
    </fill>
    <fill>
      <patternFill patternType="solid">
        <fgColor rgb="FF00B050"/>
        <bgColor rgb="FF00B050"/>
      </patternFill>
    </fill>
    <fill>
      <patternFill patternType="solid">
        <fgColor rgb="FFB4C7DC"/>
        <bgColor rgb="FFB4C7DC"/>
      </patternFill>
    </fill>
    <fill>
      <patternFill patternType="solid">
        <fgColor theme="7"/>
        <bgColor theme="7"/>
      </patternFill>
    </fill>
    <fill>
      <patternFill patternType="solid">
        <fgColor rgb="FF6AA84F"/>
        <bgColor rgb="FF6AA84F"/>
      </patternFill>
    </fill>
    <fill>
      <patternFill patternType="solid">
        <fgColor rgb="FF38761D"/>
        <bgColor rgb="FF38761D"/>
      </patternFill>
    </fill>
    <fill>
      <patternFill patternType="solid">
        <fgColor rgb="FFFF4000"/>
        <bgColor rgb="FFFF4000"/>
      </patternFill>
    </fill>
    <fill>
      <patternFill patternType="solid">
        <fgColor rgb="FF0000FF"/>
        <bgColor rgb="FF0000FF"/>
      </patternFill>
    </fill>
    <fill>
      <patternFill patternType="solid">
        <fgColor rgb="FFFF0000"/>
        <bgColor rgb="FFFF0000"/>
      </patternFill>
    </fill>
    <fill>
      <patternFill patternType="solid">
        <fgColor rgb="FFB7B3CA"/>
        <bgColor rgb="FFB7B3CA"/>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3D3D3D"/>
      </left>
      <right style="thin">
        <color rgb="FF3D3D3D"/>
      </right>
      <top style="thin">
        <color rgb="FF3D3D3D"/>
      </top>
      <bottom style="thin">
        <color rgb="FF3D3D3D"/>
      </bottom>
    </border>
    <border>
      <right style="thin">
        <color rgb="FF3D3D3D"/>
      </right>
      <top style="thin">
        <color rgb="FF3D3D3D"/>
      </top>
      <bottom style="thin">
        <color rgb="FF3D3D3D"/>
      </bottom>
    </border>
    <border>
      <left style="thin">
        <color rgb="FF000000"/>
      </left>
      <bottom style="thin">
        <color rgb="FF000000"/>
      </bottom>
    </border>
    <border>
      <top style="thin">
        <color rgb="FF156082"/>
      </top>
    </border>
    <border>
      <left style="thin">
        <color rgb="FF3D3D3D"/>
      </left>
      <top style="thin">
        <color rgb="FF3D3D3D"/>
      </top>
      <bottom style="thin">
        <color rgb="FF3D3D3D"/>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29">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2" fontId="2" numFmtId="0" xfId="0" applyAlignment="1" applyBorder="1" applyFill="1" applyFont="1">
      <alignment horizontal="center" readingOrder="0" vertical="bottom"/>
    </xf>
    <xf borderId="2" fillId="0" fontId="3" numFmtId="0" xfId="0" applyAlignment="1" applyBorder="1" applyFont="1">
      <alignment horizontal="center" readingOrder="0" vertical="bottom"/>
    </xf>
    <xf borderId="1" fillId="2" fontId="2" numFmtId="0" xfId="0" applyAlignment="1" applyBorder="1" applyFont="1">
      <alignment horizontal="center" vertical="bottom"/>
    </xf>
    <xf borderId="3" fillId="0" fontId="4" numFmtId="0" xfId="0" applyBorder="1" applyFont="1"/>
    <xf borderId="1" fillId="0" fontId="1" numFmtId="0" xfId="0" applyAlignment="1" applyBorder="1" applyFont="1">
      <alignment horizontal="center"/>
    </xf>
    <xf borderId="4" fillId="0" fontId="4" numFmtId="0" xfId="0" applyBorder="1" applyFont="1"/>
    <xf borderId="1" fillId="2" fontId="5" numFmtId="0" xfId="0" applyAlignment="1" applyBorder="1" applyFont="1">
      <alignment horizontal="center" vertical="bottom"/>
    </xf>
    <xf borderId="1" fillId="2" fontId="6" numFmtId="0" xfId="0" applyAlignment="1" applyBorder="1" applyFont="1">
      <alignment horizontal="center" vertical="bottom"/>
    </xf>
    <xf borderId="1" fillId="2" fontId="6" numFmtId="0" xfId="0" applyAlignment="1" applyBorder="1" applyFont="1">
      <alignment horizontal="center" readingOrder="0" vertical="bottom"/>
    </xf>
    <xf borderId="1" fillId="2" fontId="6" numFmtId="164" xfId="0" applyAlignment="1" applyBorder="1" applyFont="1" applyNumberFormat="1">
      <alignment horizontal="center" vertical="bottom"/>
    </xf>
    <xf borderId="1" fillId="0" fontId="7" numFmtId="0" xfId="0" applyAlignment="1" applyBorder="1" applyFont="1">
      <alignment horizontal="center" readingOrder="0"/>
    </xf>
    <xf borderId="1" fillId="3" fontId="8" numFmtId="0" xfId="0" applyAlignment="1" applyBorder="1" applyFill="1" applyFont="1">
      <alignment horizontal="center" vertical="bottom"/>
    </xf>
    <xf borderId="1" fillId="0" fontId="7" numFmtId="0" xfId="0" applyAlignment="1" applyBorder="1" applyFont="1">
      <alignment horizontal="center"/>
    </xf>
    <xf borderId="1" fillId="3" fontId="9" numFmtId="0" xfId="0" applyAlignment="1" applyBorder="1" applyFont="1">
      <alignment horizontal="center" vertical="bottom"/>
    </xf>
    <xf borderId="2" fillId="0" fontId="10" numFmtId="0" xfId="0" applyAlignment="1" applyBorder="1" applyFont="1">
      <alignment horizontal="center" readingOrder="0" vertical="bottom"/>
    </xf>
    <xf borderId="1" fillId="0" fontId="11" numFmtId="0" xfId="0" applyAlignment="1" applyBorder="1" applyFont="1">
      <alignment horizontal="center" readingOrder="0" shrinkToFit="0" vertical="bottom" wrapText="0"/>
    </xf>
    <xf borderId="1" fillId="3" fontId="12" numFmtId="0" xfId="0" applyAlignment="1" applyBorder="1" applyFont="1">
      <alignment horizontal="center" readingOrder="0" vertical="bottom"/>
    </xf>
    <xf borderId="1" fillId="0" fontId="7" numFmtId="0" xfId="0" applyBorder="1" applyFont="1"/>
    <xf borderId="1" fillId="0" fontId="13" numFmtId="165" xfId="0" applyAlignment="1" applyBorder="1" applyFont="1" applyNumberFormat="1">
      <alignment horizontal="center" readingOrder="0"/>
    </xf>
    <xf borderId="1" fillId="3" fontId="12" numFmtId="0" xfId="0" applyAlignment="1" applyBorder="1" applyFont="1">
      <alignment horizontal="center" vertical="bottom"/>
    </xf>
    <xf borderId="1" fillId="0" fontId="10" numFmtId="0" xfId="0" applyAlignment="1" applyBorder="1" applyFont="1">
      <alignment horizontal="center" vertical="bottom"/>
    </xf>
    <xf borderId="1" fillId="0" fontId="7" numFmtId="165" xfId="0" applyAlignment="1" applyBorder="1" applyFont="1" applyNumberFormat="1">
      <alignment horizontal="center" readingOrder="0"/>
    </xf>
    <xf borderId="1" fillId="4" fontId="9" numFmtId="0" xfId="0" applyAlignment="1" applyBorder="1" applyFill="1" applyFont="1">
      <alignment horizontal="center" vertical="bottom"/>
    </xf>
    <xf borderId="1" fillId="5" fontId="14" numFmtId="0" xfId="0" applyAlignment="1" applyBorder="1" applyFill="1" applyFont="1">
      <alignment horizontal="center" readingOrder="0" shrinkToFit="0" vertical="bottom" wrapText="0"/>
    </xf>
    <xf borderId="1" fillId="0" fontId="15" numFmtId="0" xfId="0" applyAlignment="1" applyBorder="1" applyFont="1">
      <alignment vertical="bottom"/>
    </xf>
    <xf borderId="1" fillId="4" fontId="5" numFmtId="0" xfId="0" applyAlignment="1" applyBorder="1" applyFont="1">
      <alignment horizontal="center" vertical="bottom"/>
    </xf>
    <xf borderId="1" fillId="6" fontId="5" numFmtId="0" xfId="0" applyAlignment="1" applyBorder="1" applyFill="1" applyFont="1">
      <alignment horizontal="center" vertical="bottom"/>
    </xf>
    <xf borderId="1" fillId="0" fontId="15" numFmtId="0" xfId="0" applyAlignment="1" applyBorder="1" applyFont="1">
      <alignment horizontal="center" vertical="bottom"/>
    </xf>
    <xf borderId="1" fillId="4" fontId="6" numFmtId="0" xfId="0" applyAlignment="1" applyBorder="1" applyFont="1">
      <alignment horizontal="center" vertical="bottom"/>
    </xf>
    <xf borderId="1" fillId="0" fontId="7" numFmtId="164" xfId="0" applyAlignment="1" applyBorder="1" applyFont="1" applyNumberFormat="1">
      <alignment horizontal="center"/>
    </xf>
    <xf borderId="1" fillId="0" fontId="15" numFmtId="0" xfId="0" applyAlignment="1" applyBorder="1" applyFont="1">
      <alignment readingOrder="0" vertical="bottom"/>
    </xf>
    <xf borderId="1" fillId="0" fontId="15" numFmtId="0" xfId="0" applyAlignment="1" applyBorder="1" applyFont="1">
      <alignment horizontal="center" readingOrder="0" vertical="bottom"/>
    </xf>
    <xf borderId="1" fillId="0" fontId="7" numFmtId="0" xfId="0" applyAlignment="1" applyBorder="1" applyFont="1">
      <alignment readingOrder="0"/>
    </xf>
    <xf borderId="0" fillId="0" fontId="15" numFmtId="0" xfId="0" applyAlignment="1" applyFont="1">
      <alignment vertical="bottom"/>
    </xf>
    <xf borderId="1" fillId="0" fontId="16" numFmtId="0" xfId="0" applyAlignment="1" applyBorder="1" applyFont="1">
      <alignment horizontal="center" readingOrder="0" vertical="center"/>
    </xf>
    <xf borderId="1" fillId="0" fontId="13" numFmtId="0" xfId="0" applyAlignment="1" applyBorder="1" applyFont="1">
      <alignment horizontal="center" readingOrder="0"/>
    </xf>
    <xf borderId="1" fillId="0" fontId="16" numFmtId="0" xfId="0" applyAlignment="1" applyBorder="1" applyFont="1">
      <alignment horizontal="left" readingOrder="0" vertical="center"/>
    </xf>
    <xf borderId="1" fillId="0" fontId="16" numFmtId="0" xfId="0" applyAlignment="1" applyBorder="1" applyFont="1">
      <alignment horizontal="center" vertical="center"/>
    </xf>
    <xf borderId="1" fillId="0" fontId="16" numFmtId="165" xfId="0" applyAlignment="1" applyBorder="1" applyFont="1" applyNumberFormat="1">
      <alignment horizontal="center" readingOrder="0" vertical="center"/>
    </xf>
    <xf borderId="1" fillId="4" fontId="17" numFmtId="0" xfId="0" applyAlignment="1" applyBorder="1" applyFont="1">
      <alignment horizontal="center" readingOrder="0" vertical="bottom"/>
    </xf>
    <xf borderId="1" fillId="4" fontId="18" numFmtId="0" xfId="0" applyAlignment="1" applyBorder="1" applyFont="1">
      <alignment horizontal="center" readingOrder="0" vertical="bottom"/>
    </xf>
    <xf borderId="1" fillId="0" fontId="16" numFmtId="164" xfId="0" applyAlignment="1" applyBorder="1" applyFont="1" applyNumberFormat="1">
      <alignment horizontal="center" vertical="center"/>
    </xf>
    <xf borderId="1" fillId="7" fontId="19" numFmtId="0" xfId="0" applyAlignment="1" applyBorder="1" applyFill="1" applyFont="1">
      <alignment horizontal="left" readingOrder="0" vertical="center"/>
    </xf>
    <xf borderId="1" fillId="8" fontId="20" numFmtId="0" xfId="0" applyAlignment="1" applyBorder="1" applyFill="1" applyFont="1">
      <alignment horizontal="center" readingOrder="0" vertical="center"/>
    </xf>
    <xf borderId="1" fillId="9" fontId="18" numFmtId="0" xfId="0" applyAlignment="1" applyBorder="1" applyFill="1" applyFont="1">
      <alignment horizontal="center" readingOrder="0" vertical="bottom"/>
    </xf>
    <xf borderId="1" fillId="7" fontId="20" numFmtId="0" xfId="0" applyAlignment="1" applyBorder="1" applyFont="1">
      <alignment horizontal="center" readingOrder="0" vertical="center"/>
    </xf>
    <xf borderId="1" fillId="4" fontId="21" numFmtId="0" xfId="0" applyAlignment="1" applyBorder="1" applyFont="1">
      <alignment readingOrder="0"/>
    </xf>
    <xf borderId="1" fillId="0" fontId="22" numFmtId="0" xfId="0" applyAlignment="1" applyBorder="1" applyFont="1">
      <alignment horizontal="center" vertical="bottom"/>
    </xf>
    <xf borderId="1" fillId="0" fontId="23" numFmtId="0" xfId="0" applyAlignment="1" applyBorder="1" applyFont="1">
      <alignment vertical="bottom"/>
    </xf>
    <xf borderId="1" fillId="0" fontId="23" numFmtId="0" xfId="0" applyAlignment="1" applyBorder="1" applyFont="1">
      <alignment horizontal="center" readingOrder="0" vertical="bottom"/>
    </xf>
    <xf borderId="1" fillId="0" fontId="23" numFmtId="166" xfId="0" applyAlignment="1" applyBorder="1" applyFont="1" applyNumberFormat="1">
      <alignment horizontal="center" readingOrder="0" vertical="bottom"/>
    </xf>
    <xf borderId="1" fillId="0" fontId="15" numFmtId="0" xfId="0" applyAlignment="1" applyBorder="1" applyFont="1">
      <alignment horizontal="center" vertical="bottom"/>
    </xf>
    <xf borderId="1" fillId="6" fontId="7" numFmtId="0" xfId="0" applyAlignment="1" applyBorder="1" applyFont="1">
      <alignment readingOrder="0"/>
    </xf>
    <xf borderId="1" fillId="7" fontId="24" numFmtId="0" xfId="0" applyAlignment="1" applyBorder="1" applyFont="1">
      <alignment horizontal="center" readingOrder="0" vertical="bottom"/>
    </xf>
    <xf borderId="1" fillId="0" fontId="22" numFmtId="167" xfId="0" applyAlignment="1" applyBorder="1" applyFont="1" applyNumberFormat="1">
      <alignment horizontal="center" vertical="bottom"/>
    </xf>
    <xf borderId="1" fillId="0" fontId="16" numFmtId="0" xfId="0" applyAlignment="1" applyBorder="1" applyFont="1">
      <alignment horizontal="left" vertical="center"/>
    </xf>
    <xf borderId="1" fillId="8" fontId="20" numFmtId="0" xfId="0" applyAlignment="1" applyBorder="1" applyFont="1">
      <alignment horizontal="center" vertical="center"/>
    </xf>
    <xf borderId="2" fillId="0" fontId="10" numFmtId="0" xfId="0" applyAlignment="1" applyBorder="1" applyFont="1">
      <alignment horizontal="center" vertical="bottom"/>
    </xf>
    <xf borderId="1" fillId="0" fontId="16" numFmtId="164" xfId="0" applyAlignment="1" applyBorder="1" applyFont="1" applyNumberFormat="1">
      <alignment horizontal="center" readingOrder="0" vertical="center"/>
    </xf>
    <xf borderId="1" fillId="7" fontId="25" numFmtId="0" xfId="0" applyAlignment="1" applyBorder="1" applyFont="1">
      <alignment horizontal="left" readingOrder="0" vertical="center"/>
    </xf>
    <xf borderId="1" fillId="0" fontId="22" numFmtId="0" xfId="0" applyAlignment="1" applyBorder="1" applyFont="1">
      <alignment horizontal="right" vertical="bottom"/>
    </xf>
    <xf borderId="2" fillId="0" fontId="26" numFmtId="0" xfId="0" applyAlignment="1" applyBorder="1" applyFont="1">
      <alignment horizontal="center" readingOrder="0" vertical="bottom"/>
    </xf>
    <xf borderId="1" fillId="0" fontId="15" numFmtId="0" xfId="0" applyAlignment="1" applyBorder="1" applyFont="1">
      <alignment horizontal="center" readingOrder="0" shrinkToFit="0" vertical="bottom" wrapText="0"/>
    </xf>
    <xf borderId="1" fillId="0" fontId="11" numFmtId="0" xfId="0" applyAlignment="1" applyBorder="1" applyFont="1">
      <alignment horizontal="center" readingOrder="0" vertical="bottom"/>
    </xf>
    <xf borderId="1" fillId="0" fontId="22" numFmtId="0" xfId="0" applyAlignment="1" applyBorder="1" applyFont="1">
      <alignment horizontal="center" vertical="bottom"/>
    </xf>
    <xf borderId="1" fillId="0" fontId="22" numFmtId="168" xfId="0" applyAlignment="1" applyBorder="1" applyFont="1" applyNumberFormat="1">
      <alignment horizontal="center" vertical="bottom"/>
    </xf>
    <xf borderId="1" fillId="0" fontId="27" numFmtId="0" xfId="0" applyAlignment="1" applyBorder="1" applyFont="1">
      <alignment horizontal="center" readingOrder="0" vertical="bottom"/>
    </xf>
    <xf borderId="1" fillId="0" fontId="14" numFmtId="0" xfId="0" applyAlignment="1" applyBorder="1" applyFont="1">
      <alignment horizontal="center" readingOrder="0" shrinkToFit="0" vertical="bottom" wrapText="0"/>
    </xf>
    <xf borderId="1" fillId="0" fontId="27" numFmtId="0" xfId="0" applyAlignment="1" applyBorder="1" applyFont="1">
      <alignment horizontal="center" vertical="bottom"/>
    </xf>
    <xf borderId="1" fillId="0" fontId="7" numFmtId="168" xfId="0" applyAlignment="1" applyBorder="1" applyFont="1" applyNumberFormat="1">
      <alignment readingOrder="0"/>
    </xf>
    <xf borderId="1" fillId="9" fontId="15" numFmtId="165" xfId="0" applyAlignment="1" applyBorder="1" applyFont="1" applyNumberFormat="1">
      <alignment readingOrder="0" vertical="bottom"/>
    </xf>
    <xf borderId="2" fillId="0" fontId="28" numFmtId="0" xfId="0" applyAlignment="1" applyBorder="1" applyFont="1">
      <alignment horizontal="center" readingOrder="0" vertical="bottom"/>
    </xf>
    <xf borderId="1" fillId="0" fontId="29" numFmtId="0" xfId="0" applyAlignment="1" applyBorder="1" applyFont="1">
      <alignment readingOrder="0" vertical="bottom"/>
    </xf>
    <xf borderId="1" fillId="0" fontId="29" numFmtId="0" xfId="0" applyAlignment="1" applyBorder="1" applyFont="1">
      <alignment vertical="bottom"/>
    </xf>
    <xf borderId="1" fillId="0" fontId="22" numFmtId="166" xfId="0" applyAlignment="1" applyBorder="1" applyFont="1" applyNumberFormat="1">
      <alignment horizontal="center" vertical="bottom"/>
    </xf>
    <xf borderId="1" fillId="0" fontId="30" numFmtId="0" xfId="0" applyAlignment="1" applyBorder="1" applyFont="1">
      <alignment horizontal="center" vertical="bottom"/>
    </xf>
    <xf borderId="1" fillId="0" fontId="31" numFmtId="0" xfId="0" applyAlignment="1" applyBorder="1" applyFont="1">
      <alignment horizontal="center" readingOrder="0" vertical="bottom"/>
    </xf>
    <xf borderId="1" fillId="0" fontId="32" numFmtId="0" xfId="0" applyBorder="1" applyFont="1"/>
    <xf borderId="2" fillId="0" fontId="31" numFmtId="0" xfId="0" applyAlignment="1" applyBorder="1" applyFont="1">
      <alignment horizontal="center" readingOrder="0" vertical="bottom"/>
    </xf>
    <xf borderId="1" fillId="7" fontId="11" numFmtId="0" xfId="0" applyAlignment="1" applyBorder="1" applyFont="1">
      <alignment horizontal="center" readingOrder="0" shrinkToFit="0" vertical="bottom" wrapText="0"/>
    </xf>
    <xf borderId="1" fillId="7" fontId="33" numFmtId="0" xfId="0" applyAlignment="1" applyBorder="1" applyFont="1">
      <alignment readingOrder="0" shrinkToFit="0" vertical="bottom" wrapText="0"/>
    </xf>
    <xf borderId="1" fillId="7" fontId="11" numFmtId="165" xfId="0" applyAlignment="1" applyBorder="1" applyFont="1" applyNumberFormat="1">
      <alignment horizontal="center" readingOrder="0" shrinkToFit="0" vertical="bottom" wrapText="0"/>
    </xf>
    <xf borderId="1" fillId="7" fontId="7" numFmtId="0" xfId="0" applyAlignment="1" applyBorder="1" applyFont="1">
      <alignment readingOrder="0"/>
    </xf>
    <xf borderId="1" fillId="7" fontId="7" numFmtId="168" xfId="0" applyAlignment="1" applyBorder="1" applyFont="1" applyNumberFormat="1">
      <alignment readingOrder="0"/>
    </xf>
    <xf borderId="1" fillId="7" fontId="7" numFmtId="0" xfId="0" applyAlignment="1" applyBorder="1" applyFont="1">
      <alignment horizontal="center" readingOrder="0"/>
    </xf>
    <xf borderId="1" fillId="7" fontId="7" numFmtId="0" xfId="0" applyBorder="1" applyFont="1"/>
    <xf borderId="1" fillId="10" fontId="7" numFmtId="168" xfId="0" applyAlignment="1" applyBorder="1" applyFill="1" applyFont="1" applyNumberFormat="1">
      <alignment readingOrder="0"/>
    </xf>
    <xf borderId="1" fillId="7" fontId="32" numFmtId="0" xfId="0" applyAlignment="1" applyBorder="1" applyFont="1">
      <alignment readingOrder="0"/>
    </xf>
    <xf borderId="0" fillId="7" fontId="7" numFmtId="0" xfId="0" applyFont="1"/>
    <xf borderId="1" fillId="0" fontId="34" numFmtId="0" xfId="0" applyAlignment="1" applyBorder="1" applyFont="1">
      <alignment horizontal="center" readingOrder="0" vertical="bottom"/>
    </xf>
    <xf borderId="1" fillId="7" fontId="7" numFmtId="0" xfId="0" applyAlignment="1" applyBorder="1" applyFont="1">
      <alignment horizontal="left" readingOrder="0" vertical="bottom"/>
    </xf>
    <xf borderId="1" fillId="0" fontId="28" numFmtId="0" xfId="0" applyAlignment="1" applyBorder="1" applyFont="1">
      <alignment horizontal="center" readingOrder="0" vertical="bottom"/>
    </xf>
    <xf borderId="1" fillId="10" fontId="7" numFmtId="0" xfId="0" applyAlignment="1" applyBorder="1" applyFont="1">
      <alignment readingOrder="0"/>
    </xf>
    <xf borderId="1" fillId="7" fontId="7" numFmtId="0" xfId="0" applyAlignment="1" applyBorder="1" applyFont="1">
      <alignment horizontal="center" readingOrder="0" vertical="bottom"/>
    </xf>
    <xf borderId="1" fillId="11" fontId="33" numFmtId="0" xfId="0" applyAlignment="1" applyBorder="1" applyFill="1" applyFont="1">
      <alignment readingOrder="0" shrinkToFit="0" vertical="bottom" wrapText="0"/>
    </xf>
    <xf borderId="1" fillId="7" fontId="32" numFmtId="0" xfId="0" applyBorder="1" applyFont="1"/>
    <xf borderId="1" fillId="0" fontId="35" numFmtId="0" xfId="0" applyAlignment="1" applyBorder="1" applyFont="1">
      <alignment readingOrder="0" shrinkToFit="0" vertical="bottom" wrapText="0"/>
    </xf>
    <xf borderId="1" fillId="0" fontId="11" numFmtId="165" xfId="0" applyAlignment="1" applyBorder="1" applyFont="1" applyNumberFormat="1">
      <alignment horizontal="center" readingOrder="0" shrinkToFit="0" vertical="bottom" wrapText="0"/>
    </xf>
    <xf borderId="1" fillId="12" fontId="7" numFmtId="0" xfId="0" applyAlignment="1" applyBorder="1" applyFill="1" applyFont="1">
      <alignment horizontal="center"/>
    </xf>
    <xf borderId="1" fillId="0" fontId="7" numFmtId="0" xfId="0" applyAlignment="1" applyBorder="1" applyFont="1">
      <alignment horizontal="right" readingOrder="0"/>
    </xf>
    <xf borderId="1" fillId="0" fontId="32" numFmtId="0" xfId="0" applyAlignment="1" applyBorder="1" applyFont="1">
      <alignment readingOrder="0"/>
    </xf>
    <xf borderId="1" fillId="0" fontId="33" numFmtId="0" xfId="0" applyAlignment="1" applyBorder="1" applyFont="1">
      <alignment readingOrder="0" shrinkToFit="0" vertical="bottom" wrapText="0"/>
    </xf>
    <xf borderId="2" fillId="7" fontId="36" numFmtId="0" xfId="0" applyAlignment="1" applyBorder="1" applyFont="1">
      <alignment horizontal="center" readingOrder="0" vertical="bottom"/>
    </xf>
    <xf borderId="1" fillId="3" fontId="37" numFmtId="0" xfId="0" applyAlignment="1" applyBorder="1" applyFont="1">
      <alignment horizontal="center" readingOrder="0" vertical="bottom"/>
    </xf>
    <xf borderId="1" fillId="3" fontId="38" numFmtId="0" xfId="0" applyAlignment="1" applyBorder="1" applyFont="1">
      <alignment horizontal="center" readingOrder="0" shrinkToFit="0" vertical="bottom" wrapText="0"/>
    </xf>
    <xf borderId="1" fillId="3" fontId="37" numFmtId="0" xfId="0" applyAlignment="1" applyBorder="1" applyFont="1">
      <alignment horizontal="center" readingOrder="0" vertical="bottom"/>
    </xf>
    <xf borderId="1" fillId="5" fontId="30" numFmtId="0" xfId="0" applyAlignment="1" applyBorder="1" applyFont="1">
      <alignment horizontal="center" vertical="bottom"/>
    </xf>
    <xf borderId="1" fillId="4" fontId="38" numFmtId="0" xfId="0" applyAlignment="1" applyBorder="1" applyFont="1">
      <alignment horizontal="center" readingOrder="0" shrinkToFit="0" vertical="bottom" wrapText="0"/>
    </xf>
    <xf borderId="1" fillId="5" fontId="23" numFmtId="0" xfId="0" applyAlignment="1" applyBorder="1" applyFont="1">
      <alignment horizontal="center" vertical="bottom"/>
    </xf>
    <xf borderId="1" fillId="4" fontId="39" numFmtId="0" xfId="0" applyAlignment="1" applyBorder="1" applyFont="1">
      <alignment horizontal="center" readingOrder="0" shrinkToFit="0" vertical="bottom" wrapText="0"/>
    </xf>
    <xf borderId="1" fillId="5" fontId="7" numFmtId="165" xfId="0" applyAlignment="1" applyBorder="1" applyFont="1" applyNumberFormat="1">
      <alignment horizontal="center" readingOrder="0"/>
    </xf>
    <xf borderId="1" fillId="6" fontId="39" numFmtId="0" xfId="0" applyAlignment="1" applyBorder="1" applyFont="1">
      <alignment horizontal="center" readingOrder="0" shrinkToFit="0" vertical="bottom" wrapText="0"/>
    </xf>
    <xf borderId="1" fillId="5" fontId="7" numFmtId="0" xfId="0" applyAlignment="1" applyBorder="1" applyFont="1">
      <alignment horizontal="center"/>
    </xf>
    <xf borderId="1" fillId="5" fontId="7" numFmtId="0" xfId="0" applyAlignment="1" applyBorder="1" applyFont="1">
      <alignment horizontal="center" readingOrder="0"/>
    </xf>
    <xf borderId="1" fillId="9" fontId="7" numFmtId="0" xfId="0" applyAlignment="1" applyBorder="1" applyFont="1">
      <alignment readingOrder="0"/>
    </xf>
    <xf borderId="1" fillId="0" fontId="34" numFmtId="0" xfId="0" applyAlignment="1" applyBorder="1" applyFont="1">
      <alignment horizontal="left" readingOrder="0" vertical="bottom"/>
    </xf>
    <xf borderId="1" fillId="0" fontId="34" numFmtId="0" xfId="0" applyAlignment="1" applyBorder="1" applyFont="1">
      <alignment horizontal="center" readingOrder="0"/>
    </xf>
    <xf borderId="1" fillId="0" fontId="23" numFmtId="0" xfId="0" applyAlignment="1" applyBorder="1" applyFont="1">
      <alignment horizontal="center" vertical="bottom"/>
    </xf>
    <xf borderId="1" fillId="13" fontId="7" numFmtId="0" xfId="0" applyAlignment="1" applyBorder="1" applyFill="1" applyFont="1">
      <alignment readingOrder="0"/>
    </xf>
    <xf borderId="1" fillId="0" fontId="33" numFmtId="0" xfId="0" applyAlignment="1" applyBorder="1" applyFont="1">
      <alignment horizontal="center" readingOrder="0" shrinkToFit="0" vertical="bottom" wrapText="0"/>
    </xf>
    <xf borderId="1" fillId="7" fontId="7" numFmtId="0" xfId="0" applyAlignment="1" applyBorder="1" applyFont="1">
      <alignment horizontal="center"/>
    </xf>
    <xf borderId="1" fillId="7" fontId="16" numFmtId="0" xfId="0" applyAlignment="1" applyBorder="1" applyFont="1">
      <alignment horizontal="left" vertical="center"/>
    </xf>
    <xf borderId="1" fillId="7" fontId="16" numFmtId="0" xfId="0" applyAlignment="1" applyBorder="1" applyFont="1">
      <alignment horizontal="center" vertical="center"/>
    </xf>
    <xf borderId="1" fillId="7" fontId="30" numFmtId="0" xfId="0" applyAlignment="1" applyBorder="1" applyFont="1">
      <alignment horizontal="center" vertical="bottom"/>
    </xf>
    <xf borderId="1" fillId="0" fontId="16" numFmtId="0" xfId="0" applyAlignment="1" applyBorder="1" applyFont="1">
      <alignment horizontal="left" vertical="center"/>
    </xf>
    <xf borderId="1" fillId="0" fontId="40" numFmtId="165" xfId="0" applyAlignment="1" applyBorder="1" applyFont="1" applyNumberFormat="1">
      <alignment horizontal="center" readingOrder="0"/>
    </xf>
    <xf borderId="1" fillId="0" fontId="40" numFmtId="0" xfId="0" applyAlignment="1" applyBorder="1" applyFont="1">
      <alignment horizontal="center" readingOrder="0"/>
    </xf>
    <xf borderId="1" fillId="0" fontId="7" numFmtId="0" xfId="0" applyAlignment="1" applyBorder="1" applyFont="1">
      <alignment horizontal="left" readingOrder="0"/>
    </xf>
    <xf borderId="1" fillId="0" fontId="16" numFmtId="0" xfId="0" applyAlignment="1" applyBorder="1" applyFont="1">
      <alignment horizontal="center" readingOrder="0" shrinkToFit="0" vertical="center" wrapText="0"/>
    </xf>
    <xf borderId="1" fillId="0" fontId="7" numFmtId="0" xfId="0" applyAlignment="1" applyBorder="1" applyFont="1">
      <alignment horizontal="left"/>
    </xf>
    <xf borderId="1" fillId="9" fontId="7" numFmtId="165" xfId="0" applyAlignment="1" applyBorder="1" applyFont="1" applyNumberFormat="1">
      <alignment readingOrder="0"/>
    </xf>
    <xf borderId="1" fillId="7" fontId="41" numFmtId="0" xfId="0" applyAlignment="1" applyBorder="1" applyFont="1">
      <alignment readingOrder="0"/>
    </xf>
    <xf borderId="1" fillId="0" fontId="16" numFmtId="0" xfId="0" applyAlignment="1" applyBorder="1" applyFont="1">
      <alignment horizontal="center" readingOrder="0"/>
    </xf>
    <xf borderId="1" fillId="7" fontId="0" numFmtId="0" xfId="0" applyAlignment="1" applyBorder="1" applyFont="1">
      <alignment horizontal="center" readingOrder="0"/>
    </xf>
    <xf borderId="1" fillId="0" fontId="7" numFmtId="164" xfId="0" applyAlignment="1" applyBorder="1" applyFont="1" applyNumberFormat="1">
      <alignment horizontal="center" readingOrder="0"/>
    </xf>
    <xf borderId="1" fillId="7" fontId="25" numFmtId="0" xfId="0" applyAlignment="1" applyBorder="1" applyFont="1">
      <alignment readingOrder="0"/>
    </xf>
    <xf borderId="1" fillId="7" fontId="25" numFmtId="0" xfId="0" applyAlignment="1" applyBorder="1" applyFont="1">
      <alignment horizontal="center" readingOrder="0"/>
    </xf>
    <xf borderId="1" fillId="7" fontId="42" numFmtId="0" xfId="0" applyAlignment="1" applyBorder="1" applyFont="1">
      <alignment readingOrder="0"/>
    </xf>
    <xf borderId="0" fillId="0" fontId="7" numFmtId="0" xfId="0" applyAlignment="1" applyFont="1">
      <alignment horizontal="center"/>
    </xf>
    <xf borderId="0" fillId="0" fontId="7" numFmtId="164" xfId="0" applyAlignment="1" applyFont="1" applyNumberFormat="1">
      <alignment horizontal="center"/>
    </xf>
    <xf borderId="1" fillId="0" fontId="43" numFmtId="0" xfId="0" applyAlignment="1" applyBorder="1" applyFont="1">
      <alignment horizontal="center" vertical="bottom"/>
    </xf>
    <xf borderId="0" fillId="0" fontId="7" numFmtId="0" xfId="0" applyAlignment="1" applyFont="1">
      <alignment readingOrder="0"/>
    </xf>
    <xf borderId="1" fillId="0" fontId="11" numFmtId="0" xfId="0" applyAlignment="1" applyBorder="1" applyFont="1">
      <alignment shrinkToFit="0" vertical="bottom" wrapText="0"/>
    </xf>
    <xf borderId="1" fillId="0" fontId="11" numFmtId="0" xfId="0" applyAlignment="1" applyBorder="1" applyFont="1">
      <alignment horizontal="center" shrinkToFit="0" vertical="bottom" wrapText="0"/>
    </xf>
    <xf borderId="1" fillId="0" fontId="15" numFmtId="165" xfId="0" applyAlignment="1" applyBorder="1" applyFont="1" applyNumberFormat="1">
      <alignment horizontal="right" readingOrder="0" vertical="bottom"/>
    </xf>
    <xf borderId="1" fillId="4" fontId="7" numFmtId="0" xfId="0" applyAlignment="1" applyBorder="1" applyFont="1">
      <alignment readingOrder="0"/>
    </xf>
    <xf borderId="1" fillId="0" fontId="7" numFmtId="165" xfId="0" applyAlignment="1" applyBorder="1" applyFont="1" applyNumberFormat="1">
      <alignment readingOrder="0"/>
    </xf>
    <xf borderId="1" fillId="7" fontId="33" numFmtId="0" xfId="0" applyAlignment="1" applyBorder="1" applyFont="1">
      <alignment horizontal="center" readingOrder="0" shrinkToFit="0" vertical="bottom" wrapText="0"/>
    </xf>
    <xf borderId="1" fillId="14" fontId="33" numFmtId="0" xfId="0" applyAlignment="1" applyBorder="1" applyFill="1" applyFont="1">
      <alignment readingOrder="0" shrinkToFit="0" vertical="bottom" wrapText="0"/>
    </xf>
    <xf borderId="0" fillId="0" fontId="15" numFmtId="166" xfId="0" applyAlignment="1" applyFont="1" applyNumberFormat="1">
      <alignment readingOrder="0" vertical="bottom"/>
    </xf>
    <xf borderId="1" fillId="0" fontId="11" numFmtId="0" xfId="0" applyAlignment="1" applyBorder="1" applyFont="1">
      <alignment readingOrder="0" shrinkToFit="0" vertical="bottom" wrapText="0"/>
    </xf>
    <xf borderId="0" fillId="0" fontId="7" numFmtId="0" xfId="0" applyFont="1"/>
    <xf borderId="0" fillId="0" fontId="7" numFmtId="14" xfId="0" applyFont="1" applyNumberFormat="1"/>
    <xf borderId="1" fillId="5" fontId="33" numFmtId="0" xfId="0" applyAlignment="1" applyBorder="1" applyFont="1">
      <alignment readingOrder="0" shrinkToFit="0" vertical="bottom" wrapText="0"/>
    </xf>
    <xf borderId="1" fillId="10" fontId="7" numFmtId="165" xfId="0" applyAlignment="1" applyBorder="1" applyFont="1" applyNumberFormat="1">
      <alignment readingOrder="0"/>
    </xf>
    <xf borderId="1" fillId="0" fontId="32" numFmtId="0" xfId="0" applyAlignment="1" applyBorder="1" applyFont="1">
      <alignment horizontal="center" readingOrder="0"/>
    </xf>
    <xf borderId="2" fillId="0" fontId="31" numFmtId="0" xfId="0" applyAlignment="1" applyBorder="1" applyFont="1">
      <alignment horizontal="center" readingOrder="0"/>
    </xf>
    <xf borderId="1" fillId="0" fontId="31" numFmtId="0" xfId="0" applyAlignment="1" applyBorder="1" applyFont="1">
      <alignment horizontal="center" readingOrder="0"/>
    </xf>
    <xf borderId="1" fillId="6" fontId="18" numFmtId="0" xfId="0" applyAlignment="1" applyBorder="1" applyFont="1">
      <alignment horizontal="center" readingOrder="0" vertical="bottom"/>
    </xf>
    <xf borderId="1" fillId="0" fontId="15" numFmtId="0" xfId="0" applyAlignment="1" applyBorder="1" applyFont="1">
      <alignment horizontal="left" readingOrder="0" shrinkToFit="0" vertical="bottom" wrapText="0"/>
    </xf>
    <xf borderId="1" fillId="0" fontId="15" numFmtId="0" xfId="0" applyAlignment="1" applyBorder="1" applyFont="1">
      <alignment horizontal="center" readingOrder="0" vertical="bottom"/>
    </xf>
    <xf borderId="1" fillId="0" fontId="14" numFmtId="169" xfId="0" applyAlignment="1" applyBorder="1" applyFont="1" applyNumberFormat="1">
      <alignment horizontal="center" readingOrder="0" shrinkToFit="0" vertical="bottom" wrapText="0"/>
    </xf>
    <xf borderId="1" fillId="0" fontId="7" numFmtId="168" xfId="0" applyAlignment="1" applyBorder="1" applyFont="1" applyNumberFormat="1">
      <alignment horizontal="center" readingOrder="0"/>
    </xf>
    <xf borderId="1" fillId="0" fontId="14" numFmtId="0" xfId="0" applyAlignment="1" applyBorder="1" applyFont="1">
      <alignment horizontal="center" shrinkToFit="0" vertical="bottom" wrapText="0"/>
    </xf>
    <xf borderId="1" fillId="13" fontId="7" numFmtId="165" xfId="0" applyAlignment="1" applyBorder="1" applyFont="1" applyNumberFormat="1">
      <alignment readingOrder="0"/>
    </xf>
    <xf borderId="1" fillId="0" fontId="30" numFmtId="0" xfId="0" applyAlignment="1" applyBorder="1" applyFont="1">
      <alignment vertical="bottom"/>
    </xf>
    <xf borderId="1" fillId="10" fontId="44" numFmtId="165" xfId="0" applyAlignment="1" applyBorder="1" applyFont="1" applyNumberFormat="1">
      <alignment readingOrder="0" vertical="bottom"/>
    </xf>
    <xf borderId="1" fillId="10" fontId="15" numFmtId="165" xfId="0" applyAlignment="1" applyBorder="1" applyFont="1" applyNumberFormat="1">
      <alignment readingOrder="0" vertical="bottom"/>
    </xf>
    <xf borderId="1" fillId="14" fontId="11" numFmtId="0" xfId="0" applyAlignment="1" applyBorder="1" applyFont="1">
      <alignment horizontal="center" readingOrder="0" shrinkToFit="0" vertical="bottom" wrapText="0"/>
    </xf>
    <xf borderId="1" fillId="14" fontId="15" numFmtId="0" xfId="0" applyAlignment="1" applyBorder="1" applyFont="1">
      <alignment horizontal="left" readingOrder="0" shrinkToFit="0" vertical="bottom" wrapText="0"/>
    </xf>
    <xf borderId="1" fillId="14" fontId="15" numFmtId="0" xfId="0" applyAlignment="1" applyBorder="1" applyFont="1">
      <alignment horizontal="center" readingOrder="0" shrinkToFit="0" vertical="bottom" wrapText="0"/>
    </xf>
    <xf borderId="1" fillId="14" fontId="11" numFmtId="0" xfId="0" applyAlignment="1" applyBorder="1" applyFont="1">
      <alignment horizontal="center" readingOrder="0" vertical="bottom"/>
    </xf>
    <xf borderId="1" fillId="14" fontId="14" numFmtId="0" xfId="0" applyAlignment="1" applyBorder="1" applyFont="1">
      <alignment horizontal="center" readingOrder="0" shrinkToFit="0" vertical="bottom" wrapText="0"/>
    </xf>
    <xf borderId="1" fillId="0" fontId="45" numFmtId="0" xfId="0" applyAlignment="1" applyBorder="1" applyFont="1">
      <alignment horizontal="center" readingOrder="0" shrinkToFit="0" vertical="bottom" wrapText="0"/>
    </xf>
    <xf borderId="1" fillId="0" fontId="46" numFmtId="0" xfId="0" applyAlignment="1" applyBorder="1" applyFont="1">
      <alignment horizontal="left" readingOrder="0" shrinkToFit="0" vertical="bottom" wrapText="0"/>
    </xf>
    <xf borderId="1" fillId="0" fontId="46" numFmtId="0" xfId="0" applyAlignment="1" applyBorder="1" applyFont="1">
      <alignment horizontal="center" readingOrder="0" vertical="bottom"/>
    </xf>
    <xf borderId="1" fillId="0" fontId="46" numFmtId="0" xfId="0" applyAlignment="1" applyBorder="1" applyFont="1">
      <alignment horizontal="center" readingOrder="0" shrinkToFit="0" vertical="bottom" wrapText="0"/>
    </xf>
    <xf borderId="1" fillId="0" fontId="45" numFmtId="0" xfId="0" applyAlignment="1" applyBorder="1" applyFont="1">
      <alignment horizontal="center" readingOrder="0" vertical="bottom"/>
    </xf>
    <xf borderId="1" fillId="0" fontId="47" numFmtId="0" xfId="0" applyAlignment="1" applyBorder="1" applyFont="1">
      <alignment horizontal="center" readingOrder="0" shrinkToFit="0" vertical="bottom" wrapText="0"/>
    </xf>
    <xf borderId="1" fillId="0" fontId="48" numFmtId="0" xfId="0" applyAlignment="1" applyBorder="1" applyFont="1">
      <alignment horizontal="center" readingOrder="0"/>
    </xf>
    <xf borderId="1" fillId="0" fontId="46" numFmtId="0" xfId="0" applyAlignment="1" applyBorder="1" applyFont="1">
      <alignment horizontal="center" readingOrder="0" vertical="bottom"/>
    </xf>
    <xf borderId="1" fillId="0" fontId="48" numFmtId="0" xfId="0" applyBorder="1" applyFont="1"/>
    <xf borderId="1" fillId="0" fontId="48" numFmtId="0" xfId="0" applyAlignment="1" applyBorder="1" applyFont="1">
      <alignment readingOrder="0"/>
    </xf>
    <xf borderId="1" fillId="0" fontId="49" numFmtId="0" xfId="0" applyAlignment="1" applyBorder="1" applyFont="1">
      <alignment horizontal="center" readingOrder="0"/>
    </xf>
    <xf borderId="0" fillId="0" fontId="48" numFmtId="0" xfId="0" applyFont="1"/>
    <xf borderId="1" fillId="0" fontId="50" numFmtId="0" xfId="0" applyAlignment="1" applyBorder="1" applyFont="1">
      <alignment horizontal="center" readingOrder="0" shrinkToFit="0" vertical="bottom" wrapText="0"/>
    </xf>
    <xf borderId="1" fillId="0" fontId="2" numFmtId="0" xfId="0" applyAlignment="1" applyBorder="1" applyFont="1">
      <alignment horizontal="left" readingOrder="0" shrinkToFit="0" vertical="bottom" wrapText="0"/>
    </xf>
    <xf borderId="1" fillId="0" fontId="2" numFmtId="0" xfId="0" applyAlignment="1" applyBorder="1" applyFont="1">
      <alignment horizontal="center" readingOrder="0" shrinkToFit="0" vertical="bottom" wrapText="0"/>
    </xf>
    <xf borderId="1" fillId="0" fontId="50" numFmtId="0" xfId="0" applyAlignment="1" applyBorder="1" applyFont="1">
      <alignment horizontal="center" readingOrder="0" vertical="bottom"/>
    </xf>
    <xf borderId="1" fillId="0" fontId="18" numFmtId="0" xfId="0" applyAlignment="1" applyBorder="1" applyFont="1">
      <alignment horizontal="center" readingOrder="0" shrinkToFit="0" vertical="bottom" wrapText="0"/>
    </xf>
    <xf borderId="1" fillId="0" fontId="1" numFmtId="168" xfId="0" applyAlignment="1" applyBorder="1" applyFont="1" applyNumberFormat="1">
      <alignment readingOrder="0"/>
    </xf>
    <xf borderId="1" fillId="0" fontId="1" numFmtId="0" xfId="0" applyBorder="1" applyFont="1"/>
    <xf borderId="1" fillId="9" fontId="1" numFmtId="165" xfId="0" applyAlignment="1" applyBorder="1" applyFont="1" applyNumberFormat="1">
      <alignment readingOrder="0"/>
    </xf>
    <xf borderId="0" fillId="0" fontId="1" numFmtId="0" xfId="0" applyFont="1"/>
    <xf borderId="2" fillId="0" fontId="51" numFmtId="0" xfId="0" applyAlignment="1" applyBorder="1" applyFont="1">
      <alignment horizontal="center" readingOrder="0" shrinkToFit="0" vertical="bottom" wrapText="0"/>
    </xf>
    <xf borderId="1" fillId="4" fontId="52" numFmtId="0" xfId="0" applyAlignment="1" applyBorder="1" applyFont="1">
      <alignment horizontal="center" readingOrder="0" shrinkToFit="0" vertical="bottom" wrapText="0"/>
    </xf>
    <xf borderId="1" fillId="13" fontId="33" numFmtId="0" xfId="0" applyAlignment="1" applyBorder="1" applyFont="1">
      <alignment horizontal="center" readingOrder="0" shrinkToFit="0" vertical="bottom" wrapText="0"/>
    </xf>
    <xf borderId="1" fillId="13" fontId="14" numFmtId="0" xfId="0" applyAlignment="1" applyBorder="1" applyFont="1">
      <alignment horizontal="left" readingOrder="0" shrinkToFit="0" vertical="bottom" wrapText="0"/>
    </xf>
    <xf borderId="1" fillId="13" fontId="53" numFmtId="0" xfId="0" applyAlignment="1" applyBorder="1" applyFont="1">
      <alignment horizontal="center" readingOrder="0" shrinkToFit="0" vertical="bottom" wrapText="0"/>
    </xf>
    <xf borderId="1" fillId="13" fontId="14" numFmtId="0" xfId="0" applyAlignment="1" applyBorder="1" applyFont="1">
      <alignment horizontal="center" readingOrder="0" shrinkToFit="0" vertical="bottom" wrapText="0"/>
    </xf>
    <xf borderId="1" fillId="13" fontId="33" numFmtId="0" xfId="0" applyAlignment="1" applyBorder="1" applyFont="1">
      <alignment horizontal="center" readingOrder="0" shrinkToFit="0" vertical="bottom" wrapText="0"/>
    </xf>
    <xf borderId="1" fillId="13" fontId="7" numFmtId="0" xfId="0" applyBorder="1" applyFont="1"/>
    <xf borderId="1" fillId="13" fontId="7" numFmtId="0" xfId="0" applyAlignment="1" applyBorder="1" applyFont="1">
      <alignment horizontal="center"/>
    </xf>
    <xf borderId="0" fillId="13" fontId="7" numFmtId="0" xfId="0" applyFont="1"/>
    <xf borderId="1" fillId="0" fontId="14" numFmtId="0" xfId="0" applyAlignment="1" applyBorder="1" applyFont="1">
      <alignment horizontal="left" readingOrder="0" shrinkToFit="0" vertical="bottom" wrapText="0"/>
    </xf>
    <xf borderId="1" fillId="0" fontId="14" numFmtId="0" xfId="0" applyAlignment="1" applyBorder="1" applyFont="1">
      <alignment horizontal="center" readingOrder="0" shrinkToFit="0" vertical="bottom" wrapText="0"/>
    </xf>
    <xf borderId="1" fillId="0" fontId="33" numFmtId="169" xfId="0" applyAlignment="1" applyBorder="1" applyFont="1" applyNumberFormat="1">
      <alignment horizontal="center" readingOrder="0" shrinkToFit="0" vertical="bottom" wrapText="0"/>
    </xf>
    <xf borderId="1" fillId="0" fontId="33" numFmtId="0" xfId="0" applyAlignment="1" applyBorder="1" applyFont="1">
      <alignment horizontal="center" shrinkToFit="0" vertical="bottom" wrapText="0"/>
    </xf>
    <xf borderId="1" fillId="8" fontId="53" numFmtId="0" xfId="0" applyAlignment="1" applyBorder="1" applyFont="1">
      <alignment horizontal="center" readingOrder="0" shrinkToFit="0" vertical="bottom" wrapText="0"/>
    </xf>
    <xf borderId="1" fillId="0" fontId="14" numFmtId="0" xfId="0" applyAlignment="1" applyBorder="1" applyFont="1">
      <alignment readingOrder="0" shrinkToFit="0" vertical="bottom" wrapText="0"/>
    </xf>
    <xf borderId="1" fillId="7" fontId="14" numFmtId="0" xfId="0" applyAlignment="1" applyBorder="1" applyFont="1">
      <alignment horizontal="left" readingOrder="0" shrinkToFit="0" vertical="bottom" wrapText="0"/>
    </xf>
    <xf borderId="1" fillId="7" fontId="14" numFmtId="0" xfId="0" applyAlignment="1" applyBorder="1" applyFont="1">
      <alignment horizontal="center" readingOrder="0" shrinkToFit="0" vertical="bottom" wrapText="0"/>
    </xf>
    <xf borderId="1" fillId="0" fontId="33" numFmtId="0" xfId="0" applyAlignment="1" applyBorder="1" applyFont="1">
      <alignment horizontal="left" readingOrder="0" shrinkToFit="0" vertical="bottom" wrapText="0"/>
    </xf>
    <xf borderId="1" fillId="0" fontId="54" numFmtId="0" xfId="0" applyAlignment="1" applyBorder="1" applyFont="1">
      <alignment horizontal="center" readingOrder="0" shrinkToFit="0" vertical="bottom" wrapText="0"/>
    </xf>
    <xf borderId="1" fillId="0" fontId="54" numFmtId="0" xfId="0" applyAlignment="1" applyBorder="1" applyFont="1">
      <alignment horizontal="left" readingOrder="0" shrinkToFit="0" vertical="bottom" wrapText="0"/>
    </xf>
    <xf borderId="1" fillId="0" fontId="54" numFmtId="169" xfId="0" applyAlignment="1" applyBorder="1" applyFont="1" applyNumberFormat="1">
      <alignment horizontal="center" readingOrder="0" shrinkToFit="0" vertical="bottom" wrapText="0"/>
    </xf>
    <xf borderId="1" fillId="0" fontId="48" numFmtId="0" xfId="0" applyAlignment="1" applyBorder="1" applyFont="1">
      <alignment horizontal="center"/>
    </xf>
    <xf borderId="1" fillId="9" fontId="48" numFmtId="0" xfId="0" applyAlignment="1" applyBorder="1" applyFont="1">
      <alignment readingOrder="0"/>
    </xf>
    <xf borderId="1" fillId="0" fontId="48" numFmtId="168" xfId="0" applyAlignment="1" applyBorder="1" applyFont="1" applyNumberFormat="1">
      <alignment horizontal="center" readingOrder="0"/>
    </xf>
    <xf borderId="1" fillId="6" fontId="48" numFmtId="0" xfId="0" applyAlignment="1" applyBorder="1" applyFont="1">
      <alignment readingOrder="0"/>
    </xf>
    <xf borderId="1" fillId="13" fontId="48" numFmtId="0" xfId="0" applyAlignment="1" applyBorder="1" applyFont="1">
      <alignment readingOrder="0"/>
    </xf>
    <xf borderId="1" fillId="0" fontId="48" numFmtId="165" xfId="0" applyAlignment="1" applyBorder="1" applyFont="1" applyNumberFormat="1">
      <alignment readingOrder="0"/>
    </xf>
    <xf borderId="1" fillId="9" fontId="48" numFmtId="165" xfId="0" applyAlignment="1" applyBorder="1" applyFont="1" applyNumberFormat="1">
      <alignment readingOrder="0"/>
    </xf>
    <xf borderId="1" fillId="10" fontId="48" numFmtId="0" xfId="0" applyAlignment="1" applyBorder="1" applyFont="1">
      <alignment readingOrder="0"/>
    </xf>
    <xf borderId="1" fillId="0" fontId="54" numFmtId="0" xfId="0" applyAlignment="1" applyBorder="1" applyFont="1">
      <alignment horizontal="center" shrinkToFit="0" vertical="bottom" wrapText="0"/>
    </xf>
    <xf borderId="1" fillId="0" fontId="55" numFmtId="0" xfId="0" applyAlignment="1" applyBorder="1" applyFont="1">
      <alignment horizontal="center" readingOrder="0"/>
    </xf>
    <xf borderId="1" fillId="0" fontId="56" numFmtId="0" xfId="0" applyAlignment="1" applyBorder="1" applyFont="1">
      <alignment horizontal="center" readingOrder="0"/>
    </xf>
    <xf borderId="1" fillId="0" fontId="48" numFmtId="167" xfId="0" applyAlignment="1" applyBorder="1" applyFont="1" applyNumberFormat="1">
      <alignment horizontal="center" readingOrder="0"/>
    </xf>
    <xf borderId="1" fillId="15" fontId="48" numFmtId="0" xfId="0" applyAlignment="1" applyBorder="1" applyFill="1" applyFont="1">
      <alignment readingOrder="0"/>
    </xf>
    <xf borderId="1" fillId="0" fontId="15" numFmtId="0" xfId="0" applyAlignment="1" applyBorder="1" applyFont="1">
      <alignment horizontal="left" readingOrder="0" vertical="bottom"/>
    </xf>
    <xf borderId="1" fillId="0" fontId="15" numFmtId="169" xfId="0" applyAlignment="1" applyBorder="1" applyFont="1" applyNumberFormat="1">
      <alignment horizontal="center" readingOrder="0" shrinkToFit="0" vertical="bottom" wrapText="0"/>
    </xf>
    <xf borderId="1" fillId="0" fontId="7" numFmtId="167" xfId="0" applyAlignment="1" applyBorder="1" applyFont="1" applyNumberFormat="1">
      <alignment horizontal="center" readingOrder="0"/>
    </xf>
    <xf borderId="1" fillId="0" fontId="46" numFmtId="0" xfId="0" applyAlignment="1" applyBorder="1" applyFont="1">
      <alignment horizontal="left" readingOrder="0" vertical="bottom"/>
    </xf>
    <xf borderId="1" fillId="0" fontId="57" numFmtId="0" xfId="0" applyAlignment="1" applyBorder="1" applyFont="1">
      <alignment horizontal="center" readingOrder="0"/>
    </xf>
    <xf borderId="1" fillId="4" fontId="58" numFmtId="0" xfId="0" applyAlignment="1" applyBorder="1" applyFont="1">
      <alignment horizontal="center" readingOrder="0" shrinkToFit="0" vertical="bottom" wrapText="0"/>
    </xf>
    <xf borderId="1" fillId="0" fontId="59" numFmtId="0" xfId="0" applyAlignment="1" applyBorder="1" applyFont="1">
      <alignment horizontal="left" readingOrder="0" vertical="bottom"/>
    </xf>
    <xf borderId="1" fillId="0" fontId="59" numFmtId="0" xfId="0" applyAlignment="1" applyBorder="1" applyFont="1">
      <alignment horizontal="center" readingOrder="0" vertical="bottom"/>
    </xf>
    <xf borderId="1" fillId="0" fontId="47" numFmtId="165" xfId="0" applyAlignment="1" applyBorder="1" applyFont="1" applyNumberFormat="1">
      <alignment horizontal="center" readingOrder="0" shrinkToFit="0" vertical="bottom" wrapText="0"/>
    </xf>
    <xf borderId="1" fillId="0" fontId="15" numFmtId="0" xfId="0" applyAlignment="1" applyBorder="1" applyFont="1">
      <alignment horizontal="center" shrinkToFit="0" vertical="bottom" wrapText="0"/>
    </xf>
    <xf borderId="1" fillId="0" fontId="54" numFmtId="0" xfId="0" applyAlignment="1" applyBorder="1" applyFont="1">
      <alignment horizontal="left" readingOrder="0" vertical="bottom"/>
    </xf>
    <xf borderId="1" fillId="0" fontId="54" numFmtId="0" xfId="0" applyAlignment="1" applyBorder="1" applyFont="1">
      <alignment horizontal="center" readingOrder="0" vertical="bottom"/>
    </xf>
    <xf borderId="1" fillId="7" fontId="47" numFmtId="0" xfId="0" applyAlignment="1" applyBorder="1" applyFont="1">
      <alignment horizontal="center" readingOrder="0" vertical="bottom"/>
    </xf>
    <xf borderId="1" fillId="16" fontId="54" numFmtId="0" xfId="0" applyAlignment="1" applyBorder="1" applyFill="1" applyFont="1">
      <alignment horizontal="center" readingOrder="0" vertical="bottom"/>
    </xf>
    <xf borderId="1" fillId="0" fontId="60" numFmtId="0" xfId="0" applyAlignment="1" applyBorder="1" applyFont="1">
      <alignment horizontal="center" readingOrder="0"/>
    </xf>
    <xf borderId="1" fillId="0" fontId="61" numFmtId="0" xfId="0" applyAlignment="1" applyBorder="1" applyFont="1">
      <alignment horizontal="center" readingOrder="0"/>
    </xf>
    <xf borderId="1" fillId="7" fontId="54" numFmtId="0" xfId="0" applyAlignment="1" applyBorder="1" applyFont="1">
      <alignment horizontal="left" readingOrder="0" vertical="bottom"/>
    </xf>
    <xf borderId="1" fillId="7" fontId="54" numFmtId="0" xfId="0" applyAlignment="1" applyBorder="1" applyFont="1">
      <alignment horizontal="center" readingOrder="0" vertical="bottom"/>
    </xf>
    <xf borderId="1" fillId="17" fontId="7" numFmtId="165" xfId="0" applyAlignment="1" applyBorder="1" applyFill="1" applyFont="1" applyNumberFormat="1">
      <alignment readingOrder="0"/>
    </xf>
    <xf borderId="1" fillId="17" fontId="7" numFmtId="0" xfId="0" applyAlignment="1" applyBorder="1" applyFont="1">
      <alignment readingOrder="0"/>
    </xf>
    <xf borderId="1" fillId="18" fontId="54" numFmtId="0" xfId="0" applyAlignment="1" applyBorder="1" applyFill="1" applyFont="1">
      <alignment horizontal="center" readingOrder="0" vertical="bottom"/>
    </xf>
    <xf borderId="1" fillId="0" fontId="54" numFmtId="170" xfId="0" applyAlignment="1" applyBorder="1" applyFont="1" applyNumberFormat="1">
      <alignment horizontal="center" readingOrder="0" vertical="bottom"/>
    </xf>
    <xf borderId="1" fillId="7" fontId="60" numFmtId="0" xfId="0" applyAlignment="1" applyBorder="1" applyFont="1">
      <alignment horizontal="center" readingOrder="0"/>
    </xf>
    <xf borderId="1" fillId="7" fontId="54" numFmtId="170" xfId="0" applyAlignment="1" applyBorder="1" applyFont="1" applyNumberFormat="1">
      <alignment horizontal="center" readingOrder="0" vertical="bottom"/>
    </xf>
    <xf borderId="0" fillId="0" fontId="14" numFmtId="0" xfId="0" applyAlignment="1" applyFont="1">
      <alignment horizontal="left" readingOrder="0" shrinkToFit="0" vertical="bottom" wrapText="0"/>
    </xf>
    <xf borderId="1" fillId="7" fontId="7" numFmtId="167" xfId="0" applyAlignment="1" applyBorder="1" applyFont="1" applyNumberFormat="1">
      <alignment readingOrder="0"/>
    </xf>
    <xf borderId="1" fillId="19" fontId="54" numFmtId="0" xfId="0" applyAlignment="1" applyBorder="1" applyFill="1" applyFont="1">
      <alignment horizontal="center" readingOrder="0" vertical="bottom"/>
    </xf>
    <xf borderId="0" fillId="8" fontId="62" numFmtId="0" xfId="0" applyAlignment="1" applyFont="1">
      <alignment readingOrder="0"/>
    </xf>
    <xf borderId="1" fillId="0" fontId="63" numFmtId="0" xfId="0" applyAlignment="1" applyBorder="1" applyFont="1">
      <alignment horizontal="center" readingOrder="0"/>
    </xf>
    <xf borderId="1" fillId="0" fontId="64" numFmtId="0" xfId="0" applyAlignment="1" applyBorder="1" applyFont="1">
      <alignment horizontal="left" readingOrder="0" vertical="bottom"/>
    </xf>
    <xf borderId="1" fillId="0" fontId="64" numFmtId="0" xfId="0" applyAlignment="1" applyBorder="1" applyFont="1">
      <alignment horizontal="center" readingOrder="0" vertical="bottom"/>
    </xf>
    <xf borderId="1" fillId="0" fontId="63" numFmtId="0" xfId="0" applyAlignment="1" applyBorder="1" applyFont="1">
      <alignment readingOrder="0"/>
    </xf>
    <xf borderId="1" fillId="0" fontId="63" numFmtId="0" xfId="0" applyBorder="1" applyFont="1"/>
    <xf borderId="1" fillId="0" fontId="63" numFmtId="165" xfId="0" applyAlignment="1" applyBorder="1" applyFont="1" applyNumberFormat="1">
      <alignment readingOrder="0"/>
    </xf>
    <xf borderId="0" fillId="0" fontId="63" numFmtId="0" xfId="0" applyFont="1"/>
    <xf borderId="1" fillId="11" fontId="54" numFmtId="0" xfId="0" applyAlignment="1" applyBorder="1" applyFont="1">
      <alignment horizontal="center" readingOrder="0" vertical="bottom"/>
    </xf>
    <xf borderId="2" fillId="0" fontId="51" numFmtId="0" xfId="0" applyAlignment="1" applyBorder="1" applyFont="1">
      <alignment horizontal="center" readingOrder="0" vertical="bottom"/>
    </xf>
    <xf borderId="1" fillId="7" fontId="65" numFmtId="0" xfId="0" applyAlignment="1" applyBorder="1" applyFont="1">
      <alignment horizontal="center" readingOrder="0" vertical="bottom"/>
    </xf>
    <xf borderId="1" fillId="0" fontId="60" numFmtId="0" xfId="0" applyAlignment="1" applyBorder="1" applyFont="1">
      <alignment readingOrder="0"/>
    </xf>
    <xf borderId="0" fillId="0" fontId="14" numFmtId="0" xfId="0" applyAlignment="1" applyFont="1">
      <alignment horizontal="left" readingOrder="0" shrinkToFit="0" vertical="bottom" wrapText="0"/>
    </xf>
    <xf borderId="2" fillId="7" fontId="51" numFmtId="0" xfId="0" applyAlignment="1" applyBorder="1" applyFont="1">
      <alignment horizontal="center" readingOrder="0"/>
    </xf>
    <xf borderId="1" fillId="0" fontId="66" numFmtId="0" xfId="0" applyAlignment="1" applyBorder="1" applyFont="1">
      <alignment horizontal="center" readingOrder="0" vertical="bottom"/>
    </xf>
    <xf borderId="1" fillId="7" fontId="67" numFmtId="0" xfId="0" applyAlignment="1" applyBorder="1" applyFont="1">
      <alignment horizontal="left" readingOrder="0" vertical="bottom"/>
    </xf>
    <xf borderId="1" fillId="0" fontId="40" numFmtId="170" xfId="0" applyAlignment="1" applyBorder="1" applyFont="1" applyNumberFormat="1">
      <alignment horizontal="center" readingOrder="0" vertical="bottom"/>
    </xf>
    <xf borderId="1" fillId="0" fontId="40" numFmtId="0" xfId="0" applyAlignment="1" applyBorder="1" applyFont="1">
      <alignment horizontal="center" readingOrder="0" vertical="bottom"/>
    </xf>
    <xf borderId="1" fillId="0" fontId="66" numFmtId="0" xfId="0" applyAlignment="1" applyBorder="1" applyFont="1">
      <alignment horizontal="left" readingOrder="0" vertical="bottom"/>
    </xf>
    <xf borderId="1" fillId="0" fontId="13" numFmtId="0" xfId="0" applyAlignment="1" applyBorder="1" applyFont="1">
      <alignment readingOrder="0"/>
    </xf>
    <xf borderId="1" fillId="16" fontId="66" numFmtId="0" xfId="0" applyAlignment="1" applyBorder="1" applyFont="1">
      <alignment horizontal="center" readingOrder="0" vertical="bottom"/>
    </xf>
    <xf borderId="1" fillId="14" fontId="66" numFmtId="0" xfId="0" applyAlignment="1" applyBorder="1" applyFont="1">
      <alignment horizontal="center" readingOrder="0" vertical="bottom"/>
    </xf>
    <xf borderId="1" fillId="14" fontId="66" numFmtId="0" xfId="0" applyAlignment="1" applyBorder="1" applyFont="1">
      <alignment horizontal="left" readingOrder="0" vertical="bottom"/>
    </xf>
    <xf borderId="1" fillId="14" fontId="40" numFmtId="170" xfId="0" applyAlignment="1" applyBorder="1" applyFont="1" applyNumberFormat="1">
      <alignment horizontal="center" readingOrder="0" vertical="bottom"/>
    </xf>
    <xf borderId="1" fillId="14" fontId="40" numFmtId="0" xfId="0" applyAlignment="1" applyBorder="1" applyFont="1">
      <alignment horizontal="center" readingOrder="0" vertical="bottom"/>
    </xf>
    <xf borderId="0" fillId="0" fontId="14" numFmtId="0" xfId="0" applyAlignment="1" applyFont="1">
      <alignment horizontal="center" readingOrder="0" shrinkToFit="0" vertical="bottom" wrapText="0"/>
    </xf>
    <xf borderId="0" fillId="0" fontId="30" numFmtId="0" xfId="0" applyAlignment="1" applyFont="1">
      <alignment vertical="bottom"/>
    </xf>
    <xf borderId="1" fillId="20" fontId="66" numFmtId="0" xfId="0" applyAlignment="1" applyBorder="1" applyFill="1" applyFont="1">
      <alignment horizontal="center" readingOrder="0" vertical="bottom"/>
    </xf>
    <xf borderId="0" fillId="14" fontId="30" numFmtId="0" xfId="0" applyAlignment="1" applyFont="1">
      <alignment vertical="bottom"/>
    </xf>
    <xf borderId="1" fillId="14" fontId="7" numFmtId="0" xfId="0" applyAlignment="1" applyBorder="1" applyFont="1">
      <alignment readingOrder="0"/>
    </xf>
    <xf borderId="1" fillId="14" fontId="7" numFmtId="0" xfId="0" applyAlignment="1" applyBorder="1" applyFont="1">
      <alignment horizontal="center"/>
    </xf>
    <xf borderId="1" fillId="14" fontId="7" numFmtId="0" xfId="0" applyBorder="1" applyFont="1"/>
    <xf borderId="0" fillId="14" fontId="7" numFmtId="0" xfId="0" applyFont="1"/>
    <xf borderId="1" fillId="19" fontId="66" numFmtId="0" xfId="0" applyAlignment="1" applyBorder="1" applyFont="1">
      <alignment horizontal="center" readingOrder="0" vertical="bottom"/>
    </xf>
    <xf borderId="0" fillId="0" fontId="7" numFmtId="0" xfId="0" applyAlignment="1" applyFont="1">
      <alignment horizontal="center" readingOrder="0"/>
    </xf>
    <xf borderId="1" fillId="11" fontId="66" numFmtId="0" xfId="0" applyAlignment="1" applyBorder="1" applyFont="1">
      <alignment horizontal="center" readingOrder="0" vertical="bottom"/>
    </xf>
    <xf borderId="1" fillId="0" fontId="44" numFmtId="0" xfId="0" applyAlignment="1" applyBorder="1" applyFont="1">
      <alignment horizontal="left" readingOrder="0" shrinkToFit="0" vertical="bottom" wrapText="0"/>
    </xf>
    <xf borderId="1" fillId="0" fontId="44" numFmtId="0" xfId="0" applyAlignment="1" applyBorder="1" applyFont="1">
      <alignment horizontal="center" readingOrder="0" shrinkToFit="0" vertical="bottom" wrapText="0"/>
    </xf>
    <xf borderId="1" fillId="0" fontId="68" numFmtId="0" xfId="0" applyAlignment="1" applyBorder="1" applyFont="1">
      <alignment horizontal="center" readingOrder="0" shrinkToFit="0" vertical="bottom" wrapText="0"/>
    </xf>
    <xf borderId="1" fillId="7" fontId="62" numFmtId="0" xfId="0" applyAlignment="1" applyBorder="1" applyFont="1">
      <alignment horizontal="center" readingOrder="0" shrinkToFit="0" vertical="bottom" wrapText="0"/>
    </xf>
    <xf borderId="1" fillId="0" fontId="44" numFmtId="167" xfId="0" applyAlignment="1" applyBorder="1" applyFont="1" applyNumberFormat="1">
      <alignment horizontal="center" readingOrder="0" vertical="bottom"/>
    </xf>
    <xf borderId="1" fillId="21" fontId="44" numFmtId="0" xfId="0" applyAlignment="1" applyBorder="1" applyFill="1" applyFont="1">
      <alignment horizontal="left" readingOrder="0" shrinkToFit="0" vertical="bottom" wrapText="0"/>
    </xf>
    <xf borderId="1" fillId="21" fontId="44" numFmtId="0" xfId="0" applyAlignment="1" applyBorder="1" applyFont="1">
      <alignment horizontal="center" readingOrder="0" shrinkToFit="0" vertical="bottom" wrapText="0"/>
    </xf>
    <xf borderId="1" fillId="21" fontId="68" numFmtId="0" xfId="0" applyAlignment="1" applyBorder="1" applyFont="1">
      <alignment horizontal="center" readingOrder="0" shrinkToFit="0" vertical="bottom" wrapText="0"/>
    </xf>
    <xf borderId="1" fillId="21" fontId="62" numFmtId="0" xfId="0" applyAlignment="1" applyBorder="1" applyFont="1">
      <alignment horizontal="center" readingOrder="0" shrinkToFit="0" vertical="bottom" wrapText="0"/>
    </xf>
    <xf borderId="1" fillId="21" fontId="44" numFmtId="167" xfId="0" applyAlignment="1" applyBorder="1" applyFont="1" applyNumberFormat="1">
      <alignment horizontal="center" readingOrder="0" vertical="bottom"/>
    </xf>
    <xf borderId="5" fillId="0" fontId="15" numFmtId="0" xfId="0" applyAlignment="1" applyBorder="1" applyFont="1">
      <alignment horizontal="center" readingOrder="0" vertical="bottom"/>
    </xf>
    <xf borderId="1" fillId="11" fontId="44" numFmtId="0" xfId="0" applyAlignment="1" applyBorder="1" applyFont="1">
      <alignment horizontal="center" readingOrder="0" shrinkToFit="0" vertical="bottom" wrapText="0"/>
    </xf>
    <xf borderId="1" fillId="0" fontId="44" numFmtId="0" xfId="0" applyAlignment="1" applyBorder="1" applyFont="1">
      <alignment horizontal="center" readingOrder="0" vertical="bottom"/>
    </xf>
    <xf borderId="1" fillId="19" fontId="44" numFmtId="0" xfId="0" applyAlignment="1" applyBorder="1" applyFont="1">
      <alignment horizontal="center" readingOrder="0" shrinkToFit="0" vertical="bottom" wrapText="0"/>
    </xf>
    <xf borderId="1" fillId="7" fontId="62" numFmtId="0" xfId="0" applyAlignment="1" applyBorder="1" applyFont="1">
      <alignment horizontal="center" readingOrder="0" shrinkToFit="0" vertical="top" wrapText="0"/>
    </xf>
    <xf borderId="1" fillId="7" fontId="69" numFmtId="0" xfId="0" applyAlignment="1" applyBorder="1" applyFont="1">
      <alignment horizontal="center" readingOrder="0" shrinkToFit="0" vertical="bottom" wrapText="0"/>
    </xf>
    <xf borderId="1" fillId="16" fontId="44" numFmtId="0" xfId="0" applyAlignment="1" applyBorder="1" applyFont="1">
      <alignment horizontal="center" readingOrder="0" shrinkToFit="0" vertical="bottom" wrapText="0"/>
    </xf>
    <xf borderId="1" fillId="0" fontId="44" numFmtId="0" xfId="0" applyAlignment="1" applyBorder="1" applyFont="1">
      <alignment horizontal="center" shrinkToFit="0" vertical="bottom" wrapText="0"/>
    </xf>
    <xf borderId="1" fillId="7" fontId="44" numFmtId="0" xfId="0" applyAlignment="1" applyBorder="1" applyFont="1">
      <alignment horizontal="center" shrinkToFit="0" vertical="bottom" wrapText="0"/>
    </xf>
    <xf borderId="5" fillId="0" fontId="15" numFmtId="0" xfId="0" applyAlignment="1" applyBorder="1" applyFont="1">
      <alignment horizontal="center" vertical="bottom"/>
    </xf>
    <xf borderId="1" fillId="22" fontId="44" numFmtId="0" xfId="0" applyAlignment="1" applyBorder="1" applyFill="1" applyFont="1">
      <alignment horizontal="left" readingOrder="0" shrinkToFit="0" vertical="bottom" wrapText="0"/>
    </xf>
    <xf borderId="1" fillId="22" fontId="44" numFmtId="0" xfId="0" applyAlignment="1" applyBorder="1" applyFont="1">
      <alignment horizontal="center" readingOrder="0" shrinkToFit="0" vertical="bottom" wrapText="0"/>
    </xf>
    <xf borderId="1" fillId="22" fontId="68" numFmtId="0" xfId="0" applyAlignment="1" applyBorder="1" applyFont="1">
      <alignment horizontal="center" readingOrder="0" shrinkToFit="0" vertical="bottom" wrapText="0"/>
    </xf>
    <xf borderId="1" fillId="22" fontId="62" numFmtId="0" xfId="0" applyAlignment="1" applyBorder="1" applyFont="1">
      <alignment horizontal="center" readingOrder="0" shrinkToFit="0" vertical="bottom" wrapText="0"/>
    </xf>
    <xf borderId="1" fillId="22" fontId="44" numFmtId="167" xfId="0" applyAlignment="1" applyBorder="1" applyFont="1" applyNumberFormat="1">
      <alignment horizontal="center" readingOrder="0" vertical="bottom"/>
    </xf>
    <xf borderId="1" fillId="7" fontId="15" numFmtId="0" xfId="0" applyAlignment="1" applyBorder="1" applyFont="1">
      <alignment horizontal="center" vertical="bottom"/>
    </xf>
    <xf borderId="1" fillId="7" fontId="15" numFmtId="0" xfId="0" applyAlignment="1" applyBorder="1" applyFont="1">
      <alignment horizontal="center" readingOrder="0" vertical="bottom"/>
    </xf>
    <xf borderId="1" fillId="8" fontId="62" numFmtId="0" xfId="0" applyAlignment="1" applyBorder="1" applyFont="1">
      <alignment horizontal="center" readingOrder="0" vertical="bottom"/>
    </xf>
    <xf borderId="1" fillId="14" fontId="15" numFmtId="0" xfId="0" applyAlignment="1" applyBorder="1" applyFont="1">
      <alignment vertical="bottom"/>
    </xf>
    <xf borderId="5" fillId="14" fontId="15" numFmtId="0" xfId="0" applyAlignment="1" applyBorder="1" applyFont="1">
      <alignment horizontal="center" readingOrder="0" vertical="bottom"/>
    </xf>
    <xf borderId="1" fillId="14" fontId="43" numFmtId="0" xfId="0" applyAlignment="1" applyBorder="1" applyFont="1">
      <alignment horizontal="center" vertical="bottom"/>
    </xf>
    <xf borderId="1" fillId="14" fontId="15" numFmtId="0" xfId="0" applyAlignment="1" applyBorder="1" applyFont="1">
      <alignment horizontal="center" vertical="bottom"/>
    </xf>
    <xf borderId="1" fillId="14" fontId="62" numFmtId="0" xfId="0" applyAlignment="1" applyBorder="1" applyFont="1">
      <alignment horizontal="center" readingOrder="0" vertical="bottom"/>
    </xf>
    <xf borderId="1" fillId="7" fontId="62" numFmtId="0" xfId="0" applyAlignment="1" applyBorder="1" applyFont="1">
      <alignment horizontal="center" readingOrder="0" vertical="bottom"/>
    </xf>
    <xf borderId="5" fillId="7" fontId="15" numFmtId="0" xfId="0" applyAlignment="1" applyBorder="1" applyFont="1">
      <alignment horizontal="center" readingOrder="0" vertical="bottom"/>
    </xf>
    <xf borderId="1" fillId="18" fontId="44" numFmtId="0" xfId="0" applyAlignment="1" applyBorder="1" applyFont="1">
      <alignment horizontal="center" readingOrder="0" shrinkToFit="0" vertical="bottom" wrapText="0"/>
    </xf>
    <xf borderId="1" fillId="7" fontId="62" numFmtId="0" xfId="0" applyAlignment="1" applyBorder="1" applyFont="1">
      <alignment horizontal="center" readingOrder="0" vertical="top"/>
    </xf>
    <xf borderId="1" fillId="0" fontId="40" numFmtId="0" xfId="0" applyAlignment="1" applyBorder="1" applyFont="1">
      <alignment readingOrder="0"/>
    </xf>
    <xf borderId="1" fillId="7" fontId="44" numFmtId="0" xfId="0" applyAlignment="1" applyBorder="1" applyFont="1">
      <alignment horizontal="center" readingOrder="0" shrinkToFit="0" vertical="bottom" wrapText="0"/>
    </xf>
    <xf borderId="1" fillId="7" fontId="40" numFmtId="0" xfId="0" applyAlignment="1" applyBorder="1" applyFont="1">
      <alignment horizontal="center" readingOrder="0" vertical="bottom"/>
    </xf>
    <xf borderId="0" fillId="0" fontId="70" numFmtId="0" xfId="0" applyAlignment="1" applyFont="1">
      <alignment horizontal="left" readingOrder="0"/>
    </xf>
    <xf borderId="5" fillId="7" fontId="62" numFmtId="0" xfId="0" applyAlignment="1" applyBorder="1" applyFont="1">
      <alignment horizontal="center" readingOrder="0" vertical="bottom"/>
    </xf>
    <xf borderId="1" fillId="5" fontId="7" numFmtId="165" xfId="0" applyAlignment="1" applyBorder="1" applyFont="1" applyNumberFormat="1">
      <alignment readingOrder="0"/>
    </xf>
    <xf borderId="0" fillId="0" fontId="18" numFmtId="0" xfId="0" applyAlignment="1" applyFont="1">
      <alignment horizontal="left" readingOrder="0" shrinkToFit="0" vertical="bottom" wrapText="0"/>
    </xf>
    <xf borderId="1" fillId="7" fontId="71" numFmtId="0" xfId="0" applyAlignment="1" applyBorder="1" applyFont="1">
      <alignment horizontal="center" readingOrder="0" vertical="bottom"/>
    </xf>
    <xf borderId="0" fillId="7" fontId="3" numFmtId="0" xfId="0" applyAlignment="1" applyFont="1">
      <alignment horizontal="center" readingOrder="0" vertical="bottom"/>
    </xf>
    <xf borderId="1" fillId="4" fontId="72" numFmtId="0" xfId="0" applyAlignment="1" applyBorder="1" applyFont="1">
      <alignment horizontal="center" vertical="bottom"/>
    </xf>
    <xf borderId="1" fillId="0" fontId="40" numFmtId="0" xfId="0" applyAlignment="1" applyBorder="1" applyFont="1">
      <alignment horizontal="left" readingOrder="0" vertical="bottom"/>
    </xf>
    <xf borderId="1" fillId="0" fontId="44" numFmtId="0" xfId="0" applyAlignment="1" applyBorder="1" applyFont="1">
      <alignment horizontal="center" readingOrder="0"/>
    </xf>
    <xf borderId="1" fillId="0" fontId="40" numFmtId="170" xfId="0" applyAlignment="1" applyBorder="1" applyFont="1" applyNumberFormat="1">
      <alignment horizontal="center" readingOrder="0"/>
    </xf>
    <xf borderId="1" fillId="11" fontId="40" numFmtId="0" xfId="0" applyAlignment="1" applyBorder="1" applyFont="1">
      <alignment horizontal="left" readingOrder="0" vertical="bottom"/>
    </xf>
    <xf borderId="0" fillId="0" fontId="7" numFmtId="171" xfId="0" applyFont="1" applyNumberFormat="1"/>
    <xf borderId="1" fillId="0" fontId="73" numFmtId="0" xfId="0" applyAlignment="1" applyBorder="1" applyFont="1">
      <alignment horizontal="center" readingOrder="0"/>
    </xf>
    <xf borderId="1" fillId="7" fontId="40" numFmtId="0" xfId="0" applyAlignment="1" applyBorder="1" applyFont="1">
      <alignment horizontal="center" readingOrder="0"/>
    </xf>
    <xf borderId="1" fillId="7" fontId="40" numFmtId="0" xfId="0" applyAlignment="1" applyBorder="1" applyFont="1">
      <alignment horizontal="left" readingOrder="0" vertical="bottom"/>
    </xf>
    <xf borderId="1" fillId="7" fontId="44" numFmtId="0" xfId="0" applyAlignment="1" applyBorder="1" applyFont="1">
      <alignment horizontal="center" readingOrder="0"/>
    </xf>
    <xf borderId="1" fillId="7" fontId="7" numFmtId="165" xfId="0" applyAlignment="1" applyBorder="1" applyFont="1" applyNumberFormat="1">
      <alignment readingOrder="0"/>
    </xf>
    <xf borderId="0" fillId="2" fontId="74" numFmtId="0" xfId="0" applyAlignment="1" applyFont="1">
      <alignment horizontal="center" vertical="bottom"/>
    </xf>
    <xf borderId="0" fillId="2" fontId="2" numFmtId="0" xfId="0" applyAlignment="1" applyFont="1">
      <alignment horizontal="center" vertical="bottom"/>
    </xf>
    <xf borderId="0" fillId="2" fontId="7" numFmtId="0" xfId="0" applyFont="1"/>
    <xf borderId="1" fillId="7" fontId="62" numFmtId="0" xfId="0" applyAlignment="1" applyBorder="1" applyFont="1">
      <alignment horizontal="center" vertical="bottom"/>
    </xf>
    <xf borderId="0" fillId="0" fontId="15" numFmtId="0" xfId="0" applyAlignment="1" applyFont="1">
      <alignment horizontal="center" vertical="bottom"/>
    </xf>
    <xf borderId="1" fillId="14" fontId="62" numFmtId="0" xfId="0" applyAlignment="1" applyBorder="1" applyFont="1">
      <alignment horizontal="center" vertical="bottom"/>
    </xf>
    <xf borderId="1" fillId="16" fontId="15" numFmtId="0" xfId="0" applyAlignment="1" applyBorder="1" applyFont="1">
      <alignment horizontal="center" vertical="bottom"/>
    </xf>
    <xf borderId="1" fillId="0" fontId="75" numFmtId="0" xfId="0" applyAlignment="1" applyBorder="1" applyFont="1">
      <alignment horizontal="center" vertical="bottom"/>
    </xf>
    <xf borderId="0" fillId="0" fontId="75" numFmtId="0" xfId="0" applyAlignment="1" applyFont="1">
      <alignment horizontal="center" vertical="bottom"/>
    </xf>
    <xf borderId="1" fillId="14" fontId="76" numFmtId="0" xfId="0" applyAlignment="1" applyBorder="1" applyFont="1">
      <alignment horizontal="center" vertical="top"/>
    </xf>
    <xf borderId="1" fillId="14" fontId="15" numFmtId="0" xfId="0" applyAlignment="1" applyBorder="1" applyFont="1">
      <alignment horizontal="center" readingOrder="0" vertical="bottom"/>
    </xf>
    <xf borderId="1" fillId="14" fontId="13" numFmtId="0" xfId="0" applyAlignment="1" applyBorder="1" applyFont="1">
      <alignment readingOrder="0"/>
    </xf>
    <xf borderId="1" fillId="7" fontId="46" numFmtId="0" xfId="0" applyAlignment="1" applyBorder="1" applyFont="1">
      <alignment horizontal="center" vertical="bottom"/>
    </xf>
    <xf borderId="1" fillId="7" fontId="77" numFmtId="0" xfId="0" applyAlignment="1" applyBorder="1" applyFont="1">
      <alignment horizontal="center" vertical="bottom"/>
    </xf>
    <xf borderId="1" fillId="7" fontId="76" numFmtId="0" xfId="0" applyAlignment="1" applyBorder="1" applyFont="1">
      <alignment horizontal="center" vertical="bottom"/>
    </xf>
    <xf borderId="1" fillId="7" fontId="76" numFmtId="0" xfId="0" applyAlignment="1" applyBorder="1" applyFont="1">
      <alignment horizontal="center" vertical="top"/>
    </xf>
    <xf borderId="1" fillId="0" fontId="15" numFmtId="170" xfId="0" applyAlignment="1" applyBorder="1" applyFont="1" applyNumberFormat="1">
      <alignment horizontal="center" vertical="bottom"/>
    </xf>
    <xf borderId="0" fillId="0" fontId="6" numFmtId="0" xfId="0" applyAlignment="1" applyFont="1">
      <alignment vertical="bottom"/>
    </xf>
    <xf borderId="1" fillId="5" fontId="15" numFmtId="0" xfId="0" applyAlignment="1" applyBorder="1" applyFont="1">
      <alignment vertical="bottom"/>
    </xf>
    <xf borderId="1" fillId="5" fontId="15" numFmtId="0" xfId="0" applyAlignment="1" applyBorder="1" applyFont="1">
      <alignment readingOrder="0" vertical="bottom"/>
    </xf>
    <xf borderId="1" fillId="5" fontId="76" numFmtId="0" xfId="0" applyAlignment="1" applyBorder="1" applyFont="1">
      <alignment horizontal="center" vertical="bottom"/>
    </xf>
    <xf borderId="1" fillId="5" fontId="15" numFmtId="0" xfId="0" applyAlignment="1" applyBorder="1" applyFont="1">
      <alignment horizontal="center" vertical="bottom"/>
    </xf>
    <xf borderId="1" fillId="5" fontId="62" numFmtId="0" xfId="0" applyAlignment="1" applyBorder="1" applyFont="1">
      <alignment horizontal="center" vertical="bottom"/>
    </xf>
    <xf borderId="1" fillId="5" fontId="78" numFmtId="0" xfId="0" applyAlignment="1" applyBorder="1" applyFont="1">
      <alignment horizontal="center" vertical="bottom"/>
    </xf>
    <xf borderId="1" fillId="5" fontId="7" numFmtId="0" xfId="0" applyAlignment="1" applyBorder="1" applyFont="1">
      <alignment readingOrder="0"/>
    </xf>
    <xf borderId="1" fillId="5" fontId="7" numFmtId="0" xfId="0" applyBorder="1" applyFont="1"/>
    <xf borderId="0" fillId="5" fontId="7" numFmtId="0" xfId="0" applyFont="1"/>
    <xf borderId="0" fillId="0" fontId="7" numFmtId="172" xfId="0" applyFont="1" applyNumberFormat="1"/>
    <xf borderId="1" fillId="0" fontId="15" numFmtId="164" xfId="0" applyAlignment="1" applyBorder="1" applyFont="1" applyNumberFormat="1">
      <alignment horizontal="center" vertical="bottom"/>
    </xf>
    <xf borderId="1" fillId="7" fontId="62" numFmtId="0" xfId="0" applyAlignment="1" applyBorder="1" applyFont="1">
      <alignment horizontal="center" vertical="bottom"/>
    </xf>
    <xf borderId="0" fillId="0" fontId="7" numFmtId="165" xfId="0" applyFont="1" applyNumberFormat="1"/>
    <xf borderId="1" fillId="7" fontId="15" numFmtId="0" xfId="0" applyAlignment="1" applyBorder="1" applyFont="1">
      <alignment horizontal="center" vertical="bottom"/>
    </xf>
    <xf borderId="1" fillId="0" fontId="15" numFmtId="0" xfId="0" applyAlignment="1" applyBorder="1" applyFont="1">
      <alignment vertical="bottom"/>
    </xf>
    <xf borderId="1" fillId="0" fontId="30" numFmtId="0" xfId="0" applyAlignment="1" applyBorder="1" applyFont="1">
      <alignment horizontal="center" vertical="bottom"/>
    </xf>
    <xf borderId="1" fillId="0" fontId="79" numFmtId="0" xfId="0" applyAlignment="1" applyBorder="1" applyFont="1">
      <alignment vertical="bottom"/>
    </xf>
    <xf borderId="1" fillId="7" fontId="62" numFmtId="0" xfId="0" applyAlignment="1" applyBorder="1" applyFont="1">
      <alignment horizontal="center" vertical="top"/>
    </xf>
    <xf borderId="1" fillId="16" fontId="15" numFmtId="0" xfId="0" applyAlignment="1" applyBorder="1" applyFont="1">
      <alignment horizontal="center" vertical="bottom"/>
    </xf>
    <xf borderId="1" fillId="7" fontId="15" numFmtId="0" xfId="0" applyAlignment="1" applyBorder="1" applyFont="1">
      <alignment vertical="bottom"/>
    </xf>
    <xf borderId="1" fillId="7" fontId="15" numFmtId="0" xfId="0" applyAlignment="1" applyBorder="1" applyFont="1">
      <alignment vertical="bottom"/>
    </xf>
    <xf borderId="1" fillId="0" fontId="15" numFmtId="168" xfId="0" applyAlignment="1" applyBorder="1" applyFont="1" applyNumberFormat="1">
      <alignment horizontal="center" readingOrder="0" vertical="bottom"/>
    </xf>
    <xf borderId="1" fillId="11" fontId="15" numFmtId="0" xfId="0" applyAlignment="1" applyBorder="1" applyFont="1">
      <alignment horizontal="center" vertical="bottom"/>
    </xf>
    <xf borderId="1" fillId="0" fontId="80" numFmtId="0" xfId="0" applyAlignment="1" applyBorder="1" applyFont="1">
      <alignment vertical="bottom"/>
    </xf>
    <xf borderId="1" fillId="7" fontId="15" numFmtId="10" xfId="0" applyAlignment="1" applyBorder="1" applyFont="1" applyNumberFormat="1">
      <alignment horizontal="center" vertical="bottom"/>
    </xf>
    <xf borderId="1" fillId="7" fontId="62" numFmtId="10" xfId="0" applyAlignment="1" applyBorder="1" applyFont="1" applyNumberFormat="1">
      <alignment horizontal="center" vertical="bottom"/>
    </xf>
    <xf borderId="1" fillId="0" fontId="2" numFmtId="0" xfId="0" applyAlignment="1" applyBorder="1" applyFont="1">
      <alignment readingOrder="0" vertical="bottom"/>
    </xf>
    <xf borderId="1" fillId="7" fontId="62" numFmtId="0" xfId="0" applyAlignment="1" applyBorder="1" applyFont="1">
      <alignment horizontal="center" shrinkToFit="0" vertical="top" wrapText="0"/>
    </xf>
    <xf borderId="1" fillId="0" fontId="30" numFmtId="0" xfId="0" applyAlignment="1" applyBorder="1" applyFont="1">
      <alignment horizontal="center" readingOrder="0" vertical="bottom"/>
    </xf>
    <xf borderId="1" fillId="0" fontId="81" numFmtId="0" xfId="0" applyAlignment="1" applyBorder="1" applyFont="1">
      <alignment readingOrder="0"/>
    </xf>
    <xf borderId="0" fillId="5" fontId="82" numFmtId="0" xfId="0" applyAlignment="1" applyFont="1">
      <alignment horizontal="center" readingOrder="0" vertical="bottom"/>
    </xf>
    <xf borderId="1" fillId="2" fontId="83" numFmtId="0" xfId="0" applyAlignment="1" applyBorder="1" applyFont="1">
      <alignment horizontal="center"/>
    </xf>
    <xf borderId="1" fillId="2" fontId="84" numFmtId="0" xfId="0" applyBorder="1" applyFont="1"/>
    <xf borderId="1" fillId="2" fontId="84" numFmtId="0" xfId="0" applyAlignment="1" applyBorder="1" applyFont="1">
      <alignment horizontal="center"/>
    </xf>
    <xf borderId="1" fillId="2" fontId="85" numFmtId="0" xfId="0" applyAlignment="1" applyBorder="1" applyFont="1">
      <alignment horizontal="center" vertical="bottom"/>
    </xf>
    <xf borderId="1" fillId="2" fontId="86" numFmtId="0" xfId="0" applyAlignment="1" applyBorder="1" applyFont="1">
      <alignment horizontal="center" vertical="bottom"/>
    </xf>
    <xf borderId="0" fillId="0" fontId="13" numFmtId="0" xfId="0" applyFont="1"/>
    <xf borderId="1" fillId="0" fontId="78" numFmtId="0" xfId="0" applyAlignment="1" applyBorder="1" applyFont="1">
      <alignment horizontal="center" vertical="bottom"/>
    </xf>
    <xf borderId="1" fillId="0" fontId="78" numFmtId="0" xfId="0" applyAlignment="1" applyBorder="1" applyFont="1">
      <alignment vertical="bottom"/>
    </xf>
    <xf borderId="1" fillId="7" fontId="78" numFmtId="0" xfId="0" applyAlignment="1" applyBorder="1" applyFont="1">
      <alignment horizontal="center" vertical="bottom"/>
    </xf>
    <xf borderId="1" fillId="0" fontId="78" numFmtId="168" xfId="0" applyAlignment="1" applyBorder="1" applyFont="1" applyNumberFormat="1">
      <alignment horizontal="center" vertical="bottom"/>
    </xf>
    <xf borderId="0" fillId="0" fontId="78" numFmtId="0" xfId="0" applyAlignment="1" applyFont="1">
      <alignment horizontal="center" vertical="bottom"/>
    </xf>
    <xf borderId="1" fillId="0" fontId="13" numFmtId="0" xfId="0" applyAlignment="1" applyBorder="1" applyFont="1">
      <alignment horizontal="center"/>
    </xf>
    <xf borderId="1" fillId="0" fontId="13" numFmtId="0" xfId="0" applyBorder="1" applyFont="1"/>
    <xf borderId="0" fillId="0" fontId="7" numFmtId="173" xfId="0" applyFont="1" applyNumberFormat="1"/>
    <xf borderId="1" fillId="0" fontId="78" numFmtId="0" xfId="0" applyAlignment="1" applyBorder="1" applyFont="1">
      <alignment vertical="bottom"/>
    </xf>
    <xf borderId="1" fillId="7" fontId="87" numFmtId="0" xfId="0" applyAlignment="1" applyBorder="1" applyFont="1">
      <alignment horizontal="center" vertical="bottom"/>
    </xf>
    <xf borderId="1" fillId="0" fontId="78" numFmtId="0" xfId="0" applyAlignment="1" applyBorder="1" applyFont="1">
      <alignment readingOrder="0" vertical="bottom"/>
    </xf>
    <xf borderId="1" fillId="7" fontId="88" numFmtId="0" xfId="0" applyAlignment="1" applyBorder="1" applyFont="1">
      <alignment horizontal="center" vertical="bottom"/>
    </xf>
    <xf borderId="1" fillId="14" fontId="78" numFmtId="0" xfId="0" applyAlignment="1" applyBorder="1" applyFont="1">
      <alignment horizontal="center" vertical="bottom"/>
    </xf>
    <xf borderId="1" fillId="14" fontId="78" numFmtId="0" xfId="0" applyAlignment="1" applyBorder="1" applyFont="1">
      <alignment vertical="bottom"/>
    </xf>
    <xf borderId="0" fillId="14" fontId="78" numFmtId="0" xfId="0" applyAlignment="1" applyFont="1">
      <alignment horizontal="center" vertical="bottom"/>
    </xf>
    <xf borderId="1" fillId="7" fontId="78" numFmtId="0" xfId="0" applyAlignment="1" applyBorder="1" applyFont="1">
      <alignment vertical="bottom"/>
    </xf>
    <xf borderId="1" fillId="2" fontId="89" numFmtId="0" xfId="0" applyAlignment="1" applyBorder="1" applyFont="1">
      <alignment horizontal="center"/>
    </xf>
    <xf borderId="1" fillId="2" fontId="2" numFmtId="0" xfId="0" applyBorder="1" applyFont="1"/>
    <xf borderId="1" fillId="2" fontId="2" numFmtId="0" xfId="0" applyAlignment="1" applyBorder="1" applyFont="1">
      <alignment horizontal="center"/>
    </xf>
    <xf borderId="1" fillId="0" fontId="15" numFmtId="168" xfId="0" applyAlignment="1" applyBorder="1" applyFont="1" applyNumberFormat="1">
      <alignment horizontal="center" vertical="bottom"/>
    </xf>
    <xf borderId="0" fillId="0" fontId="90" numFmtId="0" xfId="0" applyAlignment="1" applyFont="1">
      <alignment vertical="bottom"/>
    </xf>
    <xf borderId="1" fillId="2" fontId="91" numFmtId="0" xfId="0" applyAlignment="1" applyBorder="1" applyFont="1">
      <alignment horizontal="center"/>
    </xf>
    <xf borderId="1" fillId="2" fontId="2" numFmtId="0" xfId="0" applyAlignment="1" applyBorder="1" applyFont="1">
      <alignment horizontal="center" readingOrder="0"/>
    </xf>
    <xf borderId="1" fillId="7" fontId="66" numFmtId="0" xfId="0" applyAlignment="1" applyBorder="1" applyFont="1">
      <alignment horizontal="center" readingOrder="0" vertical="bottom"/>
    </xf>
    <xf borderId="1" fillId="7" fontId="66" numFmtId="0" xfId="0" applyAlignment="1" applyBorder="1" applyFont="1">
      <alignment horizontal="center" readingOrder="0"/>
    </xf>
    <xf borderId="1" fillId="0" fontId="40" numFmtId="168" xfId="0" applyAlignment="1" applyBorder="1" applyFont="1" applyNumberFormat="1">
      <alignment horizontal="center" readingOrder="0" vertical="bottom"/>
    </xf>
    <xf borderId="1" fillId="0" fontId="0" numFmtId="0" xfId="0" applyAlignment="1" applyBorder="1" applyFont="1">
      <alignment horizontal="left" readingOrder="0" vertical="bottom"/>
    </xf>
    <xf borderId="1" fillId="7" fontId="0" numFmtId="0" xfId="0" applyAlignment="1" applyBorder="1" applyFont="1">
      <alignment horizontal="center" readingOrder="0" vertical="bottom"/>
    </xf>
    <xf borderId="1" fillId="0" fontId="0" numFmtId="0" xfId="0" applyAlignment="1" applyBorder="1" applyFont="1">
      <alignment horizontal="center" readingOrder="0" vertical="bottom"/>
    </xf>
    <xf borderId="1" fillId="0" fontId="92" numFmtId="168" xfId="0" applyAlignment="1" applyBorder="1" applyFont="1" applyNumberFormat="1">
      <alignment readingOrder="0"/>
    </xf>
    <xf borderId="1" fillId="14" fontId="0" numFmtId="0" xfId="0" applyAlignment="1" applyBorder="1" applyFont="1">
      <alignment horizontal="left" readingOrder="0" vertical="bottom"/>
    </xf>
    <xf borderId="1" fillId="14" fontId="0" numFmtId="0" xfId="0" applyAlignment="1" applyBorder="1" applyFont="1">
      <alignment horizontal="center" readingOrder="0" vertical="bottom"/>
    </xf>
    <xf borderId="1" fillId="14" fontId="0" numFmtId="0" xfId="0" applyAlignment="1" applyBorder="1" applyFont="1">
      <alignment horizontal="center" readingOrder="0"/>
    </xf>
    <xf borderId="1" fillId="0" fontId="93" numFmtId="0" xfId="0" applyAlignment="1" applyBorder="1" applyFont="1">
      <alignment horizontal="left" readingOrder="0" vertical="bottom"/>
    </xf>
    <xf borderId="1" fillId="7" fontId="93" numFmtId="0" xfId="0" applyAlignment="1" applyBorder="1" applyFont="1">
      <alignment horizontal="left" readingOrder="0" vertical="bottom"/>
    </xf>
    <xf borderId="1" fillId="23" fontId="66" numFmtId="0" xfId="0" applyAlignment="1" applyBorder="1" applyFill="1" applyFont="1">
      <alignment horizontal="center" readingOrder="0" vertical="bottom"/>
    </xf>
    <xf borderId="1" fillId="23" fontId="0" numFmtId="0" xfId="0" applyAlignment="1" applyBorder="1" applyFont="1">
      <alignment horizontal="left" readingOrder="0" vertical="bottom"/>
    </xf>
    <xf borderId="1" fillId="23" fontId="0" numFmtId="0" xfId="0" applyAlignment="1" applyBorder="1" applyFont="1">
      <alignment horizontal="center" readingOrder="0" vertical="bottom"/>
    </xf>
    <xf borderId="1" fillId="23" fontId="0" numFmtId="0" xfId="0" applyAlignment="1" applyBorder="1" applyFont="1">
      <alignment horizontal="center" readingOrder="0"/>
    </xf>
    <xf borderId="1" fillId="16" fontId="0" numFmtId="0" xfId="0" applyAlignment="1" applyBorder="1" applyFont="1">
      <alignment horizontal="center" readingOrder="0" vertical="bottom"/>
    </xf>
    <xf borderId="1" fillId="7" fontId="94" numFmtId="0" xfId="0" applyAlignment="1" applyBorder="1" applyFont="1">
      <alignment horizontal="center" readingOrder="0"/>
    </xf>
    <xf borderId="1" fillId="0" fontId="0" numFmtId="0" xfId="0" applyAlignment="1" applyBorder="1" applyFont="1">
      <alignment horizontal="center" readingOrder="0"/>
    </xf>
    <xf borderId="1" fillId="0" fontId="95" numFmtId="0" xfId="0" applyAlignment="1" applyBorder="1" applyFont="1">
      <alignment horizontal="left" readingOrder="0" vertical="bottom"/>
    </xf>
    <xf borderId="1" fillId="7" fontId="94" numFmtId="0" xfId="0" applyAlignment="1" applyBorder="1" applyFont="1">
      <alignment horizontal="center" readingOrder="0" vertical="bottom"/>
    </xf>
    <xf borderId="1" fillId="7" fontId="0" numFmtId="0" xfId="0" applyAlignment="1" applyBorder="1" applyFont="1">
      <alignment horizontal="left" readingOrder="0" vertical="bottom"/>
    </xf>
    <xf borderId="0" fillId="0" fontId="7" numFmtId="174" xfId="0" applyFont="1" applyNumberFormat="1"/>
    <xf borderId="1" fillId="24" fontId="0" numFmtId="0" xfId="0" applyAlignment="1" applyBorder="1" applyFill="1" applyFont="1">
      <alignment horizontal="center" readingOrder="0" vertical="bottom"/>
    </xf>
    <xf borderId="1" fillId="0" fontId="96" numFmtId="0" xfId="0" applyAlignment="1" applyBorder="1" applyFont="1">
      <alignment horizontal="center" readingOrder="0" vertical="bottom"/>
    </xf>
    <xf borderId="1" fillId="0" fontId="92" numFmtId="0" xfId="0" applyAlignment="1" applyBorder="1" applyFont="1">
      <alignment readingOrder="0"/>
    </xf>
    <xf borderId="1" fillId="0" fontId="92" numFmtId="0" xfId="0" applyAlignment="1" applyBorder="1" applyFont="1">
      <alignment horizontal="center" readingOrder="0"/>
    </xf>
    <xf borderId="1" fillId="0" fontId="92" numFmtId="0" xfId="0" applyBorder="1" applyFont="1"/>
    <xf borderId="1" fillId="0" fontId="97" numFmtId="0" xfId="0" applyAlignment="1" applyBorder="1" applyFont="1">
      <alignment vertical="bottom"/>
    </xf>
    <xf borderId="0" fillId="0" fontId="92" numFmtId="0" xfId="0" applyAlignment="1" applyFont="1">
      <alignment readingOrder="0"/>
    </xf>
    <xf borderId="0" fillId="0" fontId="92" numFmtId="0" xfId="0" applyFont="1"/>
    <xf borderId="1" fillId="0" fontId="7" numFmtId="167" xfId="0" applyAlignment="1" applyBorder="1" applyFont="1" applyNumberFormat="1">
      <alignment readingOrder="0"/>
    </xf>
    <xf borderId="1" fillId="0" fontId="98" numFmtId="0" xfId="0" applyAlignment="1" applyBorder="1" applyFont="1">
      <alignment horizontal="center" readingOrder="0" vertical="bottom"/>
    </xf>
    <xf borderId="1" fillId="0" fontId="99" numFmtId="0" xfId="0" applyAlignment="1" applyBorder="1" applyFont="1">
      <alignment readingOrder="0"/>
    </xf>
    <xf borderId="1" fillId="0" fontId="99" numFmtId="0" xfId="0" applyBorder="1" applyFont="1"/>
    <xf borderId="1" fillId="0" fontId="100" numFmtId="0" xfId="0" applyAlignment="1" applyBorder="1" applyFont="1">
      <alignment vertical="bottom"/>
    </xf>
    <xf borderId="0" fillId="0" fontId="99" numFmtId="0" xfId="0" applyAlignment="1" applyFont="1">
      <alignment readingOrder="0"/>
    </xf>
    <xf borderId="0" fillId="0" fontId="99" numFmtId="0" xfId="0" applyFont="1"/>
    <xf borderId="1" fillId="14" fontId="101" numFmtId="0" xfId="0" applyAlignment="1" applyBorder="1" applyFont="1">
      <alignment horizontal="center" vertical="bottom"/>
    </xf>
    <xf borderId="1" fillId="14" fontId="94" numFmtId="0" xfId="0" applyAlignment="1" applyBorder="1" applyFont="1">
      <alignment horizontal="center" readingOrder="0"/>
    </xf>
    <xf borderId="1" fillId="0" fontId="7" numFmtId="0" xfId="0" applyAlignment="1" applyBorder="1" applyFont="1">
      <alignment horizontal="center" vertical="bottom"/>
    </xf>
    <xf borderId="1" fillId="0" fontId="15" numFmtId="0" xfId="0" applyAlignment="1" applyBorder="1" applyFont="1">
      <alignment horizontal="left" readingOrder="0"/>
    </xf>
    <xf borderId="1" fillId="0" fontId="15" numFmtId="0" xfId="0" applyAlignment="1" applyBorder="1" applyFont="1">
      <alignment horizontal="center" readingOrder="0"/>
    </xf>
    <xf borderId="1" fillId="0" fontId="7" numFmtId="0" xfId="0" applyAlignment="1" applyBorder="1" applyFont="1">
      <alignment horizontal="center" readingOrder="0" vertical="bottom"/>
    </xf>
    <xf borderId="1" fillId="16" fontId="15" numFmtId="0" xfId="0" applyAlignment="1" applyBorder="1" applyFont="1">
      <alignment horizontal="center" readingOrder="0"/>
    </xf>
    <xf borderId="1" fillId="0" fontId="7" numFmtId="168" xfId="0" applyAlignment="1" applyBorder="1" applyFont="1" applyNumberFormat="1">
      <alignment horizontal="center" readingOrder="0" vertical="bottom"/>
    </xf>
    <xf borderId="0" fillId="0" fontId="7" numFmtId="174" xfId="0" applyAlignment="1" applyFont="1" applyNumberFormat="1">
      <alignment readingOrder="0"/>
    </xf>
    <xf borderId="1" fillId="0" fontId="102" numFmtId="0" xfId="0" applyAlignment="1" applyBorder="1" applyFont="1">
      <alignment horizontal="left" readingOrder="0"/>
    </xf>
    <xf borderId="1" fillId="7" fontId="103" numFmtId="0" xfId="0" applyAlignment="1" applyBorder="1" applyFont="1">
      <alignment horizontal="center" vertical="bottom"/>
    </xf>
    <xf borderId="1" fillId="0" fontId="7" numFmtId="175" xfId="0" applyAlignment="1" applyBorder="1" applyFont="1" applyNumberFormat="1">
      <alignment readingOrder="0"/>
    </xf>
    <xf borderId="1" fillId="0" fontId="104" numFmtId="0" xfId="0" applyAlignment="1" applyBorder="1" applyFont="1">
      <alignment horizontal="center" readingOrder="0" vertical="bottom"/>
    </xf>
    <xf borderId="1" fillId="7" fontId="105" numFmtId="0" xfId="0" applyAlignment="1" applyBorder="1" applyFont="1">
      <alignment horizontal="center" vertical="bottom"/>
    </xf>
    <xf borderId="1" fillId="5" fontId="15" numFmtId="0" xfId="0" applyAlignment="1" applyBorder="1" applyFont="1">
      <alignment horizontal="center" readingOrder="0"/>
    </xf>
    <xf borderId="1" fillId="2" fontId="2" numFmtId="0" xfId="0" applyAlignment="1" applyBorder="1" applyFont="1">
      <alignment horizontal="left"/>
    </xf>
    <xf borderId="0" fillId="0" fontId="106" numFmtId="0" xfId="0" applyAlignment="1" applyFont="1">
      <alignment horizontal="left" readingOrder="0" shrinkToFit="0" vertical="bottom" wrapText="0"/>
    </xf>
    <xf borderId="1" fillId="7" fontId="78" numFmtId="0" xfId="0" applyAlignment="1" applyBorder="1" applyFont="1">
      <alignment horizontal="center" readingOrder="0" vertical="bottom"/>
    </xf>
    <xf borderId="1" fillId="0" fontId="78" numFmtId="0" xfId="0" applyAlignment="1" applyBorder="1" applyFont="1">
      <alignment horizontal="center" readingOrder="0" vertical="bottom"/>
    </xf>
    <xf borderId="1" fillId="0" fontId="78" numFmtId="0" xfId="0" applyAlignment="1" applyBorder="1" applyFont="1">
      <alignment horizontal="center" readingOrder="0"/>
    </xf>
    <xf borderId="1" fillId="0" fontId="78" numFmtId="168" xfId="0" applyAlignment="1" applyBorder="1" applyFont="1" applyNumberFormat="1">
      <alignment horizontal="center" readingOrder="0" vertical="bottom"/>
    </xf>
    <xf borderId="1" fillId="19" fontId="15" numFmtId="0" xfId="0" applyAlignment="1" applyBorder="1" applyFont="1">
      <alignment horizontal="center" readingOrder="0" vertical="bottom"/>
    </xf>
    <xf borderId="1" fillId="7" fontId="77" numFmtId="0" xfId="0" applyAlignment="1" applyBorder="1" applyFont="1">
      <alignment horizontal="center" readingOrder="0" vertical="bottom"/>
    </xf>
    <xf borderId="1" fillId="24" fontId="15" numFmtId="0" xfId="0" applyAlignment="1" applyBorder="1" applyFont="1">
      <alignment horizontal="center" readingOrder="0"/>
    </xf>
    <xf borderId="1" fillId="0" fontId="107" numFmtId="0" xfId="0" applyAlignment="1" applyBorder="1" applyFont="1">
      <alignment horizontal="center" readingOrder="0"/>
    </xf>
    <xf borderId="0" fillId="0" fontId="15" numFmtId="0" xfId="0" applyAlignment="1" applyFont="1">
      <alignment horizontal="center" readingOrder="0" vertical="bottom"/>
    </xf>
    <xf borderId="1" fillId="0" fontId="15" numFmtId="167" xfId="0" applyAlignment="1" applyBorder="1" applyFont="1" applyNumberFormat="1">
      <alignment horizontal="center" readingOrder="0" vertical="bottom"/>
    </xf>
    <xf borderId="1" fillId="0" fontId="107" numFmtId="0" xfId="0" applyAlignment="1" applyBorder="1" applyFont="1">
      <alignment vertical="bottom"/>
    </xf>
    <xf borderId="1" fillId="14" fontId="7" numFmtId="0" xfId="0" applyAlignment="1" applyBorder="1" applyFont="1">
      <alignment horizontal="center" readingOrder="0"/>
    </xf>
    <xf borderId="1" fillId="14" fontId="7" numFmtId="0" xfId="0" applyAlignment="1" applyBorder="1" applyFont="1">
      <alignment horizontal="left" readingOrder="0"/>
    </xf>
    <xf borderId="1" fillId="14" fontId="7" numFmtId="167" xfId="0" applyAlignment="1" applyBorder="1" applyFont="1" applyNumberFormat="1">
      <alignment horizontal="center" readingOrder="0"/>
    </xf>
    <xf borderId="1" fillId="14" fontId="40" numFmtId="0" xfId="0" applyAlignment="1" applyBorder="1" applyFont="1">
      <alignment horizontal="center" readingOrder="0"/>
    </xf>
    <xf borderId="1" fillId="0" fontId="104" numFmtId="0" xfId="0" applyAlignment="1" applyBorder="1" applyFont="1">
      <alignment horizontal="center" readingOrder="0"/>
    </xf>
    <xf borderId="1" fillId="0" fontId="108" numFmtId="0" xfId="0" applyAlignment="1" applyBorder="1" applyFont="1">
      <alignment horizontal="center" readingOrder="0"/>
    </xf>
    <xf borderId="1" fillId="0" fontId="104" numFmtId="0" xfId="0" applyAlignment="1" applyBorder="1" applyFont="1">
      <alignment horizontal="left" readingOrder="0"/>
    </xf>
    <xf borderId="0" fillId="14" fontId="14" numFmtId="0" xfId="0" applyAlignment="1" applyFont="1">
      <alignment horizontal="center" readingOrder="0" shrinkToFit="0" vertical="bottom" wrapText="0"/>
    </xf>
    <xf borderId="1" fillId="14" fontId="7" numFmtId="168" xfId="0" applyAlignment="1" applyBorder="1" applyFont="1" applyNumberFormat="1">
      <alignment horizontal="center" readingOrder="0"/>
    </xf>
    <xf borderId="1" fillId="14" fontId="44" numFmtId="0" xfId="0" applyAlignment="1" applyBorder="1" applyFont="1">
      <alignment horizontal="center" readingOrder="0"/>
    </xf>
    <xf borderId="0" fillId="0" fontId="14" numFmtId="168" xfId="0" applyAlignment="1" applyFont="1" applyNumberFormat="1">
      <alignment horizontal="center" readingOrder="0" shrinkToFit="0" vertical="bottom" wrapText="0"/>
    </xf>
    <xf borderId="1" fillId="0" fontId="109" numFmtId="0" xfId="0" applyAlignment="1" applyBorder="1" applyFont="1">
      <alignment horizontal="left" readingOrder="0"/>
    </xf>
    <xf borderId="1" fillId="0" fontId="1" numFmtId="0" xfId="0" applyAlignment="1" applyBorder="1" applyFont="1">
      <alignment horizontal="left" readingOrder="0"/>
    </xf>
    <xf borderId="1" fillId="0" fontId="30" numFmtId="0" xfId="0" applyAlignment="1" applyBorder="1" applyFont="1">
      <alignment horizontal="center" shrinkToFit="0" vertical="bottom" wrapText="1"/>
    </xf>
    <xf borderId="0" fillId="0" fontId="110" numFmtId="0" xfId="0" applyAlignment="1" applyFont="1">
      <alignment horizontal="center" readingOrder="0" shrinkToFit="0" vertical="bottom" wrapText="0"/>
    </xf>
    <xf borderId="1" fillId="19" fontId="7" numFmtId="0" xfId="0" applyAlignment="1" applyBorder="1" applyFont="1">
      <alignment horizontal="center" readingOrder="0"/>
    </xf>
    <xf borderId="1" fillId="14" fontId="44" numFmtId="0" xfId="0" applyAlignment="1" applyBorder="1" applyFont="1">
      <alignment horizontal="left" readingOrder="0"/>
    </xf>
    <xf borderId="1" fillId="0" fontId="44" numFmtId="0" xfId="0" applyAlignment="1" applyBorder="1" applyFont="1">
      <alignment horizontal="left" readingOrder="0"/>
    </xf>
    <xf borderId="1" fillId="0" fontId="91" numFmtId="0" xfId="0" applyAlignment="1" applyBorder="1" applyFont="1">
      <alignment horizontal="left" readingOrder="0"/>
    </xf>
    <xf borderId="1" fillId="0" fontId="111" numFmtId="0" xfId="0" applyAlignment="1" applyBorder="1" applyFont="1">
      <alignment horizontal="center" readingOrder="0" vertical="bottom"/>
    </xf>
    <xf borderId="1" fillId="19" fontId="44" numFmtId="0" xfId="0" applyAlignment="1" applyBorder="1" applyFont="1">
      <alignment horizontal="center" readingOrder="0"/>
    </xf>
    <xf borderId="1" fillId="16" fontId="44" numFmtId="0" xfId="0" applyAlignment="1" applyBorder="1" applyFont="1">
      <alignment horizontal="center" readingOrder="0"/>
    </xf>
    <xf borderId="1" fillId="5" fontId="7" numFmtId="0" xfId="0" applyAlignment="1" applyBorder="1" applyFont="1">
      <alignment horizontal="left" readingOrder="0"/>
    </xf>
    <xf borderId="1" fillId="5" fontId="7" numFmtId="168" xfId="0" applyAlignment="1" applyBorder="1" applyFont="1" applyNumberFormat="1">
      <alignment horizontal="center" readingOrder="0"/>
    </xf>
    <xf borderId="1" fillId="0" fontId="112" numFmtId="0" xfId="0" applyAlignment="1" applyBorder="1" applyFont="1">
      <alignment horizontal="center" readingOrder="0" vertical="bottom"/>
    </xf>
    <xf borderId="0" fillId="0" fontId="7" numFmtId="176" xfId="0" applyAlignment="1" applyFont="1" applyNumberFormat="1">
      <alignment readingOrder="0"/>
    </xf>
    <xf borderId="1" fillId="16" fontId="7" numFmtId="0" xfId="0" applyAlignment="1" applyBorder="1" applyFont="1">
      <alignment horizontal="center" readingOrder="0"/>
    </xf>
    <xf borderId="1" fillId="0" fontId="113" numFmtId="0" xfId="0" applyAlignment="1" applyBorder="1" applyFont="1">
      <alignment horizontal="center" readingOrder="0" vertical="bottom"/>
    </xf>
    <xf borderId="1" fillId="25" fontId="15" numFmtId="0" xfId="0" applyAlignment="1" applyBorder="1" applyFill="1" applyFont="1">
      <alignment horizontal="center" readingOrder="0"/>
    </xf>
    <xf borderId="1" fillId="0" fontId="78" numFmtId="0" xfId="0" applyAlignment="1" applyBorder="1" applyFont="1">
      <alignment horizontal="left" readingOrder="0"/>
    </xf>
    <xf borderId="1" fillId="0" fontId="15" numFmtId="168" xfId="0" applyAlignment="1" applyBorder="1" applyFont="1" applyNumberFormat="1">
      <alignment horizontal="center" readingOrder="0"/>
    </xf>
    <xf borderId="1" fillId="14" fontId="15" numFmtId="0" xfId="0" applyAlignment="1" applyBorder="1" applyFont="1">
      <alignment horizontal="center" readingOrder="0"/>
    </xf>
    <xf borderId="1" fillId="14" fontId="15" numFmtId="0" xfId="0" applyAlignment="1" applyBorder="1" applyFont="1">
      <alignment horizontal="left" readingOrder="0"/>
    </xf>
    <xf borderId="1" fillId="14" fontId="15" numFmtId="168" xfId="0" applyAlignment="1" applyBorder="1" applyFont="1" applyNumberFormat="1">
      <alignment horizontal="center" readingOrder="0"/>
    </xf>
    <xf borderId="1" fillId="7" fontId="78" numFmtId="0" xfId="0" applyAlignment="1" applyBorder="1" applyFont="1">
      <alignment horizontal="center" readingOrder="0"/>
    </xf>
    <xf borderId="0" fillId="0" fontId="7" numFmtId="175" xfId="0" applyAlignment="1" applyFont="1" applyNumberFormat="1">
      <alignment readingOrder="0"/>
    </xf>
    <xf borderId="1" fillId="0" fontId="111" numFmtId="0" xfId="0" applyAlignment="1" applyBorder="1" applyFont="1">
      <alignment horizontal="center" readingOrder="0"/>
    </xf>
    <xf borderId="0" fillId="0" fontId="14" numFmtId="165" xfId="0" applyAlignment="1" applyFont="1" applyNumberFormat="1">
      <alignment horizontal="center" readingOrder="0" shrinkToFit="0" vertical="bottom" wrapText="0"/>
    </xf>
    <xf borderId="0" fillId="7" fontId="15" numFmtId="0" xfId="0" applyAlignment="1" applyFont="1">
      <alignment horizontal="center" vertical="bottom"/>
    </xf>
    <xf borderId="1" fillId="2" fontId="2" numFmtId="0" xfId="0" applyAlignment="1" applyBorder="1" applyFont="1">
      <alignment vertical="bottom"/>
    </xf>
    <xf borderId="1" fillId="0" fontId="40" numFmtId="0" xfId="0" applyAlignment="1" applyBorder="1" applyFont="1">
      <alignment horizontal="left" readingOrder="0"/>
    </xf>
    <xf borderId="1" fillId="16" fontId="40" numFmtId="0" xfId="0" applyAlignment="1" applyBorder="1" applyFont="1">
      <alignment horizontal="center" readingOrder="0"/>
    </xf>
    <xf borderId="1" fillId="0" fontId="40" numFmtId="177" xfId="0" applyAlignment="1" applyBorder="1" applyFont="1" applyNumberFormat="1">
      <alignment horizontal="center" readingOrder="0"/>
    </xf>
    <xf borderId="1" fillId="0" fontId="7" numFmtId="175" xfId="0" applyAlignment="1" applyBorder="1" applyFont="1" applyNumberFormat="1">
      <alignment horizontal="center" readingOrder="0"/>
    </xf>
    <xf borderId="1" fillId="0" fontId="114" numFmtId="0" xfId="0" applyAlignment="1" applyBorder="1" applyFont="1">
      <alignment horizontal="left" readingOrder="0"/>
    </xf>
    <xf borderId="1" fillId="0" fontId="13" numFmtId="0" xfId="0" applyAlignment="1" applyBorder="1" applyFont="1">
      <alignment horizontal="center" readingOrder="0" vertical="bottom"/>
    </xf>
    <xf borderId="1" fillId="14" fontId="40" numFmtId="0" xfId="0" applyAlignment="1" applyBorder="1" applyFont="1">
      <alignment horizontal="left" readingOrder="0"/>
    </xf>
    <xf borderId="1" fillId="0" fontId="115" numFmtId="0" xfId="0" applyAlignment="1" applyBorder="1" applyFont="1">
      <alignment horizontal="center" readingOrder="0" vertical="bottom"/>
    </xf>
    <xf borderId="1" fillId="0" fontId="112" numFmtId="0" xfId="0" applyAlignment="1" applyBorder="1" applyFont="1">
      <alignment horizontal="left" readingOrder="0"/>
    </xf>
    <xf borderId="1" fillId="0" fontId="112" numFmtId="0" xfId="0" applyAlignment="1" applyBorder="1" applyFont="1">
      <alignment horizontal="center" readingOrder="0"/>
    </xf>
    <xf borderId="1" fillId="24" fontId="40" numFmtId="0" xfId="0" applyAlignment="1" applyBorder="1" applyFont="1">
      <alignment horizontal="center" readingOrder="0"/>
    </xf>
    <xf borderId="1" fillId="0" fontId="7" numFmtId="178" xfId="0" applyAlignment="1" applyBorder="1" applyFont="1" applyNumberFormat="1">
      <alignment horizontal="center" readingOrder="0"/>
    </xf>
    <xf borderId="1" fillId="26" fontId="40" numFmtId="0" xfId="0" applyAlignment="1" applyBorder="1" applyFill="1" applyFont="1">
      <alignment horizontal="center" readingOrder="0"/>
    </xf>
    <xf borderId="1" fillId="27" fontId="40" numFmtId="0" xfId="0" applyAlignment="1" applyBorder="1" applyFill="1" applyFont="1">
      <alignment horizontal="center" readingOrder="0"/>
    </xf>
    <xf borderId="1" fillId="0" fontId="116" numFmtId="0" xfId="0" applyAlignment="1" applyBorder="1" applyFont="1">
      <alignment horizontal="left" readingOrder="0"/>
    </xf>
    <xf borderId="1" fillId="27" fontId="15" numFmtId="0" xfId="0" applyAlignment="1" applyBorder="1" applyFont="1">
      <alignment horizontal="center" readingOrder="0"/>
    </xf>
    <xf borderId="1" fillId="19" fontId="15" numFmtId="0" xfId="0" applyAlignment="1" applyBorder="1" applyFont="1">
      <alignment horizontal="center" readingOrder="0"/>
    </xf>
    <xf borderId="1" fillId="0" fontId="103" numFmtId="0" xfId="0" applyAlignment="1" applyBorder="1" applyFont="1">
      <alignment horizontal="center" readingOrder="0"/>
    </xf>
    <xf borderId="1" fillId="0" fontId="103" numFmtId="0" xfId="0" applyAlignment="1" applyBorder="1" applyFont="1">
      <alignment horizontal="left" readingOrder="0"/>
    </xf>
    <xf borderId="1" fillId="0" fontId="117" numFmtId="0" xfId="0" applyAlignment="1" applyBorder="1" applyFont="1">
      <alignment horizontal="center" readingOrder="0"/>
    </xf>
    <xf borderId="1" fillId="0" fontId="103" numFmtId="168" xfId="0" applyAlignment="1" applyBorder="1" applyFont="1" applyNumberFormat="1">
      <alignment horizontal="center" readingOrder="0"/>
    </xf>
    <xf borderId="1" fillId="0" fontId="92" numFmtId="0" xfId="0" applyAlignment="1" applyBorder="1" applyFont="1">
      <alignment horizontal="center"/>
    </xf>
    <xf borderId="1" fillId="0" fontId="92" numFmtId="168" xfId="0" applyAlignment="1" applyBorder="1" applyFont="1" applyNumberFormat="1">
      <alignment horizontal="center" readingOrder="0"/>
    </xf>
    <xf borderId="1" fillId="26" fontId="15" numFmtId="0" xfId="0" applyAlignment="1" applyBorder="1" applyFont="1">
      <alignment horizontal="center" readingOrder="0"/>
    </xf>
    <xf borderId="1" fillId="14" fontId="78" numFmtId="0" xfId="0" applyAlignment="1" applyBorder="1" applyFont="1">
      <alignment horizontal="center" readingOrder="0"/>
    </xf>
    <xf borderId="1" fillId="28" fontId="15" numFmtId="0" xfId="0" applyAlignment="1" applyBorder="1" applyFill="1" applyFont="1">
      <alignment horizontal="center" readingOrder="0"/>
    </xf>
    <xf borderId="1" fillId="28" fontId="15" numFmtId="0" xfId="0" applyAlignment="1" applyBorder="1" applyFont="1">
      <alignment horizontal="left" readingOrder="0"/>
    </xf>
    <xf borderId="1" fillId="28" fontId="44" numFmtId="0" xfId="0" applyAlignment="1" applyBorder="1" applyFont="1">
      <alignment horizontal="center" readingOrder="0"/>
    </xf>
    <xf borderId="1" fillId="28" fontId="15" numFmtId="167" xfId="0" applyAlignment="1" applyBorder="1" applyFont="1" applyNumberFormat="1">
      <alignment horizontal="center" readingOrder="0"/>
    </xf>
    <xf borderId="1" fillId="0" fontId="79" numFmtId="0" xfId="0" applyAlignment="1" applyBorder="1" applyFont="1">
      <alignment readingOrder="0" vertical="bottom"/>
    </xf>
    <xf borderId="1" fillId="0" fontId="118" numFmtId="0" xfId="0" applyAlignment="1" applyBorder="1" applyFont="1">
      <alignment horizontal="center" readingOrder="0" vertical="bottom"/>
    </xf>
    <xf borderId="1" fillId="24" fontId="7" numFmtId="0" xfId="0" applyAlignment="1" applyBorder="1" applyFont="1">
      <alignment horizontal="left" readingOrder="0"/>
    </xf>
    <xf borderId="1" fillId="24" fontId="7" numFmtId="0" xfId="0" applyAlignment="1" applyBorder="1" applyFont="1">
      <alignment horizontal="center" readingOrder="0"/>
    </xf>
    <xf borderId="1" fillId="27" fontId="7" numFmtId="0" xfId="0" applyAlignment="1" applyBorder="1" applyFont="1">
      <alignment horizontal="center" readingOrder="0"/>
    </xf>
    <xf borderId="1" fillId="29" fontId="7" numFmtId="0" xfId="0" applyAlignment="1" applyBorder="1" applyFill="1" applyFont="1">
      <alignment horizontal="left" readingOrder="0"/>
    </xf>
    <xf borderId="1" fillId="29" fontId="40" numFmtId="0" xfId="0" applyAlignment="1" applyBorder="1" applyFont="1">
      <alignment horizontal="center" readingOrder="0"/>
    </xf>
    <xf borderId="0" fillId="0" fontId="7" numFmtId="165" xfId="0" applyAlignment="1" applyFont="1" applyNumberFormat="1">
      <alignment readingOrder="0"/>
    </xf>
    <xf borderId="0" fillId="14" fontId="18" numFmtId="0" xfId="0" applyAlignment="1" applyFont="1">
      <alignment horizontal="left" readingOrder="0" shrinkToFit="0" vertical="bottom" wrapText="0"/>
    </xf>
    <xf borderId="1" fillId="14" fontId="119" numFmtId="0" xfId="0" applyAlignment="1" applyBorder="1" applyFont="1">
      <alignment horizontal="center" readingOrder="0" vertical="bottom"/>
    </xf>
    <xf borderId="1" fillId="14" fontId="7" numFmtId="0" xfId="0" applyAlignment="1" applyBorder="1" applyFont="1">
      <alignment horizontal="center" readingOrder="0" vertical="bottom"/>
    </xf>
    <xf borderId="1" fillId="0" fontId="120" numFmtId="0" xfId="0" applyAlignment="1" applyBorder="1" applyFont="1">
      <alignment horizontal="left" readingOrder="0"/>
    </xf>
    <xf borderId="1" fillId="14" fontId="15" numFmtId="168" xfId="0" applyAlignment="1" applyBorder="1" applyFont="1" applyNumberFormat="1">
      <alignment horizontal="center" readingOrder="0" vertical="bottom"/>
    </xf>
    <xf borderId="1" fillId="0" fontId="121" numFmtId="0" xfId="0" applyAlignment="1" applyBorder="1" applyFont="1">
      <alignment horizontal="left" readingOrder="0"/>
    </xf>
    <xf borderId="1" fillId="0" fontId="116" numFmtId="0" xfId="0" applyAlignment="1" applyBorder="1" applyFont="1">
      <alignment horizontal="center" readingOrder="0"/>
    </xf>
    <xf borderId="1" fillId="30" fontId="15" numFmtId="0" xfId="0" applyAlignment="1" applyBorder="1" applyFill="1" applyFont="1">
      <alignment horizontal="center" readingOrder="0"/>
    </xf>
    <xf borderId="1" fillId="31" fontId="44" numFmtId="0" xfId="0" applyAlignment="1" applyBorder="1" applyFill="1" applyFont="1">
      <alignment horizontal="center" readingOrder="0"/>
    </xf>
    <xf borderId="0" fillId="0" fontId="40" numFmtId="0" xfId="0" applyFont="1"/>
    <xf borderId="1" fillId="0" fontId="7" numFmtId="170" xfId="0" applyAlignment="1" applyBorder="1" applyFont="1" applyNumberFormat="1">
      <alignment horizontal="center" readingOrder="0"/>
    </xf>
    <xf borderId="1" fillId="30" fontId="44" numFmtId="0" xfId="0" applyAlignment="1" applyBorder="1" applyFont="1">
      <alignment horizontal="center" readingOrder="0"/>
    </xf>
    <xf borderId="1" fillId="0" fontId="0" numFmtId="165" xfId="0" applyAlignment="1" applyBorder="1" applyFont="1" applyNumberFormat="1">
      <alignment horizontal="center" readingOrder="0" shrinkToFit="0" vertical="bottom" wrapText="0"/>
    </xf>
    <xf borderId="1" fillId="0" fontId="7" numFmtId="0" xfId="0" applyAlignment="1" applyBorder="1" applyFont="1">
      <alignment horizontal="center" readingOrder="0" shrinkToFit="0" vertical="bottom" wrapText="0"/>
    </xf>
    <xf borderId="1" fillId="0" fontId="15" numFmtId="165" xfId="0" applyAlignment="1" applyBorder="1" applyFont="1" applyNumberFormat="1">
      <alignment readingOrder="0" vertical="bottom"/>
    </xf>
    <xf borderId="1" fillId="0" fontId="79" numFmtId="0" xfId="0" applyAlignment="1" applyBorder="1" applyFont="1">
      <alignment vertical="bottom"/>
    </xf>
    <xf borderId="1" fillId="14" fontId="0" numFmtId="0" xfId="0" applyAlignment="1" applyBorder="1" applyFont="1">
      <alignment horizontal="center" readingOrder="0" shrinkToFit="0" vertical="bottom" wrapText="0"/>
    </xf>
    <xf borderId="1" fillId="14" fontId="7" numFmtId="0" xfId="0" applyAlignment="1" applyBorder="1" applyFont="1">
      <alignment horizontal="center" readingOrder="0" shrinkToFit="0" vertical="bottom" wrapText="0"/>
    </xf>
    <xf borderId="1" fillId="14" fontId="122" numFmtId="0" xfId="0" applyAlignment="1" applyBorder="1" applyFont="1">
      <alignment horizontal="center" readingOrder="0"/>
    </xf>
    <xf borderId="1" fillId="0" fontId="122" numFmtId="0" xfId="0" applyAlignment="1" applyBorder="1" applyFont="1">
      <alignment horizontal="center" readingOrder="0"/>
    </xf>
    <xf borderId="1" fillId="0" fontId="0" numFmtId="0" xfId="0" applyAlignment="1" applyBorder="1" applyFont="1">
      <alignment horizontal="center" readingOrder="0" shrinkToFit="0" vertical="bottom" wrapText="0"/>
    </xf>
    <xf borderId="1" fillId="31" fontId="15" numFmtId="0" xfId="0" applyAlignment="1" applyBorder="1" applyFont="1">
      <alignment horizontal="center" readingOrder="0"/>
    </xf>
    <xf borderId="0" fillId="0" fontId="7" numFmtId="179" xfId="0" applyAlignment="1" applyFont="1" applyNumberFormat="1">
      <alignment readingOrder="0"/>
    </xf>
    <xf borderId="1" fillId="0" fontId="7" numFmtId="0" xfId="0" applyAlignment="1" applyBorder="1" applyFont="1">
      <alignment horizontal="left" readingOrder="0" vertical="bottom"/>
    </xf>
    <xf borderId="1" fillId="0" fontId="123" numFmtId="0" xfId="0" applyAlignment="1" applyBorder="1" applyFont="1">
      <alignment horizontal="center" readingOrder="0" vertical="bottom"/>
    </xf>
    <xf borderId="1" fillId="0" fontId="113" numFmtId="0" xfId="0" applyAlignment="1" applyBorder="1" applyFont="1">
      <alignment horizontal="left" readingOrder="0" vertical="bottom"/>
    </xf>
    <xf borderId="1" fillId="0" fontId="15" numFmtId="175" xfId="0" applyAlignment="1" applyBorder="1" applyFont="1" applyNumberFormat="1">
      <alignment readingOrder="0" vertical="bottom"/>
    </xf>
    <xf borderId="1" fillId="23" fontId="7" numFmtId="0" xfId="0" applyAlignment="1" applyBorder="1" applyFont="1">
      <alignment horizontal="center" readingOrder="0" vertical="bottom"/>
    </xf>
    <xf borderId="0" fillId="0" fontId="7" numFmtId="180" xfId="0" applyAlignment="1" applyFont="1" applyNumberFormat="1">
      <alignment readingOrder="0"/>
    </xf>
    <xf borderId="1" fillId="14" fontId="7" numFmtId="0" xfId="0" applyAlignment="1" applyBorder="1" applyFont="1">
      <alignment horizontal="left" readingOrder="0" vertical="bottom"/>
    </xf>
    <xf borderId="1" fillId="14" fontId="40" numFmtId="168" xfId="0" applyAlignment="1" applyBorder="1" applyFont="1" applyNumberFormat="1">
      <alignment horizontal="center" readingOrder="0" vertical="bottom"/>
    </xf>
    <xf borderId="1" fillId="0" fontId="1" numFmtId="0" xfId="0" applyAlignment="1" applyBorder="1" applyFont="1">
      <alignment horizontal="left" readingOrder="0" vertical="bottom"/>
    </xf>
    <xf borderId="1" fillId="29" fontId="7" numFmtId="0" xfId="0" applyAlignment="1" applyBorder="1" applyFont="1">
      <alignment horizontal="center" readingOrder="0" vertical="bottom"/>
    </xf>
    <xf borderId="1" fillId="0" fontId="15" numFmtId="165" xfId="0" applyAlignment="1" applyBorder="1" applyFont="1" applyNumberFormat="1">
      <alignment horizontal="center" readingOrder="0" vertical="bottom"/>
    </xf>
    <xf borderId="1" fillId="0" fontId="40" numFmtId="167" xfId="0" applyAlignment="1" applyBorder="1" applyFont="1" applyNumberFormat="1">
      <alignment horizontal="center" readingOrder="0" vertical="bottom"/>
    </xf>
    <xf borderId="1" fillId="32" fontId="15" numFmtId="0" xfId="0" applyAlignment="1" applyBorder="1" applyFill="1" applyFont="1">
      <alignment horizontal="center" readingOrder="0"/>
    </xf>
    <xf borderId="1" fillId="17" fontId="34" numFmtId="0" xfId="0" applyAlignment="1" applyBorder="1" applyFont="1">
      <alignment horizontal="center" readingOrder="0"/>
    </xf>
    <xf borderId="1" fillId="0" fontId="15" numFmtId="165" xfId="0" applyAlignment="1" applyBorder="1" applyFont="1" applyNumberFormat="1">
      <alignment horizontal="left" readingOrder="0" vertical="bottom"/>
    </xf>
    <xf borderId="1" fillId="0" fontId="124" numFmtId="0" xfId="0" applyAlignment="1" applyBorder="1" applyFont="1">
      <alignment horizontal="left" readingOrder="0"/>
    </xf>
    <xf borderId="1" fillId="0" fontId="15" numFmtId="0" xfId="0" applyAlignment="1" applyBorder="1" applyFont="1">
      <alignment horizontal="left" readingOrder="0" vertical="bottom"/>
    </xf>
    <xf borderId="1" fillId="0" fontId="2" numFmtId="0" xfId="0" applyAlignment="1" applyBorder="1" applyFont="1">
      <alignment horizontal="left" readingOrder="0"/>
    </xf>
    <xf borderId="1" fillId="33" fontId="15" numFmtId="0" xfId="0" applyAlignment="1" applyBorder="1" applyFill="1" applyFont="1">
      <alignment horizontal="center" readingOrder="0"/>
    </xf>
    <xf borderId="1" fillId="0" fontId="125" numFmtId="0" xfId="0" applyAlignment="1" applyBorder="1" applyFont="1">
      <alignment horizontal="center" shrinkToFit="0" vertical="bottom" wrapText="1"/>
    </xf>
    <xf borderId="1" fillId="23" fontId="15" numFmtId="0" xfId="0" applyAlignment="1" applyBorder="1" applyFont="1">
      <alignment horizontal="center" readingOrder="0"/>
    </xf>
    <xf borderId="1" fillId="23" fontId="44" numFmtId="0" xfId="0" applyAlignment="1" applyBorder="1" applyFont="1">
      <alignment horizontal="center" readingOrder="0"/>
    </xf>
    <xf borderId="1" fillId="0" fontId="44" numFmtId="0" xfId="0" applyAlignment="1" applyBorder="1" applyFont="1">
      <alignment readingOrder="0" vertical="bottom"/>
    </xf>
    <xf borderId="1" fillId="0" fontId="44" numFmtId="0" xfId="0" applyAlignment="1" applyBorder="1" applyFont="1">
      <alignment vertical="bottom"/>
    </xf>
    <xf borderId="1" fillId="14" fontId="44" numFmtId="0" xfId="0" applyAlignment="1" applyBorder="1" applyFont="1">
      <alignment horizontal="center" readingOrder="0" vertical="bottom"/>
    </xf>
    <xf borderId="1" fillId="0" fontId="44" numFmtId="0" xfId="0" applyAlignment="1" applyBorder="1" applyFont="1">
      <alignment horizontal="center" readingOrder="0" shrinkToFit="0" wrapText="0"/>
    </xf>
    <xf borderId="1" fillId="0" fontId="111" numFmtId="0" xfId="0" applyAlignment="1" applyBorder="1" applyFont="1">
      <alignment horizontal="left" readingOrder="0"/>
    </xf>
    <xf borderId="1" fillId="0" fontId="7" numFmtId="165" xfId="0" applyAlignment="1" applyBorder="1" applyFont="1" applyNumberFormat="1">
      <alignment horizontal="left" readingOrder="0"/>
    </xf>
    <xf borderId="1" fillId="0" fontId="78" numFmtId="0" xfId="0" applyAlignment="1" applyBorder="1" applyFont="1">
      <alignment horizontal="center" readingOrder="0" shrinkToFit="0" wrapText="0"/>
    </xf>
    <xf borderId="2" fillId="7" fontId="3" numFmtId="0" xfId="0" applyAlignment="1" applyBorder="1" applyFont="1">
      <alignment horizontal="center" readingOrder="0" vertical="bottom"/>
    </xf>
    <xf borderId="1" fillId="34" fontId="15" numFmtId="0" xfId="0" applyAlignment="1" applyBorder="1" applyFill="1" applyFont="1">
      <alignment horizontal="center" readingOrder="0"/>
    </xf>
    <xf borderId="1" fillId="0" fontId="7" numFmtId="165" xfId="0" applyAlignment="1" applyBorder="1" applyFont="1" applyNumberFormat="1">
      <alignment horizontal="right" readingOrder="0"/>
    </xf>
    <xf borderId="1" fillId="0" fontId="107" numFmtId="0" xfId="0" applyAlignment="1" applyBorder="1" applyFont="1">
      <alignment horizontal="left" readingOrder="0"/>
    </xf>
    <xf borderId="2" fillId="0" fontId="7" numFmtId="0" xfId="0" applyAlignment="1" applyBorder="1" applyFont="1">
      <alignment horizontal="left" readingOrder="0"/>
    </xf>
    <xf borderId="1" fillId="35" fontId="7" numFmtId="0" xfId="0" applyAlignment="1" applyBorder="1" applyFill="1" applyFont="1">
      <alignment horizontal="center" readingOrder="0"/>
    </xf>
    <xf borderId="1" fillId="0" fontId="113" numFmtId="0" xfId="0" applyAlignment="1" applyBorder="1" applyFont="1">
      <alignment horizontal="center" readingOrder="0"/>
    </xf>
    <xf borderId="1" fillId="0" fontId="113" numFmtId="0" xfId="0" applyAlignment="1" applyBorder="1" applyFont="1">
      <alignment horizontal="left" readingOrder="0"/>
    </xf>
    <xf borderId="1" fillId="31" fontId="7" numFmtId="0" xfId="0" applyAlignment="1" applyBorder="1" applyFont="1">
      <alignment horizontal="center" readingOrder="0"/>
    </xf>
    <xf borderId="1" fillId="0" fontId="126" numFmtId="0" xfId="0" applyAlignment="1" applyBorder="1" applyFont="1">
      <alignment horizontal="center" vertical="bottom"/>
    </xf>
    <xf borderId="1" fillId="0" fontId="84" numFmtId="0" xfId="0" applyAlignment="1" applyBorder="1" applyFont="1">
      <alignment readingOrder="0" vertical="bottom"/>
    </xf>
    <xf borderId="1" fillId="0" fontId="34" numFmtId="0" xfId="0" applyAlignment="1" applyBorder="1" applyFont="1">
      <alignment horizontal="left" readingOrder="0"/>
    </xf>
    <xf borderId="1" fillId="0" fontId="127" numFmtId="0" xfId="0" applyAlignment="1" applyBorder="1" applyFont="1">
      <alignment horizontal="center" readingOrder="0"/>
    </xf>
    <xf borderId="1" fillId="7" fontId="34" numFmtId="0" xfId="0" applyAlignment="1" applyBorder="1" applyFont="1">
      <alignment horizontal="left" readingOrder="0"/>
    </xf>
    <xf borderId="1" fillId="7" fontId="34" numFmtId="0" xfId="0" applyAlignment="1" applyBorder="1" applyFont="1">
      <alignment horizontal="center" readingOrder="0"/>
    </xf>
    <xf borderId="1" fillId="0" fontId="34" numFmtId="168" xfId="0" applyAlignment="1" applyBorder="1" applyFont="1" applyNumberFormat="1">
      <alignment horizontal="center" readingOrder="0"/>
    </xf>
    <xf borderId="1" fillId="0" fontId="128" numFmtId="0" xfId="0" applyAlignment="1" applyBorder="1" applyFont="1">
      <alignment horizontal="left" readingOrder="0"/>
    </xf>
    <xf borderId="1" fillId="0" fontId="34" numFmtId="0" xfId="0" applyAlignment="1" applyBorder="1" applyFont="1">
      <alignment vertical="bottom"/>
    </xf>
    <xf borderId="1" fillId="0" fontId="34" numFmtId="170" xfId="0" applyAlignment="1" applyBorder="1" applyFont="1" applyNumberFormat="1">
      <alignment horizontal="center" readingOrder="0"/>
    </xf>
    <xf borderId="1" fillId="21" fontId="34" numFmtId="0" xfId="0" applyAlignment="1" applyBorder="1" applyFont="1">
      <alignment horizontal="center" readingOrder="0"/>
    </xf>
    <xf borderId="1" fillId="21" fontId="34" numFmtId="0" xfId="0" applyAlignment="1" applyBorder="1" applyFont="1">
      <alignment horizontal="left" readingOrder="0"/>
    </xf>
    <xf borderId="0" fillId="0" fontId="34" numFmtId="0" xfId="0" applyAlignment="1" applyFont="1">
      <alignment horizontal="center" readingOrder="0"/>
    </xf>
    <xf borderId="1" fillId="21" fontId="7" numFmtId="0" xfId="0" applyAlignment="1" applyBorder="1" applyFont="1">
      <alignment horizontal="center" readingOrder="0"/>
    </xf>
    <xf borderId="1" fillId="0" fontId="7" numFmtId="0" xfId="0" applyAlignment="1" applyBorder="1" applyFont="1">
      <alignment horizontal="center"/>
    </xf>
    <xf borderId="0" fillId="0" fontId="7" numFmtId="166" xfId="0" applyAlignment="1" applyFont="1" applyNumberFormat="1">
      <alignment readingOrder="0"/>
    </xf>
    <xf borderId="1" fillId="36" fontId="44" numFmtId="0" xfId="0" applyAlignment="1" applyBorder="1" applyFill="1" applyFont="1">
      <alignment horizontal="center" readingOrder="0"/>
    </xf>
    <xf borderId="1" fillId="14" fontId="113" numFmtId="0" xfId="0" applyAlignment="1" applyBorder="1" applyFont="1">
      <alignment horizontal="center" readingOrder="0" vertical="bottom"/>
    </xf>
    <xf borderId="1" fillId="37" fontId="15" numFmtId="0" xfId="0" applyAlignment="1" applyBorder="1" applyFill="1" applyFont="1">
      <alignment horizontal="center" readingOrder="0"/>
    </xf>
    <xf borderId="1" fillId="38" fontId="15" numFmtId="0" xfId="0" applyAlignment="1" applyBorder="1" applyFill="1" applyFont="1">
      <alignment horizontal="center" readingOrder="0"/>
    </xf>
    <xf borderId="1" fillId="0" fontId="7" numFmtId="0" xfId="0" applyAlignment="1" applyBorder="1" applyFont="1">
      <alignment horizontal="center" vertical="bottom"/>
    </xf>
    <xf borderId="1" fillId="0" fontId="7" numFmtId="0" xfId="0" applyAlignment="1" applyBorder="1" applyFont="1">
      <alignment readingOrder="0" shrinkToFit="0" wrapText="1"/>
    </xf>
    <xf borderId="1" fillId="0" fontId="14" numFmtId="0" xfId="0" applyAlignment="1" applyBorder="1" applyFont="1">
      <alignment horizontal="left" readingOrder="0" shrinkToFit="0" vertical="bottom" wrapText="0"/>
    </xf>
    <xf borderId="0" fillId="7" fontId="18" numFmtId="0" xfId="0" applyAlignment="1" applyFont="1">
      <alignment horizontal="left" readingOrder="0" shrinkToFit="0" vertical="bottom" wrapText="0"/>
    </xf>
    <xf borderId="1" fillId="7" fontId="18" numFmtId="0" xfId="0" applyAlignment="1" applyBorder="1" applyFont="1">
      <alignment horizontal="left" readingOrder="0" shrinkToFit="0" vertical="bottom" wrapText="0"/>
    </xf>
    <xf borderId="0" fillId="7" fontId="18" numFmtId="0" xfId="0" applyAlignment="1" applyFont="1">
      <alignment horizontal="center" readingOrder="0" shrinkToFit="0" vertical="bottom" wrapText="0"/>
    </xf>
    <xf borderId="1" fillId="7" fontId="79" numFmtId="0" xfId="0" applyAlignment="1" applyBorder="1" applyFont="1">
      <alignment vertical="bottom"/>
    </xf>
    <xf borderId="1" fillId="0" fontId="18" numFmtId="0" xfId="0" applyAlignment="1" applyBorder="1" applyFont="1">
      <alignment horizontal="left" readingOrder="0" shrinkToFit="0" vertical="bottom" wrapText="0"/>
    </xf>
    <xf borderId="1" fillId="0" fontId="7" numFmtId="169" xfId="0" applyAlignment="1" applyBorder="1" applyFont="1" applyNumberFormat="1">
      <alignment readingOrder="0"/>
    </xf>
    <xf borderId="1" fillId="14" fontId="18" numFmtId="0" xfId="0" applyAlignment="1" applyBorder="1" applyFont="1">
      <alignment horizontal="left" readingOrder="0" shrinkToFit="0" vertical="bottom" wrapText="0"/>
    </xf>
    <xf borderId="1" fillId="39" fontId="15" numFmtId="0" xfId="0" applyAlignment="1" applyBorder="1" applyFill="1" applyFont="1">
      <alignment horizontal="center" readingOrder="0"/>
    </xf>
    <xf borderId="1" fillId="40" fontId="15" numFmtId="0" xfId="0" applyAlignment="1" applyBorder="1" applyFill="1" applyFont="1">
      <alignment horizontal="center" readingOrder="0"/>
    </xf>
    <xf borderId="0" fillId="0" fontId="7" numFmtId="168" xfId="0" applyAlignment="1" applyFont="1" applyNumberFormat="1">
      <alignment readingOrder="0"/>
    </xf>
    <xf borderId="1" fillId="14" fontId="15" numFmtId="170" xfId="0" applyAlignment="1" applyBorder="1" applyFont="1" applyNumberFormat="1">
      <alignment horizontal="center" readingOrder="0"/>
    </xf>
    <xf borderId="1" fillId="33" fontId="7" numFmtId="0" xfId="0" applyAlignment="1" applyBorder="1" applyFont="1">
      <alignment horizontal="center" readingOrder="0" vertical="bottom"/>
    </xf>
    <xf borderId="1" fillId="32" fontId="7" numFmtId="0" xfId="0" applyAlignment="1" applyBorder="1" applyFont="1">
      <alignment horizontal="center" readingOrder="0" vertical="bottom"/>
    </xf>
    <xf borderId="1" fillId="0" fontId="7" numFmtId="170" xfId="0" applyAlignment="1" applyBorder="1" applyFont="1" applyNumberFormat="1">
      <alignment horizontal="center" readingOrder="0" vertical="bottom"/>
    </xf>
    <xf borderId="1" fillId="2" fontId="2" numFmtId="0" xfId="0" applyAlignment="1" applyBorder="1" applyFont="1">
      <alignment horizontal="center" vertical="bottom"/>
    </xf>
    <xf borderId="0" fillId="2" fontId="2" numFmtId="0" xfId="0" applyAlignment="1" applyFont="1">
      <alignment horizontal="center" vertical="bottom"/>
    </xf>
    <xf borderId="1" fillId="0" fontId="112" numFmtId="0" xfId="0" applyAlignment="1" applyBorder="1" applyFont="1">
      <alignment horizontal="left" readingOrder="0" vertical="bottom"/>
    </xf>
    <xf borderId="1" fillId="14" fontId="7" numFmtId="170" xfId="0" applyAlignment="1" applyBorder="1" applyFont="1" applyNumberFormat="1">
      <alignment horizontal="center" readingOrder="0" vertical="bottom"/>
    </xf>
    <xf borderId="1" fillId="31" fontId="7" numFmtId="0" xfId="0" applyAlignment="1" applyBorder="1" applyFont="1">
      <alignment horizontal="center" readingOrder="0" vertical="bottom"/>
    </xf>
    <xf borderId="0" fillId="0" fontId="34" numFmtId="0" xfId="0" applyAlignment="1" applyFont="1">
      <alignment horizontal="left" readingOrder="0"/>
    </xf>
    <xf borderId="0" fillId="0" fontId="127" numFmtId="0" xfId="0" applyAlignment="1" applyFont="1">
      <alignment horizontal="center" readingOrder="0"/>
    </xf>
    <xf borderId="0" fillId="5" fontId="7" numFmtId="0" xfId="0" applyAlignment="1" applyFont="1">
      <alignment horizontal="center" readingOrder="0"/>
    </xf>
    <xf borderId="1" fillId="2" fontId="2" numFmtId="0" xfId="0" applyAlignment="1" applyBorder="1" applyFont="1">
      <alignment vertical="bottom"/>
    </xf>
    <xf borderId="1" fillId="0" fontId="15" numFmtId="0" xfId="0" applyAlignment="1" applyBorder="1" applyFont="1">
      <alignment horizontal="right" vertical="bottom"/>
    </xf>
    <xf borderId="1" fillId="0" fontId="129" numFmtId="0" xfId="0" applyAlignment="1" applyBorder="1" applyFont="1">
      <alignment horizontal="center" vertical="bottom"/>
    </xf>
    <xf borderId="0" fillId="0" fontId="15" numFmtId="0" xfId="0" applyAlignment="1" applyFont="1">
      <alignment horizontal="center" vertical="bottom"/>
    </xf>
    <xf borderId="1" fillId="0" fontId="15" numFmtId="181" xfId="0" applyAlignment="1" applyBorder="1" applyFont="1" applyNumberFormat="1">
      <alignment horizontal="center" vertical="bottom"/>
    </xf>
    <xf borderId="1" fillId="41" fontId="130" numFmtId="0" xfId="0" applyAlignment="1" applyBorder="1" applyFill="1" applyFont="1">
      <alignment horizontal="center" vertical="bottom"/>
    </xf>
    <xf borderId="1" fillId="0" fontId="131" numFmtId="0" xfId="0" applyAlignment="1" applyBorder="1" applyFont="1">
      <alignment horizontal="center" vertical="bottom"/>
    </xf>
    <xf borderId="1" fillId="0" fontId="132" numFmtId="0" xfId="0" applyAlignment="1" applyBorder="1" applyFont="1">
      <alignment horizontal="center" vertical="bottom"/>
    </xf>
    <xf borderId="1" fillId="0" fontId="133" numFmtId="0" xfId="0" applyAlignment="1" applyBorder="1" applyFont="1">
      <alignment horizontal="center" vertical="bottom"/>
    </xf>
    <xf borderId="1" fillId="7" fontId="133" numFmtId="0" xfId="0" applyAlignment="1" applyBorder="1" applyFont="1">
      <alignment horizontal="center" vertical="bottom"/>
    </xf>
    <xf borderId="1" fillId="0" fontId="130" numFmtId="0" xfId="0" applyAlignment="1" applyBorder="1" applyFont="1">
      <alignment horizontal="center" vertical="bottom"/>
    </xf>
    <xf borderId="1" fillId="31" fontId="15" numFmtId="0" xfId="0" applyAlignment="1" applyBorder="1" applyFont="1">
      <alignment horizontal="center" vertical="bottom"/>
    </xf>
    <xf borderId="1" fillId="0" fontId="116" numFmtId="0" xfId="0" applyAlignment="1" applyBorder="1" applyFont="1">
      <alignment vertical="bottom"/>
    </xf>
    <xf borderId="1" fillId="39" fontId="15" numFmtId="0" xfId="0" applyAlignment="1" applyBorder="1" applyFont="1">
      <alignment horizontal="center" vertical="bottom"/>
    </xf>
    <xf borderId="1" fillId="0" fontId="134" numFmtId="0" xfId="0" applyAlignment="1" applyBorder="1" applyFont="1">
      <alignment horizontal="left" readingOrder="0"/>
    </xf>
    <xf borderId="6" fillId="0" fontId="7" numFmtId="0" xfId="0" applyAlignment="1" applyBorder="1" applyFont="1">
      <alignment readingOrder="0" shrinkToFit="0" wrapText="1"/>
    </xf>
    <xf borderId="7" fillId="0" fontId="4" numFmtId="0" xfId="0" applyBorder="1" applyFont="1"/>
    <xf borderId="5" fillId="0" fontId="4" numFmtId="0" xfId="0" applyBorder="1" applyFont="1"/>
    <xf borderId="0" fillId="7" fontId="135" numFmtId="0" xfId="0" applyAlignment="1" applyFont="1">
      <alignment horizontal="center" readingOrder="0" vertical="bottom"/>
    </xf>
    <xf borderId="1" fillId="2" fontId="136" numFmtId="0" xfId="0" applyAlignment="1" applyBorder="1" applyFont="1">
      <alignment horizontal="center" readingOrder="0" vertical="bottom"/>
    </xf>
    <xf borderId="1" fillId="0" fontId="7" numFmtId="0" xfId="0" applyAlignment="1" applyBorder="1" applyFont="1">
      <alignment horizontal="right"/>
    </xf>
    <xf borderId="0" fillId="0" fontId="7" numFmtId="0" xfId="0" applyAlignment="1" applyFont="1">
      <alignment horizontal="center" readingOrder="0" vertical="bottom"/>
    </xf>
    <xf borderId="0" fillId="0" fontId="7" numFmtId="0" xfId="0" applyAlignment="1" applyFont="1">
      <alignment horizontal="right" readingOrder="0"/>
    </xf>
    <xf borderId="1" fillId="0" fontId="137" numFmtId="0" xfId="0" applyAlignment="1" applyBorder="1" applyFont="1">
      <alignment readingOrder="0"/>
    </xf>
    <xf borderId="1" fillId="14" fontId="7" numFmtId="168" xfId="0" applyAlignment="1" applyBorder="1" applyFont="1" applyNumberFormat="1">
      <alignment horizontal="center" readingOrder="0" vertical="bottom"/>
    </xf>
    <xf borderId="1" fillId="0" fontId="44" numFmtId="168" xfId="0" applyAlignment="1" applyBorder="1" applyFont="1" applyNumberFormat="1">
      <alignment horizontal="center" readingOrder="0"/>
    </xf>
    <xf borderId="1" fillId="0" fontId="40" numFmtId="0" xfId="0" applyBorder="1" applyFont="1"/>
    <xf borderId="1" fillId="0" fontId="40" numFmtId="0" xfId="0" applyAlignment="1" applyBorder="1" applyFont="1">
      <alignment horizontal="center"/>
    </xf>
    <xf borderId="1" fillId="7" fontId="15" numFmtId="0" xfId="0" applyAlignment="1" applyBorder="1" applyFont="1">
      <alignment horizontal="left" readingOrder="0"/>
    </xf>
    <xf borderId="1" fillId="7" fontId="15" numFmtId="0" xfId="0" applyAlignment="1" applyBorder="1" applyFont="1">
      <alignment horizontal="center" readingOrder="0"/>
    </xf>
    <xf borderId="1" fillId="0" fontId="15" numFmtId="170" xfId="0" applyAlignment="1" applyBorder="1" applyFont="1" applyNumberFormat="1">
      <alignment horizontal="center" readingOrder="0"/>
    </xf>
    <xf borderId="1" fillId="42" fontId="15" numFmtId="0" xfId="0" applyAlignment="1" applyBorder="1" applyFill="1" applyFont="1">
      <alignment horizontal="center" readingOrder="0"/>
    </xf>
    <xf borderId="1" fillId="24" fontId="2" numFmtId="0" xfId="0" applyAlignment="1" applyBorder="1" applyFont="1">
      <alignment horizontal="left" readingOrder="0"/>
    </xf>
    <xf borderId="1" fillId="0" fontId="40" numFmtId="168" xfId="0" applyAlignment="1" applyBorder="1" applyFont="1" applyNumberFormat="1">
      <alignment horizontal="center" readingOrder="0"/>
    </xf>
    <xf borderId="1" fillId="19" fontId="7" numFmtId="0" xfId="0" applyAlignment="1" applyBorder="1" applyFont="1">
      <alignment horizontal="center" readingOrder="0" vertical="bottom"/>
    </xf>
    <xf borderId="1" fillId="27" fontId="7" numFmtId="0" xfId="0" applyAlignment="1" applyBorder="1" applyFont="1">
      <alignment horizontal="center" readingOrder="0" vertical="bottom"/>
    </xf>
    <xf borderId="1" fillId="40" fontId="7" numFmtId="0" xfId="0" applyAlignment="1" applyBorder="1" applyFont="1">
      <alignment horizontal="center" readingOrder="0" vertical="bottom"/>
    </xf>
    <xf borderId="1" fillId="14" fontId="44" numFmtId="0" xfId="0" applyAlignment="1" applyBorder="1" applyFont="1">
      <alignment horizontal="left" readingOrder="0" vertical="bottom"/>
    </xf>
    <xf borderId="1" fillId="14" fontId="44" numFmtId="168" xfId="0" applyAlignment="1" applyBorder="1" applyFont="1" applyNumberFormat="1">
      <alignment horizontal="center" readingOrder="0" vertical="bottom"/>
    </xf>
    <xf borderId="1" fillId="13" fontId="44" numFmtId="0" xfId="0" applyAlignment="1" applyBorder="1" applyFont="1">
      <alignment horizontal="center" readingOrder="0" vertical="bottom"/>
    </xf>
    <xf borderId="1" fillId="0" fontId="44" numFmtId="0" xfId="0" applyAlignment="1" applyBorder="1" applyFont="1">
      <alignment horizontal="left" readingOrder="0" vertical="bottom"/>
    </xf>
    <xf borderId="1" fillId="0" fontId="111" numFmtId="0" xfId="0" applyAlignment="1" applyBorder="1" applyFont="1">
      <alignment horizontal="left" readingOrder="0" vertical="bottom"/>
    </xf>
    <xf borderId="1" fillId="0" fontId="44" numFmtId="168" xfId="0" applyAlignment="1" applyBorder="1" applyFont="1" applyNumberFormat="1">
      <alignment horizontal="center" readingOrder="0" vertical="bottom"/>
    </xf>
    <xf borderId="1" fillId="16" fontId="44" numFmtId="0" xfId="0" applyAlignment="1" applyBorder="1" applyFont="1">
      <alignment horizontal="center" readingOrder="0" vertical="bottom"/>
    </xf>
    <xf borderId="1" fillId="14" fontId="138" numFmtId="0" xfId="0" applyAlignment="1" applyBorder="1" applyFont="1">
      <alignment horizontal="center" readingOrder="0"/>
    </xf>
    <xf borderId="1" fillId="0" fontId="138" numFmtId="0" xfId="0" applyAlignment="1" applyBorder="1" applyFont="1">
      <alignment horizontal="center" readingOrder="0"/>
    </xf>
    <xf borderId="1" fillId="0" fontId="139" numFmtId="0" xfId="0" applyAlignment="1" applyBorder="1" applyFont="1">
      <alignment horizontal="center" readingOrder="0"/>
    </xf>
    <xf borderId="1" fillId="7" fontId="138" numFmtId="0" xfId="0" applyAlignment="1" applyBorder="1" applyFont="1">
      <alignment horizontal="center" readingOrder="0"/>
    </xf>
    <xf borderId="0" fillId="0" fontId="7" numFmtId="169" xfId="0" applyAlignment="1" applyFont="1" applyNumberFormat="1">
      <alignment readingOrder="0"/>
    </xf>
    <xf borderId="1" fillId="0" fontId="123" numFmtId="0" xfId="0" applyAlignment="1" applyBorder="1" applyFont="1">
      <alignment horizontal="center" readingOrder="0"/>
    </xf>
    <xf borderId="1" fillId="14" fontId="140" numFmtId="0" xfId="0" applyAlignment="1" applyBorder="1" applyFont="1">
      <alignment horizontal="center" readingOrder="0"/>
    </xf>
    <xf borderId="1" fillId="0" fontId="7" numFmtId="165" xfId="0" applyAlignment="1" applyBorder="1" applyFont="1" applyNumberFormat="1">
      <alignment horizontal="center" readingOrder="0" vertical="bottom"/>
    </xf>
    <xf borderId="1" fillId="0" fontId="140" numFmtId="0" xfId="0" applyAlignment="1" applyBorder="1" applyFont="1">
      <alignment horizontal="center" readingOrder="0"/>
    </xf>
    <xf borderId="2" fillId="0" fontId="15" numFmtId="0" xfId="0" applyAlignment="1" applyBorder="1" applyFont="1">
      <alignment readingOrder="0" vertical="bottom"/>
    </xf>
    <xf borderId="1" fillId="0" fontId="141" numFmtId="0" xfId="0" applyAlignment="1" applyBorder="1" applyFont="1">
      <alignment horizontal="center" readingOrder="0"/>
    </xf>
    <xf borderId="1" fillId="0" fontId="142" numFmtId="0" xfId="0" applyAlignment="1" applyBorder="1" applyFont="1">
      <alignment horizontal="center" readingOrder="0"/>
    </xf>
    <xf borderId="1" fillId="5" fontId="7" numFmtId="0" xfId="0" applyAlignment="1" applyBorder="1" applyFont="1">
      <alignment horizontal="center" readingOrder="0" vertical="bottom"/>
    </xf>
    <xf borderId="1" fillId="0" fontId="7" numFmtId="168" xfId="0" applyAlignment="1" applyBorder="1" applyFont="1" applyNumberFormat="1">
      <alignment horizontal="center" vertical="bottom"/>
    </xf>
    <xf borderId="1" fillId="43" fontId="15" numFmtId="0" xfId="0" applyAlignment="1" applyBorder="1" applyFill="1" applyFont="1">
      <alignment horizontal="center" readingOrder="0"/>
    </xf>
    <xf borderId="1" fillId="0" fontId="143" numFmtId="0" xfId="0" applyAlignment="1" applyBorder="1" applyFont="1">
      <alignment horizontal="center" readingOrder="0" shrinkToFit="0" wrapText="1"/>
    </xf>
    <xf borderId="1" fillId="14" fontId="15" numFmtId="0" xfId="0" applyAlignment="1" applyBorder="1" applyFont="1">
      <alignment horizontal="center" readingOrder="0" shrinkToFit="0" wrapText="0"/>
    </xf>
    <xf borderId="1" fillId="14" fontId="144" numFmtId="0" xfId="0" applyAlignment="1" applyBorder="1" applyFont="1">
      <alignment horizontal="center" readingOrder="0" shrinkToFit="0" vertical="bottom" wrapText="0"/>
    </xf>
    <xf borderId="1" fillId="0" fontId="145" numFmtId="0" xfId="0" applyAlignment="1" applyBorder="1" applyFont="1">
      <alignment horizontal="center" readingOrder="0" shrinkToFit="0" vertical="bottom" wrapText="0"/>
    </xf>
    <xf borderId="1" fillId="7" fontId="15" numFmtId="0" xfId="0" applyAlignment="1" applyBorder="1" applyFont="1">
      <alignment horizontal="center" readingOrder="0" shrinkToFit="0" wrapText="0"/>
    </xf>
    <xf borderId="1" fillId="0" fontId="144" numFmtId="0" xfId="0" applyAlignment="1" applyBorder="1" applyFont="1">
      <alignment horizontal="center" readingOrder="0" shrinkToFit="0" vertical="bottom" wrapText="0"/>
    </xf>
    <xf borderId="1" fillId="0" fontId="143" numFmtId="0" xfId="0" applyAlignment="1" applyBorder="1" applyFont="1">
      <alignment horizontal="center" readingOrder="0" shrinkToFit="0" vertical="bottom" wrapText="0"/>
    </xf>
    <xf borderId="1" fillId="0" fontId="44" numFmtId="0" xfId="0" applyAlignment="1" applyBorder="1" applyFont="1">
      <alignment readingOrder="0" shrinkToFit="0" wrapText="0"/>
    </xf>
    <xf borderId="1" fillId="0" fontId="13" numFmtId="0" xfId="0" applyAlignment="1" applyBorder="1" applyFont="1">
      <alignment horizontal="center" readingOrder="0" vertical="center"/>
    </xf>
    <xf borderId="0" fillId="0" fontId="78" numFmtId="0" xfId="0" applyAlignment="1" applyFont="1">
      <alignment horizontal="left" readingOrder="0"/>
    </xf>
    <xf borderId="1" fillId="14" fontId="145" numFmtId="0" xfId="0" applyAlignment="1" applyBorder="1" applyFont="1">
      <alignment horizontal="center" readingOrder="0" shrinkToFit="0" wrapText="0"/>
    </xf>
    <xf borderId="1" fillId="0" fontId="145" numFmtId="0" xfId="0" applyAlignment="1" applyBorder="1" applyFont="1">
      <alignment horizontal="center" readingOrder="0" shrinkToFit="0" wrapText="0"/>
    </xf>
    <xf borderId="1" fillId="0" fontId="143" numFmtId="0" xfId="0" applyAlignment="1" applyBorder="1" applyFont="1">
      <alignment horizontal="center" readingOrder="0" shrinkToFit="0" wrapText="0"/>
    </xf>
    <xf borderId="1" fillId="0" fontId="7" numFmtId="178" xfId="0" applyAlignment="1" applyBorder="1" applyFont="1" applyNumberFormat="1">
      <alignment readingOrder="0"/>
    </xf>
    <xf borderId="1" fillId="0" fontId="16" numFmtId="166" xfId="0" applyAlignment="1" applyBorder="1" applyFont="1" applyNumberFormat="1">
      <alignment horizontal="center" readingOrder="0"/>
    </xf>
    <xf borderId="1" fillId="0" fontId="23" numFmtId="0" xfId="0" applyAlignment="1" applyBorder="1" applyFont="1">
      <alignment horizontal="center" readingOrder="0"/>
    </xf>
    <xf borderId="0" fillId="0" fontId="146" numFmtId="0" xfId="0" applyAlignment="1" applyFont="1">
      <alignment readingOrder="0"/>
    </xf>
    <xf borderId="0" fillId="0" fontId="7" numFmtId="178" xfId="0" applyAlignment="1" applyFont="1" applyNumberFormat="1">
      <alignment readingOrder="0"/>
    </xf>
    <xf borderId="1" fillId="6" fontId="15" numFmtId="0" xfId="0" applyAlignment="1" applyBorder="1" applyFont="1">
      <alignment horizontal="center" readingOrder="0"/>
    </xf>
    <xf borderId="0" fillId="0" fontId="15" numFmtId="0" xfId="0" applyAlignment="1" applyFont="1">
      <alignment readingOrder="0" vertical="bottom"/>
    </xf>
    <xf borderId="0" fillId="0" fontId="15" numFmtId="169" xfId="0" applyAlignment="1" applyFont="1" applyNumberFormat="1">
      <alignment readingOrder="0" vertical="bottom"/>
    </xf>
    <xf borderId="0" fillId="0" fontId="15" numFmtId="169" xfId="0" applyAlignment="1" applyFont="1" applyNumberFormat="1">
      <alignment horizontal="right" vertical="bottom"/>
    </xf>
    <xf borderId="0" fillId="0" fontId="15" numFmtId="0" xfId="0" applyAlignment="1" applyFont="1">
      <alignment vertical="bottom"/>
    </xf>
    <xf borderId="1" fillId="14" fontId="34" numFmtId="0" xfId="0" applyAlignment="1" applyBorder="1" applyFont="1">
      <alignment horizontal="center" readingOrder="0"/>
    </xf>
    <xf borderId="0" fillId="0" fontId="15" numFmtId="165" xfId="0" applyAlignment="1" applyFont="1" applyNumberFormat="1">
      <alignment horizontal="right" vertical="bottom"/>
    </xf>
    <xf borderId="1" fillId="42" fontId="7" numFmtId="0" xfId="0" applyAlignment="1" applyBorder="1" applyFont="1">
      <alignment horizontal="center" readingOrder="0" vertical="bottom"/>
    </xf>
    <xf borderId="0" fillId="0" fontId="7" numFmtId="165" xfId="0" applyAlignment="1" applyFont="1" applyNumberFormat="1">
      <alignment horizontal="center" readingOrder="0"/>
    </xf>
    <xf borderId="1" fillId="6" fontId="7" numFmtId="0" xfId="0" applyAlignment="1" applyBorder="1" applyFont="1">
      <alignment horizontal="center" readingOrder="0" vertical="bottom"/>
    </xf>
    <xf borderId="0" fillId="0" fontId="119" numFmtId="0" xfId="0" applyAlignment="1" applyFont="1">
      <alignment readingOrder="0"/>
    </xf>
    <xf borderId="1" fillId="14" fontId="13" numFmtId="0" xfId="0" applyAlignment="1" applyBorder="1" applyFont="1">
      <alignment horizontal="center" readingOrder="0"/>
    </xf>
    <xf borderId="1" fillId="0" fontId="147" numFmtId="0" xfId="0" applyAlignment="1" applyBorder="1" applyFont="1">
      <alignment horizontal="center" readingOrder="0"/>
    </xf>
    <xf borderId="0" fillId="0" fontId="79" numFmtId="0" xfId="0" applyAlignment="1" applyFont="1">
      <alignment vertical="bottom"/>
    </xf>
    <xf borderId="1" fillId="14" fontId="33" numFmtId="165" xfId="0" applyAlignment="1" applyBorder="1" applyFont="1" applyNumberFormat="1">
      <alignment horizontal="right" readingOrder="0" shrinkToFit="0" vertical="bottom" wrapText="0"/>
    </xf>
    <xf borderId="1" fillId="14" fontId="78" numFmtId="0" xfId="0" applyAlignment="1" applyBorder="1" applyFont="1">
      <alignment horizontal="center" readingOrder="0" shrinkToFit="0" wrapText="0"/>
    </xf>
    <xf borderId="1" fillId="0" fontId="33" numFmtId="165" xfId="0" applyAlignment="1" applyBorder="1" applyFont="1" applyNumberFormat="1">
      <alignment horizontal="right" readingOrder="0" shrinkToFit="0" vertical="bottom" wrapText="0"/>
    </xf>
    <xf borderId="1" fillId="0" fontId="15" numFmtId="0" xfId="0" applyAlignment="1" applyBorder="1" applyFont="1">
      <alignment horizontal="center" readingOrder="0" shrinkToFit="0" wrapText="0"/>
    </xf>
    <xf borderId="0" fillId="0" fontId="15" numFmtId="169" xfId="0" applyAlignment="1" applyFont="1" applyNumberFormat="1">
      <alignment horizontal="right" readingOrder="0" vertical="bottom"/>
    </xf>
    <xf borderId="1" fillId="0" fontId="33" numFmtId="0" xfId="0" applyAlignment="1" applyBorder="1" applyFont="1">
      <alignment horizontal="right" readingOrder="0" shrinkToFit="0" vertical="bottom" wrapText="0"/>
    </xf>
    <xf borderId="1" fillId="0" fontId="78" numFmtId="0" xfId="0" applyAlignment="1" applyBorder="1" applyFont="1">
      <alignment horizontal="center" readingOrder="0" shrinkToFit="0" wrapText="0"/>
    </xf>
    <xf borderId="1" fillId="0" fontId="148" numFmtId="0" xfId="0" applyAlignment="1" applyBorder="1" applyFont="1">
      <alignment horizontal="center" readingOrder="0" shrinkToFit="0" wrapText="0"/>
    </xf>
    <xf borderId="1" fillId="14" fontId="15" numFmtId="0" xfId="0" applyAlignment="1" applyBorder="1" applyFont="1">
      <alignment horizontal="left" readingOrder="0" shrinkToFit="0" wrapText="0"/>
    </xf>
    <xf borderId="1" fillId="14" fontId="44" numFmtId="0" xfId="0" applyAlignment="1" applyBorder="1" applyFont="1">
      <alignment horizontal="center" readingOrder="0" shrinkToFit="0" wrapText="0"/>
    </xf>
    <xf borderId="1" fillId="14" fontId="149" numFmtId="0" xfId="0" applyAlignment="1" applyBorder="1" applyFont="1">
      <alignment horizontal="center" readingOrder="0" vertical="bottom"/>
    </xf>
    <xf borderId="1" fillId="0" fontId="15" numFmtId="0" xfId="0" applyAlignment="1" applyBorder="1" applyFont="1">
      <alignment horizontal="left" readingOrder="0" shrinkToFit="0" wrapText="0"/>
    </xf>
    <xf borderId="1" fillId="0" fontId="44" numFmtId="0" xfId="0" applyAlignment="1" applyBorder="1" applyFont="1">
      <alignment horizontal="center" readingOrder="0" shrinkToFit="0" wrapText="0"/>
    </xf>
    <xf borderId="1" fillId="7" fontId="44" numFmtId="0" xfId="0" applyAlignment="1" applyBorder="1" applyFont="1">
      <alignment horizontal="center" readingOrder="0"/>
    </xf>
    <xf borderId="1" fillId="0" fontId="149" numFmtId="0" xfId="0" applyAlignment="1" applyBorder="1" applyFont="1">
      <alignment horizontal="center" readingOrder="0" vertical="bottom"/>
    </xf>
    <xf borderId="1" fillId="0" fontId="44" numFmtId="0" xfId="0" applyAlignment="1" applyBorder="1" applyFont="1">
      <alignment horizontal="center" shrinkToFit="0" wrapText="0"/>
    </xf>
    <xf borderId="1" fillId="0" fontId="15" numFmtId="0" xfId="0" applyAlignment="1" applyBorder="1" applyFont="1">
      <alignment horizontal="center" shrinkToFit="0" wrapText="0"/>
    </xf>
    <xf borderId="1" fillId="27" fontId="15" numFmtId="0" xfId="0" applyAlignment="1" applyBorder="1" applyFont="1">
      <alignment horizontal="center" readingOrder="0" shrinkToFit="0" wrapText="0"/>
    </xf>
    <xf borderId="1" fillId="44" fontId="15" numFmtId="0" xfId="0" applyAlignment="1" applyBorder="1" applyFill="1" applyFont="1">
      <alignment horizontal="center" readingOrder="0" shrinkToFit="0" wrapText="0"/>
    </xf>
    <xf borderId="1" fillId="44" fontId="15" numFmtId="0" xfId="0" applyAlignment="1" applyBorder="1" applyFont="1">
      <alignment horizontal="left" readingOrder="0" shrinkToFit="0" wrapText="0"/>
    </xf>
    <xf borderId="1" fillId="44" fontId="44" numFmtId="0" xfId="0" applyAlignment="1" applyBorder="1" applyFont="1">
      <alignment horizontal="center" readingOrder="0" shrinkToFit="0" wrapText="0"/>
    </xf>
    <xf borderId="1" fillId="44" fontId="7" numFmtId="168" xfId="0" applyAlignment="1" applyBorder="1" applyFont="1" applyNumberFormat="1">
      <alignment horizontal="center" readingOrder="0"/>
    </xf>
    <xf borderId="1" fillId="44" fontId="13" numFmtId="0" xfId="0" applyAlignment="1" applyBorder="1" applyFont="1">
      <alignment horizontal="center" readingOrder="0" vertical="bottom"/>
    </xf>
    <xf borderId="1" fillId="44" fontId="7" numFmtId="0" xfId="0" applyAlignment="1" applyBorder="1" applyFont="1">
      <alignment horizontal="center" readingOrder="0" vertical="bottom"/>
    </xf>
    <xf borderId="0" fillId="44" fontId="7" numFmtId="0" xfId="0" applyFont="1"/>
    <xf borderId="0" fillId="44" fontId="7" numFmtId="0" xfId="0" applyAlignment="1" applyFont="1">
      <alignment horizontal="center" readingOrder="0"/>
    </xf>
    <xf borderId="0" fillId="44" fontId="7" numFmtId="0" xfId="0" applyAlignment="1" applyFont="1">
      <alignment readingOrder="0"/>
    </xf>
    <xf borderId="0" fillId="44" fontId="7" numFmtId="165" xfId="0" applyAlignment="1" applyFont="1" applyNumberFormat="1">
      <alignment readingOrder="0"/>
    </xf>
    <xf borderId="1" fillId="44" fontId="79" numFmtId="0" xfId="0" applyAlignment="1" applyBorder="1" applyFont="1">
      <alignment vertical="bottom"/>
    </xf>
    <xf borderId="1" fillId="44" fontId="7" numFmtId="0" xfId="0" applyAlignment="1" applyBorder="1" applyFont="1">
      <alignment horizontal="center" readingOrder="0"/>
    </xf>
    <xf borderId="0" fillId="5" fontId="15" numFmtId="0" xfId="0" applyAlignment="1" applyFont="1">
      <alignment vertical="bottom"/>
    </xf>
    <xf borderId="0" fillId="5" fontId="15" numFmtId="0" xfId="0" applyAlignment="1" applyFont="1">
      <alignment readingOrder="0" vertical="bottom"/>
    </xf>
    <xf borderId="1" fillId="44" fontId="15" numFmtId="0" xfId="0" applyAlignment="1" applyBorder="1" applyFont="1">
      <alignment horizontal="center" readingOrder="0"/>
    </xf>
    <xf borderId="1" fillId="0" fontId="148" numFmtId="0" xfId="0" applyAlignment="1" applyBorder="1" applyFont="1">
      <alignment horizontal="center" readingOrder="0" shrinkToFit="0" vertical="bottom" wrapText="0"/>
    </xf>
    <xf borderId="1" fillId="34" fontId="15" numFmtId="0" xfId="0" applyAlignment="1" applyBorder="1" applyFont="1">
      <alignment horizontal="center" readingOrder="0" shrinkToFit="0" wrapText="0"/>
    </xf>
    <xf borderId="0" fillId="0" fontId="7" numFmtId="169" xfId="0" applyFont="1" applyNumberFormat="1"/>
    <xf borderId="1" fillId="0" fontId="111" numFmtId="0" xfId="0" applyAlignment="1" applyBorder="1" applyFont="1">
      <alignment horizontal="left" readingOrder="0" shrinkToFit="0" wrapText="0"/>
    </xf>
    <xf borderId="1" fillId="26" fontId="15" numFmtId="0" xfId="0" applyAlignment="1" applyBorder="1" applyFont="1">
      <alignment horizontal="center" readingOrder="0" shrinkToFit="0" wrapText="0"/>
    </xf>
    <xf borderId="1" fillId="10" fontId="15" numFmtId="0" xfId="0" applyAlignment="1" applyBorder="1" applyFont="1">
      <alignment horizontal="center" readingOrder="0" shrinkToFit="0" wrapText="0"/>
    </xf>
    <xf borderId="1" fillId="2" fontId="150" numFmtId="0" xfId="0" applyAlignment="1" applyBorder="1" applyFont="1">
      <alignment horizontal="center" readingOrder="0" vertical="bottom"/>
    </xf>
    <xf borderId="1" fillId="14" fontId="151" numFmtId="0" xfId="0" applyAlignment="1" applyBorder="1" applyFont="1">
      <alignment horizontal="center" readingOrder="0"/>
    </xf>
    <xf borderId="1" fillId="14" fontId="78" numFmtId="0" xfId="0" applyAlignment="1" applyBorder="1" applyFont="1">
      <alignment horizontal="center" readingOrder="0"/>
    </xf>
    <xf borderId="1" fillId="14" fontId="15" numFmtId="0" xfId="0" applyAlignment="1" applyBorder="1" applyFont="1">
      <alignment horizontal="center" readingOrder="0"/>
    </xf>
    <xf borderId="1" fillId="0" fontId="15" numFmtId="0" xfId="0" applyAlignment="1" applyBorder="1" applyFont="1">
      <alignment horizontal="center" readingOrder="0"/>
    </xf>
    <xf borderId="1" fillId="0" fontId="151" numFmtId="0" xfId="0" applyAlignment="1" applyBorder="1" applyFont="1">
      <alignment horizontal="center" readingOrder="0"/>
    </xf>
    <xf borderId="1" fillId="24" fontId="15" numFmtId="0" xfId="0" applyAlignment="1" applyBorder="1" applyFont="1">
      <alignment horizontal="center" readingOrder="0" shrinkToFit="0" wrapText="0"/>
    </xf>
    <xf borderId="0" fillId="0" fontId="40" numFmtId="168" xfId="0" applyAlignment="1" applyFont="1" applyNumberFormat="1">
      <alignment horizontal="center" readingOrder="0" vertical="bottom"/>
    </xf>
    <xf borderId="1" fillId="19" fontId="15" numFmtId="0" xfId="0" applyAlignment="1" applyBorder="1" applyFont="1">
      <alignment horizontal="center" readingOrder="0" shrinkToFit="0" wrapText="0"/>
    </xf>
    <xf borderId="1" fillId="0" fontId="78" numFmtId="0" xfId="0" applyAlignment="1" applyBorder="1" applyFont="1">
      <alignment horizontal="center" readingOrder="0"/>
    </xf>
    <xf borderId="1" fillId="0" fontId="33" numFmtId="165" xfId="0" applyAlignment="1" applyBorder="1" applyFont="1" applyNumberFormat="1">
      <alignment horizontal="center" readingOrder="0" shrinkToFit="0" vertical="bottom" wrapText="0"/>
    </xf>
    <xf borderId="1" fillId="14" fontId="15" numFmtId="165" xfId="0" applyAlignment="1" applyBorder="1" applyFont="1" applyNumberFormat="1">
      <alignment horizontal="center" readingOrder="0"/>
    </xf>
    <xf borderId="1" fillId="0" fontId="15" numFmtId="165" xfId="0" applyAlignment="1" applyBorder="1" applyFont="1" applyNumberFormat="1">
      <alignment horizontal="center" readingOrder="0"/>
    </xf>
    <xf borderId="1" fillId="14" fontId="16" numFmtId="0" xfId="0" applyAlignment="1" applyBorder="1" applyFont="1">
      <alignment horizontal="center" readingOrder="0"/>
    </xf>
    <xf borderId="1" fillId="14" fontId="16" numFmtId="0" xfId="0" applyAlignment="1" applyBorder="1" applyFont="1">
      <alignment horizontal="left" readingOrder="0" shrinkToFit="0" vertical="bottom" wrapText="0"/>
    </xf>
    <xf borderId="1" fillId="14" fontId="16" numFmtId="0" xfId="0" applyAlignment="1" applyBorder="1" applyFont="1">
      <alignment horizontal="center" readingOrder="0" shrinkToFit="0" wrapText="0"/>
    </xf>
    <xf borderId="1" fillId="14" fontId="16" numFmtId="0" xfId="0" applyAlignment="1" applyBorder="1" applyFont="1">
      <alignment horizontal="center" readingOrder="0" shrinkToFit="0" vertical="bottom" wrapText="0"/>
    </xf>
    <xf borderId="1" fillId="14" fontId="25" numFmtId="0" xfId="0" applyAlignment="1" applyBorder="1" applyFont="1">
      <alignment horizontal="center" readingOrder="0" shrinkToFit="0" wrapText="0"/>
    </xf>
    <xf borderId="0" fillId="14" fontId="7" numFmtId="0" xfId="0" applyAlignment="1" applyFont="1">
      <alignment horizontal="center" readingOrder="0"/>
    </xf>
    <xf borderId="1" fillId="0" fontId="16" numFmtId="0" xfId="0" applyAlignment="1" applyBorder="1" applyFont="1">
      <alignment horizontal="left" readingOrder="0" shrinkToFit="0" vertical="bottom" wrapText="0"/>
    </xf>
    <xf borderId="1" fillId="0" fontId="16" numFmtId="0" xfId="0" applyAlignment="1" applyBorder="1" applyFont="1">
      <alignment horizontal="center" shrinkToFit="0" wrapText="0"/>
    </xf>
    <xf borderId="1" fillId="0" fontId="16" numFmtId="0" xfId="0" applyAlignment="1" applyBorder="1" applyFont="1">
      <alignment horizontal="center" readingOrder="0" shrinkToFit="0" vertical="bottom" wrapText="0"/>
    </xf>
    <xf borderId="1" fillId="0" fontId="15" numFmtId="0" xfId="0" applyAlignment="1" applyBorder="1" applyFont="1">
      <alignment horizontal="center"/>
    </xf>
    <xf borderId="1" fillId="0" fontId="25" numFmtId="0" xfId="0" applyAlignment="1" applyBorder="1" applyFont="1">
      <alignment horizontal="center" readingOrder="0" shrinkToFit="0" wrapText="0"/>
    </xf>
    <xf borderId="1" fillId="0" fontId="16" numFmtId="0" xfId="0" applyAlignment="1" applyBorder="1" applyFont="1">
      <alignment horizontal="center" readingOrder="0" shrinkToFit="0" wrapText="0"/>
    </xf>
    <xf borderId="1" fillId="27" fontId="16" numFmtId="0" xfId="0" applyAlignment="1" applyBorder="1" applyFont="1">
      <alignment horizontal="center" readingOrder="0" shrinkToFit="0" vertical="bottom" wrapText="0"/>
    </xf>
    <xf borderId="1" fillId="6" fontId="16" numFmtId="0" xfId="0" applyAlignment="1" applyBorder="1" applyFont="1">
      <alignment horizontal="center" readingOrder="0" shrinkToFit="0" vertical="bottom" wrapText="0"/>
    </xf>
    <xf borderId="0" fillId="0" fontId="7" numFmtId="167" xfId="0" applyAlignment="1" applyFont="1" applyNumberFormat="1">
      <alignment readingOrder="0"/>
    </xf>
    <xf borderId="1" fillId="0" fontId="149" numFmtId="0" xfId="0" applyAlignment="1" applyBorder="1" applyFont="1">
      <alignment horizontal="center" readingOrder="0"/>
    </xf>
    <xf borderId="1" fillId="26" fontId="16" numFmtId="0" xfId="0" applyAlignment="1" applyBorder="1" applyFont="1">
      <alignment horizontal="center" readingOrder="0" shrinkToFit="0" vertical="bottom" wrapText="0"/>
    </xf>
    <xf borderId="1" fillId="14" fontId="16" numFmtId="0" xfId="0" applyAlignment="1" applyBorder="1" applyFont="1">
      <alignment horizontal="left" readingOrder="0" shrinkToFit="0" wrapText="0"/>
    </xf>
    <xf borderId="0" fillId="0" fontId="15" numFmtId="0" xfId="0" applyAlignment="1" applyFont="1">
      <alignment horizontal="right" readingOrder="0" shrinkToFit="0" vertical="bottom" wrapText="0"/>
    </xf>
    <xf borderId="0" fillId="0" fontId="78" numFmtId="0" xfId="0" applyAlignment="1" applyFont="1">
      <alignment horizontal="right" readingOrder="0" shrinkToFit="0" vertical="bottom" wrapText="0"/>
    </xf>
    <xf borderId="0" fillId="0" fontId="14" numFmtId="0" xfId="0" applyAlignment="1" applyFont="1">
      <alignment horizontal="right" readingOrder="0" shrinkToFit="0" vertical="bottom" wrapText="0"/>
    </xf>
    <xf borderId="1" fillId="0" fontId="16" numFmtId="0" xfId="0" applyAlignment="1" applyBorder="1" applyFont="1">
      <alignment horizontal="left" readingOrder="0" shrinkToFit="0" wrapText="0"/>
    </xf>
    <xf borderId="0" fillId="0" fontId="7" numFmtId="0" xfId="0" applyAlignment="1" applyFont="1">
      <alignment horizontal="left" readingOrder="0"/>
    </xf>
    <xf borderId="1" fillId="45" fontId="16" numFmtId="0" xfId="0" applyAlignment="1" applyBorder="1" applyFill="1" applyFont="1">
      <alignment horizontal="center" readingOrder="0" shrinkToFit="0" wrapText="0"/>
    </xf>
    <xf borderId="1" fillId="46" fontId="16" numFmtId="0" xfId="0" applyAlignment="1" applyBorder="1" applyFill="1" applyFont="1">
      <alignment horizontal="center" readingOrder="0" shrinkToFit="0" wrapText="0"/>
    </xf>
    <xf borderId="1" fillId="38" fontId="16" numFmtId="0" xfId="0" applyAlignment="1" applyBorder="1" applyFont="1">
      <alignment horizontal="center" readingOrder="0" shrinkToFit="0" wrapText="0"/>
    </xf>
    <xf borderId="1" fillId="0" fontId="78" numFmtId="0" xfId="0" applyAlignment="1" applyBorder="1" applyFont="1">
      <alignment horizontal="center" readingOrder="0" shrinkToFit="0" vertical="bottom" wrapText="0"/>
    </xf>
    <xf borderId="1" fillId="0" fontId="14" numFmtId="165" xfId="0" applyAlignment="1" applyBorder="1" applyFont="1" applyNumberFormat="1">
      <alignment horizontal="center" readingOrder="0" shrinkToFit="0" vertical="bottom" wrapText="0"/>
    </xf>
    <xf borderId="1" fillId="14" fontId="44" numFmtId="0" xfId="0" applyAlignment="1" applyBorder="1" applyFont="1">
      <alignment horizontal="left" readingOrder="0" shrinkToFit="0" vertical="bottom" wrapText="0"/>
    </xf>
    <xf borderId="1" fillId="14" fontId="44" numFmtId="0" xfId="0" applyAlignment="1" applyBorder="1" applyFont="1">
      <alignment horizontal="center" shrinkToFit="0" wrapText="0"/>
    </xf>
    <xf borderId="1" fillId="14" fontId="44" numFmtId="165" xfId="0" applyAlignment="1" applyBorder="1" applyFont="1" applyNumberFormat="1">
      <alignment horizontal="center" readingOrder="0"/>
    </xf>
    <xf borderId="1" fillId="14" fontId="106" numFmtId="0" xfId="0" applyAlignment="1" applyBorder="1" applyFont="1">
      <alignment horizontal="center" readingOrder="0" shrinkToFit="0" wrapText="0"/>
    </xf>
    <xf borderId="1" fillId="14" fontId="44" numFmtId="0" xfId="0" applyAlignment="1" applyBorder="1" applyFont="1">
      <alignment horizontal="center" readingOrder="0"/>
    </xf>
    <xf borderId="1" fillId="14" fontId="44" numFmtId="0" xfId="0" applyAlignment="1" applyBorder="1" applyFont="1">
      <alignment horizontal="left" readingOrder="0" shrinkToFit="0" wrapText="0"/>
    </xf>
    <xf borderId="1" fillId="14" fontId="14" numFmtId="0" xfId="0" applyAlignment="1" applyBorder="1" applyFont="1">
      <alignment horizontal="center" readingOrder="0" shrinkToFit="0" wrapText="0"/>
    </xf>
    <xf borderId="1" fillId="0" fontId="44" numFmtId="0" xfId="0" applyAlignment="1" applyBorder="1" applyFont="1">
      <alignment horizontal="left" readingOrder="0" shrinkToFit="0" vertical="bottom" wrapText="0"/>
    </xf>
    <xf borderId="1" fillId="0" fontId="44" numFmtId="0" xfId="0" applyAlignment="1" applyBorder="1" applyFont="1">
      <alignment horizontal="center" readingOrder="0"/>
    </xf>
    <xf borderId="1" fillId="7" fontId="106" numFmtId="0" xfId="0" applyAlignment="1" applyBorder="1" applyFont="1">
      <alignment horizontal="center" readingOrder="0" shrinkToFit="0" wrapText="0"/>
    </xf>
    <xf borderId="1" fillId="24" fontId="44" numFmtId="0" xfId="0" applyAlignment="1" applyBorder="1" applyFont="1">
      <alignment horizontal="center" readingOrder="0" shrinkToFit="0" wrapText="0"/>
    </xf>
    <xf borderId="1" fillId="0" fontId="44" numFmtId="165" xfId="0" applyAlignment="1" applyBorder="1" applyFont="1" applyNumberFormat="1">
      <alignment horizontal="center" readingOrder="0"/>
    </xf>
    <xf borderId="1" fillId="7" fontId="14" numFmtId="0" xfId="0" applyAlignment="1" applyBorder="1" applyFont="1">
      <alignment horizontal="center" readingOrder="0" shrinkToFit="0" wrapText="0"/>
    </xf>
    <xf borderId="1" fillId="0" fontId="111" numFmtId="0" xfId="0" applyAlignment="1" applyBorder="1" applyFont="1">
      <alignment horizontal="left" readingOrder="0" shrinkToFit="0" vertical="bottom" wrapText="0"/>
    </xf>
    <xf borderId="1" fillId="0" fontId="44" numFmtId="0" xfId="0" applyAlignment="1" applyBorder="1" applyFont="1">
      <alignment horizontal="left" readingOrder="0" shrinkToFit="0" wrapText="0"/>
    </xf>
    <xf borderId="1" fillId="0" fontId="129" numFmtId="0" xfId="0" applyAlignment="1" applyBorder="1" applyFont="1">
      <alignment vertical="bottom"/>
    </xf>
    <xf borderId="1" fillId="9" fontId="44" numFmtId="0" xfId="0" applyAlignment="1" applyBorder="1" applyFont="1">
      <alignment horizontal="center" readingOrder="0" shrinkToFit="0" wrapText="0"/>
    </xf>
    <xf borderId="1" fillId="9" fontId="44" numFmtId="0" xfId="0" applyAlignment="1" applyBorder="1" applyFont="1">
      <alignment horizontal="center" readingOrder="0"/>
    </xf>
    <xf borderId="1" fillId="0" fontId="44" numFmtId="0" xfId="0" applyAlignment="1" applyBorder="1" applyFont="1">
      <alignment horizontal="left" readingOrder="0"/>
    </xf>
    <xf borderId="1" fillId="0" fontId="106" numFmtId="0" xfId="0" applyAlignment="1" applyBorder="1" applyFont="1">
      <alignment horizontal="center" readingOrder="0" shrinkToFit="0" wrapText="0"/>
    </xf>
    <xf borderId="1" fillId="14" fontId="44" numFmtId="0" xfId="0" applyAlignment="1" applyBorder="1" applyFont="1">
      <alignment horizontal="center" readingOrder="0" vertical="bottom"/>
    </xf>
    <xf borderId="1" fillId="14" fontId="44" numFmtId="0" xfId="0" applyAlignment="1" applyBorder="1" applyFont="1">
      <alignment horizontal="center"/>
    </xf>
    <xf borderId="1" fillId="0" fontId="44" numFmtId="0" xfId="0" applyAlignment="1" applyBorder="1" applyFont="1">
      <alignment horizontal="center"/>
    </xf>
    <xf borderId="1" fillId="0" fontId="106" numFmtId="0" xfId="0" applyAlignment="1" applyBorder="1" applyFont="1">
      <alignment horizontal="center" shrinkToFit="0" wrapText="0"/>
    </xf>
    <xf borderId="1" fillId="0" fontId="44" numFmtId="0" xfId="0" applyAlignment="1" applyBorder="1" applyFont="1">
      <alignment horizontal="center" readingOrder="0" vertical="bottom"/>
    </xf>
    <xf borderId="1" fillId="0" fontId="151" numFmtId="0" xfId="0" applyAlignment="1" applyBorder="1" applyFont="1">
      <alignment horizontal="center" readingOrder="0" vertical="bottom"/>
    </xf>
    <xf borderId="1" fillId="0" fontId="78" numFmtId="0" xfId="0" applyAlignment="1" applyBorder="1" applyFont="1">
      <alignment horizontal="center" readingOrder="0" vertical="bottom"/>
    </xf>
    <xf borderId="1" fillId="46" fontId="44" numFmtId="0" xfId="0" applyAlignment="1" applyBorder="1" applyFont="1">
      <alignment horizontal="center" readingOrder="0" shrinkToFit="0" wrapText="0"/>
    </xf>
    <xf borderId="1" fillId="46" fontId="44" numFmtId="0" xfId="0" applyAlignment="1" applyBorder="1" applyFont="1">
      <alignment horizontal="center" readingOrder="0"/>
    </xf>
    <xf borderId="1" fillId="15" fontId="129" numFmtId="0" xfId="0" applyAlignment="1" applyBorder="1" applyFont="1">
      <alignment horizontal="center" vertical="bottom"/>
    </xf>
    <xf borderId="0" fillId="46" fontId="44" numFmtId="0" xfId="0" applyAlignment="1" applyFont="1">
      <alignment horizontal="center" readingOrder="0" shrinkToFit="0" wrapText="0"/>
    </xf>
    <xf borderId="7" fillId="0" fontId="44" numFmtId="0" xfId="0" applyAlignment="1" applyBorder="1" applyFont="1">
      <alignment horizontal="center" readingOrder="0" shrinkToFit="0" wrapText="0"/>
    </xf>
    <xf borderId="6" fillId="0" fontId="44" numFmtId="0" xfId="0" applyAlignment="1" applyBorder="1" applyFont="1">
      <alignment horizontal="center" readingOrder="0" shrinkToFit="0" wrapText="0"/>
    </xf>
    <xf borderId="1" fillId="0" fontId="14" numFmtId="0" xfId="0" applyAlignment="1" applyBorder="1" applyFont="1">
      <alignment horizontal="center" readingOrder="0" shrinkToFit="0" wrapText="0"/>
    </xf>
    <xf borderId="6" fillId="27" fontId="44" numFmtId="0" xfId="0" applyAlignment="1" applyBorder="1" applyFont="1">
      <alignment horizontal="center" readingOrder="0" shrinkToFit="0" wrapText="0"/>
    </xf>
    <xf borderId="6" fillId="40" fontId="44" numFmtId="0" xfId="0" applyAlignment="1" applyBorder="1" applyFont="1">
      <alignment horizontal="center" readingOrder="0" shrinkToFit="0" wrapText="0"/>
    </xf>
    <xf borderId="1" fillId="26" fontId="44" numFmtId="0" xfId="0" applyAlignment="1" applyBorder="1" applyFont="1">
      <alignment horizontal="center" readingOrder="0" shrinkToFit="0" wrapText="0"/>
    </xf>
    <xf borderId="1" fillId="27" fontId="44" numFmtId="0" xfId="0" applyAlignment="1" applyBorder="1" applyFont="1">
      <alignment horizontal="center" readingOrder="0" shrinkToFit="0" wrapText="0"/>
    </xf>
    <xf borderId="1" fillId="0" fontId="14" numFmtId="165" xfId="0" applyAlignment="1" applyBorder="1" applyFont="1" applyNumberFormat="1">
      <alignment horizontal="center" readingOrder="0"/>
    </xf>
    <xf borderId="7" fillId="0" fontId="44" numFmtId="0" xfId="0" applyAlignment="1" applyBorder="1" applyFont="1">
      <alignment horizontal="left" readingOrder="0" shrinkToFit="0" wrapText="0"/>
    </xf>
    <xf borderId="1" fillId="14" fontId="44" numFmtId="0" xfId="0" applyAlignment="1" applyBorder="1" applyFont="1">
      <alignment readingOrder="0" shrinkToFit="0" vertical="bottom" wrapText="0"/>
    </xf>
    <xf borderId="1" fillId="14" fontId="44" numFmtId="0" xfId="0" applyAlignment="1" applyBorder="1" applyFont="1">
      <alignment horizontal="center" readingOrder="0" shrinkToFit="0" vertical="bottom" wrapText="0"/>
    </xf>
    <xf borderId="1" fillId="14" fontId="44" numFmtId="172" xfId="0" applyAlignment="1" applyBorder="1" applyFont="1" applyNumberFormat="1">
      <alignment horizontal="center" readingOrder="0"/>
    </xf>
    <xf borderId="1" fillId="0" fontId="44" numFmtId="0" xfId="0" applyAlignment="1" applyBorder="1" applyFont="1">
      <alignment readingOrder="0" shrinkToFit="0" vertical="bottom" wrapText="0"/>
    </xf>
    <xf borderId="1" fillId="0" fontId="44" numFmtId="0" xfId="0" applyAlignment="1" applyBorder="1" applyFont="1">
      <alignment horizontal="center" readingOrder="0" shrinkToFit="0" vertical="bottom" wrapText="0"/>
    </xf>
    <xf borderId="1" fillId="0" fontId="44" numFmtId="172" xfId="0" applyAlignment="1" applyBorder="1" applyFont="1" applyNumberFormat="1">
      <alignment horizontal="center" readingOrder="0"/>
    </xf>
    <xf borderId="1" fillId="0" fontId="44" numFmtId="172" xfId="0" applyAlignment="1" applyBorder="1" applyFont="1" applyNumberFormat="1">
      <alignment horizontal="center"/>
    </xf>
    <xf borderId="1" fillId="34" fontId="44" numFmtId="0" xfId="0" applyAlignment="1" applyBorder="1" applyFont="1">
      <alignment horizontal="center" readingOrder="0"/>
    </xf>
    <xf borderId="1" fillId="14" fontId="44" numFmtId="0" xfId="0" applyAlignment="1" applyBorder="1" applyFont="1">
      <alignment horizontal="left" readingOrder="0"/>
    </xf>
    <xf borderId="1" fillId="14" fontId="44" numFmtId="172" xfId="0" applyAlignment="1" applyBorder="1" applyFont="1" applyNumberFormat="1">
      <alignment horizontal="center"/>
    </xf>
    <xf borderId="1" fillId="14" fontId="78" numFmtId="0" xfId="0" applyAlignment="1" applyBorder="1" applyFont="1">
      <alignment horizontal="center" shrinkToFit="0" wrapText="0"/>
    </xf>
    <xf borderId="1" fillId="9" fontId="44" numFmtId="0" xfId="0" applyAlignment="1" applyBorder="1" applyFont="1">
      <alignment readingOrder="0" vertical="bottom"/>
    </xf>
    <xf borderId="1" fillId="0" fontId="111" numFmtId="0" xfId="0" applyAlignment="1" applyBorder="1" applyFont="1">
      <alignment horizontal="left" readingOrder="0"/>
    </xf>
    <xf borderId="1" fillId="14" fontId="15" numFmtId="173" xfId="0" applyAlignment="1" applyBorder="1" applyFont="1" applyNumberFormat="1">
      <alignment horizontal="right" vertical="bottom"/>
    </xf>
    <xf borderId="1" fillId="0" fontId="15" numFmtId="173" xfId="0" applyAlignment="1" applyBorder="1" applyFont="1" applyNumberFormat="1">
      <alignment horizontal="right" vertical="bottom"/>
    </xf>
    <xf borderId="1" fillId="27" fontId="44" numFmtId="0" xfId="0" applyAlignment="1" applyBorder="1" applyFont="1">
      <alignment horizontal="center" readingOrder="0"/>
    </xf>
    <xf borderId="1" fillId="42" fontId="44" numFmtId="0" xfId="0" applyAlignment="1" applyBorder="1" applyFont="1">
      <alignment horizontal="center" readingOrder="0"/>
    </xf>
    <xf borderId="6" fillId="14" fontId="44" numFmtId="0" xfId="0" applyAlignment="1" applyBorder="1" applyFont="1">
      <alignment horizontal="center" readingOrder="0"/>
    </xf>
    <xf borderId="1" fillId="14" fontId="91" numFmtId="0" xfId="0" applyAlignment="1" applyBorder="1" applyFont="1">
      <alignment horizontal="center" readingOrder="0"/>
    </xf>
    <xf borderId="6" fillId="0" fontId="44" numFmtId="0" xfId="0" applyAlignment="1" applyBorder="1" applyFont="1">
      <alignment horizontal="center" readingOrder="0"/>
    </xf>
    <xf borderId="1" fillId="0" fontId="91" numFmtId="0" xfId="0" applyAlignment="1" applyBorder="1" applyFont="1">
      <alignment horizontal="center" readingOrder="0"/>
    </xf>
    <xf borderId="0" fillId="0" fontId="44" numFmtId="0" xfId="0" applyAlignment="1" applyFont="1">
      <alignment horizontal="center" readingOrder="0" vertical="bottom"/>
    </xf>
    <xf borderId="1" fillId="27" fontId="44" numFmtId="0" xfId="0" applyAlignment="1" applyBorder="1" applyFont="1">
      <alignment horizontal="center" readingOrder="0"/>
    </xf>
    <xf borderId="1" fillId="0" fontId="134" numFmtId="0" xfId="0" applyAlignment="1" applyBorder="1" applyFont="1">
      <alignment horizontal="left" readingOrder="0" vertical="bottom"/>
    </xf>
    <xf borderId="1" fillId="47" fontId="44" numFmtId="0" xfId="0" applyAlignment="1" applyBorder="1" applyFill="1" applyFont="1">
      <alignment horizontal="center" readingOrder="0" vertical="top"/>
    </xf>
    <xf borderId="1" fillId="47" fontId="44" numFmtId="0" xfId="0" applyAlignment="1" applyBorder="1" applyFont="1">
      <alignment horizontal="center" readingOrder="0"/>
    </xf>
    <xf borderId="1" fillId="47" fontId="78" numFmtId="0" xfId="0" applyAlignment="1" applyBorder="1" applyFont="1">
      <alignment horizontal="center" readingOrder="0"/>
    </xf>
    <xf borderId="1" fillId="0" fontId="78" numFmtId="0" xfId="0" applyAlignment="1" applyBorder="1" applyFont="1">
      <alignment horizontal="center" vertical="bottom"/>
    </xf>
    <xf borderId="1" fillId="48" fontId="44" numFmtId="0" xfId="0" applyAlignment="1" applyBorder="1" applyFill="1" applyFont="1">
      <alignment horizontal="center" readingOrder="0"/>
    </xf>
    <xf borderId="1" fillId="49" fontId="44" numFmtId="0" xfId="0" applyAlignment="1" applyBorder="1" applyFill="1" applyFont="1">
      <alignment horizontal="center" readingOrder="0"/>
    </xf>
    <xf borderId="1" fillId="49" fontId="44" numFmtId="0" xfId="0" applyAlignment="1" applyBorder="1" applyFont="1">
      <alignment horizontal="left" readingOrder="0"/>
    </xf>
    <xf borderId="1" fillId="49" fontId="44" numFmtId="0" xfId="0" applyAlignment="1" applyBorder="1" applyFont="1">
      <alignment horizontal="center" readingOrder="0" vertical="bottom"/>
    </xf>
    <xf borderId="1" fillId="49" fontId="15" numFmtId="0" xfId="0" applyAlignment="1" applyBorder="1" applyFont="1">
      <alignment horizontal="center" vertical="bottom"/>
    </xf>
    <xf borderId="1" fillId="49" fontId="40" numFmtId="0" xfId="0" applyAlignment="1" applyBorder="1" applyFont="1">
      <alignment horizontal="center" readingOrder="0" vertical="bottom"/>
    </xf>
    <xf borderId="0" fillId="49" fontId="7" numFmtId="0" xfId="0" applyFont="1"/>
    <xf borderId="5" fillId="49" fontId="15" numFmtId="0" xfId="0" applyAlignment="1" applyBorder="1" applyFont="1">
      <alignment horizontal="center" readingOrder="0" vertical="bottom"/>
    </xf>
    <xf borderId="1" fillId="49" fontId="7" numFmtId="0" xfId="0" applyBorder="1" applyFont="1"/>
    <xf borderId="1" fillId="49" fontId="7" numFmtId="0" xfId="0" applyAlignment="1" applyBorder="1" applyFont="1">
      <alignment horizontal="center" readingOrder="0"/>
    </xf>
    <xf borderId="1" fillId="49" fontId="7" numFmtId="0" xfId="0" applyAlignment="1" applyBorder="1" applyFont="1">
      <alignment readingOrder="0"/>
    </xf>
    <xf borderId="1" fillId="0" fontId="124" numFmtId="0" xfId="0" applyAlignment="1" applyBorder="1" applyFont="1">
      <alignment horizontal="center" readingOrder="0"/>
    </xf>
    <xf borderId="8" fillId="15" fontId="44" numFmtId="0" xfId="0" applyAlignment="1" applyBorder="1" applyFont="1">
      <alignment horizontal="left" readingOrder="0"/>
    </xf>
    <xf borderId="8" fillId="15" fontId="44" numFmtId="0" xfId="0" applyAlignment="1" applyBorder="1" applyFont="1">
      <alignment horizontal="center" readingOrder="0"/>
    </xf>
    <xf borderId="9" fillId="14" fontId="44" numFmtId="0" xfId="0" applyAlignment="1" applyBorder="1" applyFont="1">
      <alignment horizontal="left" readingOrder="0"/>
    </xf>
    <xf borderId="2" fillId="14" fontId="33" numFmtId="0" xfId="0" applyAlignment="1" applyBorder="1" applyFont="1">
      <alignment horizontal="center" readingOrder="0" shrinkToFit="0" vertical="bottom" wrapText="0"/>
    </xf>
    <xf borderId="8" fillId="14" fontId="44" numFmtId="0" xfId="0" applyAlignment="1" applyBorder="1" applyFont="1">
      <alignment horizontal="center" readingOrder="0" shrinkToFit="0" wrapText="0"/>
    </xf>
    <xf borderId="10" fillId="14" fontId="33" numFmtId="0" xfId="0" applyAlignment="1" applyBorder="1" applyFont="1">
      <alignment horizontal="center" readingOrder="0" shrinkToFit="0" vertical="bottom" wrapText="0"/>
    </xf>
    <xf borderId="9" fillId="0" fontId="15" numFmtId="0" xfId="0" applyAlignment="1" applyBorder="1" applyFont="1">
      <alignment horizontal="left" readingOrder="0"/>
    </xf>
    <xf borderId="10" fillId="0" fontId="33" numFmtId="0" xfId="0" applyAlignment="1" applyBorder="1" applyFont="1">
      <alignment horizontal="center" readingOrder="0" shrinkToFit="0" vertical="bottom" wrapText="0"/>
    </xf>
    <xf borderId="8" fillId="0" fontId="44" numFmtId="0" xfId="0" applyAlignment="1" applyBorder="1" applyFont="1">
      <alignment horizontal="center" readingOrder="0" shrinkToFit="0" wrapText="0"/>
    </xf>
    <xf borderId="1" fillId="0" fontId="44" numFmtId="165" xfId="0" applyAlignment="1" applyBorder="1" applyFont="1" applyNumberFormat="1">
      <alignment horizontal="center" readingOrder="0" shrinkToFit="0" wrapText="0"/>
    </xf>
    <xf borderId="9" fillId="0" fontId="44" numFmtId="0" xfId="0" applyAlignment="1" applyBorder="1" applyFont="1">
      <alignment horizontal="left" readingOrder="0"/>
    </xf>
    <xf borderId="9" fillId="0" fontId="111" numFmtId="0" xfId="0" applyAlignment="1" applyBorder="1" applyFont="1">
      <alignment horizontal="left" readingOrder="0"/>
    </xf>
    <xf borderId="1" fillId="0" fontId="152" numFmtId="0" xfId="0" applyAlignment="1" applyBorder="1" applyFont="1">
      <alignment horizontal="center" readingOrder="0"/>
    </xf>
    <xf borderId="9" fillId="0" fontId="78" numFmtId="0" xfId="0" applyAlignment="1" applyBorder="1" applyFont="1">
      <alignment horizontal="left" readingOrder="0"/>
    </xf>
    <xf borderId="10" fillId="0" fontId="153" numFmtId="0" xfId="0" applyAlignment="1" applyBorder="1" applyFont="1">
      <alignment horizontal="center" readingOrder="0" shrinkToFit="0" vertical="bottom" wrapText="0"/>
    </xf>
    <xf borderId="8" fillId="0" fontId="78" numFmtId="0" xfId="0" applyAlignment="1" applyBorder="1" applyFont="1">
      <alignment horizontal="center" readingOrder="0" shrinkToFit="0" wrapText="0"/>
    </xf>
    <xf borderId="1" fillId="0" fontId="13" numFmtId="165" xfId="0" applyAlignment="1" applyBorder="1" applyFont="1" applyNumberFormat="1">
      <alignment readingOrder="0"/>
    </xf>
    <xf borderId="1" fillId="0" fontId="154" numFmtId="0" xfId="0" applyAlignment="1" applyBorder="1" applyFont="1">
      <alignment readingOrder="0"/>
    </xf>
    <xf borderId="8" fillId="9" fontId="78" numFmtId="0" xfId="0" applyAlignment="1" applyBorder="1" applyFont="1">
      <alignment horizontal="center" readingOrder="0" shrinkToFit="0" wrapText="0"/>
    </xf>
    <xf borderId="8" fillId="27" fontId="78" numFmtId="0" xfId="0" applyAlignment="1" applyBorder="1" applyFont="1">
      <alignment horizontal="center" readingOrder="0" shrinkToFit="0" wrapText="0"/>
    </xf>
    <xf borderId="5" fillId="0" fontId="78" numFmtId="0" xfId="0" applyAlignment="1" applyBorder="1" applyFont="1">
      <alignment horizontal="center" readingOrder="0" vertical="bottom"/>
    </xf>
    <xf borderId="8" fillId="9" fontId="44" numFmtId="0" xfId="0" applyAlignment="1" applyBorder="1" applyFont="1">
      <alignment horizontal="center" readingOrder="0" shrinkToFit="0" wrapText="0"/>
    </xf>
    <xf borderId="1" fillId="14" fontId="44" numFmtId="0" xfId="0" applyAlignment="1" applyBorder="1" applyFont="1">
      <alignment readingOrder="0" shrinkToFit="0" wrapText="0"/>
    </xf>
    <xf borderId="2" fillId="14" fontId="44" numFmtId="0" xfId="0" applyAlignment="1" applyBorder="1" applyFont="1">
      <alignment horizontal="center" readingOrder="0" shrinkToFit="0" vertical="bottom" wrapText="0"/>
    </xf>
    <xf borderId="10" fillId="14" fontId="44" numFmtId="0" xfId="0" applyAlignment="1" applyBorder="1" applyFont="1">
      <alignment horizontal="center" readingOrder="0" shrinkToFit="0" vertical="bottom" wrapText="0"/>
    </xf>
    <xf borderId="10" fillId="0" fontId="44" numFmtId="0" xfId="0" applyAlignment="1" applyBorder="1" applyFont="1">
      <alignment horizontal="center" readingOrder="0" shrinkToFit="0" vertical="bottom" wrapText="0"/>
    </xf>
    <xf borderId="1" fillId="0" fontId="44" numFmtId="0" xfId="0" applyAlignment="1" applyBorder="1" applyFont="1">
      <alignment readingOrder="0"/>
    </xf>
    <xf borderId="1" fillId="34" fontId="44" numFmtId="0" xfId="0" applyAlignment="1" applyBorder="1" applyFont="1">
      <alignment horizontal="center" readingOrder="0" shrinkToFit="0" wrapText="0"/>
    </xf>
    <xf borderId="9" fillId="14" fontId="44" numFmtId="0" xfId="0" applyAlignment="1" applyBorder="1" applyFont="1">
      <alignment horizontal="left" readingOrder="0" shrinkToFit="0" vertical="bottom" wrapText="0"/>
    </xf>
    <xf borderId="8" fillId="14" fontId="44" numFmtId="0" xfId="0" applyAlignment="1" applyBorder="1" applyFont="1">
      <alignment horizontal="center" readingOrder="0" vertical="bottom"/>
    </xf>
    <xf borderId="9" fillId="0" fontId="44" numFmtId="0" xfId="0" applyAlignment="1" applyBorder="1" applyFont="1">
      <alignment horizontal="left" readingOrder="0" shrinkToFit="0" vertical="bottom" wrapText="0"/>
    </xf>
    <xf borderId="8" fillId="0" fontId="44" numFmtId="0" xfId="0" applyAlignment="1" applyBorder="1" applyFont="1">
      <alignment horizontal="center" readingOrder="0" vertical="bottom"/>
    </xf>
    <xf borderId="9" fillId="0" fontId="151" numFmtId="0" xfId="0" applyAlignment="1" applyBorder="1" applyFont="1">
      <alignment horizontal="left" readingOrder="0" shrinkToFit="0" vertical="bottom" wrapText="0"/>
    </xf>
    <xf borderId="8" fillId="9" fontId="44" numFmtId="0" xfId="0" applyAlignment="1" applyBorder="1" applyFont="1">
      <alignment horizontal="center" readingOrder="0" vertical="bottom"/>
    </xf>
    <xf borderId="1" fillId="10" fontId="155" numFmtId="0" xfId="0" applyAlignment="1" applyBorder="1" applyFont="1">
      <alignment horizontal="center" vertical="bottom"/>
    </xf>
    <xf borderId="1" fillId="7" fontId="156" numFmtId="0" xfId="0" applyAlignment="1" applyBorder="1" applyFont="1">
      <alignment horizontal="center" readingOrder="0"/>
    </xf>
    <xf borderId="9" fillId="0" fontId="44" numFmtId="0" xfId="0" applyAlignment="1" applyBorder="1" applyFont="1">
      <alignment horizontal="left" readingOrder="0" vertical="bottom"/>
    </xf>
    <xf borderId="8" fillId="34" fontId="44" numFmtId="0" xfId="0" applyAlignment="1" applyBorder="1" applyFont="1">
      <alignment horizontal="center" readingOrder="0" vertical="bottom"/>
    </xf>
    <xf borderId="8" fillId="0" fontId="44" numFmtId="0" xfId="0" applyAlignment="1" applyBorder="1" applyFont="1">
      <alignment readingOrder="0" shrinkToFit="0" wrapText="0"/>
    </xf>
    <xf borderId="2" fillId="0" fontId="44" numFmtId="0" xfId="0" applyAlignment="1" applyBorder="1" applyFont="1">
      <alignment readingOrder="0" shrinkToFit="0" vertical="bottom" wrapText="0"/>
    </xf>
    <xf borderId="8" fillId="0" fontId="44" numFmtId="0" xfId="0" applyAlignment="1" applyBorder="1" applyFont="1">
      <alignment horizontal="center" readingOrder="0"/>
    </xf>
    <xf borderId="10" fillId="0" fontId="44" numFmtId="0" xfId="0" applyAlignment="1" applyBorder="1" applyFont="1">
      <alignment readingOrder="0" shrinkToFit="0" vertical="bottom" wrapText="0"/>
    </xf>
    <xf borderId="8" fillId="9" fontId="44" numFmtId="0" xfId="0" applyAlignment="1" applyBorder="1" applyFont="1">
      <alignment horizontal="center" readingOrder="0"/>
    </xf>
    <xf borderId="8" fillId="0" fontId="44" numFmtId="0" xfId="0" applyAlignment="1" applyBorder="1" applyFont="1">
      <alignment readingOrder="0" shrinkToFit="0" vertical="bottom" wrapText="0"/>
    </xf>
    <xf borderId="8" fillId="0" fontId="91" numFmtId="0" xfId="0" applyAlignment="1" applyBorder="1" applyFont="1">
      <alignment readingOrder="0" shrinkToFit="0" wrapText="0"/>
    </xf>
    <xf borderId="1" fillId="7" fontId="44" numFmtId="0" xfId="0" applyAlignment="1" applyBorder="1" applyFont="1">
      <alignment horizontal="center" readingOrder="0" shrinkToFit="0" wrapText="0"/>
    </xf>
    <xf borderId="8" fillId="0" fontId="91" numFmtId="0" xfId="0" applyAlignment="1" applyBorder="1" applyFont="1">
      <alignment readingOrder="0" shrinkToFit="0" vertical="bottom" wrapText="0"/>
    </xf>
    <xf borderId="8" fillId="0" fontId="91" numFmtId="0" xfId="0" applyAlignment="1" applyBorder="1" applyFont="1">
      <alignment readingOrder="0" vertical="bottom"/>
    </xf>
    <xf borderId="8" fillId="0" fontId="91" numFmtId="0" xfId="0" applyAlignment="1" applyBorder="1" applyFont="1">
      <alignment readingOrder="0"/>
    </xf>
    <xf borderId="1" fillId="0" fontId="15" numFmtId="180" xfId="0" applyAlignment="1" applyBorder="1" applyFont="1" applyNumberFormat="1">
      <alignment horizontal="right" vertical="bottom"/>
    </xf>
    <xf borderId="1" fillId="0" fontId="78" numFmtId="0" xfId="0" applyAlignment="1" applyBorder="1" applyFont="1">
      <alignment horizontal="right" readingOrder="0" vertical="bottom"/>
    </xf>
    <xf borderId="1" fillId="0" fontId="157" numFmtId="0" xfId="0" applyAlignment="1" applyBorder="1" applyFont="1">
      <alignment horizontal="center" readingOrder="0" shrinkToFit="0" wrapText="0"/>
    </xf>
    <xf borderId="1" fillId="0" fontId="11" numFmtId="0" xfId="0" applyAlignment="1" applyBorder="1" applyFont="1">
      <alignment horizontal="center" readingOrder="0" shrinkToFit="0" wrapText="0"/>
    </xf>
    <xf borderId="1" fillId="0" fontId="44" numFmtId="0" xfId="0" applyAlignment="1" applyBorder="1" applyFont="1">
      <alignment horizontal="left" readingOrder="0" vertical="bottom"/>
    </xf>
    <xf borderId="1" fillId="0" fontId="40" numFmtId="165" xfId="0" applyAlignment="1" applyBorder="1" applyFont="1" applyNumberFormat="1">
      <alignment readingOrder="0"/>
    </xf>
    <xf borderId="1" fillId="26" fontId="44" numFmtId="0" xfId="0" applyAlignment="1" applyBorder="1" applyFont="1">
      <alignment horizontal="center" readingOrder="0"/>
    </xf>
    <xf borderId="1" fillId="0" fontId="15" numFmtId="0" xfId="0" applyAlignment="1" applyBorder="1" applyFont="1">
      <alignment horizontal="right" readingOrder="0" vertical="bottom"/>
    </xf>
    <xf borderId="1" fillId="0" fontId="30" numFmtId="172" xfId="0" applyAlignment="1" applyBorder="1" applyFont="1" applyNumberFormat="1">
      <alignment horizontal="right" vertical="bottom"/>
    </xf>
    <xf borderId="11" fillId="10" fontId="30" numFmtId="0" xfId="0" applyAlignment="1" applyBorder="1" applyFont="1">
      <alignment horizontal="center" vertical="bottom"/>
    </xf>
    <xf borderId="11" fillId="0" fontId="25" numFmtId="0" xfId="0" applyAlignment="1" applyBorder="1" applyFont="1">
      <alignment horizontal="center" readingOrder="0" shrinkToFit="0" vertical="bottom" wrapText="0"/>
    </xf>
    <xf borderId="1" fillId="0" fontId="30" numFmtId="172" xfId="0" applyAlignment="1" applyBorder="1" applyFont="1" applyNumberFormat="1">
      <alignment horizontal="right" readingOrder="0" vertical="bottom"/>
    </xf>
    <xf borderId="1" fillId="0" fontId="44" numFmtId="0" xfId="0" applyAlignment="1" applyBorder="1" applyFont="1">
      <alignment horizontal="right" readingOrder="0" vertical="bottom"/>
    </xf>
    <xf borderId="11" fillId="0" fontId="16" numFmtId="0" xfId="0" applyAlignment="1" applyBorder="1" applyFont="1">
      <alignment vertical="bottom"/>
    </xf>
    <xf borderId="11" fillId="10" fontId="16" numFmtId="0" xfId="0" applyAlignment="1" applyBorder="1" applyFont="1">
      <alignment horizontal="center" vertical="bottom"/>
    </xf>
    <xf borderId="1" fillId="10" fontId="44" numFmtId="0" xfId="0" applyAlignment="1" applyBorder="1" applyFont="1">
      <alignment horizontal="center" readingOrder="0" vertical="bottom"/>
    </xf>
    <xf borderId="1" fillId="0" fontId="16" numFmtId="172" xfId="0" applyAlignment="1" applyBorder="1" applyFont="1" applyNumberFormat="1">
      <alignment horizontal="right" readingOrder="0" vertical="bottom"/>
    </xf>
    <xf borderId="8" fillId="14" fontId="44" numFmtId="0" xfId="0" applyAlignment="1" applyBorder="1" applyFont="1">
      <alignment horizontal="center" readingOrder="0"/>
    </xf>
    <xf borderId="8" fillId="14" fontId="44" numFmtId="0" xfId="0" applyAlignment="1" applyBorder="1" applyFont="1">
      <alignment horizontal="left" readingOrder="0"/>
    </xf>
    <xf borderId="1" fillId="0" fontId="16" numFmtId="165" xfId="0" applyAlignment="1" applyBorder="1" applyFont="1" applyNumberFormat="1">
      <alignment horizontal="center" readingOrder="0"/>
    </xf>
    <xf borderId="1" fillId="0" fontId="7" numFmtId="166" xfId="0" applyAlignment="1" applyBorder="1" applyFont="1" applyNumberFormat="1">
      <alignment readingOrder="0"/>
    </xf>
    <xf borderId="8" fillId="0" fontId="44" numFmtId="0" xfId="0" applyAlignment="1" applyBorder="1" applyFont="1">
      <alignment horizontal="center" readingOrder="0"/>
    </xf>
    <xf borderId="8" fillId="0" fontId="44" numFmtId="0" xfId="0" applyAlignment="1" applyBorder="1" applyFont="1">
      <alignment horizontal="left" readingOrder="0"/>
    </xf>
    <xf borderId="1" fillId="0" fontId="7" numFmtId="166" xfId="0" applyAlignment="1" applyBorder="1" applyFont="1" applyNumberFormat="1">
      <alignment horizontal="center" readingOrder="0"/>
    </xf>
    <xf borderId="0" fillId="0" fontId="44" numFmtId="0" xfId="0" applyAlignment="1" applyFont="1">
      <alignment horizontal="left" readingOrder="0" vertical="bottom"/>
    </xf>
    <xf borderId="11" fillId="9" fontId="16" numFmtId="0" xfId="0" applyAlignment="1" applyBorder="1" applyFont="1">
      <alignment horizontal="center" vertical="bottom"/>
    </xf>
    <xf borderId="1" fillId="0" fontId="155" numFmtId="0" xfId="0" applyAlignment="1" applyBorder="1" applyFont="1">
      <alignment horizontal="center" readingOrder="0"/>
    </xf>
    <xf borderId="1" fillId="0" fontId="34" numFmtId="165" xfId="0" applyAlignment="1" applyBorder="1" applyFont="1" applyNumberFormat="1">
      <alignment horizontal="center" readingOrder="0"/>
    </xf>
    <xf borderId="1" fillId="0" fontId="15" numFmtId="165" xfId="0" applyAlignment="1" applyBorder="1" applyFont="1" applyNumberFormat="1">
      <alignment horizontal="center" readingOrder="0"/>
    </xf>
    <xf borderId="1" fillId="0" fontId="7" numFmtId="164" xfId="0" applyAlignment="1" applyBorder="1" applyFont="1" applyNumberFormat="1">
      <alignment readingOrder="0"/>
    </xf>
    <xf borderId="8" fillId="27" fontId="44" numFmtId="0" xfId="0" applyAlignment="1" applyBorder="1" applyFont="1">
      <alignment horizontal="center" readingOrder="0"/>
    </xf>
    <xf borderId="8" fillId="9" fontId="44" numFmtId="0" xfId="0" applyAlignment="1" applyBorder="1" applyFont="1">
      <alignment horizontal="center" readingOrder="0"/>
    </xf>
    <xf borderId="8" fillId="0" fontId="78" numFmtId="0" xfId="0" applyAlignment="1" applyBorder="1" applyFont="1">
      <alignment horizontal="center" readingOrder="0"/>
    </xf>
    <xf borderId="8" fillId="0" fontId="84" numFmtId="0" xfId="0" applyAlignment="1" applyBorder="1" applyFont="1">
      <alignment horizontal="left" readingOrder="0"/>
    </xf>
    <xf borderId="1" fillId="0" fontId="78" numFmtId="165" xfId="0" applyAlignment="1" applyBorder="1" applyFont="1" applyNumberFormat="1">
      <alignment horizontal="center" readingOrder="0"/>
    </xf>
    <xf borderId="1" fillId="0" fontId="78" numFmtId="0" xfId="0" applyAlignment="1" applyBorder="1" applyFont="1">
      <alignment horizontal="left" readingOrder="0" vertical="bottom"/>
    </xf>
    <xf borderId="1" fillId="0" fontId="122" numFmtId="0" xfId="0" applyAlignment="1" applyBorder="1" applyFont="1">
      <alignment horizontal="left" readingOrder="0" vertical="bottom"/>
    </xf>
    <xf borderId="8" fillId="44" fontId="44" numFmtId="0" xfId="0" applyAlignment="1" applyBorder="1" applyFont="1">
      <alignment horizontal="center" readingOrder="0"/>
    </xf>
    <xf borderId="8" fillId="44" fontId="44" numFmtId="0" xfId="0" applyAlignment="1" applyBorder="1" applyFont="1">
      <alignment horizontal="left" readingOrder="0"/>
    </xf>
    <xf borderId="1" fillId="44" fontId="44" numFmtId="0" xfId="0" applyAlignment="1" applyBorder="1" applyFont="1">
      <alignment horizontal="center" readingOrder="0" vertical="bottom"/>
    </xf>
    <xf borderId="1" fillId="44" fontId="34" numFmtId="0" xfId="0" applyAlignment="1" applyBorder="1" applyFont="1">
      <alignment horizontal="center" readingOrder="0"/>
    </xf>
    <xf borderId="1" fillId="44" fontId="111" numFmtId="0" xfId="0" applyAlignment="1" applyBorder="1" applyFont="1">
      <alignment horizontal="left" readingOrder="0" vertical="bottom"/>
    </xf>
    <xf borderId="1" fillId="44" fontId="7" numFmtId="0" xfId="0" applyBorder="1" applyFont="1"/>
    <xf borderId="1" fillId="44" fontId="7" numFmtId="0" xfId="0" applyAlignment="1" applyBorder="1" applyFont="1">
      <alignment readingOrder="0"/>
    </xf>
    <xf borderId="1" fillId="0" fontId="155" numFmtId="0" xfId="0" applyAlignment="1" applyBorder="1" applyFont="1">
      <alignment horizontal="center" vertical="bottom"/>
    </xf>
    <xf borderId="8" fillId="0" fontId="44" numFmtId="0" xfId="0" applyAlignment="1" applyBorder="1" applyFont="1">
      <alignment horizontal="center" readingOrder="0" vertical="bottom"/>
    </xf>
    <xf borderId="1" fillId="0" fontId="13" numFmtId="0" xfId="0" applyAlignment="1" applyBorder="1" applyFont="1">
      <alignment horizontal="left" readingOrder="0" vertical="bottom"/>
    </xf>
    <xf borderId="0" fillId="7" fontId="156" numFmtId="0" xfId="0" applyAlignment="1" applyFont="1">
      <alignment horizontal="center" readingOrder="0"/>
    </xf>
    <xf borderId="8" fillId="9" fontId="44" numFmtId="0" xfId="0" applyAlignment="1" applyBorder="1" applyFont="1">
      <alignment horizontal="center" readingOrder="0" vertical="bottom"/>
    </xf>
    <xf borderId="8" fillId="27" fontId="44" numFmtId="0" xfId="0" applyAlignment="1" applyBorder="1" applyFont="1">
      <alignment horizontal="center" readingOrder="0" vertical="bottom"/>
    </xf>
    <xf borderId="8" fillId="26" fontId="44" numFmtId="0" xfId="0" applyAlignment="1" applyBorder="1" applyFont="1">
      <alignment horizontal="center" readingOrder="0"/>
    </xf>
    <xf borderId="12" fillId="26" fontId="44" numFmtId="0" xfId="0" applyAlignment="1" applyBorder="1" applyFont="1">
      <alignment horizontal="left" readingOrder="0"/>
    </xf>
    <xf borderId="1" fillId="26" fontId="156" numFmtId="0" xfId="0" applyAlignment="1" applyBorder="1" applyFont="1">
      <alignment horizontal="center" readingOrder="0"/>
    </xf>
    <xf borderId="1" fillId="26" fontId="44" numFmtId="0" xfId="0" applyAlignment="1" applyBorder="1" applyFont="1">
      <alignment horizontal="center" readingOrder="0"/>
    </xf>
    <xf borderId="8" fillId="26" fontId="44" numFmtId="0" xfId="0" applyAlignment="1" applyBorder="1" applyFont="1">
      <alignment horizontal="center" readingOrder="0" vertical="bottom"/>
    </xf>
    <xf borderId="1" fillId="26" fontId="44" numFmtId="0" xfId="0" applyAlignment="1" applyBorder="1" applyFont="1">
      <alignment horizontal="center" readingOrder="0" vertical="bottom"/>
    </xf>
    <xf borderId="1" fillId="26" fontId="34" numFmtId="0" xfId="0" applyAlignment="1" applyBorder="1" applyFont="1">
      <alignment horizontal="center" readingOrder="0"/>
    </xf>
    <xf borderId="1" fillId="26" fontId="40" numFmtId="0" xfId="0" applyAlignment="1" applyBorder="1" applyFont="1">
      <alignment horizontal="left" readingOrder="0" vertical="bottom"/>
    </xf>
    <xf borderId="1" fillId="26" fontId="7" numFmtId="0" xfId="0" applyBorder="1" applyFont="1"/>
    <xf borderId="1" fillId="26" fontId="7" numFmtId="0" xfId="0" applyAlignment="1" applyBorder="1" applyFont="1">
      <alignment horizontal="center" readingOrder="0"/>
    </xf>
    <xf borderId="1" fillId="26" fontId="7" numFmtId="166" xfId="0" applyAlignment="1" applyBorder="1" applyFont="1" applyNumberFormat="1">
      <alignment readingOrder="0"/>
    </xf>
    <xf borderId="0" fillId="26" fontId="7" numFmtId="0" xfId="0" applyFont="1"/>
    <xf borderId="1" fillId="0" fontId="107" numFmtId="0" xfId="0" applyAlignment="1" applyBorder="1" applyFont="1">
      <alignment horizontal="center" readingOrder="0" vertical="bottom"/>
    </xf>
    <xf borderId="1" fillId="14" fontId="7" numFmtId="0" xfId="0" applyAlignment="1" applyBorder="1" applyFont="1">
      <alignment horizontal="center" vertical="bottom"/>
    </xf>
    <xf borderId="8" fillId="15" fontId="44" numFmtId="166" xfId="0" applyAlignment="1" applyBorder="1" applyFont="1" applyNumberFormat="1">
      <alignment horizontal="left" readingOrder="0"/>
    </xf>
    <xf borderId="1" fillId="0" fontId="34" numFmtId="166" xfId="0" applyAlignment="1" applyBorder="1" applyFont="1" applyNumberFormat="1">
      <alignment horizontal="center" readingOrder="0"/>
    </xf>
    <xf borderId="1" fillId="0" fontId="7" numFmtId="164" xfId="0" applyBorder="1" applyFont="1" applyNumberFormat="1"/>
    <xf borderId="1" fillId="0" fontId="158" numFmtId="0" xfId="0" applyAlignment="1" applyBorder="1" applyFont="1">
      <alignment readingOrder="0"/>
    </xf>
    <xf borderId="0" fillId="0" fontId="7" numFmtId="164" xfId="0" applyAlignment="1" applyFont="1" applyNumberFormat="1">
      <alignment readingOrder="0"/>
    </xf>
    <xf borderId="1" fillId="35" fontId="44" numFmtId="0" xfId="0" applyAlignment="1" applyBorder="1" applyFont="1">
      <alignment horizontal="center" readingOrder="0"/>
    </xf>
    <xf borderId="1" fillId="50" fontId="44" numFmtId="0" xfId="0" applyAlignment="1" applyBorder="1" applyFill="1" applyFont="1">
      <alignment horizontal="center" readingOrder="0"/>
    </xf>
    <xf borderId="1" fillId="50" fontId="44" numFmtId="0" xfId="0" applyAlignment="1" applyBorder="1" applyFont="1">
      <alignment horizontal="left" readingOrder="0" vertical="bottom"/>
    </xf>
    <xf borderId="1" fillId="50" fontId="40" numFmtId="0" xfId="0" applyAlignment="1" applyBorder="1" applyFont="1">
      <alignment horizontal="center" readingOrder="0" vertical="bottom"/>
    </xf>
    <xf borderId="1" fillId="50" fontId="34" numFmtId="166" xfId="0" applyAlignment="1" applyBorder="1" applyFont="1" applyNumberFormat="1">
      <alignment horizontal="center" readingOrder="0"/>
    </xf>
    <xf borderId="1" fillId="50" fontId="34" numFmtId="0" xfId="0" applyAlignment="1" applyBorder="1" applyFont="1">
      <alignment horizontal="center" readingOrder="0"/>
    </xf>
    <xf borderId="1" fillId="50" fontId="15" numFmtId="0" xfId="0" applyAlignment="1" applyBorder="1" applyFont="1">
      <alignment horizontal="center" readingOrder="0" vertical="bottom"/>
    </xf>
    <xf borderId="1" fillId="50" fontId="7" numFmtId="0" xfId="0" applyBorder="1" applyFont="1"/>
    <xf borderId="1" fillId="50" fontId="7" numFmtId="0" xfId="0" applyAlignment="1" applyBorder="1" applyFont="1">
      <alignment horizontal="center" readingOrder="0"/>
    </xf>
    <xf borderId="1" fillId="50" fontId="7" numFmtId="164" xfId="0" applyAlignment="1" applyBorder="1" applyFont="1" applyNumberFormat="1">
      <alignment readingOrder="0"/>
    </xf>
    <xf borderId="0" fillId="50" fontId="7" numFmtId="0" xfId="0" applyFont="1"/>
    <xf borderId="1" fillId="12" fontId="40" numFmtId="0" xfId="0" applyAlignment="1" applyBorder="1" applyFont="1">
      <alignment horizontal="center" readingOrder="0" vertical="bottom"/>
    </xf>
    <xf borderId="1" fillId="6" fontId="44" numFmtId="0" xfId="0" applyAlignment="1" applyBorder="1" applyFont="1">
      <alignment horizontal="center" readingOrder="0"/>
    </xf>
    <xf borderId="1" fillId="0" fontId="34" numFmtId="172" xfId="0" applyAlignment="1" applyBorder="1" applyFont="1" applyNumberFormat="1">
      <alignment horizontal="center" readingOrder="0"/>
    </xf>
    <xf borderId="1" fillId="0" fontId="7" numFmtId="164" xfId="0" applyAlignment="1" applyBorder="1" applyFont="1" applyNumberFormat="1">
      <alignment horizontal="right" readingOrder="0"/>
    </xf>
    <xf borderId="1" fillId="26" fontId="44" numFmtId="0" xfId="0" applyAlignment="1" applyBorder="1" applyFont="1">
      <alignment horizontal="left" readingOrder="0" vertical="bottom"/>
    </xf>
    <xf borderId="1" fillId="26" fontId="40" numFmtId="0" xfId="0" applyAlignment="1" applyBorder="1" applyFont="1">
      <alignment horizontal="center" readingOrder="0" vertical="bottom"/>
    </xf>
    <xf borderId="1" fillId="26" fontId="15" numFmtId="0" xfId="0" applyAlignment="1" applyBorder="1" applyFont="1">
      <alignment horizontal="center" readingOrder="0" vertical="bottom"/>
    </xf>
    <xf borderId="1" fillId="26" fontId="7" numFmtId="0" xfId="0" applyAlignment="1" applyBorder="1" applyFont="1">
      <alignment readingOrder="0"/>
    </xf>
    <xf borderId="8" fillId="14" fontId="44" numFmtId="0" xfId="0" applyAlignment="1" applyBorder="1" applyFont="1">
      <alignment horizontal="center" readingOrder="0" vertical="bottom"/>
    </xf>
    <xf borderId="1" fillId="14" fontId="44" numFmtId="165" xfId="0" applyAlignment="1" applyBorder="1" applyFont="1" applyNumberFormat="1">
      <alignment horizontal="center" readingOrder="0" vertical="bottom"/>
    </xf>
    <xf borderId="1" fillId="0" fontId="44" numFmtId="165" xfId="0" applyAlignment="1" applyBorder="1" applyFont="1" applyNumberFormat="1">
      <alignment horizontal="center" readingOrder="0" vertical="bottom"/>
    </xf>
    <xf borderId="1" fillId="0" fontId="7" numFmtId="166" xfId="0" applyBorder="1" applyFont="1" applyNumberFormat="1"/>
    <xf borderId="1" fillId="0" fontId="134" numFmtId="0" xfId="0" applyAlignment="1" applyBorder="1" applyFont="1">
      <alignment horizontal="center" readingOrder="0" vertical="bottom"/>
    </xf>
    <xf borderId="8" fillId="23" fontId="44" numFmtId="0" xfId="0" applyAlignment="1" applyBorder="1" applyFont="1">
      <alignment horizontal="center" readingOrder="0" vertical="bottom"/>
    </xf>
    <xf borderId="8" fillId="35" fontId="44" numFmtId="0" xfId="0" applyAlignment="1" applyBorder="1" applyFont="1">
      <alignment horizontal="center" readingOrder="0" vertical="bottom"/>
    </xf>
    <xf borderId="1" fillId="5" fontId="16" numFmtId="0" xfId="0" applyAlignment="1" applyBorder="1" applyFont="1">
      <alignment horizontal="center" vertical="bottom"/>
    </xf>
    <xf borderId="0" fillId="14" fontId="7" numFmtId="0" xfId="0" applyAlignment="1" applyFont="1">
      <alignment readingOrder="0"/>
    </xf>
    <xf borderId="8" fillId="0" fontId="15" numFmtId="0" xfId="0" applyAlignment="1" applyBorder="1" applyFont="1">
      <alignment horizontal="center" vertical="bottom"/>
    </xf>
    <xf borderId="1" fillId="0" fontId="7" numFmtId="182" xfId="0" applyAlignment="1" applyBorder="1" applyFont="1" applyNumberFormat="1">
      <alignment readingOrder="0"/>
    </xf>
    <xf borderId="8" fillId="34" fontId="44" numFmtId="0" xfId="0" applyAlignment="1" applyBorder="1" applyFont="1">
      <alignment horizontal="center" readingOrder="0" vertical="bottom"/>
    </xf>
    <xf borderId="8" fillId="31" fontId="44" numFmtId="0" xfId="0" applyAlignment="1" applyBorder="1" applyFont="1">
      <alignment horizontal="center" readingOrder="0" vertical="bottom"/>
    </xf>
    <xf borderId="1" fillId="5" fontId="44" numFmtId="0" xfId="0" applyAlignment="1" applyBorder="1" applyFont="1">
      <alignment horizontal="center" readingOrder="0"/>
    </xf>
    <xf borderId="8" fillId="0" fontId="111" numFmtId="0" xfId="0" applyAlignment="1" applyBorder="1" applyFont="1">
      <alignment horizontal="left" readingOrder="0"/>
    </xf>
    <xf borderId="1" fillId="15" fontId="44" numFmtId="0" xfId="0" applyAlignment="1" applyBorder="1" applyFont="1">
      <alignment horizontal="center" readingOrder="0"/>
    </xf>
    <xf borderId="1" fillId="15" fontId="15" numFmtId="0" xfId="0" applyAlignment="1" applyBorder="1" applyFont="1">
      <alignment horizontal="center" readingOrder="0"/>
    </xf>
    <xf borderId="0" fillId="15" fontId="34" numFmtId="0" xfId="0" applyAlignment="1" applyFont="1">
      <alignment horizontal="center" readingOrder="0"/>
    </xf>
    <xf borderId="1" fillId="15" fontId="44" numFmtId="0" xfId="0" applyAlignment="1" applyBorder="1" applyFont="1">
      <alignment horizontal="center" readingOrder="0" vertical="bottom"/>
    </xf>
    <xf borderId="1" fillId="15" fontId="7" numFmtId="0" xfId="0" applyBorder="1" applyFont="1"/>
    <xf borderId="1" fillId="15" fontId="7" numFmtId="0" xfId="0" applyAlignment="1" applyBorder="1" applyFont="1">
      <alignment horizontal="center" readingOrder="0"/>
    </xf>
    <xf borderId="1" fillId="15" fontId="7" numFmtId="0" xfId="0" applyAlignment="1" applyBorder="1" applyFont="1">
      <alignment readingOrder="0"/>
    </xf>
    <xf borderId="1" fillId="15" fontId="7" numFmtId="166" xfId="0" applyAlignment="1" applyBorder="1" applyFont="1" applyNumberFormat="1">
      <alignment readingOrder="0"/>
    </xf>
    <xf borderId="1" fillId="15" fontId="32" numFmtId="0" xfId="0" applyAlignment="1" applyBorder="1" applyFont="1">
      <alignment readingOrder="0"/>
    </xf>
    <xf borderId="0" fillId="15" fontId="7" numFmtId="0" xfId="0" applyFont="1"/>
    <xf borderId="8" fillId="51" fontId="44" numFmtId="0" xfId="0" applyAlignment="1" applyBorder="1" applyFill="1" applyFont="1">
      <alignment horizontal="center" readingOrder="0"/>
    </xf>
    <xf borderId="8" fillId="51" fontId="44" numFmtId="0" xfId="0" applyAlignment="1" applyBorder="1" applyFont="1">
      <alignment horizontal="left" readingOrder="0"/>
    </xf>
    <xf borderId="1" fillId="51" fontId="44" numFmtId="0" xfId="0" applyAlignment="1" applyBorder="1" applyFont="1">
      <alignment horizontal="center" readingOrder="0"/>
    </xf>
    <xf borderId="8" fillId="51" fontId="44" numFmtId="0" xfId="0" applyAlignment="1" applyBorder="1" applyFont="1">
      <alignment horizontal="center" readingOrder="0" vertical="bottom"/>
    </xf>
    <xf borderId="1" fillId="51" fontId="44" numFmtId="0" xfId="0" applyAlignment="1" applyBorder="1" applyFont="1">
      <alignment horizontal="center" readingOrder="0" vertical="bottom"/>
    </xf>
    <xf borderId="0" fillId="51" fontId="34" numFmtId="0" xfId="0" applyAlignment="1" applyFont="1">
      <alignment horizontal="center" readingOrder="0"/>
    </xf>
    <xf borderId="1" fillId="51" fontId="7" numFmtId="0" xfId="0" applyBorder="1" applyFont="1"/>
    <xf borderId="1" fillId="51" fontId="7" numFmtId="0" xfId="0" applyAlignment="1" applyBorder="1" applyFont="1">
      <alignment horizontal="center" readingOrder="0"/>
    </xf>
    <xf borderId="0" fillId="51" fontId="7" numFmtId="0" xfId="0" applyFont="1"/>
    <xf borderId="8" fillId="50" fontId="44" numFmtId="0" xfId="0" applyAlignment="1" applyBorder="1" applyFont="1">
      <alignment horizontal="center" readingOrder="0"/>
    </xf>
    <xf borderId="8" fillId="50" fontId="44" numFmtId="0" xfId="0" applyAlignment="1" applyBorder="1" applyFont="1">
      <alignment horizontal="left" readingOrder="0"/>
    </xf>
    <xf borderId="8" fillId="50" fontId="44" numFmtId="0" xfId="0" applyAlignment="1" applyBorder="1" applyFont="1">
      <alignment horizontal="center" readingOrder="0" vertical="bottom"/>
    </xf>
    <xf borderId="1" fillId="50" fontId="44" numFmtId="0" xfId="0" applyAlignment="1" applyBorder="1" applyFont="1">
      <alignment horizontal="center" readingOrder="0" vertical="bottom"/>
    </xf>
    <xf borderId="0" fillId="50" fontId="34" numFmtId="0" xfId="0" applyAlignment="1" applyFont="1">
      <alignment horizontal="center" readingOrder="0"/>
    </xf>
    <xf borderId="1" fillId="50" fontId="7" numFmtId="166" xfId="0" applyAlignment="1" applyBorder="1" applyFont="1" applyNumberFormat="1">
      <alignment readingOrder="0"/>
    </xf>
    <xf borderId="1" fillId="50" fontId="32" numFmtId="0" xfId="0" applyAlignment="1" applyBorder="1" applyFont="1">
      <alignment readingOrder="0"/>
    </xf>
    <xf borderId="1" fillId="14" fontId="111" numFmtId="0" xfId="0" applyAlignment="1" applyBorder="1" applyFont="1">
      <alignment horizontal="center" readingOrder="0" vertical="bottom"/>
    </xf>
    <xf borderId="1" fillId="44" fontId="44" numFmtId="0" xfId="0" applyAlignment="1" applyBorder="1" applyFont="1">
      <alignment horizontal="center" readingOrder="0"/>
    </xf>
    <xf borderId="0" fillId="44" fontId="34" numFmtId="0" xfId="0" applyAlignment="1" applyFont="1">
      <alignment horizontal="center" readingOrder="0"/>
    </xf>
    <xf borderId="8" fillId="26" fontId="44" numFmtId="0" xfId="0" applyAlignment="1" applyBorder="1" applyFont="1">
      <alignment horizontal="left" readingOrder="0"/>
    </xf>
    <xf borderId="0" fillId="26" fontId="34" numFmtId="0" xfId="0" applyAlignment="1" applyFont="1">
      <alignment horizontal="center" readingOrder="0"/>
    </xf>
    <xf borderId="1" fillId="50" fontId="15" numFmtId="0" xfId="0" applyAlignment="1" applyBorder="1" applyFont="1">
      <alignment horizontal="center" readingOrder="0"/>
    </xf>
    <xf borderId="1" fillId="50" fontId="7" numFmtId="0" xfId="0" applyAlignment="1" applyBorder="1" applyFont="1">
      <alignment readingOrder="0"/>
    </xf>
    <xf borderId="1" fillId="50" fontId="111" numFmtId="0" xfId="0" applyAlignment="1" applyBorder="1" applyFont="1">
      <alignment horizontal="center" readingOrder="0" vertical="bottom"/>
    </xf>
    <xf borderId="0" fillId="0" fontId="44" numFmtId="0" xfId="0" applyAlignment="1" applyFont="1">
      <alignment horizontal="center" readingOrder="0"/>
    </xf>
    <xf borderId="1" fillId="26" fontId="111" numFmtId="0" xfId="0" applyAlignment="1" applyBorder="1" applyFont="1">
      <alignment horizontal="center" readingOrder="0" vertical="bottom"/>
    </xf>
    <xf borderId="8" fillId="49" fontId="44" numFmtId="0" xfId="0" applyAlignment="1" applyBorder="1" applyFont="1">
      <alignment horizontal="center" readingOrder="0"/>
    </xf>
    <xf borderId="8" fillId="49" fontId="44" numFmtId="0" xfId="0" applyAlignment="1" applyBorder="1" applyFont="1">
      <alignment horizontal="left" readingOrder="0"/>
    </xf>
    <xf borderId="1" fillId="49" fontId="15" numFmtId="0" xfId="0" applyAlignment="1" applyBorder="1" applyFont="1">
      <alignment horizontal="center" readingOrder="0"/>
    </xf>
    <xf borderId="0" fillId="49" fontId="34" numFmtId="0" xfId="0" applyAlignment="1" applyFont="1">
      <alignment horizontal="center" readingOrder="0"/>
    </xf>
    <xf borderId="1" fillId="49" fontId="111" numFmtId="0" xfId="0" applyAlignment="1" applyBorder="1" applyFont="1">
      <alignment horizontal="center" readingOrder="0" vertical="bottom"/>
    </xf>
    <xf borderId="1" fillId="49" fontId="15" numFmtId="0" xfId="0" applyAlignment="1" applyBorder="1" applyFont="1">
      <alignment horizontal="center" readingOrder="0" vertical="bottom"/>
    </xf>
    <xf borderId="8" fillId="47" fontId="44" numFmtId="0" xfId="0" applyAlignment="1" applyBorder="1" applyFont="1">
      <alignment horizontal="center" readingOrder="0"/>
    </xf>
    <xf borderId="8" fillId="47" fontId="44" numFmtId="0" xfId="0" applyAlignment="1" applyBorder="1" applyFont="1">
      <alignment horizontal="left" readingOrder="0"/>
    </xf>
    <xf borderId="1" fillId="47" fontId="15" numFmtId="0" xfId="0" applyAlignment="1" applyBorder="1" applyFont="1">
      <alignment horizontal="center" readingOrder="0"/>
    </xf>
    <xf borderId="0" fillId="47" fontId="34" numFmtId="0" xfId="0" applyAlignment="1" applyFont="1">
      <alignment horizontal="center" readingOrder="0"/>
    </xf>
    <xf borderId="1" fillId="47" fontId="44" numFmtId="0" xfId="0" applyAlignment="1" applyBorder="1" applyFont="1">
      <alignment horizontal="center" readingOrder="0" vertical="bottom"/>
    </xf>
    <xf borderId="1" fillId="47" fontId="7" numFmtId="0" xfId="0" applyBorder="1" applyFont="1"/>
    <xf borderId="1" fillId="47" fontId="7" numFmtId="0" xfId="0" applyAlignment="1" applyBorder="1" applyFont="1">
      <alignment horizontal="center" readingOrder="0"/>
    </xf>
    <xf borderId="1" fillId="47" fontId="7" numFmtId="0" xfId="0" applyAlignment="1" applyBorder="1" applyFont="1">
      <alignment readingOrder="0"/>
    </xf>
    <xf borderId="1" fillId="47" fontId="32" numFmtId="0" xfId="0" applyAlignment="1" applyBorder="1" applyFont="1">
      <alignment readingOrder="0"/>
    </xf>
    <xf borderId="0" fillId="47" fontId="7" numFmtId="0" xfId="0" applyFont="1"/>
    <xf borderId="1" fillId="47" fontId="111" numFmtId="0" xfId="0" applyAlignment="1" applyBorder="1" applyFont="1">
      <alignment horizontal="center" readingOrder="0" vertical="bottom"/>
    </xf>
    <xf borderId="8" fillId="28" fontId="44" numFmtId="0" xfId="0" applyAlignment="1" applyBorder="1" applyFont="1">
      <alignment horizontal="center" readingOrder="0"/>
    </xf>
    <xf borderId="8" fillId="28" fontId="44" numFmtId="0" xfId="0" applyAlignment="1" applyBorder="1" applyFont="1">
      <alignment horizontal="left" readingOrder="0"/>
    </xf>
    <xf borderId="0" fillId="28" fontId="34" numFmtId="0" xfId="0" applyAlignment="1" applyFont="1">
      <alignment horizontal="center" readingOrder="0"/>
    </xf>
    <xf borderId="1" fillId="28" fontId="111" numFmtId="0" xfId="0" applyAlignment="1" applyBorder="1" applyFont="1">
      <alignment horizontal="center" readingOrder="0" vertical="bottom"/>
    </xf>
    <xf borderId="1" fillId="28" fontId="7" numFmtId="0" xfId="0" applyBorder="1" applyFont="1"/>
    <xf borderId="1" fillId="28" fontId="15" numFmtId="0" xfId="0" applyAlignment="1" applyBorder="1" applyFont="1">
      <alignment horizontal="center" readingOrder="0" vertical="bottom"/>
    </xf>
    <xf borderId="0" fillId="28" fontId="7" numFmtId="0" xfId="0" applyAlignment="1" applyFont="1">
      <alignment readingOrder="0"/>
    </xf>
    <xf borderId="0" fillId="28" fontId="7" numFmtId="0" xfId="0" applyFont="1"/>
    <xf borderId="8" fillId="34" fontId="44" numFmtId="0" xfId="0" applyAlignment="1" applyBorder="1" applyFont="1">
      <alignment horizontal="center" readingOrder="0"/>
    </xf>
    <xf borderId="1" fillId="51" fontId="15" numFmtId="0" xfId="0" applyAlignment="1" applyBorder="1" applyFont="1">
      <alignment horizontal="center" readingOrder="0"/>
    </xf>
    <xf borderId="1" fillId="51" fontId="15" numFmtId="0" xfId="0" applyAlignment="1" applyBorder="1" applyFont="1">
      <alignment horizontal="center" readingOrder="0" vertical="bottom"/>
    </xf>
    <xf borderId="1" fillId="49" fontId="32" numFmtId="0" xfId="0" applyAlignment="1" applyBorder="1" applyFont="1">
      <alignment readingOrder="0"/>
    </xf>
    <xf borderId="1" fillId="50" fontId="122" numFmtId="0" xfId="0" applyAlignment="1" applyBorder="1" applyFont="1">
      <alignment horizontal="center" readingOrder="0" vertical="bottom"/>
    </xf>
    <xf borderId="8" fillId="52" fontId="44" numFmtId="0" xfId="0" applyAlignment="1" applyBorder="1" applyFill="1" applyFont="1">
      <alignment horizontal="center" readingOrder="0"/>
    </xf>
    <xf borderId="8" fillId="52" fontId="44" numFmtId="0" xfId="0" applyAlignment="1" applyBorder="1" applyFont="1">
      <alignment horizontal="left" readingOrder="0"/>
    </xf>
    <xf borderId="1" fillId="52" fontId="44" numFmtId="0" xfId="0" applyAlignment="1" applyBorder="1" applyFont="1">
      <alignment horizontal="center" readingOrder="0"/>
    </xf>
    <xf borderId="1" fillId="52" fontId="15" numFmtId="0" xfId="0" applyAlignment="1" applyBorder="1" applyFont="1">
      <alignment horizontal="center" readingOrder="0"/>
    </xf>
    <xf borderId="0" fillId="52" fontId="34" numFmtId="0" xfId="0" applyAlignment="1" applyFont="1">
      <alignment horizontal="center" readingOrder="0"/>
    </xf>
    <xf borderId="1" fillId="52" fontId="7" numFmtId="0" xfId="0" applyBorder="1" applyFont="1"/>
    <xf borderId="1" fillId="52" fontId="7" numFmtId="0" xfId="0" applyAlignment="1" applyBorder="1" applyFont="1">
      <alignment horizontal="center"/>
    </xf>
    <xf borderId="1" fillId="52" fontId="7" numFmtId="0" xfId="0" applyAlignment="1" applyBorder="1" applyFont="1">
      <alignment readingOrder="0"/>
    </xf>
    <xf borderId="0" fillId="52" fontId="7" numFmtId="0" xfId="0" applyFont="1"/>
    <xf borderId="8" fillId="31" fontId="44" numFmtId="0" xfId="0" applyAlignment="1" applyBorder="1" applyFont="1">
      <alignment horizontal="center" readingOrder="0"/>
    </xf>
    <xf borderId="8" fillId="5" fontId="44" numFmtId="0" xfId="0" applyAlignment="1" applyBorder="1" applyFont="1">
      <alignment horizontal="center" readingOrder="0"/>
    </xf>
    <xf borderId="1" fillId="14" fontId="44" numFmtId="0" xfId="0" applyAlignment="1" applyBorder="1" applyFont="1">
      <alignment horizontal="center" readingOrder="0" vertical="bottom"/>
    </xf>
    <xf borderId="1" fillId="14" fontId="44" numFmtId="0" xfId="0" applyAlignment="1" applyBorder="1" applyFont="1">
      <alignment horizontal="center" readingOrder="0"/>
    </xf>
    <xf borderId="8" fillId="0" fontId="159" numFmtId="0" xfId="0" applyAlignment="1" applyBorder="1" applyFont="1">
      <alignment horizontal="left" readingOrder="0"/>
    </xf>
    <xf borderId="1" fillId="0" fontId="44" numFmtId="0" xfId="0" applyAlignment="1" applyBorder="1" applyFont="1">
      <alignment horizontal="center" readingOrder="0" vertical="bottom"/>
    </xf>
    <xf borderId="1" fillId="0" fontId="44" numFmtId="0" xfId="0" applyAlignment="1" applyBorder="1" applyFont="1">
      <alignment horizontal="center" readingOrder="0"/>
    </xf>
    <xf borderId="1" fillId="0" fontId="107" numFmtId="0" xfId="0" applyAlignment="1" applyBorder="1" applyFont="1">
      <alignment horizontal="center" readingOrder="0"/>
    </xf>
    <xf borderId="8" fillId="0" fontId="78" numFmtId="0" xfId="0" applyAlignment="1" applyBorder="1" applyFont="1">
      <alignment horizontal="left" readingOrder="0"/>
    </xf>
    <xf borderId="1" fillId="0" fontId="78" numFmtId="0" xfId="0" applyAlignment="1" applyBorder="1" applyFont="1">
      <alignment horizontal="center" readingOrder="0" vertical="bottom"/>
    </xf>
    <xf borderId="0" fillId="0" fontId="152" numFmtId="0" xfId="0" applyAlignment="1" applyFont="1">
      <alignment horizontal="center" readingOrder="0"/>
    </xf>
    <xf borderId="1" fillId="0" fontId="78" numFmtId="0" xfId="0" applyAlignment="1" applyBorder="1" applyFont="1">
      <alignment horizontal="center" readingOrder="0"/>
    </xf>
    <xf borderId="1" fillId="26" fontId="44" numFmtId="0" xfId="0" applyAlignment="1" applyBorder="1" applyFont="1">
      <alignment horizontal="center" readingOrder="0" vertical="bottom"/>
    </xf>
    <xf borderId="1" fillId="26" fontId="44" numFmtId="0" xfId="0" applyAlignment="1" applyBorder="1" applyFont="1">
      <alignment horizontal="center" readingOrder="0"/>
    </xf>
    <xf borderId="1" fillId="0" fontId="149" numFmtId="0" xfId="0" applyAlignment="1" applyBorder="1" applyFont="1">
      <alignment horizontal="center" readingOrder="0" vertical="top"/>
    </xf>
    <xf borderId="1" fillId="53" fontId="15" numFmtId="0" xfId="0" applyAlignment="1" applyBorder="1" applyFill="1" applyFont="1">
      <alignment horizontal="center" readingOrder="0"/>
    </xf>
    <xf borderId="1" fillId="0" fontId="13" numFmtId="0" xfId="0" applyAlignment="1" applyBorder="1" applyFont="1">
      <alignment horizontal="center" readingOrder="0" vertical="top"/>
    </xf>
    <xf borderId="1" fillId="0" fontId="7" numFmtId="0" xfId="0" applyAlignment="1" applyBorder="1" applyFont="1">
      <alignment horizontal="center" readingOrder="0" vertical="top"/>
    </xf>
    <xf borderId="0" fillId="14" fontId="34" numFmtId="0" xfId="0" applyAlignment="1" applyFont="1">
      <alignment horizontal="center" readingOrder="0"/>
    </xf>
    <xf borderId="13" fillId="7" fontId="3" numFmtId="0" xfId="0" applyAlignment="1" applyBorder="1" applyFont="1">
      <alignment horizontal="center" readingOrder="0" vertical="bottom"/>
    </xf>
    <xf borderId="13" fillId="0" fontId="4" numFmtId="0" xfId="0" applyBorder="1" applyFont="1"/>
    <xf borderId="14" fillId="0" fontId="4" numFmtId="0" xfId="0" applyBorder="1" applyFont="1"/>
    <xf borderId="0" fillId="7" fontId="15" numFmtId="0" xfId="0" applyAlignment="1" applyFont="1">
      <alignment vertical="bottom"/>
    </xf>
    <xf borderId="0" fillId="7" fontId="15" numFmtId="0" xfId="0" applyAlignment="1" applyFont="1">
      <alignment vertical="bottom"/>
    </xf>
    <xf borderId="0" fillId="0" fontId="152" numFmtId="0" xfId="0" applyAlignment="1" applyFont="1">
      <alignment horizontal="center"/>
    </xf>
    <xf borderId="0" fillId="0" fontId="34" numFmtId="0" xfId="0" applyAlignment="1" applyFont="1">
      <alignment horizontal="center"/>
    </xf>
    <xf borderId="0" fillId="0" fontId="32" numFmtId="0" xfId="0" applyAlignment="1" applyFont="1">
      <alignment readingOrder="0"/>
    </xf>
    <xf borderId="1" fillId="24" fontId="44" numFmtId="0" xfId="0" applyAlignment="1" applyBorder="1" applyFont="1">
      <alignment horizontal="center" readingOrder="0"/>
    </xf>
    <xf borderId="8" fillId="24" fontId="44" numFmtId="0" xfId="0" applyAlignment="1" applyBorder="1" applyFont="1">
      <alignment horizontal="center" readingOrder="0"/>
    </xf>
    <xf borderId="8" fillId="23" fontId="44" numFmtId="0" xfId="0" applyAlignment="1" applyBorder="1" applyFont="1">
      <alignment horizontal="center" readingOrder="0"/>
    </xf>
    <xf borderId="8" fillId="24" fontId="44" numFmtId="0" xfId="0" applyAlignment="1" applyBorder="1" applyFont="1">
      <alignment horizontal="left" readingOrder="0"/>
    </xf>
    <xf borderId="1" fillId="24" fontId="34" numFmtId="0" xfId="0" applyAlignment="1" applyBorder="1" applyFont="1">
      <alignment horizontal="center" readingOrder="0"/>
    </xf>
    <xf borderId="0" fillId="24" fontId="44" numFmtId="0" xfId="0" applyAlignment="1" applyFont="1">
      <alignment horizontal="center" readingOrder="0"/>
    </xf>
    <xf borderId="1" fillId="28" fontId="34" numFmtId="0" xfId="0" applyAlignment="1" applyBorder="1" applyFont="1">
      <alignment horizontal="center" readingOrder="0"/>
    </xf>
    <xf borderId="1" fillId="28" fontId="149" numFmtId="0" xfId="0" applyAlignment="1" applyBorder="1" applyFont="1">
      <alignment horizontal="center" readingOrder="0"/>
    </xf>
    <xf borderId="0" fillId="28" fontId="7" numFmtId="0" xfId="0" applyAlignment="1" applyFont="1">
      <alignment horizontal="center" readingOrder="0"/>
    </xf>
    <xf borderId="0" fillId="0" fontId="7" numFmtId="166" xfId="0" applyAlignment="1" applyFont="1" applyNumberFormat="1">
      <alignment readingOrder="0"/>
    </xf>
    <xf borderId="8" fillId="17" fontId="44" numFmtId="0" xfId="0" applyAlignment="1" applyBorder="1" applyFont="1">
      <alignment horizontal="center" readingOrder="0"/>
    </xf>
    <xf borderId="8" fillId="17" fontId="44" numFmtId="0" xfId="0" applyAlignment="1" applyBorder="1" applyFont="1">
      <alignment horizontal="left" readingOrder="0"/>
    </xf>
    <xf borderId="1" fillId="17" fontId="44" numFmtId="0" xfId="0" applyAlignment="1" applyBorder="1" applyFont="1">
      <alignment horizontal="center" readingOrder="0"/>
    </xf>
    <xf borderId="0" fillId="17" fontId="34" numFmtId="0" xfId="0" applyAlignment="1" applyFont="1">
      <alignment horizontal="center" readingOrder="0"/>
    </xf>
    <xf borderId="1" fillId="17" fontId="149" numFmtId="0" xfId="0" applyAlignment="1" applyBorder="1" applyFont="1">
      <alignment horizontal="center" readingOrder="0"/>
    </xf>
    <xf borderId="0" fillId="17" fontId="7" numFmtId="0" xfId="0" applyFont="1"/>
    <xf borderId="0" fillId="17" fontId="7" numFmtId="0" xfId="0" applyAlignment="1" applyFont="1">
      <alignment horizontal="center" readingOrder="0"/>
    </xf>
    <xf borderId="0" fillId="17" fontId="7" numFmtId="0" xfId="0" applyAlignment="1" applyFont="1">
      <alignment horizontal="left" readingOrder="0"/>
    </xf>
    <xf borderId="0" fillId="17" fontId="7" numFmtId="0" xfId="0" applyAlignment="1" applyFont="1">
      <alignment readingOrder="0"/>
    </xf>
    <xf borderId="1" fillId="0" fontId="25" numFmtId="0" xfId="0" applyAlignment="1" applyBorder="1" applyFont="1">
      <alignment horizontal="left" readingOrder="0"/>
    </xf>
    <xf borderId="1" fillId="0" fontId="25" numFmtId="0" xfId="0" applyAlignment="1" applyBorder="1" applyFont="1">
      <alignment horizontal="center" readingOrder="0"/>
    </xf>
    <xf borderId="6" fillId="0" fontId="34" numFmtId="0" xfId="0" applyAlignment="1" applyBorder="1" applyFont="1">
      <alignment horizontal="center" readingOrder="0"/>
    </xf>
    <xf borderId="1" fillId="54" fontId="160" numFmtId="0" xfId="0" applyAlignment="1" applyBorder="1" applyFill="1" applyFont="1">
      <alignment horizontal="center" readingOrder="0"/>
    </xf>
    <xf borderId="1" fillId="54" fontId="160" numFmtId="0" xfId="0" applyAlignment="1" applyBorder="1" applyFont="1">
      <alignment horizontal="left" readingOrder="0"/>
    </xf>
    <xf borderId="6" fillId="54" fontId="161" numFmtId="0" xfId="0" applyAlignment="1" applyBorder="1" applyFont="1">
      <alignment horizontal="center" readingOrder="0"/>
    </xf>
    <xf borderId="0" fillId="0" fontId="161" numFmtId="0" xfId="0" applyAlignment="1" applyFont="1">
      <alignment horizontal="center" readingOrder="0"/>
    </xf>
    <xf borderId="1" fillId="0" fontId="162" numFmtId="0" xfId="0" applyAlignment="1" applyBorder="1" applyFont="1">
      <alignment horizontal="center" readingOrder="0" vertical="bottom"/>
    </xf>
    <xf borderId="0" fillId="0" fontId="162" numFmtId="0" xfId="0" applyFont="1"/>
    <xf borderId="0" fillId="0" fontId="162" numFmtId="0" xfId="0" applyAlignment="1" applyFont="1">
      <alignment horizontal="center"/>
    </xf>
    <xf borderId="1" fillId="55" fontId="44" numFmtId="0" xfId="0" applyAlignment="1" applyBorder="1" applyFill="1" applyFont="1">
      <alignment horizontal="center" readingOrder="0"/>
    </xf>
    <xf borderId="1" fillId="7" fontId="25" numFmtId="0" xfId="0" applyAlignment="1" applyBorder="1" applyFont="1">
      <alignment horizontal="left" readingOrder="0"/>
    </xf>
    <xf borderId="1" fillId="5" fontId="44" numFmtId="0" xfId="0" applyAlignment="1" applyBorder="1" applyFont="1">
      <alignment horizontal="center" readingOrder="0" vertical="bottom"/>
    </xf>
    <xf borderId="0" fillId="0" fontId="15" numFmtId="0" xfId="0" applyAlignment="1" applyFont="1">
      <alignment horizontal="center" readingOrder="0"/>
    </xf>
    <xf borderId="0" fillId="0" fontId="15" numFmtId="0" xfId="0" applyAlignment="1" applyFont="1">
      <alignment horizontal="center"/>
    </xf>
    <xf borderId="0" fillId="50" fontId="7" numFmtId="0" xfId="0" applyAlignment="1" applyFont="1">
      <alignment horizontal="center" readingOrder="0"/>
    </xf>
    <xf borderId="0" fillId="50" fontId="7" numFmtId="165" xfId="0" applyAlignment="1" applyFont="1" applyNumberFormat="1">
      <alignment readingOrder="0"/>
    </xf>
    <xf borderId="1" fillId="26" fontId="163" numFmtId="0" xfId="0" applyAlignment="1" applyBorder="1" applyFont="1">
      <alignment horizontal="center" readingOrder="0"/>
    </xf>
    <xf borderId="1" fillId="0" fontId="164" numFmtId="0" xfId="0" applyAlignment="1" applyBorder="1" applyFont="1">
      <alignment horizontal="center" readingOrder="0"/>
    </xf>
    <xf borderId="1" fillId="0" fontId="163" numFmtId="0" xfId="0" applyAlignment="1" applyBorder="1" applyFont="1">
      <alignment horizontal="center" readingOrder="0"/>
    </xf>
    <xf borderId="1" fillId="26" fontId="164" numFmtId="0" xfId="0" applyAlignment="1" applyBorder="1" applyFont="1">
      <alignment horizontal="center" readingOrder="0"/>
    </xf>
    <xf borderId="1" fillId="31" fontId="163" numFmtId="0" xfId="0" applyAlignment="1" applyBorder="1" applyFont="1">
      <alignment horizontal="center" readingOrder="0"/>
    </xf>
    <xf borderId="0" fillId="0" fontId="44" numFmtId="0" xfId="0" applyAlignment="1" applyFont="1">
      <alignment horizontal="left" readingOrder="0" shrinkToFit="0" vertical="bottom" wrapText="0"/>
    </xf>
    <xf borderId="0" fillId="0" fontId="44" numFmtId="0" xfId="0" applyAlignment="1" applyFont="1">
      <alignment horizontal="center" readingOrder="0" shrinkToFit="0" wrapText="0"/>
    </xf>
    <xf borderId="0" fillId="0" fontId="44" numFmtId="0" xfId="0" applyAlignment="1" applyFont="1">
      <alignment horizontal="center" readingOrder="0" shrinkToFit="0" vertical="bottom" wrapText="0"/>
    </xf>
    <xf borderId="0" fillId="5" fontId="44" numFmtId="0" xfId="0" applyAlignment="1" applyFont="1">
      <alignment horizontal="center" readingOrder="0" vertical="bottom"/>
    </xf>
    <xf borderId="0" fillId="0" fontId="165" numFmtId="0" xfId="0" applyAlignment="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hyperlink" Target="http://s.no" TargetMode="External"/><Relationship Id="rId5" Type="http://schemas.openxmlformats.org/officeDocument/2006/relationships/hyperlink" Target="http://s.no" TargetMode="External"/><Relationship Id="rId6" Type="http://schemas.openxmlformats.org/officeDocument/2006/relationships/hyperlink" Target="http://s.no"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no/" TargetMode="External"/><Relationship Id="rId22" Type="http://schemas.openxmlformats.org/officeDocument/2006/relationships/hyperlink" Target="http://s.no/" TargetMode="External"/><Relationship Id="rId21" Type="http://schemas.openxmlformats.org/officeDocument/2006/relationships/hyperlink" Target="http://s.no/" TargetMode="External"/><Relationship Id="rId24" Type="http://schemas.openxmlformats.org/officeDocument/2006/relationships/hyperlink" Target="http://s.no/" TargetMode="External"/><Relationship Id="rId23" Type="http://schemas.openxmlformats.org/officeDocument/2006/relationships/hyperlink" Target="http://s.no/" TargetMode="External"/><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hyperlink" Target="http://s.no" TargetMode="External"/><Relationship Id="rId9" Type="http://schemas.openxmlformats.org/officeDocument/2006/relationships/hyperlink" Target="http://s.no" TargetMode="External"/><Relationship Id="rId26" Type="http://schemas.openxmlformats.org/officeDocument/2006/relationships/hyperlink" Target="http://s.no" TargetMode="External"/><Relationship Id="rId25" Type="http://schemas.openxmlformats.org/officeDocument/2006/relationships/hyperlink" Target="http://s.no/" TargetMode="External"/><Relationship Id="rId28" Type="http://schemas.openxmlformats.org/officeDocument/2006/relationships/drawing" Target="../drawings/drawing4.xml"/><Relationship Id="rId27" Type="http://schemas.openxmlformats.org/officeDocument/2006/relationships/hyperlink" Target="https://meet.google.com/gdr-pibc-xme" TargetMode="External"/><Relationship Id="rId5" Type="http://schemas.openxmlformats.org/officeDocument/2006/relationships/hyperlink" Target="http://s.no" TargetMode="External"/><Relationship Id="rId6" Type="http://schemas.openxmlformats.org/officeDocument/2006/relationships/hyperlink" Target="http://s.no" TargetMode="External"/><Relationship Id="rId7" Type="http://schemas.openxmlformats.org/officeDocument/2006/relationships/hyperlink" Target="http://s.no" TargetMode="External"/><Relationship Id="rId8" Type="http://schemas.openxmlformats.org/officeDocument/2006/relationships/hyperlink" Target="http://s.no" TargetMode="External"/><Relationship Id="rId11" Type="http://schemas.openxmlformats.org/officeDocument/2006/relationships/hyperlink" Target="http://s.no" TargetMode="External"/><Relationship Id="rId10" Type="http://schemas.openxmlformats.org/officeDocument/2006/relationships/hyperlink" Target="http://s.no" TargetMode="External"/><Relationship Id="rId13" Type="http://schemas.openxmlformats.org/officeDocument/2006/relationships/hyperlink" Target="http://s.no/" TargetMode="External"/><Relationship Id="rId12" Type="http://schemas.openxmlformats.org/officeDocument/2006/relationships/hyperlink" Target="http://s.no" TargetMode="External"/><Relationship Id="rId15" Type="http://schemas.openxmlformats.org/officeDocument/2006/relationships/hyperlink" Target="http://s.no" TargetMode="External"/><Relationship Id="rId14" Type="http://schemas.openxmlformats.org/officeDocument/2006/relationships/hyperlink" Target="http://s.no" TargetMode="External"/><Relationship Id="rId17" Type="http://schemas.openxmlformats.org/officeDocument/2006/relationships/hyperlink" Target="http://s.no" TargetMode="External"/><Relationship Id="rId16" Type="http://schemas.openxmlformats.org/officeDocument/2006/relationships/hyperlink" Target="http://s.no" TargetMode="External"/><Relationship Id="rId19" Type="http://schemas.openxmlformats.org/officeDocument/2006/relationships/hyperlink" Target="http://s.no" TargetMode="External"/><Relationship Id="rId18" Type="http://schemas.openxmlformats.org/officeDocument/2006/relationships/hyperlink" Target="http://s.n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25"/>
    <col customWidth="1" min="2" max="2" width="14.75"/>
    <col customWidth="1" min="3" max="3" width="77.38"/>
    <col customWidth="1" min="4" max="4" width="17.38"/>
    <col customWidth="1" min="5" max="5" width="23.25"/>
  </cols>
  <sheetData>
    <row r="1">
      <c r="A1" s="1" t="s">
        <v>0</v>
      </c>
      <c r="B1" s="1" t="s">
        <v>3</v>
      </c>
      <c r="C1" s="1" t="s">
        <v>4</v>
      </c>
      <c r="D1" s="1" t="s">
        <v>5</v>
      </c>
      <c r="E1" s="1" t="s">
        <v>6</v>
      </c>
      <c r="F1" s="1" t="s">
        <v>8</v>
      </c>
      <c r="G1" s="6"/>
      <c r="H1" s="6"/>
      <c r="I1" s="6"/>
      <c r="J1" s="6"/>
      <c r="K1" s="6"/>
      <c r="L1" s="6"/>
      <c r="M1" s="6"/>
      <c r="N1" s="6"/>
      <c r="O1" s="6"/>
      <c r="P1" s="6"/>
      <c r="Q1" s="6"/>
      <c r="R1" s="6"/>
      <c r="S1" s="6"/>
      <c r="T1" s="6"/>
      <c r="U1" s="6"/>
      <c r="V1" s="6"/>
      <c r="W1" s="6"/>
      <c r="X1" s="6"/>
      <c r="Y1" s="6"/>
      <c r="Z1" s="6"/>
    </row>
    <row r="2">
      <c r="A2" s="14" t="s">
        <v>22</v>
      </c>
      <c r="B2" s="14" t="s">
        <v>24</v>
      </c>
      <c r="C2" s="17" t="s">
        <v>25</v>
      </c>
      <c r="D2" s="20">
        <v>45663.0</v>
      </c>
      <c r="E2" s="23" t="s">
        <v>28</v>
      </c>
      <c r="F2" s="12" t="s">
        <v>32</v>
      </c>
      <c r="G2" s="14"/>
      <c r="H2" s="14"/>
      <c r="I2" s="14"/>
      <c r="J2" s="14"/>
      <c r="K2" s="14"/>
      <c r="L2" s="14"/>
      <c r="M2" s="14"/>
      <c r="N2" s="14"/>
      <c r="O2" s="14"/>
      <c r="P2" s="14"/>
      <c r="Q2" s="14"/>
      <c r="R2" s="14"/>
      <c r="S2" s="14"/>
      <c r="T2" s="14"/>
      <c r="U2" s="14"/>
      <c r="V2" s="14"/>
      <c r="W2" s="14"/>
      <c r="X2" s="14"/>
      <c r="Y2" s="14"/>
      <c r="Z2" s="14"/>
    </row>
    <row r="3">
      <c r="A3" s="14" t="s">
        <v>39</v>
      </c>
      <c r="B3" s="14" t="s">
        <v>41</v>
      </c>
      <c r="C3" s="17" t="s">
        <v>25</v>
      </c>
      <c r="D3" s="37" t="s">
        <v>45</v>
      </c>
      <c r="E3" s="23">
        <v>45843.0</v>
      </c>
      <c r="F3" s="12" t="s">
        <v>32</v>
      </c>
      <c r="G3" s="14"/>
      <c r="H3" s="14"/>
      <c r="I3" s="14"/>
      <c r="J3" s="14"/>
      <c r="K3" s="14"/>
      <c r="L3" s="14"/>
      <c r="M3" s="14"/>
      <c r="N3" s="14"/>
      <c r="O3" s="14"/>
      <c r="P3" s="14"/>
      <c r="Q3" s="14"/>
      <c r="R3" s="14"/>
      <c r="S3" s="14"/>
      <c r="T3" s="14"/>
      <c r="U3" s="14"/>
      <c r="V3" s="14"/>
      <c r="W3" s="14"/>
      <c r="X3" s="14"/>
      <c r="Y3" s="14"/>
      <c r="Z3" s="14"/>
    </row>
    <row r="4">
      <c r="A4" s="14" t="s">
        <v>52</v>
      </c>
      <c r="B4" s="14" t="s">
        <v>53</v>
      </c>
      <c r="C4" s="17" t="s">
        <v>25</v>
      </c>
      <c r="D4" s="12" t="s">
        <v>54</v>
      </c>
      <c r="E4" s="23" t="s">
        <v>55</v>
      </c>
      <c r="F4" s="12" t="s">
        <v>32</v>
      </c>
      <c r="G4" s="14"/>
      <c r="H4" s="14"/>
      <c r="I4" s="14"/>
      <c r="J4" s="14"/>
      <c r="K4" s="14"/>
      <c r="L4" s="14"/>
      <c r="M4" s="14"/>
      <c r="N4" s="14"/>
      <c r="O4" s="14"/>
      <c r="P4" s="14"/>
      <c r="Q4" s="14"/>
      <c r="R4" s="14"/>
      <c r="S4" s="14"/>
      <c r="T4" s="14"/>
      <c r="U4" s="14"/>
      <c r="V4" s="14"/>
      <c r="W4" s="14"/>
      <c r="X4" s="14"/>
      <c r="Y4" s="14"/>
      <c r="Z4" s="14"/>
    </row>
    <row r="5">
      <c r="A5" s="14" t="s">
        <v>69</v>
      </c>
      <c r="B5" s="14" t="s">
        <v>70</v>
      </c>
      <c r="C5" s="17" t="s">
        <v>25</v>
      </c>
      <c r="D5" s="12" t="s">
        <v>54</v>
      </c>
      <c r="E5" s="23" t="s">
        <v>55</v>
      </c>
      <c r="F5" s="12" t="s">
        <v>32</v>
      </c>
      <c r="G5" s="14"/>
      <c r="H5" s="14"/>
      <c r="I5" s="14"/>
      <c r="J5" s="14"/>
      <c r="K5" s="14"/>
      <c r="L5" s="14"/>
      <c r="M5" s="14"/>
      <c r="N5" s="14"/>
      <c r="O5" s="14"/>
      <c r="P5" s="14"/>
      <c r="Q5" s="14"/>
      <c r="R5" s="14"/>
      <c r="S5" s="14"/>
      <c r="T5" s="14"/>
      <c r="U5" s="14"/>
      <c r="V5" s="14"/>
      <c r="W5" s="14"/>
      <c r="X5" s="14"/>
      <c r="Y5" s="14"/>
      <c r="Z5" s="14"/>
    </row>
    <row r="6">
      <c r="A6" s="14" t="s">
        <v>83</v>
      </c>
      <c r="B6" s="14" t="s">
        <v>85</v>
      </c>
      <c r="C6" s="17" t="s">
        <v>25</v>
      </c>
      <c r="D6" s="12" t="s">
        <v>54</v>
      </c>
      <c r="E6" s="23" t="s">
        <v>55</v>
      </c>
      <c r="F6" s="12" t="s">
        <v>32</v>
      </c>
      <c r="G6" s="14"/>
      <c r="H6" s="14"/>
      <c r="I6" s="14"/>
      <c r="J6" s="14"/>
      <c r="K6" s="14"/>
      <c r="L6" s="14"/>
      <c r="M6" s="14"/>
      <c r="N6" s="14"/>
      <c r="O6" s="14"/>
      <c r="P6" s="14"/>
      <c r="Q6" s="14"/>
      <c r="R6" s="14"/>
      <c r="S6" s="14"/>
      <c r="T6" s="14"/>
      <c r="U6" s="14"/>
      <c r="V6" s="14"/>
      <c r="W6" s="14"/>
      <c r="X6" s="14"/>
      <c r="Y6" s="14"/>
      <c r="Z6" s="14"/>
    </row>
    <row r="7">
      <c r="A7" s="14" t="s">
        <v>95</v>
      </c>
      <c r="B7" s="14" t="s">
        <v>96</v>
      </c>
      <c r="C7" s="17" t="s">
        <v>25</v>
      </c>
      <c r="D7" s="12" t="s">
        <v>54</v>
      </c>
      <c r="E7" s="23" t="s">
        <v>98</v>
      </c>
      <c r="F7" s="12" t="s">
        <v>32</v>
      </c>
      <c r="G7" s="14"/>
      <c r="H7" s="14"/>
      <c r="I7" s="14"/>
      <c r="J7" s="14"/>
      <c r="K7" s="14"/>
      <c r="L7" s="14"/>
      <c r="M7" s="14"/>
      <c r="N7" s="14"/>
      <c r="O7" s="14"/>
      <c r="P7" s="14"/>
      <c r="Q7" s="14"/>
      <c r="R7" s="14"/>
      <c r="S7" s="14"/>
      <c r="T7" s="14"/>
      <c r="U7" s="14"/>
      <c r="V7" s="14"/>
      <c r="W7" s="14"/>
      <c r="X7" s="14"/>
      <c r="Y7" s="14"/>
      <c r="Z7" s="14"/>
    </row>
    <row r="8">
      <c r="A8" s="14" t="s">
        <v>105</v>
      </c>
      <c r="B8" s="14" t="s">
        <v>106</v>
      </c>
      <c r="C8" s="17" t="s">
        <v>25</v>
      </c>
      <c r="D8" s="37" t="s">
        <v>54</v>
      </c>
      <c r="E8" s="23" t="s">
        <v>110</v>
      </c>
      <c r="F8" s="12" t="s">
        <v>32</v>
      </c>
      <c r="G8" s="14"/>
      <c r="H8" s="14"/>
      <c r="I8" s="14"/>
      <c r="J8" s="14"/>
      <c r="K8" s="14"/>
      <c r="L8" s="14"/>
      <c r="M8" s="14"/>
      <c r="N8" s="14"/>
      <c r="O8" s="14"/>
      <c r="P8" s="14"/>
      <c r="Q8" s="14"/>
      <c r="R8" s="14"/>
      <c r="S8" s="14"/>
      <c r="T8" s="14"/>
      <c r="U8" s="14"/>
      <c r="V8" s="14"/>
      <c r="W8" s="14"/>
      <c r="X8" s="14"/>
      <c r="Y8" s="14"/>
      <c r="Z8" s="14"/>
    </row>
    <row r="9">
      <c r="A9" s="14" t="s">
        <v>120</v>
      </c>
      <c r="B9" s="14" t="s">
        <v>121</v>
      </c>
      <c r="C9" s="17" t="s">
        <v>25</v>
      </c>
      <c r="D9" s="23">
        <v>45722.0</v>
      </c>
      <c r="E9" s="23" t="s">
        <v>123</v>
      </c>
      <c r="F9" s="12" t="s">
        <v>32</v>
      </c>
      <c r="G9" s="14"/>
      <c r="H9" s="14"/>
      <c r="I9" s="14"/>
      <c r="J9" s="14"/>
      <c r="K9" s="14"/>
      <c r="L9" s="14"/>
      <c r="M9" s="14"/>
      <c r="N9" s="14"/>
      <c r="O9" s="14"/>
      <c r="P9" s="14"/>
      <c r="Q9" s="14"/>
      <c r="R9" s="14"/>
      <c r="S9" s="14"/>
      <c r="T9" s="14"/>
      <c r="U9" s="14"/>
      <c r="V9" s="14"/>
      <c r="W9" s="14"/>
      <c r="X9" s="14"/>
      <c r="Y9" s="14"/>
      <c r="Z9" s="14"/>
    </row>
    <row r="10">
      <c r="A10" s="64" t="s">
        <v>132</v>
      </c>
      <c r="B10" s="64" t="s">
        <v>135</v>
      </c>
      <c r="C10" s="65" t="s">
        <v>137</v>
      </c>
      <c r="D10" s="23">
        <v>45694.0</v>
      </c>
      <c r="E10" s="23" t="s">
        <v>138</v>
      </c>
      <c r="F10" s="12" t="s">
        <v>32</v>
      </c>
      <c r="G10" s="14"/>
      <c r="H10" s="14"/>
      <c r="I10" s="14"/>
      <c r="J10" s="14"/>
      <c r="K10" s="14"/>
      <c r="L10" s="14"/>
      <c r="M10" s="14"/>
      <c r="N10" s="14"/>
      <c r="O10" s="14"/>
      <c r="P10" s="14"/>
      <c r="Q10" s="14"/>
      <c r="R10" s="14"/>
      <c r="S10" s="14"/>
      <c r="T10" s="14"/>
      <c r="U10" s="14"/>
      <c r="V10" s="14"/>
      <c r="W10" s="14"/>
      <c r="X10" s="14"/>
      <c r="Y10" s="14"/>
      <c r="Z10" s="14"/>
    </row>
    <row r="11">
      <c r="A11" s="29" t="s">
        <v>146</v>
      </c>
      <c r="B11" s="29" t="s">
        <v>147</v>
      </c>
      <c r="C11" s="66" t="s">
        <v>148</v>
      </c>
      <c r="D11" s="23">
        <v>45722.0</v>
      </c>
      <c r="E11" s="23">
        <v>45753.0</v>
      </c>
      <c r="F11" s="12" t="s">
        <v>32</v>
      </c>
      <c r="G11" s="14"/>
      <c r="H11" s="14"/>
      <c r="I11" s="14"/>
      <c r="J11" s="14"/>
      <c r="K11" s="14"/>
      <c r="L11" s="14"/>
      <c r="M11" s="14"/>
      <c r="N11" s="14"/>
      <c r="O11" s="14"/>
      <c r="P11" s="14"/>
      <c r="Q11" s="14"/>
      <c r="R11" s="14"/>
      <c r="S11" s="14"/>
      <c r="T11" s="14"/>
      <c r="U11" s="14"/>
      <c r="V11" s="14"/>
      <c r="W11" s="14"/>
      <c r="X11" s="14"/>
      <c r="Y11" s="14"/>
      <c r="Z11" s="14"/>
    </row>
    <row r="12">
      <c r="A12" s="29" t="s">
        <v>158</v>
      </c>
      <c r="B12" s="29" t="s">
        <v>159</v>
      </c>
      <c r="C12" s="66" t="s">
        <v>160</v>
      </c>
      <c r="D12" s="23">
        <v>45844.0</v>
      </c>
      <c r="E12" s="23" t="s">
        <v>138</v>
      </c>
      <c r="F12" s="12" t="s">
        <v>32</v>
      </c>
      <c r="G12" s="14"/>
      <c r="H12" s="14"/>
      <c r="I12" s="14"/>
      <c r="J12" s="14"/>
      <c r="K12" s="14"/>
      <c r="L12" s="14"/>
      <c r="M12" s="14"/>
      <c r="N12" s="14"/>
      <c r="O12" s="14"/>
      <c r="P12" s="14"/>
      <c r="Q12" s="14"/>
      <c r="R12" s="14"/>
      <c r="S12" s="14"/>
      <c r="T12" s="14"/>
      <c r="U12" s="14"/>
      <c r="V12" s="14"/>
      <c r="W12" s="14"/>
      <c r="X12" s="14"/>
      <c r="Y12" s="14"/>
      <c r="Z12" s="14"/>
    </row>
    <row r="13">
      <c r="A13" s="29" t="s">
        <v>169</v>
      </c>
      <c r="B13" s="29" t="s">
        <v>170</v>
      </c>
      <c r="C13" s="66" t="s">
        <v>172</v>
      </c>
      <c r="D13" s="23">
        <v>45783.0</v>
      </c>
      <c r="E13" s="23">
        <v>45663.0</v>
      </c>
      <c r="F13" s="12" t="s">
        <v>32</v>
      </c>
      <c r="G13" s="14"/>
      <c r="H13" s="14"/>
      <c r="I13" s="14"/>
      <c r="J13" s="14"/>
      <c r="K13" s="14"/>
      <c r="L13" s="14"/>
      <c r="M13" s="14"/>
      <c r="N13" s="14"/>
      <c r="O13" s="14"/>
      <c r="P13" s="14"/>
      <c r="Q13" s="14"/>
      <c r="R13" s="14"/>
      <c r="S13" s="14"/>
      <c r="T13" s="14"/>
      <c r="U13" s="14"/>
      <c r="V13" s="14"/>
      <c r="W13" s="14"/>
      <c r="X13" s="14"/>
      <c r="Y13" s="14"/>
      <c r="Z13" s="14"/>
    </row>
    <row r="14">
      <c r="A14" s="29" t="s">
        <v>178</v>
      </c>
      <c r="B14" s="29" t="s">
        <v>179</v>
      </c>
      <c r="C14" s="66" t="s">
        <v>180</v>
      </c>
      <c r="D14" s="20">
        <v>45753.0</v>
      </c>
      <c r="E14" s="23">
        <v>45752.0</v>
      </c>
      <c r="F14" s="12" t="s">
        <v>32</v>
      </c>
      <c r="G14" s="14"/>
      <c r="H14" s="14"/>
      <c r="I14" s="14"/>
      <c r="J14" s="14"/>
      <c r="K14" s="14"/>
      <c r="L14" s="14"/>
      <c r="M14" s="14"/>
      <c r="N14" s="14"/>
      <c r="O14" s="14"/>
      <c r="P14" s="14"/>
      <c r="Q14" s="14"/>
      <c r="R14" s="14"/>
      <c r="S14" s="14"/>
      <c r="T14" s="14"/>
      <c r="U14" s="14"/>
      <c r="V14" s="14"/>
      <c r="W14" s="14"/>
      <c r="X14" s="14"/>
      <c r="Y14" s="14"/>
      <c r="Z14" s="14"/>
    </row>
    <row r="15">
      <c r="A15" s="29" t="s">
        <v>188</v>
      </c>
      <c r="B15" s="29" t="s">
        <v>190</v>
      </c>
      <c r="C15" s="66" t="s">
        <v>193</v>
      </c>
      <c r="D15" s="12" t="s">
        <v>194</v>
      </c>
      <c r="E15" s="23" t="s">
        <v>195</v>
      </c>
      <c r="F15" s="12" t="s">
        <v>32</v>
      </c>
      <c r="G15" s="14"/>
      <c r="H15" s="14"/>
      <c r="I15" s="14"/>
      <c r="J15" s="14"/>
      <c r="K15" s="14"/>
      <c r="L15" s="14"/>
      <c r="M15" s="14"/>
      <c r="N15" s="14"/>
      <c r="O15" s="14"/>
      <c r="P15" s="14"/>
      <c r="Q15" s="14"/>
      <c r="R15" s="14"/>
      <c r="S15" s="14"/>
      <c r="T15" s="14"/>
      <c r="U15" s="14"/>
      <c r="V15" s="14"/>
      <c r="W15" s="14"/>
      <c r="X15" s="14"/>
      <c r="Y15" s="14"/>
      <c r="Z15" s="14"/>
    </row>
    <row r="16">
      <c r="A16" s="29" t="s">
        <v>203</v>
      </c>
      <c r="B16" s="29" t="s">
        <v>205</v>
      </c>
      <c r="C16" s="66" t="s">
        <v>207</v>
      </c>
      <c r="D16" s="12" t="s">
        <v>208</v>
      </c>
      <c r="E16" s="23" t="s">
        <v>211</v>
      </c>
      <c r="F16" s="12" t="s">
        <v>32</v>
      </c>
      <c r="G16" s="14"/>
      <c r="H16" s="14"/>
      <c r="I16" s="14"/>
      <c r="J16" s="14"/>
      <c r="K16" s="14"/>
      <c r="L16" s="14"/>
      <c r="M16" s="14"/>
      <c r="N16" s="14"/>
      <c r="O16" s="14"/>
      <c r="P16" s="14"/>
      <c r="Q16" s="14"/>
      <c r="R16" s="14"/>
      <c r="S16" s="14"/>
      <c r="T16" s="14"/>
      <c r="U16" s="14"/>
      <c r="V16" s="14"/>
      <c r="W16" s="14"/>
      <c r="X16" s="14"/>
      <c r="Y16" s="14"/>
      <c r="Z16" s="14"/>
    </row>
    <row r="17">
      <c r="A17" s="29" t="s">
        <v>217</v>
      </c>
      <c r="B17" s="29" t="s">
        <v>218</v>
      </c>
      <c r="C17" s="66" t="s">
        <v>207</v>
      </c>
      <c r="D17" s="12" t="s">
        <v>211</v>
      </c>
      <c r="E17" s="23" t="s">
        <v>55</v>
      </c>
      <c r="F17" s="12" t="s">
        <v>32</v>
      </c>
      <c r="G17" s="14"/>
      <c r="H17" s="14"/>
      <c r="I17" s="14"/>
      <c r="J17" s="14"/>
      <c r="K17" s="14"/>
      <c r="L17" s="14"/>
      <c r="M17" s="14"/>
      <c r="N17" s="14"/>
      <c r="O17" s="14"/>
      <c r="P17" s="14"/>
      <c r="Q17" s="14"/>
      <c r="R17" s="14"/>
      <c r="S17" s="14"/>
      <c r="T17" s="14"/>
      <c r="U17" s="14"/>
      <c r="V17" s="14"/>
      <c r="W17" s="14"/>
      <c r="X17" s="14"/>
      <c r="Y17" s="14"/>
      <c r="Z17" s="14"/>
    </row>
    <row r="18">
      <c r="A18" s="64" t="s">
        <v>230</v>
      </c>
      <c r="B18" s="64" t="s">
        <v>231</v>
      </c>
      <c r="C18" s="65" t="s">
        <v>232</v>
      </c>
      <c r="D18" s="12" t="s">
        <v>54</v>
      </c>
      <c r="E18" s="23" t="s">
        <v>54</v>
      </c>
      <c r="F18" s="12" t="s">
        <v>32</v>
      </c>
      <c r="G18" s="14"/>
      <c r="H18" s="14"/>
      <c r="I18" s="14"/>
      <c r="J18" s="14"/>
      <c r="K18" s="14"/>
      <c r="L18" s="14"/>
      <c r="M18" s="14"/>
      <c r="N18" s="14"/>
      <c r="O18" s="14"/>
      <c r="P18" s="14"/>
      <c r="Q18" s="14"/>
      <c r="R18" s="14"/>
      <c r="S18" s="14"/>
      <c r="T18" s="14"/>
      <c r="U18" s="14"/>
      <c r="V18" s="14"/>
      <c r="W18" s="14"/>
      <c r="X18" s="14"/>
      <c r="Y18" s="14"/>
      <c r="Z18" s="14"/>
    </row>
    <row r="19">
      <c r="A19" s="29" t="s">
        <v>240</v>
      </c>
      <c r="B19" s="29" t="s">
        <v>242</v>
      </c>
      <c r="C19" s="66" t="s">
        <v>243</v>
      </c>
      <c r="D19" s="12" t="s">
        <v>55</v>
      </c>
      <c r="E19" s="23" t="s">
        <v>45</v>
      </c>
      <c r="F19" s="12" t="s">
        <v>32</v>
      </c>
      <c r="G19" s="14"/>
      <c r="H19" s="14"/>
      <c r="I19" s="14"/>
      <c r="J19" s="14"/>
      <c r="K19" s="14"/>
      <c r="L19" s="14"/>
      <c r="M19" s="14"/>
      <c r="N19" s="14"/>
      <c r="O19" s="14"/>
      <c r="P19" s="14"/>
      <c r="Q19" s="14"/>
      <c r="R19" s="14"/>
      <c r="S19" s="14"/>
      <c r="T19" s="14"/>
      <c r="U19" s="14"/>
      <c r="V19" s="14"/>
      <c r="W19" s="14"/>
      <c r="X19" s="14"/>
      <c r="Y19" s="14"/>
      <c r="Z19" s="14"/>
    </row>
    <row r="20">
      <c r="A20" s="29" t="s">
        <v>254</v>
      </c>
      <c r="B20" s="29" t="s">
        <v>255</v>
      </c>
      <c r="C20" s="66" t="s">
        <v>256</v>
      </c>
      <c r="D20" s="12" t="s">
        <v>45</v>
      </c>
      <c r="E20" s="23" t="s">
        <v>45</v>
      </c>
      <c r="F20" s="12" t="s">
        <v>32</v>
      </c>
      <c r="G20" s="14"/>
      <c r="H20" s="14"/>
      <c r="I20" s="14"/>
      <c r="J20" s="14"/>
      <c r="K20" s="14"/>
      <c r="L20" s="14"/>
      <c r="M20" s="14"/>
      <c r="N20" s="14"/>
      <c r="O20" s="14"/>
      <c r="P20" s="14"/>
      <c r="Q20" s="14"/>
      <c r="R20" s="14"/>
      <c r="S20" s="14"/>
      <c r="T20" s="14"/>
      <c r="U20" s="14"/>
      <c r="V20" s="14"/>
      <c r="W20" s="14"/>
      <c r="X20" s="14"/>
      <c r="Y20" s="14"/>
      <c r="Z20" s="14"/>
    </row>
    <row r="21">
      <c r="A21" s="29" t="s">
        <v>266</v>
      </c>
      <c r="B21" s="29" t="s">
        <v>268</v>
      </c>
      <c r="C21" s="66" t="s">
        <v>270</v>
      </c>
      <c r="D21" s="12" t="s">
        <v>54</v>
      </c>
      <c r="E21" s="23" t="s">
        <v>54</v>
      </c>
      <c r="F21" s="12" t="s">
        <v>32</v>
      </c>
      <c r="G21" s="14"/>
      <c r="H21" s="14"/>
      <c r="I21" s="14"/>
      <c r="J21" s="14"/>
      <c r="K21" s="14"/>
      <c r="L21" s="14"/>
      <c r="M21" s="14"/>
      <c r="N21" s="14"/>
      <c r="O21" s="14"/>
      <c r="P21" s="14"/>
      <c r="Q21" s="14"/>
      <c r="R21" s="14"/>
      <c r="S21" s="14"/>
      <c r="T21" s="14"/>
      <c r="U21" s="14"/>
      <c r="V21" s="14"/>
      <c r="W21" s="14"/>
      <c r="X21" s="14"/>
      <c r="Y21" s="14"/>
      <c r="Z21" s="14"/>
    </row>
    <row r="22">
      <c r="A22" s="77" t="s">
        <v>277</v>
      </c>
      <c r="B22" s="29" t="s">
        <v>278</v>
      </c>
      <c r="C22" s="66" t="s">
        <v>228</v>
      </c>
      <c r="D22" s="12" t="s">
        <v>54</v>
      </c>
      <c r="E22" s="23" t="s">
        <v>123</v>
      </c>
      <c r="F22" s="12" t="s">
        <v>32</v>
      </c>
      <c r="G22" s="14"/>
      <c r="H22" s="14"/>
      <c r="I22" s="14"/>
      <c r="J22" s="14"/>
      <c r="K22" s="14"/>
      <c r="L22" s="14"/>
      <c r="M22" s="14"/>
      <c r="N22" s="14"/>
      <c r="O22" s="14"/>
      <c r="P22" s="14"/>
      <c r="Q22" s="14"/>
      <c r="R22" s="14"/>
      <c r="S22" s="14"/>
      <c r="T22" s="14"/>
      <c r="U22" s="14"/>
      <c r="V22" s="14"/>
      <c r="W22" s="14"/>
      <c r="X22" s="14"/>
      <c r="Y22" s="14"/>
      <c r="Z22" s="14"/>
    </row>
    <row r="23">
      <c r="A23" s="77" t="s">
        <v>296</v>
      </c>
      <c r="B23" s="29" t="s">
        <v>297</v>
      </c>
      <c r="C23" s="66" t="s">
        <v>228</v>
      </c>
      <c r="D23" s="12" t="s">
        <v>54</v>
      </c>
      <c r="E23" s="23" t="s">
        <v>123</v>
      </c>
      <c r="F23" s="12" t="s">
        <v>32</v>
      </c>
      <c r="G23" s="14"/>
      <c r="H23" s="14"/>
      <c r="I23" s="14"/>
      <c r="J23" s="14"/>
      <c r="K23" s="14"/>
      <c r="L23" s="14"/>
      <c r="M23" s="14"/>
      <c r="N23" s="14"/>
      <c r="O23" s="14"/>
      <c r="P23" s="14"/>
      <c r="Q23" s="14"/>
      <c r="R23" s="14"/>
      <c r="S23" s="14"/>
      <c r="T23" s="14"/>
      <c r="U23" s="14"/>
      <c r="V23" s="14"/>
      <c r="W23" s="14"/>
      <c r="X23" s="14"/>
      <c r="Y23" s="14"/>
      <c r="Z23" s="14"/>
    </row>
    <row r="24">
      <c r="A24" s="29" t="s">
        <v>308</v>
      </c>
      <c r="B24" s="29" t="s">
        <v>309</v>
      </c>
      <c r="C24" s="66" t="s">
        <v>310</v>
      </c>
      <c r="D24" s="12" t="s">
        <v>54</v>
      </c>
      <c r="E24" s="23" t="s">
        <v>123</v>
      </c>
      <c r="F24" s="12" t="s">
        <v>32</v>
      </c>
      <c r="G24" s="14"/>
      <c r="H24" s="14"/>
      <c r="I24" s="14"/>
      <c r="J24" s="14"/>
      <c r="K24" s="14"/>
      <c r="L24" s="14"/>
      <c r="M24" s="14"/>
      <c r="N24" s="14"/>
      <c r="O24" s="14"/>
      <c r="P24" s="14"/>
      <c r="Q24" s="14"/>
      <c r="R24" s="14"/>
      <c r="S24" s="14"/>
      <c r="T24" s="14"/>
      <c r="U24" s="14"/>
      <c r="V24" s="14"/>
      <c r="W24" s="14"/>
      <c r="X24" s="14"/>
      <c r="Y24" s="14"/>
      <c r="Z24" s="14"/>
    </row>
    <row r="25">
      <c r="A25" s="29" t="s">
        <v>319</v>
      </c>
      <c r="B25" s="29" t="s">
        <v>321</v>
      </c>
      <c r="C25" s="66" t="s">
        <v>243</v>
      </c>
      <c r="D25" s="12" t="s">
        <v>123</v>
      </c>
      <c r="E25" s="23" t="s">
        <v>322</v>
      </c>
      <c r="F25" s="12" t="s">
        <v>32</v>
      </c>
      <c r="G25" s="14"/>
      <c r="H25" s="14"/>
      <c r="I25" s="14"/>
      <c r="J25" s="14"/>
      <c r="K25" s="14"/>
      <c r="L25" s="14"/>
      <c r="M25" s="14"/>
      <c r="N25" s="14"/>
      <c r="O25" s="14"/>
      <c r="P25" s="14"/>
      <c r="Q25" s="14"/>
      <c r="R25" s="14"/>
      <c r="S25" s="14"/>
      <c r="T25" s="14"/>
      <c r="U25" s="14"/>
      <c r="V25" s="14"/>
      <c r="W25" s="14"/>
      <c r="X25" s="14"/>
      <c r="Y25" s="14"/>
      <c r="Z25" s="14"/>
    </row>
    <row r="26">
      <c r="A26" s="29" t="s">
        <v>327</v>
      </c>
      <c r="B26" s="29" t="s">
        <v>329</v>
      </c>
      <c r="C26" s="66" t="s">
        <v>243</v>
      </c>
      <c r="D26" s="12" t="s">
        <v>123</v>
      </c>
      <c r="E26" s="23" t="s">
        <v>322</v>
      </c>
      <c r="F26" s="12" t="s">
        <v>32</v>
      </c>
      <c r="G26" s="14"/>
      <c r="H26" s="14"/>
      <c r="I26" s="14"/>
      <c r="J26" s="14"/>
      <c r="K26" s="14"/>
      <c r="L26" s="14"/>
      <c r="M26" s="14"/>
      <c r="N26" s="14"/>
      <c r="O26" s="14"/>
      <c r="P26" s="14"/>
      <c r="Q26" s="14"/>
      <c r="R26" s="14"/>
      <c r="S26" s="14"/>
      <c r="T26" s="14"/>
      <c r="U26" s="14"/>
      <c r="V26" s="14"/>
      <c r="W26" s="14"/>
      <c r="X26" s="14"/>
      <c r="Y26" s="14"/>
      <c r="Z26" s="14"/>
    </row>
    <row r="27">
      <c r="A27" s="29" t="s">
        <v>341</v>
      </c>
      <c r="B27" s="29" t="s">
        <v>342</v>
      </c>
      <c r="C27" s="66" t="s">
        <v>243</v>
      </c>
      <c r="D27" s="12" t="s">
        <v>123</v>
      </c>
      <c r="E27" s="23" t="s">
        <v>322</v>
      </c>
      <c r="F27" s="12" t="s">
        <v>32</v>
      </c>
      <c r="G27" s="14"/>
      <c r="H27" s="14"/>
      <c r="I27" s="14"/>
      <c r="J27" s="14"/>
      <c r="K27" s="14"/>
      <c r="L27" s="14"/>
      <c r="M27" s="14"/>
      <c r="N27" s="14"/>
      <c r="O27" s="14"/>
      <c r="P27" s="14"/>
      <c r="Q27" s="14"/>
      <c r="R27" s="14"/>
      <c r="S27" s="14"/>
      <c r="T27" s="14"/>
      <c r="U27" s="14"/>
      <c r="V27" s="14"/>
      <c r="W27" s="14"/>
      <c r="X27" s="14"/>
      <c r="Y27" s="14"/>
      <c r="Z27" s="14"/>
    </row>
    <row r="28">
      <c r="A28" s="29" t="s">
        <v>353</v>
      </c>
      <c r="B28" s="29" t="s">
        <v>355</v>
      </c>
      <c r="C28" s="66" t="s">
        <v>356</v>
      </c>
      <c r="D28" s="12" t="s">
        <v>194</v>
      </c>
      <c r="E28" s="23" t="s">
        <v>138</v>
      </c>
      <c r="F28" s="12" t="s">
        <v>32</v>
      </c>
      <c r="G28" s="14"/>
      <c r="H28" s="14"/>
      <c r="I28" s="14"/>
      <c r="J28" s="14"/>
      <c r="K28" s="14"/>
      <c r="L28" s="14"/>
      <c r="M28" s="14"/>
      <c r="N28" s="14"/>
      <c r="O28" s="14"/>
      <c r="P28" s="14"/>
      <c r="Q28" s="14"/>
      <c r="R28" s="14"/>
      <c r="S28" s="14"/>
      <c r="T28" s="14"/>
      <c r="U28" s="14"/>
      <c r="V28" s="14"/>
      <c r="W28" s="14"/>
      <c r="X28" s="14"/>
      <c r="Y28" s="14"/>
      <c r="Z28" s="14"/>
    </row>
    <row r="29">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c r="A30" s="14" t="s">
        <v>386</v>
      </c>
      <c r="B30" s="14" t="s">
        <v>388</v>
      </c>
      <c r="C30" s="17" t="s">
        <v>25</v>
      </c>
      <c r="D30" s="20">
        <v>45783.0</v>
      </c>
      <c r="E30" s="23">
        <v>45721.0</v>
      </c>
      <c r="F30" s="12" t="s">
        <v>390</v>
      </c>
      <c r="G30" s="14"/>
      <c r="H30" s="14"/>
      <c r="I30" s="14"/>
      <c r="J30" s="14"/>
      <c r="K30" s="14"/>
      <c r="L30" s="14"/>
      <c r="M30" s="14"/>
      <c r="N30" s="14"/>
      <c r="O30" s="14"/>
      <c r="P30" s="14"/>
      <c r="Q30" s="14"/>
      <c r="R30" s="14"/>
      <c r="S30" s="14"/>
      <c r="T30" s="14"/>
      <c r="U30" s="14"/>
      <c r="V30" s="14"/>
      <c r="W30" s="14"/>
      <c r="X30" s="14"/>
      <c r="Y30" s="14"/>
      <c r="Z30" s="14"/>
    </row>
    <row r="31">
      <c r="A31" s="108" t="s">
        <v>396</v>
      </c>
      <c r="B31" s="108" t="s">
        <v>398</v>
      </c>
      <c r="C31" s="110" t="s">
        <v>400</v>
      </c>
      <c r="D31" s="112">
        <v>45783.0</v>
      </c>
      <c r="E31" s="114"/>
      <c r="F31" s="115" t="s">
        <v>390</v>
      </c>
      <c r="G31" s="114"/>
      <c r="H31" s="114"/>
      <c r="I31" s="114"/>
      <c r="J31" s="114"/>
      <c r="K31" s="114"/>
      <c r="L31" s="114"/>
      <c r="M31" s="114"/>
      <c r="N31" s="114"/>
      <c r="O31" s="114"/>
      <c r="P31" s="114"/>
      <c r="Q31" s="114"/>
      <c r="R31" s="114"/>
      <c r="S31" s="114"/>
      <c r="T31" s="114"/>
      <c r="U31" s="114"/>
      <c r="V31" s="114"/>
      <c r="W31" s="114"/>
      <c r="X31" s="114"/>
      <c r="Y31" s="114"/>
      <c r="Z31" s="114"/>
    </row>
    <row r="32">
      <c r="A32" s="77" t="s">
        <v>422</v>
      </c>
      <c r="B32" s="77" t="s">
        <v>423</v>
      </c>
      <c r="C32" s="119" t="s">
        <v>243</v>
      </c>
      <c r="D32" s="23">
        <v>45814.0</v>
      </c>
      <c r="E32" s="23">
        <v>45814.0</v>
      </c>
      <c r="F32" s="12" t="s">
        <v>390</v>
      </c>
      <c r="G32" s="14"/>
      <c r="H32" s="14"/>
      <c r="I32" s="14"/>
      <c r="J32" s="14"/>
      <c r="K32" s="14"/>
      <c r="L32" s="14"/>
      <c r="M32" s="14"/>
      <c r="N32" s="14"/>
      <c r="O32" s="14"/>
      <c r="P32" s="14"/>
      <c r="Q32" s="14"/>
      <c r="R32" s="14"/>
      <c r="S32" s="14"/>
      <c r="T32" s="14"/>
      <c r="U32" s="14"/>
      <c r="V32" s="14"/>
      <c r="W32" s="14"/>
      <c r="X32" s="14"/>
      <c r="Y32" s="14"/>
      <c r="Z32" s="14"/>
    </row>
    <row r="33">
      <c r="A33" s="77" t="s">
        <v>442</v>
      </c>
      <c r="B33" s="77" t="s">
        <v>443</v>
      </c>
      <c r="C33" s="119" t="s">
        <v>243</v>
      </c>
      <c r="D33" s="23">
        <v>45814.0</v>
      </c>
      <c r="E33" s="23">
        <v>45814.0</v>
      </c>
      <c r="F33" s="12" t="s">
        <v>390</v>
      </c>
      <c r="G33" s="14"/>
      <c r="H33" s="14"/>
      <c r="I33" s="14"/>
      <c r="J33" s="14"/>
      <c r="K33" s="14"/>
      <c r="L33" s="14"/>
      <c r="M33" s="14"/>
      <c r="N33" s="14"/>
      <c r="O33" s="14"/>
      <c r="P33" s="14"/>
      <c r="Q33" s="14"/>
      <c r="R33" s="14"/>
      <c r="S33" s="14"/>
      <c r="T33" s="14"/>
      <c r="U33" s="14"/>
      <c r="V33" s="14"/>
      <c r="W33" s="14"/>
      <c r="X33" s="14"/>
      <c r="Y33" s="14"/>
      <c r="Z33" s="14"/>
    </row>
    <row r="34">
      <c r="A34" s="77" t="s">
        <v>458</v>
      </c>
      <c r="B34" s="77" t="s">
        <v>459</v>
      </c>
      <c r="C34" s="119" t="s">
        <v>460</v>
      </c>
      <c r="D34" s="23">
        <v>45814.0</v>
      </c>
      <c r="E34" s="23">
        <v>45753.0</v>
      </c>
      <c r="F34" s="12" t="s">
        <v>390</v>
      </c>
      <c r="G34" s="14"/>
      <c r="H34" s="14"/>
      <c r="I34" s="14"/>
      <c r="J34" s="14"/>
      <c r="K34" s="14"/>
      <c r="L34" s="14"/>
      <c r="M34" s="14"/>
      <c r="N34" s="14"/>
      <c r="O34" s="14"/>
      <c r="P34" s="14"/>
      <c r="Q34" s="14"/>
      <c r="R34" s="14"/>
      <c r="S34" s="14"/>
      <c r="T34" s="14"/>
      <c r="U34" s="14"/>
      <c r="V34" s="14"/>
      <c r="W34" s="14"/>
      <c r="X34" s="14"/>
      <c r="Y34" s="14"/>
      <c r="Z34" s="14"/>
    </row>
    <row r="35">
      <c r="A35" s="77" t="s">
        <v>472</v>
      </c>
      <c r="B35" s="77" t="s">
        <v>473</v>
      </c>
      <c r="C35" s="119" t="s">
        <v>460</v>
      </c>
      <c r="D35" s="23">
        <v>45814.0</v>
      </c>
      <c r="E35" s="23">
        <v>45753.0</v>
      </c>
      <c r="F35" s="12" t="s">
        <v>390</v>
      </c>
      <c r="G35" s="14"/>
      <c r="H35" s="14"/>
      <c r="I35" s="14"/>
      <c r="J35" s="14"/>
      <c r="K35" s="14"/>
      <c r="L35" s="14"/>
      <c r="M35" s="14"/>
      <c r="N35" s="14"/>
      <c r="O35" s="14"/>
      <c r="P35" s="14"/>
      <c r="Q35" s="14"/>
      <c r="R35" s="14"/>
      <c r="S35" s="14"/>
      <c r="T35" s="14"/>
      <c r="U35" s="14"/>
      <c r="V35" s="14"/>
      <c r="W35" s="14"/>
      <c r="X35" s="14"/>
      <c r="Y35" s="14"/>
      <c r="Z35" s="14"/>
    </row>
    <row r="36">
      <c r="A36" s="77" t="s">
        <v>484</v>
      </c>
      <c r="B36" s="77" t="s">
        <v>485</v>
      </c>
      <c r="C36" s="119" t="s">
        <v>487</v>
      </c>
      <c r="D36" s="23">
        <v>45844.0</v>
      </c>
      <c r="E36" s="23">
        <v>45814.0</v>
      </c>
      <c r="F36" s="12" t="s">
        <v>390</v>
      </c>
      <c r="G36" s="14"/>
      <c r="H36" s="14"/>
      <c r="I36" s="14"/>
      <c r="J36" s="14"/>
      <c r="K36" s="14"/>
      <c r="L36" s="14"/>
      <c r="M36" s="14"/>
      <c r="N36" s="14"/>
      <c r="O36" s="14"/>
      <c r="P36" s="14"/>
      <c r="Q36" s="14"/>
      <c r="R36" s="14"/>
      <c r="S36" s="14"/>
      <c r="T36" s="14"/>
      <c r="U36" s="14"/>
      <c r="V36" s="14"/>
      <c r="W36" s="14"/>
      <c r="X36" s="14"/>
      <c r="Y36" s="14"/>
      <c r="Z36" s="14"/>
    </row>
    <row r="37">
      <c r="A37" s="77" t="s">
        <v>501</v>
      </c>
      <c r="B37" s="77" t="s">
        <v>502</v>
      </c>
      <c r="C37" s="119" t="s">
        <v>504</v>
      </c>
      <c r="D37" s="23">
        <v>45844.0</v>
      </c>
      <c r="E37" s="23">
        <v>45844.0</v>
      </c>
      <c r="F37" s="12" t="s">
        <v>390</v>
      </c>
      <c r="G37" s="14"/>
      <c r="H37" s="14"/>
      <c r="I37" s="14"/>
      <c r="J37" s="14"/>
      <c r="K37" s="14"/>
      <c r="L37" s="14"/>
      <c r="M37" s="14"/>
      <c r="N37" s="14"/>
      <c r="O37" s="14"/>
      <c r="P37" s="14"/>
      <c r="Q37" s="14"/>
      <c r="R37" s="14"/>
      <c r="S37" s="14"/>
      <c r="T37" s="14"/>
      <c r="U37" s="14"/>
      <c r="V37" s="14"/>
      <c r="W37" s="14"/>
      <c r="X37" s="14"/>
      <c r="Y37" s="14"/>
      <c r="Z37" s="14"/>
    </row>
    <row r="38">
      <c r="A38" s="77" t="s">
        <v>517</v>
      </c>
      <c r="B38" s="77" t="s">
        <v>518</v>
      </c>
      <c r="C38" s="119" t="s">
        <v>504</v>
      </c>
      <c r="D38" s="23">
        <v>45844.0</v>
      </c>
      <c r="E38" s="23">
        <v>45844.0</v>
      </c>
      <c r="F38" s="12" t="s">
        <v>390</v>
      </c>
      <c r="G38" s="14"/>
      <c r="H38" s="14"/>
      <c r="I38" s="14"/>
      <c r="J38" s="14"/>
      <c r="K38" s="14"/>
      <c r="L38" s="14"/>
      <c r="M38" s="14"/>
      <c r="N38" s="14"/>
      <c r="O38" s="14"/>
      <c r="P38" s="14"/>
      <c r="Q38" s="14"/>
      <c r="R38" s="14"/>
      <c r="S38" s="14"/>
      <c r="T38" s="14"/>
      <c r="U38" s="14"/>
      <c r="V38" s="14"/>
      <c r="W38" s="14"/>
      <c r="X38" s="14"/>
      <c r="Y38" s="14"/>
      <c r="Z38" s="14"/>
    </row>
    <row r="39">
      <c r="A39" s="77" t="s">
        <v>532</v>
      </c>
      <c r="B39" s="77" t="s">
        <v>533</v>
      </c>
      <c r="C39" s="119" t="s">
        <v>535</v>
      </c>
      <c r="D39" s="23">
        <v>45844.0</v>
      </c>
      <c r="E39" s="23">
        <v>45875.0</v>
      </c>
      <c r="F39" s="12" t="s">
        <v>390</v>
      </c>
      <c r="G39" s="14"/>
      <c r="H39" s="14"/>
      <c r="I39" s="14"/>
      <c r="J39" s="14"/>
      <c r="K39" s="14"/>
      <c r="L39" s="14"/>
      <c r="M39" s="14"/>
      <c r="N39" s="14"/>
      <c r="O39" s="14"/>
      <c r="P39" s="14"/>
      <c r="Q39" s="14"/>
      <c r="R39" s="14"/>
      <c r="S39" s="14"/>
      <c r="T39" s="14"/>
      <c r="U39" s="14"/>
      <c r="V39" s="14"/>
      <c r="W39" s="14"/>
      <c r="X39" s="14"/>
      <c r="Y39" s="14"/>
      <c r="Z39" s="14"/>
    </row>
    <row r="40">
      <c r="A40" s="77" t="s">
        <v>551</v>
      </c>
      <c r="B40" s="77" t="s">
        <v>552</v>
      </c>
      <c r="C40" s="119" t="s">
        <v>535</v>
      </c>
      <c r="D40" s="23">
        <v>45844.0</v>
      </c>
      <c r="E40" s="23">
        <v>45875.0</v>
      </c>
      <c r="F40" s="12" t="s">
        <v>390</v>
      </c>
      <c r="G40" s="14"/>
      <c r="H40" s="14"/>
      <c r="I40" s="14"/>
      <c r="J40" s="14"/>
      <c r="K40" s="14"/>
      <c r="L40" s="14"/>
      <c r="M40" s="14"/>
      <c r="N40" s="14"/>
      <c r="O40" s="14"/>
      <c r="P40" s="14"/>
      <c r="Q40" s="14"/>
      <c r="R40" s="14"/>
      <c r="S40" s="14"/>
      <c r="T40" s="14"/>
      <c r="U40" s="14"/>
      <c r="V40" s="14"/>
      <c r="W40" s="14"/>
      <c r="X40" s="14"/>
      <c r="Y40" s="14"/>
      <c r="Z40" s="14"/>
    </row>
    <row r="41">
      <c r="A41" s="125" t="s">
        <v>567</v>
      </c>
      <c r="B41" s="125" t="s">
        <v>569</v>
      </c>
      <c r="C41" s="119" t="s">
        <v>571</v>
      </c>
      <c r="D41" s="127">
        <v>45694.0</v>
      </c>
      <c r="E41" s="23">
        <v>45753.0</v>
      </c>
      <c r="F41" s="12" t="s">
        <v>390</v>
      </c>
      <c r="G41" s="14"/>
      <c r="H41" s="14"/>
      <c r="I41" s="14"/>
      <c r="J41" s="14"/>
      <c r="K41" s="14"/>
      <c r="L41" s="14"/>
      <c r="M41" s="14"/>
      <c r="N41" s="14"/>
      <c r="O41" s="14"/>
      <c r="P41" s="14"/>
      <c r="Q41" s="14"/>
      <c r="R41" s="14"/>
      <c r="S41" s="14"/>
      <c r="T41" s="14"/>
      <c r="U41" s="14"/>
      <c r="V41" s="14"/>
      <c r="W41" s="14"/>
      <c r="X41" s="14"/>
      <c r="Y41" s="14"/>
      <c r="Z41" s="14"/>
    </row>
    <row r="42">
      <c r="A42" s="77" t="s">
        <v>583</v>
      </c>
      <c r="B42" s="77" t="s">
        <v>584</v>
      </c>
      <c r="C42" s="119" t="s">
        <v>586</v>
      </c>
      <c r="D42" s="128" t="s">
        <v>194</v>
      </c>
      <c r="E42" s="23" t="s">
        <v>195</v>
      </c>
      <c r="F42" s="12" t="s">
        <v>390</v>
      </c>
      <c r="G42" s="14"/>
      <c r="H42" s="14"/>
      <c r="I42" s="14"/>
      <c r="J42" s="14"/>
      <c r="K42" s="14"/>
      <c r="L42" s="14"/>
      <c r="M42" s="14"/>
      <c r="N42" s="14"/>
      <c r="O42" s="14"/>
      <c r="P42" s="14"/>
      <c r="Q42" s="14"/>
      <c r="R42" s="14"/>
      <c r="S42" s="14"/>
      <c r="T42" s="14"/>
      <c r="U42" s="14"/>
      <c r="V42" s="14"/>
      <c r="W42" s="14"/>
      <c r="X42" s="14"/>
      <c r="Y42" s="14"/>
      <c r="Z42" s="14"/>
    </row>
    <row r="43">
      <c r="A43" s="77" t="s">
        <v>600</v>
      </c>
      <c r="B43" s="77" t="s">
        <v>601</v>
      </c>
      <c r="C43" s="119" t="s">
        <v>586</v>
      </c>
      <c r="D43" s="128" t="s">
        <v>194</v>
      </c>
      <c r="E43" s="23" t="s">
        <v>195</v>
      </c>
      <c r="F43" s="12" t="s">
        <v>390</v>
      </c>
      <c r="G43" s="14"/>
      <c r="H43" s="14"/>
      <c r="I43" s="14"/>
      <c r="J43" s="14"/>
      <c r="K43" s="14"/>
      <c r="L43" s="14"/>
      <c r="M43" s="14"/>
      <c r="N43" s="14"/>
      <c r="O43" s="14"/>
      <c r="P43" s="14"/>
      <c r="Q43" s="14"/>
      <c r="R43" s="14"/>
      <c r="S43" s="14"/>
      <c r="T43" s="14"/>
      <c r="U43" s="14"/>
      <c r="V43" s="14"/>
      <c r="W43" s="14"/>
      <c r="X43" s="14"/>
      <c r="Y43" s="14"/>
      <c r="Z43" s="14"/>
    </row>
    <row r="44">
      <c r="A44" s="77" t="s">
        <v>616</v>
      </c>
      <c r="B44" s="77" t="s">
        <v>618</v>
      </c>
      <c r="C44" s="119" t="s">
        <v>619</v>
      </c>
      <c r="D44" s="128" t="s">
        <v>138</v>
      </c>
      <c r="E44" s="23" t="s">
        <v>195</v>
      </c>
      <c r="F44" s="12" t="s">
        <v>390</v>
      </c>
      <c r="G44" s="14"/>
      <c r="H44" s="14"/>
      <c r="I44" s="14"/>
      <c r="J44" s="14"/>
      <c r="K44" s="14"/>
      <c r="L44" s="14"/>
      <c r="M44" s="14"/>
      <c r="N44" s="14"/>
      <c r="O44" s="14"/>
      <c r="P44" s="14"/>
      <c r="Q44" s="14"/>
      <c r="R44" s="14"/>
      <c r="S44" s="14"/>
      <c r="T44" s="14"/>
      <c r="U44" s="14"/>
      <c r="V44" s="14"/>
      <c r="W44" s="14"/>
      <c r="X44" s="14"/>
      <c r="Y44" s="14"/>
      <c r="Z44" s="14"/>
    </row>
    <row r="45">
      <c r="A45" s="77" t="s">
        <v>630</v>
      </c>
      <c r="B45" s="77" t="s">
        <v>632</v>
      </c>
      <c r="C45" s="119" t="s">
        <v>619</v>
      </c>
      <c r="D45" s="128" t="s">
        <v>138</v>
      </c>
      <c r="E45" s="23" t="s">
        <v>195</v>
      </c>
      <c r="F45" s="12" t="s">
        <v>390</v>
      </c>
      <c r="G45" s="14"/>
      <c r="H45" s="14"/>
      <c r="I45" s="14"/>
      <c r="J45" s="14"/>
      <c r="K45" s="14"/>
      <c r="L45" s="14"/>
      <c r="M45" s="14"/>
      <c r="N45" s="14"/>
      <c r="O45" s="14"/>
      <c r="P45" s="14"/>
      <c r="Q45" s="14"/>
      <c r="R45" s="14"/>
      <c r="S45" s="14"/>
      <c r="T45" s="14"/>
      <c r="U45" s="14"/>
      <c r="V45" s="14"/>
      <c r="W45" s="14"/>
      <c r="X45" s="14"/>
      <c r="Y45" s="14"/>
      <c r="Z45" s="14"/>
    </row>
    <row r="46">
      <c r="A46" s="77" t="s">
        <v>642</v>
      </c>
      <c r="B46" s="77" t="s">
        <v>643</v>
      </c>
      <c r="C46" s="119" t="s">
        <v>644</v>
      </c>
      <c r="D46" s="128" t="s">
        <v>138</v>
      </c>
      <c r="E46" s="23">
        <v>45663.0</v>
      </c>
      <c r="F46" s="12" t="s">
        <v>390</v>
      </c>
      <c r="G46" s="14"/>
      <c r="H46" s="14"/>
      <c r="I46" s="14"/>
      <c r="J46" s="14"/>
      <c r="K46" s="14"/>
      <c r="L46" s="14"/>
      <c r="M46" s="14"/>
      <c r="N46" s="14"/>
      <c r="O46" s="14"/>
      <c r="P46" s="14"/>
      <c r="Q46" s="14"/>
      <c r="R46" s="14"/>
      <c r="S46" s="14"/>
      <c r="T46" s="14"/>
      <c r="U46" s="14"/>
      <c r="V46" s="14"/>
      <c r="W46" s="14"/>
      <c r="X46" s="14"/>
      <c r="Y46" s="14"/>
      <c r="Z46" s="14"/>
    </row>
    <row r="47">
      <c r="A47" s="77" t="s">
        <v>657</v>
      </c>
      <c r="B47" s="77" t="s">
        <v>660</v>
      </c>
      <c r="C47" s="119" t="s">
        <v>644</v>
      </c>
      <c r="D47" s="128" t="s">
        <v>138</v>
      </c>
      <c r="E47" s="23">
        <v>45663.0</v>
      </c>
      <c r="F47" s="12" t="s">
        <v>390</v>
      </c>
      <c r="G47" s="14"/>
      <c r="H47" s="14"/>
      <c r="I47" s="14"/>
      <c r="J47" s="14"/>
      <c r="K47" s="14"/>
      <c r="L47" s="14"/>
      <c r="M47" s="14"/>
      <c r="N47" s="14"/>
      <c r="O47" s="14"/>
      <c r="P47" s="14"/>
      <c r="Q47" s="14"/>
      <c r="R47" s="14"/>
      <c r="S47" s="14"/>
      <c r="T47" s="14"/>
      <c r="U47" s="14"/>
      <c r="V47" s="14"/>
      <c r="W47" s="14"/>
      <c r="X47" s="14"/>
      <c r="Y47" s="14"/>
      <c r="Z47" s="14"/>
    </row>
    <row r="48">
      <c r="A48" s="77" t="s">
        <v>673</v>
      </c>
      <c r="B48" s="77" t="s">
        <v>674</v>
      </c>
      <c r="C48" s="119" t="s">
        <v>644</v>
      </c>
      <c r="D48" s="128" t="s">
        <v>138</v>
      </c>
      <c r="E48" s="23">
        <v>45663.0</v>
      </c>
      <c r="F48" s="12" t="s">
        <v>390</v>
      </c>
      <c r="G48" s="14"/>
      <c r="H48" s="14"/>
      <c r="I48" s="14"/>
      <c r="J48" s="14"/>
      <c r="K48" s="14"/>
      <c r="L48" s="14"/>
      <c r="M48" s="14"/>
      <c r="N48" s="14"/>
      <c r="O48" s="14"/>
      <c r="P48" s="14"/>
      <c r="Q48" s="14"/>
      <c r="R48" s="14"/>
      <c r="S48" s="14"/>
      <c r="T48" s="14"/>
      <c r="U48" s="14"/>
      <c r="V48" s="14"/>
      <c r="W48" s="14"/>
      <c r="X48" s="14"/>
      <c r="Y48" s="14"/>
      <c r="Z48" s="14"/>
    </row>
    <row r="49">
      <c r="A49" s="77" t="s">
        <v>687</v>
      </c>
      <c r="B49" s="77" t="s">
        <v>689</v>
      </c>
      <c r="C49" s="119" t="s">
        <v>693</v>
      </c>
      <c r="D49" s="128" t="s">
        <v>138</v>
      </c>
      <c r="E49" s="23">
        <v>45663.0</v>
      </c>
      <c r="F49" s="12" t="s">
        <v>390</v>
      </c>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23"/>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22.63"/>
    <col customWidth="1" min="3" max="3" width="21.5"/>
    <col customWidth="1" min="4" max="4" width="19.63"/>
    <col customWidth="1" min="5" max="6" width="17.88"/>
    <col customWidth="1" min="7" max="7" width="22.5"/>
    <col customWidth="1" min="8" max="8" width="17.88"/>
    <col customWidth="1" min="9" max="9" width="19.88"/>
    <col customWidth="1" min="10" max="10" width="14.25"/>
    <col customWidth="1" min="11" max="11" width="12.0"/>
    <col customWidth="1" min="12" max="12" width="33.25"/>
    <col customWidth="1" min="15" max="15" width="18.25"/>
    <col customWidth="1" min="16" max="16" width="121.75"/>
  </cols>
  <sheetData>
    <row r="1">
      <c r="A1" s="3" t="s">
        <v>2</v>
      </c>
      <c r="B1" s="5"/>
      <c r="C1" s="5"/>
      <c r="D1" s="5"/>
      <c r="E1" s="5"/>
      <c r="F1" s="5"/>
      <c r="G1" s="5"/>
      <c r="H1" s="5"/>
      <c r="I1" s="5"/>
      <c r="J1" s="5"/>
      <c r="K1" s="5"/>
      <c r="L1" s="5"/>
      <c r="M1" s="5"/>
      <c r="N1" s="5"/>
      <c r="O1" s="5"/>
      <c r="P1" s="7"/>
    </row>
    <row r="2">
      <c r="A2" s="13" t="s">
        <v>15</v>
      </c>
      <c r="B2" s="15" t="s">
        <v>7</v>
      </c>
      <c r="C2" s="18" t="s">
        <v>26</v>
      </c>
      <c r="D2" s="21" t="s">
        <v>27</v>
      </c>
      <c r="E2" s="21" t="s">
        <v>29</v>
      </c>
      <c r="F2" s="24" t="s">
        <v>30</v>
      </c>
      <c r="G2" s="24" t="s">
        <v>12</v>
      </c>
      <c r="H2" s="27" t="s">
        <v>33</v>
      </c>
      <c r="I2" s="28" t="s">
        <v>34</v>
      </c>
      <c r="J2" s="27" t="s">
        <v>14</v>
      </c>
      <c r="K2" s="30" t="s">
        <v>16</v>
      </c>
      <c r="L2" s="30" t="s">
        <v>35</v>
      </c>
      <c r="M2" s="30" t="s">
        <v>18</v>
      </c>
      <c r="N2" s="30" t="s">
        <v>19</v>
      </c>
      <c r="O2" s="30" t="s">
        <v>20</v>
      </c>
      <c r="P2" s="30" t="s">
        <v>21</v>
      </c>
    </row>
    <row r="3">
      <c r="A3" s="33">
        <v>1.0</v>
      </c>
      <c r="B3" s="29" t="s">
        <v>38</v>
      </c>
      <c r="C3" s="29"/>
      <c r="D3" s="29" t="s">
        <v>40</v>
      </c>
      <c r="E3" s="29" t="s">
        <v>42</v>
      </c>
      <c r="F3" s="29" t="s">
        <v>43</v>
      </c>
      <c r="G3" s="29" t="s">
        <v>44</v>
      </c>
      <c r="H3" s="26"/>
      <c r="I3" s="26"/>
      <c r="J3" s="26"/>
      <c r="K3" s="26"/>
      <c r="L3" s="26"/>
      <c r="M3" s="26"/>
      <c r="N3" s="26"/>
      <c r="O3" s="26"/>
      <c r="P3" s="26"/>
    </row>
    <row r="4">
      <c r="A4" s="33">
        <v>2.0</v>
      </c>
      <c r="B4" s="29" t="s">
        <v>48</v>
      </c>
      <c r="C4" s="29"/>
      <c r="D4" s="29" t="s">
        <v>40</v>
      </c>
      <c r="E4" s="29" t="s">
        <v>49</v>
      </c>
      <c r="F4" s="29" t="s">
        <v>50</v>
      </c>
      <c r="G4" s="29" t="s">
        <v>44</v>
      </c>
      <c r="H4" s="26"/>
      <c r="I4" s="26"/>
      <c r="J4" s="26"/>
      <c r="K4" s="26"/>
      <c r="L4" s="26"/>
      <c r="M4" s="26"/>
      <c r="N4" s="26"/>
      <c r="O4" s="26"/>
      <c r="P4" s="26"/>
    </row>
    <row r="5">
      <c r="A5" s="33">
        <v>3.0</v>
      </c>
      <c r="B5" s="29" t="s">
        <v>57</v>
      </c>
      <c r="C5" s="29"/>
      <c r="D5" s="29" t="s">
        <v>40</v>
      </c>
      <c r="E5" s="29" t="s">
        <v>59</v>
      </c>
      <c r="F5" s="29" t="s">
        <v>60</v>
      </c>
      <c r="G5" s="29" t="s">
        <v>44</v>
      </c>
      <c r="H5" s="26"/>
      <c r="I5" s="26"/>
      <c r="J5" s="26"/>
      <c r="K5" s="26"/>
      <c r="L5" s="26"/>
      <c r="M5" s="26"/>
      <c r="N5" s="26"/>
      <c r="O5" s="26"/>
      <c r="P5" s="26"/>
    </row>
    <row r="6">
      <c r="A6" s="33">
        <v>4.0</v>
      </c>
      <c r="B6" s="29" t="s">
        <v>63</v>
      </c>
      <c r="C6" s="29"/>
      <c r="D6" s="29" t="s">
        <v>40</v>
      </c>
      <c r="E6" s="29" t="s">
        <v>64</v>
      </c>
      <c r="F6" s="29" t="s">
        <v>66</v>
      </c>
      <c r="G6" s="29" t="s">
        <v>44</v>
      </c>
      <c r="H6" s="26"/>
      <c r="I6" s="26"/>
      <c r="J6" s="26"/>
      <c r="K6" s="26"/>
      <c r="L6" s="26"/>
      <c r="M6" s="26"/>
      <c r="N6" s="26"/>
      <c r="O6" s="26"/>
      <c r="P6" s="26"/>
    </row>
    <row r="7">
      <c r="A7" s="33">
        <v>5.0</v>
      </c>
      <c r="B7" s="29" t="s">
        <v>72</v>
      </c>
      <c r="C7" s="29"/>
      <c r="D7" s="29" t="s">
        <v>40</v>
      </c>
      <c r="E7" s="29" t="s">
        <v>73</v>
      </c>
      <c r="F7" s="29" t="s">
        <v>75</v>
      </c>
      <c r="G7" s="29" t="s">
        <v>44</v>
      </c>
      <c r="H7" s="26"/>
      <c r="I7" s="26"/>
      <c r="J7" s="26"/>
      <c r="K7" s="26"/>
      <c r="L7" s="26"/>
      <c r="M7" s="26"/>
      <c r="N7" s="26"/>
      <c r="O7" s="26"/>
      <c r="P7" s="26"/>
    </row>
    <row r="8">
      <c r="A8" s="33">
        <v>6.0</v>
      </c>
      <c r="B8" s="29" t="s">
        <v>76</v>
      </c>
      <c r="C8" s="29"/>
      <c r="D8" s="29" t="s">
        <v>40</v>
      </c>
      <c r="E8" s="29" t="s">
        <v>79</v>
      </c>
      <c r="F8" s="29" t="s">
        <v>81</v>
      </c>
      <c r="G8" s="29" t="s">
        <v>44</v>
      </c>
      <c r="H8" s="26"/>
      <c r="I8" s="26"/>
      <c r="J8" s="26"/>
      <c r="K8" s="26"/>
      <c r="L8" s="26"/>
      <c r="M8" s="26"/>
      <c r="N8" s="26"/>
      <c r="O8" s="26"/>
      <c r="P8" s="26"/>
    </row>
    <row r="9">
      <c r="A9" s="33">
        <v>7.0</v>
      </c>
      <c r="B9" s="29" t="s">
        <v>88</v>
      </c>
      <c r="C9" s="29"/>
      <c r="D9" s="29" t="s">
        <v>40</v>
      </c>
      <c r="E9" s="29" t="s">
        <v>90</v>
      </c>
      <c r="F9" s="29" t="s">
        <v>91</v>
      </c>
      <c r="G9" s="29" t="s">
        <v>44</v>
      </c>
      <c r="H9" s="26"/>
      <c r="I9" s="26"/>
      <c r="J9" s="26"/>
      <c r="K9" s="26"/>
      <c r="L9" s="26"/>
      <c r="M9" s="26"/>
      <c r="N9" s="26"/>
      <c r="O9" s="26"/>
      <c r="P9" s="26"/>
    </row>
    <row r="10">
      <c r="A10" s="33">
        <v>8.0</v>
      </c>
      <c r="B10" s="29" t="s">
        <v>101</v>
      </c>
      <c r="C10" s="29"/>
      <c r="D10" s="29" t="s">
        <v>40</v>
      </c>
      <c r="E10" s="29" t="s">
        <v>102</v>
      </c>
      <c r="F10" s="29" t="s">
        <v>103</v>
      </c>
      <c r="G10" s="29" t="s">
        <v>44</v>
      </c>
      <c r="H10" s="26"/>
      <c r="I10" s="26"/>
      <c r="J10" s="26"/>
      <c r="K10" s="26"/>
      <c r="L10" s="26"/>
      <c r="M10" s="26"/>
      <c r="N10" s="26"/>
      <c r="O10" s="26"/>
      <c r="P10" s="26"/>
    </row>
    <row r="11">
      <c r="A11" s="33">
        <v>9.0</v>
      </c>
      <c r="B11" s="29" t="s">
        <v>107</v>
      </c>
      <c r="C11" s="29"/>
      <c r="D11" s="29" t="s">
        <v>40</v>
      </c>
      <c r="E11" s="29" t="s">
        <v>111</v>
      </c>
      <c r="F11" s="29" t="s">
        <v>113</v>
      </c>
      <c r="G11" s="29" t="s">
        <v>44</v>
      </c>
      <c r="H11" s="26"/>
      <c r="I11" s="26"/>
      <c r="J11" s="26"/>
      <c r="K11" s="26"/>
      <c r="L11" s="26"/>
      <c r="M11" s="26"/>
      <c r="N11" s="26"/>
      <c r="O11" s="26"/>
      <c r="P11" s="26"/>
    </row>
    <row r="12">
      <c r="A12" s="33">
        <v>10.0</v>
      </c>
      <c r="B12" s="29" t="s">
        <v>116</v>
      </c>
      <c r="C12" s="29"/>
      <c r="D12" s="29" t="s">
        <v>40</v>
      </c>
      <c r="E12" s="29" t="s">
        <v>118</v>
      </c>
      <c r="F12" s="29" t="s">
        <v>119</v>
      </c>
      <c r="G12" s="29" t="s">
        <v>44</v>
      </c>
      <c r="H12" s="26"/>
      <c r="I12" s="26"/>
      <c r="J12" s="26"/>
      <c r="K12" s="26"/>
      <c r="L12" s="26"/>
      <c r="M12" s="26"/>
      <c r="N12" s="26"/>
      <c r="O12" s="26"/>
      <c r="P12" s="26"/>
    </row>
    <row r="13">
      <c r="A13" s="33">
        <v>11.0</v>
      </c>
      <c r="B13" s="29" t="s">
        <v>125</v>
      </c>
      <c r="C13" s="29"/>
      <c r="D13" s="29" t="s">
        <v>40</v>
      </c>
      <c r="E13" s="29" t="s">
        <v>126</v>
      </c>
      <c r="F13" s="29" t="s">
        <v>127</v>
      </c>
      <c r="G13" s="29" t="s">
        <v>44</v>
      </c>
      <c r="H13" s="26"/>
      <c r="I13" s="26"/>
      <c r="J13" s="26"/>
      <c r="K13" s="26"/>
      <c r="L13" s="26"/>
      <c r="M13" s="26"/>
      <c r="N13" s="26"/>
      <c r="O13" s="26"/>
      <c r="P13" s="26"/>
    </row>
    <row r="14">
      <c r="A14" s="63" t="s">
        <v>129</v>
      </c>
      <c r="B14" s="5"/>
      <c r="C14" s="5"/>
      <c r="D14" s="5"/>
      <c r="E14" s="5"/>
      <c r="F14" s="5"/>
      <c r="G14" s="5"/>
      <c r="H14" s="5"/>
      <c r="I14" s="5"/>
      <c r="J14" s="5"/>
      <c r="K14" s="5"/>
      <c r="L14" s="5"/>
      <c r="M14" s="5"/>
      <c r="N14" s="5"/>
      <c r="O14" s="5"/>
      <c r="P14" s="7"/>
    </row>
    <row r="15">
      <c r="A15" s="13" t="s">
        <v>15</v>
      </c>
      <c r="B15" s="15" t="s">
        <v>7</v>
      </c>
      <c r="C15" s="18" t="s">
        <v>26</v>
      </c>
      <c r="D15" s="21" t="s">
        <v>27</v>
      </c>
      <c r="E15" s="21" t="s">
        <v>29</v>
      </c>
      <c r="F15" s="24" t="s">
        <v>30</v>
      </c>
      <c r="G15" s="24" t="s">
        <v>12</v>
      </c>
      <c r="H15" s="27" t="s">
        <v>33</v>
      </c>
      <c r="I15" s="28" t="s">
        <v>34</v>
      </c>
      <c r="J15" s="27" t="s">
        <v>14</v>
      </c>
      <c r="K15" s="30" t="s">
        <v>16</v>
      </c>
      <c r="L15" s="30" t="s">
        <v>35</v>
      </c>
      <c r="M15" s="30" t="s">
        <v>18</v>
      </c>
      <c r="N15" s="30" t="s">
        <v>19</v>
      </c>
      <c r="O15" s="30" t="s">
        <v>20</v>
      </c>
      <c r="P15" s="30" t="s">
        <v>21</v>
      </c>
    </row>
    <row r="16">
      <c r="A16" s="33">
        <v>12.0</v>
      </c>
      <c r="B16" s="29" t="s">
        <v>140</v>
      </c>
      <c r="C16" s="29"/>
      <c r="D16" s="29" t="s">
        <v>40</v>
      </c>
      <c r="E16" s="29" t="s">
        <v>142</v>
      </c>
      <c r="F16" s="29" t="s">
        <v>143</v>
      </c>
      <c r="G16" s="29" t="s">
        <v>44</v>
      </c>
      <c r="H16" s="26"/>
      <c r="I16" s="26"/>
      <c r="J16" s="26"/>
      <c r="K16" s="26"/>
      <c r="L16" s="26"/>
      <c r="M16" s="26"/>
      <c r="N16" s="26"/>
      <c r="O16" s="26"/>
      <c r="P16" s="26"/>
    </row>
    <row r="17">
      <c r="A17" s="29">
        <v>13.0</v>
      </c>
      <c r="B17" s="29" t="s">
        <v>150</v>
      </c>
      <c r="C17" s="29"/>
      <c r="D17" s="29" t="s">
        <v>40</v>
      </c>
      <c r="E17" s="29" t="s">
        <v>151</v>
      </c>
      <c r="F17" s="29" t="s">
        <v>152</v>
      </c>
      <c r="G17" s="29" t="s">
        <v>44</v>
      </c>
      <c r="H17" s="26"/>
      <c r="I17" s="26"/>
      <c r="J17" s="26"/>
      <c r="K17" s="26"/>
      <c r="L17" s="26"/>
      <c r="M17" s="26"/>
      <c r="N17" s="26"/>
      <c r="O17" s="26"/>
      <c r="P17" s="26"/>
    </row>
    <row r="18">
      <c r="A18" s="33">
        <v>14.0</v>
      </c>
      <c r="B18" s="29" t="s">
        <v>155</v>
      </c>
      <c r="C18" s="29"/>
      <c r="D18" s="29" t="s">
        <v>40</v>
      </c>
      <c r="E18" s="29" t="s">
        <v>156</v>
      </c>
      <c r="F18" s="29" t="s">
        <v>157</v>
      </c>
      <c r="G18" s="29" t="s">
        <v>44</v>
      </c>
      <c r="H18" s="26"/>
      <c r="I18" s="26"/>
      <c r="J18" s="26"/>
      <c r="K18" s="26"/>
      <c r="L18" s="26"/>
      <c r="M18" s="26"/>
      <c r="N18" s="26"/>
      <c r="O18" s="26"/>
      <c r="P18" s="26"/>
    </row>
    <row r="19">
      <c r="A19" s="29">
        <v>15.0</v>
      </c>
      <c r="B19" s="29" t="s">
        <v>161</v>
      </c>
      <c r="C19" s="29"/>
      <c r="D19" s="29" t="s">
        <v>40</v>
      </c>
      <c r="E19" s="29" t="s">
        <v>163</v>
      </c>
      <c r="F19" s="29" t="s">
        <v>164</v>
      </c>
      <c r="G19" s="29" t="s">
        <v>44</v>
      </c>
      <c r="H19" s="26"/>
      <c r="I19" s="26"/>
      <c r="J19" s="26"/>
      <c r="K19" s="26"/>
      <c r="L19" s="26"/>
      <c r="M19" s="26"/>
      <c r="N19" s="26"/>
      <c r="O19" s="26"/>
      <c r="P19" s="26"/>
    </row>
    <row r="20">
      <c r="A20" s="33">
        <v>16.0</v>
      </c>
      <c r="B20" s="29" t="s">
        <v>166</v>
      </c>
      <c r="C20" s="29"/>
      <c r="D20" s="29" t="s">
        <v>40</v>
      </c>
      <c r="E20" s="29" t="s">
        <v>167</v>
      </c>
      <c r="F20" s="29" t="s">
        <v>168</v>
      </c>
      <c r="G20" s="29" t="s">
        <v>44</v>
      </c>
      <c r="H20" s="26"/>
      <c r="I20" s="26"/>
      <c r="J20" s="26"/>
      <c r="K20" s="26"/>
      <c r="L20" s="26"/>
      <c r="M20" s="26"/>
      <c r="N20" s="26"/>
      <c r="O20" s="26"/>
      <c r="P20" s="26"/>
    </row>
    <row r="21">
      <c r="A21" s="29">
        <v>17.0</v>
      </c>
      <c r="B21" s="29" t="s">
        <v>174</v>
      </c>
      <c r="C21" s="29"/>
      <c r="D21" s="29" t="s">
        <v>40</v>
      </c>
      <c r="E21" s="29" t="s">
        <v>175</v>
      </c>
      <c r="F21" s="29" t="s">
        <v>176</v>
      </c>
      <c r="G21" s="29" t="s">
        <v>44</v>
      </c>
      <c r="H21" s="26"/>
      <c r="I21" s="26"/>
      <c r="J21" s="26"/>
      <c r="K21" s="26"/>
      <c r="L21" s="26"/>
      <c r="M21" s="26"/>
      <c r="N21" s="26"/>
      <c r="O21" s="26"/>
      <c r="P21" s="26"/>
    </row>
    <row r="22">
      <c r="A22" s="33">
        <v>18.0</v>
      </c>
      <c r="B22" s="29" t="s">
        <v>182</v>
      </c>
      <c r="C22" s="29"/>
      <c r="D22" s="29" t="s">
        <v>40</v>
      </c>
      <c r="E22" s="29" t="s">
        <v>184</v>
      </c>
      <c r="F22" s="29" t="s">
        <v>185</v>
      </c>
      <c r="G22" s="29" t="s">
        <v>44</v>
      </c>
      <c r="H22" s="26"/>
      <c r="I22" s="26"/>
      <c r="J22" s="26"/>
      <c r="K22" s="26"/>
      <c r="L22" s="26"/>
      <c r="M22" s="26"/>
      <c r="N22" s="26"/>
      <c r="O22" s="26"/>
      <c r="P22" s="26"/>
    </row>
    <row r="23">
      <c r="A23" s="29">
        <v>19.0</v>
      </c>
      <c r="B23" s="29" t="s">
        <v>187</v>
      </c>
      <c r="C23" s="29"/>
      <c r="D23" s="29" t="s">
        <v>40</v>
      </c>
      <c r="E23" s="29" t="s">
        <v>191</v>
      </c>
      <c r="F23" s="29" t="s">
        <v>192</v>
      </c>
      <c r="G23" s="29" t="s">
        <v>44</v>
      </c>
      <c r="H23" s="26"/>
      <c r="I23" s="26"/>
      <c r="J23" s="26"/>
      <c r="K23" s="26"/>
      <c r="L23" s="26"/>
      <c r="M23" s="26"/>
      <c r="N23" s="26"/>
      <c r="O23" s="26"/>
      <c r="P23" s="26"/>
    </row>
    <row r="24">
      <c r="A24" s="33">
        <v>20.0</v>
      </c>
      <c r="B24" s="29" t="s">
        <v>196</v>
      </c>
      <c r="C24" s="29"/>
      <c r="D24" s="29" t="s">
        <v>40</v>
      </c>
      <c r="E24" s="29" t="s">
        <v>197</v>
      </c>
      <c r="F24" s="29" t="s">
        <v>198</v>
      </c>
      <c r="G24" s="29" t="s">
        <v>44</v>
      </c>
      <c r="H24" s="26"/>
      <c r="I24" s="26"/>
      <c r="J24" s="26"/>
      <c r="K24" s="26"/>
      <c r="L24" s="26"/>
      <c r="M24" s="26"/>
      <c r="N24" s="26"/>
      <c r="O24" s="26"/>
      <c r="P24" s="26"/>
    </row>
    <row r="25">
      <c r="A25" s="29">
        <v>21.0</v>
      </c>
      <c r="B25" s="29" t="s">
        <v>200</v>
      </c>
      <c r="C25" s="29"/>
      <c r="D25" s="29" t="s">
        <v>40</v>
      </c>
      <c r="E25" s="29" t="s">
        <v>202</v>
      </c>
      <c r="F25" s="29" t="s">
        <v>204</v>
      </c>
      <c r="G25" s="29" t="s">
        <v>44</v>
      </c>
      <c r="H25" s="26"/>
      <c r="I25" s="26"/>
      <c r="J25" s="26"/>
      <c r="K25" s="26"/>
      <c r="L25" s="26"/>
      <c r="M25" s="26"/>
      <c r="N25" s="26"/>
      <c r="O25" s="26"/>
      <c r="P25" s="26"/>
    </row>
    <row r="26">
      <c r="A26" s="33">
        <v>22.0</v>
      </c>
      <c r="B26" s="29" t="s">
        <v>213</v>
      </c>
      <c r="C26" s="29"/>
      <c r="D26" s="29" t="s">
        <v>40</v>
      </c>
      <c r="E26" s="29" t="s">
        <v>215</v>
      </c>
      <c r="F26" s="29" t="s">
        <v>216</v>
      </c>
      <c r="G26" s="29" t="s">
        <v>44</v>
      </c>
      <c r="H26" s="26"/>
      <c r="I26" s="26"/>
      <c r="J26" s="26"/>
      <c r="K26" s="26"/>
      <c r="L26" s="26"/>
      <c r="M26" s="26"/>
      <c r="N26" s="26"/>
      <c r="O26" s="26"/>
      <c r="P26" s="26"/>
    </row>
    <row r="27">
      <c r="A27" s="29">
        <v>23.0</v>
      </c>
      <c r="B27" s="29" t="s">
        <v>219</v>
      </c>
      <c r="C27" s="29"/>
      <c r="D27" s="29" t="s">
        <v>40</v>
      </c>
      <c r="E27" s="29" t="s">
        <v>220</v>
      </c>
      <c r="F27" s="29" t="s">
        <v>221</v>
      </c>
      <c r="G27" s="29" t="s">
        <v>44</v>
      </c>
      <c r="H27" s="26"/>
      <c r="I27" s="26"/>
      <c r="J27" s="26"/>
      <c r="K27" s="26"/>
      <c r="L27" s="26"/>
      <c r="M27" s="26"/>
      <c r="N27" s="26"/>
      <c r="O27" s="26"/>
      <c r="P27" s="26"/>
    </row>
    <row r="28">
      <c r="A28" s="33">
        <v>24.0</v>
      </c>
      <c r="B28" s="29" t="s">
        <v>224</v>
      </c>
      <c r="C28" s="29"/>
      <c r="D28" s="29" t="s">
        <v>40</v>
      </c>
      <c r="E28" s="29" t="s">
        <v>227</v>
      </c>
      <c r="F28" s="29" t="s">
        <v>229</v>
      </c>
      <c r="G28" s="29" t="s">
        <v>44</v>
      </c>
      <c r="H28" s="26"/>
      <c r="I28" s="26"/>
      <c r="J28" s="26"/>
      <c r="K28" s="26"/>
      <c r="L28" s="26"/>
      <c r="M28" s="26"/>
      <c r="N28" s="26"/>
      <c r="O28" s="26"/>
      <c r="P28" s="26"/>
    </row>
    <row r="29">
      <c r="A29" s="73" t="s">
        <v>238</v>
      </c>
      <c r="B29" s="5"/>
      <c r="C29" s="5"/>
      <c r="D29" s="5"/>
      <c r="E29" s="5"/>
      <c r="F29" s="5"/>
      <c r="G29" s="5"/>
      <c r="H29" s="5"/>
      <c r="I29" s="5"/>
      <c r="J29" s="5"/>
      <c r="K29" s="5"/>
      <c r="L29" s="5"/>
      <c r="M29" s="5"/>
      <c r="N29" s="5"/>
      <c r="O29" s="5"/>
      <c r="P29" s="7"/>
    </row>
    <row r="30">
      <c r="A30" s="13" t="s">
        <v>15</v>
      </c>
      <c r="B30" s="15" t="s">
        <v>7</v>
      </c>
      <c r="C30" s="18" t="s">
        <v>26</v>
      </c>
      <c r="D30" s="21" t="s">
        <v>27</v>
      </c>
      <c r="E30" s="21" t="s">
        <v>29</v>
      </c>
      <c r="F30" s="24" t="s">
        <v>30</v>
      </c>
      <c r="G30" s="24" t="s">
        <v>12</v>
      </c>
      <c r="H30" s="27" t="s">
        <v>33</v>
      </c>
      <c r="I30" s="28" t="s">
        <v>34</v>
      </c>
      <c r="J30" s="27" t="s">
        <v>14</v>
      </c>
      <c r="K30" s="30" t="s">
        <v>16</v>
      </c>
      <c r="L30" s="30" t="s">
        <v>35</v>
      </c>
      <c r="M30" s="30" t="s">
        <v>18</v>
      </c>
      <c r="N30" s="30" t="s">
        <v>19</v>
      </c>
      <c r="O30" s="30" t="s">
        <v>20</v>
      </c>
      <c r="P30" s="30" t="s">
        <v>21</v>
      </c>
    </row>
    <row r="31">
      <c r="A31" s="29">
        <v>25.0</v>
      </c>
      <c r="B31" s="29" t="s">
        <v>249</v>
      </c>
      <c r="C31" s="29"/>
      <c r="D31" s="29" t="s">
        <v>40</v>
      </c>
      <c r="E31" s="29" t="s">
        <v>251</v>
      </c>
      <c r="F31" s="29" t="s">
        <v>252</v>
      </c>
      <c r="G31" s="29" t="s">
        <v>44</v>
      </c>
      <c r="H31" s="26"/>
      <c r="I31" s="26"/>
      <c r="J31" s="26"/>
      <c r="K31" s="26"/>
      <c r="L31" s="26"/>
      <c r="M31" s="26"/>
      <c r="N31" s="26"/>
      <c r="O31" s="26"/>
      <c r="P31" s="26"/>
    </row>
    <row r="32">
      <c r="A32" s="29">
        <v>26.0</v>
      </c>
      <c r="B32" s="29" t="s">
        <v>257</v>
      </c>
      <c r="C32" s="29"/>
      <c r="D32" s="29" t="s">
        <v>40</v>
      </c>
      <c r="E32" s="29" t="s">
        <v>258</v>
      </c>
      <c r="F32" s="29" t="s">
        <v>260</v>
      </c>
      <c r="G32" s="29" t="s">
        <v>44</v>
      </c>
      <c r="H32" s="26"/>
      <c r="I32" s="26"/>
      <c r="J32" s="26"/>
      <c r="K32" s="26"/>
      <c r="L32" s="26"/>
      <c r="M32" s="26"/>
      <c r="N32" s="26"/>
      <c r="O32" s="26"/>
      <c r="P32" s="26"/>
    </row>
    <row r="33">
      <c r="A33" s="29">
        <v>27.0</v>
      </c>
      <c r="B33" s="29" t="s">
        <v>265</v>
      </c>
      <c r="C33" s="29"/>
      <c r="D33" s="29" t="s">
        <v>40</v>
      </c>
      <c r="E33" s="29" t="s">
        <v>267</v>
      </c>
      <c r="F33" s="29" t="s">
        <v>269</v>
      </c>
      <c r="G33" s="29" t="s">
        <v>44</v>
      </c>
      <c r="H33" s="26"/>
      <c r="I33" s="26"/>
      <c r="J33" s="26"/>
      <c r="K33" s="26"/>
      <c r="L33" s="26"/>
      <c r="M33" s="26"/>
      <c r="N33" s="26"/>
      <c r="O33" s="26"/>
      <c r="P33" s="26"/>
    </row>
    <row r="34">
      <c r="A34" s="29">
        <v>28.0</v>
      </c>
      <c r="B34" s="29" t="s">
        <v>273</v>
      </c>
      <c r="C34" s="29"/>
      <c r="D34" s="29" t="s">
        <v>40</v>
      </c>
      <c r="E34" s="29" t="s">
        <v>275</v>
      </c>
      <c r="F34" s="29" t="s">
        <v>276</v>
      </c>
      <c r="G34" s="29" t="s">
        <v>44</v>
      </c>
      <c r="H34" s="26"/>
      <c r="I34" s="26"/>
      <c r="J34" s="26"/>
      <c r="K34" s="26"/>
      <c r="L34" s="26"/>
      <c r="M34" s="26"/>
      <c r="N34" s="26"/>
      <c r="O34" s="26"/>
      <c r="P34" s="26"/>
    </row>
    <row r="35">
      <c r="A35" s="29">
        <v>29.0</v>
      </c>
      <c r="B35" s="29" t="s">
        <v>279</v>
      </c>
      <c r="C35" s="29"/>
      <c r="D35" s="29" t="s">
        <v>40</v>
      </c>
      <c r="E35" s="29" t="s">
        <v>280</v>
      </c>
      <c r="F35" s="29" t="s">
        <v>281</v>
      </c>
      <c r="G35" s="29" t="s">
        <v>44</v>
      </c>
      <c r="H35" s="26"/>
      <c r="I35" s="26"/>
      <c r="J35" s="26"/>
      <c r="K35" s="26"/>
      <c r="L35" s="26"/>
      <c r="M35" s="26"/>
      <c r="N35" s="26"/>
      <c r="O35" s="26"/>
      <c r="P35" s="26"/>
    </row>
    <row r="36">
      <c r="A36" s="29">
        <v>30.0</v>
      </c>
      <c r="B36" s="29" t="s">
        <v>284</v>
      </c>
      <c r="C36" s="29"/>
      <c r="D36" s="29" t="s">
        <v>40</v>
      </c>
      <c r="E36" s="29" t="s">
        <v>285</v>
      </c>
      <c r="F36" s="29" t="s">
        <v>286</v>
      </c>
      <c r="G36" s="29" t="s">
        <v>44</v>
      </c>
      <c r="H36" s="26"/>
      <c r="I36" s="26"/>
      <c r="J36" s="26"/>
      <c r="K36" s="26"/>
      <c r="L36" s="26"/>
      <c r="M36" s="26"/>
      <c r="N36" s="26"/>
      <c r="O36" s="26"/>
      <c r="P36" s="26"/>
    </row>
    <row r="37">
      <c r="A37" s="29">
        <v>31.0</v>
      </c>
      <c r="B37" s="29" t="s">
        <v>291</v>
      </c>
      <c r="C37" s="29"/>
      <c r="D37" s="29" t="s">
        <v>40</v>
      </c>
      <c r="E37" s="29" t="s">
        <v>293</v>
      </c>
      <c r="F37" s="29" t="s">
        <v>295</v>
      </c>
      <c r="G37" s="29" t="s">
        <v>44</v>
      </c>
      <c r="H37" s="26"/>
      <c r="I37" s="26"/>
      <c r="J37" s="26"/>
      <c r="K37" s="26"/>
      <c r="L37" s="26"/>
      <c r="M37" s="26"/>
      <c r="N37" s="26"/>
      <c r="O37" s="26"/>
      <c r="P37" s="26"/>
    </row>
    <row r="38">
      <c r="A38" s="29">
        <v>32.0</v>
      </c>
      <c r="B38" s="29" t="s">
        <v>301</v>
      </c>
      <c r="C38" s="29"/>
      <c r="D38" s="29" t="s">
        <v>40</v>
      </c>
      <c r="E38" s="29" t="s">
        <v>302</v>
      </c>
      <c r="F38" s="29" t="s">
        <v>303</v>
      </c>
      <c r="G38" s="29" t="s">
        <v>44</v>
      </c>
      <c r="H38" s="26"/>
      <c r="I38" s="26"/>
      <c r="J38" s="26"/>
      <c r="K38" s="26"/>
      <c r="L38" s="26"/>
      <c r="M38" s="26"/>
      <c r="N38" s="26"/>
      <c r="O38" s="26"/>
      <c r="P38" s="26"/>
    </row>
    <row r="39">
      <c r="A39" s="29">
        <v>33.0</v>
      </c>
      <c r="B39" s="29" t="s">
        <v>304</v>
      </c>
      <c r="C39" s="29"/>
      <c r="D39" s="29" t="s">
        <v>40</v>
      </c>
      <c r="E39" s="29" t="s">
        <v>306</v>
      </c>
      <c r="F39" s="29" t="s">
        <v>307</v>
      </c>
      <c r="G39" s="29" t="s">
        <v>44</v>
      </c>
      <c r="H39" s="26"/>
      <c r="I39" s="26"/>
      <c r="J39" s="26"/>
      <c r="K39" s="26"/>
      <c r="L39" s="26"/>
      <c r="M39" s="26"/>
      <c r="N39" s="26"/>
      <c r="O39" s="26"/>
      <c r="P39" s="26"/>
    </row>
    <row r="40">
      <c r="A40" s="29">
        <v>34.0</v>
      </c>
      <c r="B40" s="29" t="s">
        <v>311</v>
      </c>
      <c r="C40" s="29"/>
      <c r="D40" s="29" t="s">
        <v>40</v>
      </c>
      <c r="E40" s="29" t="s">
        <v>313</v>
      </c>
      <c r="F40" s="29" t="s">
        <v>314</v>
      </c>
      <c r="G40" s="29" t="s">
        <v>44</v>
      </c>
      <c r="H40" s="26"/>
      <c r="I40" s="26"/>
      <c r="J40" s="26"/>
      <c r="K40" s="26"/>
      <c r="L40" s="26"/>
      <c r="M40" s="26"/>
      <c r="N40" s="26"/>
      <c r="O40" s="26"/>
      <c r="P40" s="26"/>
    </row>
    <row r="41">
      <c r="A41" s="19"/>
      <c r="B41" s="19"/>
      <c r="C41" s="19"/>
      <c r="D41" s="19"/>
      <c r="E41" s="19"/>
      <c r="F41" s="19"/>
      <c r="G41" s="19"/>
      <c r="H41" s="19"/>
      <c r="I41" s="19"/>
      <c r="J41" s="19"/>
      <c r="K41" s="19"/>
      <c r="L41" s="19"/>
      <c r="M41" s="19"/>
      <c r="N41" s="19"/>
      <c r="O41" s="19"/>
      <c r="P41" s="19"/>
    </row>
    <row r="42">
      <c r="A42" s="73" t="s">
        <v>324</v>
      </c>
      <c r="B42" s="5"/>
      <c r="C42" s="5"/>
      <c r="D42" s="5"/>
      <c r="E42" s="5"/>
      <c r="F42" s="5"/>
      <c r="G42" s="5"/>
      <c r="H42" s="5"/>
      <c r="I42" s="5"/>
      <c r="J42" s="5"/>
      <c r="K42" s="5"/>
      <c r="L42" s="5"/>
      <c r="M42" s="5"/>
      <c r="N42" s="5"/>
      <c r="O42" s="5"/>
      <c r="P42" s="7"/>
    </row>
    <row r="43">
      <c r="A43" s="13" t="s">
        <v>15</v>
      </c>
      <c r="B43" s="15" t="s">
        <v>7</v>
      </c>
      <c r="C43" s="18" t="s">
        <v>26</v>
      </c>
      <c r="D43" s="21" t="s">
        <v>27</v>
      </c>
      <c r="E43" s="21" t="s">
        <v>29</v>
      </c>
      <c r="F43" s="24" t="s">
        <v>30</v>
      </c>
      <c r="G43" s="24" t="s">
        <v>12</v>
      </c>
      <c r="H43" s="27" t="s">
        <v>33</v>
      </c>
      <c r="I43" s="28" t="s">
        <v>34</v>
      </c>
      <c r="J43" s="27" t="s">
        <v>14</v>
      </c>
      <c r="K43" s="30" t="s">
        <v>16</v>
      </c>
      <c r="L43" s="30" t="s">
        <v>35</v>
      </c>
      <c r="M43" s="30" t="s">
        <v>18</v>
      </c>
      <c r="N43" s="30" t="s">
        <v>19</v>
      </c>
      <c r="O43" s="30" t="s">
        <v>20</v>
      </c>
      <c r="P43" s="30" t="s">
        <v>21</v>
      </c>
    </row>
    <row r="44">
      <c r="A44" s="91">
        <v>1.0</v>
      </c>
      <c r="B44" s="92" t="s">
        <v>336</v>
      </c>
      <c r="C44" s="93"/>
      <c r="D44" s="93"/>
      <c r="E44" s="95" t="s">
        <v>338</v>
      </c>
      <c r="F44" s="95" t="s">
        <v>343</v>
      </c>
      <c r="G44" s="29" t="s">
        <v>44</v>
      </c>
      <c r="H44" s="93"/>
      <c r="I44" s="93"/>
      <c r="J44" s="93"/>
      <c r="K44" s="93"/>
      <c r="L44" s="93"/>
      <c r="M44" s="93"/>
      <c r="N44" s="93"/>
      <c r="O44" s="93"/>
      <c r="P44" s="93"/>
    </row>
    <row r="45">
      <c r="A45" s="91">
        <v>2.0</v>
      </c>
      <c r="B45" s="92" t="s">
        <v>348</v>
      </c>
      <c r="C45" s="93"/>
      <c r="D45" s="93"/>
      <c r="E45" s="95" t="s">
        <v>350</v>
      </c>
      <c r="F45" s="95" t="s">
        <v>352</v>
      </c>
      <c r="G45" s="29" t="s">
        <v>44</v>
      </c>
      <c r="H45" s="93"/>
      <c r="I45" s="93"/>
      <c r="J45" s="93"/>
      <c r="K45" s="93"/>
      <c r="L45" s="93"/>
      <c r="M45" s="93"/>
      <c r="N45" s="93"/>
      <c r="O45" s="93"/>
      <c r="P45" s="93"/>
    </row>
    <row r="46">
      <c r="A46" s="91">
        <v>3.0</v>
      </c>
      <c r="B46" s="92" t="s">
        <v>357</v>
      </c>
      <c r="C46" s="93"/>
      <c r="D46" s="93"/>
      <c r="E46" s="95" t="s">
        <v>359</v>
      </c>
      <c r="F46" s="95" t="s">
        <v>360</v>
      </c>
      <c r="G46" s="29" t="s">
        <v>44</v>
      </c>
      <c r="H46" s="93"/>
      <c r="I46" s="93"/>
      <c r="J46" s="93"/>
      <c r="K46" s="93"/>
      <c r="L46" s="93"/>
      <c r="M46" s="93"/>
      <c r="N46" s="93"/>
      <c r="O46" s="93"/>
      <c r="P46" s="93"/>
    </row>
    <row r="47">
      <c r="A47" s="91">
        <v>4.0</v>
      </c>
      <c r="B47" s="92" t="s">
        <v>369</v>
      </c>
      <c r="C47" s="93"/>
      <c r="D47" s="93"/>
      <c r="E47" s="95" t="s">
        <v>372</v>
      </c>
      <c r="F47" s="95" t="s">
        <v>373</v>
      </c>
      <c r="G47" s="29" t="s">
        <v>44</v>
      </c>
      <c r="H47" s="93"/>
      <c r="I47" s="93"/>
      <c r="J47" s="93"/>
      <c r="K47" s="93"/>
      <c r="L47" s="93"/>
      <c r="M47" s="93"/>
      <c r="N47" s="93"/>
      <c r="O47" s="93"/>
      <c r="P47" s="93"/>
    </row>
    <row r="48">
      <c r="A48" s="91">
        <v>5.0</v>
      </c>
      <c r="B48" s="92" t="s">
        <v>381</v>
      </c>
      <c r="C48" s="93"/>
      <c r="D48" s="93"/>
      <c r="E48" s="95" t="s">
        <v>382</v>
      </c>
      <c r="F48" s="95" t="s">
        <v>384</v>
      </c>
      <c r="G48" s="29" t="s">
        <v>44</v>
      </c>
      <c r="H48" s="93"/>
      <c r="I48" s="93"/>
      <c r="J48" s="93"/>
      <c r="K48" s="93"/>
      <c r="L48" s="93"/>
      <c r="M48" s="93"/>
      <c r="N48" s="93"/>
      <c r="O48" s="93"/>
      <c r="P48" s="93"/>
    </row>
    <row r="49">
      <c r="A49" s="104" t="s">
        <v>391</v>
      </c>
      <c r="B49" s="5"/>
      <c r="C49" s="5"/>
      <c r="D49" s="5"/>
      <c r="E49" s="5"/>
      <c r="F49" s="5"/>
      <c r="G49" s="5"/>
      <c r="H49" s="5"/>
      <c r="I49" s="5"/>
      <c r="J49" s="5"/>
      <c r="K49" s="5"/>
      <c r="L49" s="5"/>
      <c r="M49" s="5"/>
      <c r="N49" s="5"/>
      <c r="O49" s="5"/>
      <c r="P49" s="7"/>
    </row>
    <row r="50">
      <c r="A50" s="105" t="s">
        <v>15</v>
      </c>
      <c r="B50" s="106" t="s">
        <v>7</v>
      </c>
      <c r="C50" s="18" t="s">
        <v>26</v>
      </c>
      <c r="D50" s="107" t="s">
        <v>27</v>
      </c>
      <c r="E50" s="107" t="s">
        <v>29</v>
      </c>
      <c r="F50" s="109" t="s">
        <v>30</v>
      </c>
      <c r="G50" s="109" t="s">
        <v>12</v>
      </c>
      <c r="H50" s="111" t="s">
        <v>33</v>
      </c>
      <c r="I50" s="113" t="s">
        <v>34</v>
      </c>
      <c r="J50" s="111" t="s">
        <v>14</v>
      </c>
      <c r="K50" s="42" t="s">
        <v>16</v>
      </c>
      <c r="L50" s="42" t="s">
        <v>35</v>
      </c>
      <c r="M50" s="42" t="s">
        <v>18</v>
      </c>
      <c r="N50" s="42" t="s">
        <v>19</v>
      </c>
      <c r="O50" s="42" t="s">
        <v>20</v>
      </c>
      <c r="P50" s="42" t="s">
        <v>21</v>
      </c>
    </row>
    <row r="51">
      <c r="A51" s="91">
        <v>1.0</v>
      </c>
      <c r="B51" s="117" t="s">
        <v>412</v>
      </c>
      <c r="C51" s="17" t="s">
        <v>414</v>
      </c>
      <c r="D51" s="91" t="s">
        <v>416</v>
      </c>
      <c r="E51" s="91" t="s">
        <v>418</v>
      </c>
      <c r="F51" s="91" t="s">
        <v>420</v>
      </c>
      <c r="G51" s="118" t="s">
        <v>421</v>
      </c>
      <c r="H51" s="19"/>
      <c r="I51" s="19"/>
      <c r="J51" s="19"/>
      <c r="K51" s="19"/>
      <c r="L51" s="19"/>
      <c r="M51" s="19"/>
      <c r="N51" s="19"/>
      <c r="O51" s="19"/>
      <c r="P51" s="19"/>
    </row>
    <row r="52">
      <c r="A52" s="91">
        <v>2.0</v>
      </c>
      <c r="B52" s="117" t="s">
        <v>424</v>
      </c>
      <c r="C52" s="17" t="s">
        <v>414</v>
      </c>
      <c r="D52" s="91" t="s">
        <v>416</v>
      </c>
      <c r="E52" s="91" t="s">
        <v>426</v>
      </c>
      <c r="F52" s="91" t="s">
        <v>428</v>
      </c>
      <c r="G52" s="118" t="s">
        <v>421</v>
      </c>
      <c r="H52" s="19"/>
      <c r="I52" s="19"/>
      <c r="J52" s="19"/>
      <c r="K52" s="19"/>
      <c r="L52" s="19"/>
      <c r="M52" s="19"/>
      <c r="N52" s="19"/>
      <c r="O52" s="19"/>
      <c r="P52" s="19"/>
    </row>
    <row r="53">
      <c r="A53" s="91">
        <v>3.0</v>
      </c>
      <c r="B53" s="117" t="s">
        <v>435</v>
      </c>
      <c r="C53" s="17" t="s">
        <v>437</v>
      </c>
      <c r="D53" s="91" t="s">
        <v>438</v>
      </c>
      <c r="E53" s="91" t="s">
        <v>439</v>
      </c>
      <c r="F53" s="91" t="s">
        <v>440</v>
      </c>
      <c r="G53" s="118" t="s">
        <v>421</v>
      </c>
      <c r="H53" s="19"/>
      <c r="I53" s="19"/>
      <c r="J53" s="19"/>
      <c r="K53" s="19"/>
      <c r="L53" s="19"/>
      <c r="M53" s="19"/>
      <c r="N53" s="19"/>
      <c r="O53" s="19"/>
      <c r="P53" s="19"/>
    </row>
    <row r="54">
      <c r="A54" s="91">
        <v>4.0</v>
      </c>
      <c r="B54" s="117" t="s">
        <v>444</v>
      </c>
      <c r="C54" s="17" t="s">
        <v>414</v>
      </c>
      <c r="D54" s="91" t="s">
        <v>416</v>
      </c>
      <c r="E54" s="91" t="s">
        <v>447</v>
      </c>
      <c r="F54" s="91" t="s">
        <v>449</v>
      </c>
      <c r="G54" s="118" t="s">
        <v>421</v>
      </c>
      <c r="H54" s="19"/>
      <c r="I54" s="19"/>
      <c r="J54" s="19"/>
      <c r="K54" s="19"/>
      <c r="L54" s="19"/>
      <c r="M54" s="19"/>
      <c r="N54" s="19"/>
      <c r="O54" s="19"/>
      <c r="P54" s="19"/>
    </row>
    <row r="55">
      <c r="A55" s="91">
        <v>5.0</v>
      </c>
      <c r="B55" s="117" t="s">
        <v>453</v>
      </c>
      <c r="C55" s="17" t="s">
        <v>414</v>
      </c>
      <c r="D55" s="91" t="s">
        <v>416</v>
      </c>
      <c r="E55" s="91" t="s">
        <v>456</v>
      </c>
      <c r="F55" s="91" t="s">
        <v>457</v>
      </c>
      <c r="G55" s="118" t="s">
        <v>421</v>
      </c>
      <c r="H55" s="19"/>
      <c r="I55" s="19"/>
      <c r="J55" s="19"/>
      <c r="K55" s="19"/>
      <c r="L55" s="19"/>
      <c r="M55" s="19"/>
      <c r="N55" s="19"/>
      <c r="O55" s="19"/>
      <c r="P55" s="19"/>
    </row>
    <row r="56">
      <c r="A56" s="91">
        <v>6.0</v>
      </c>
      <c r="B56" s="117" t="s">
        <v>465</v>
      </c>
      <c r="C56" s="17" t="s">
        <v>414</v>
      </c>
      <c r="D56" s="91" t="s">
        <v>416</v>
      </c>
      <c r="E56" s="91" t="s">
        <v>468</v>
      </c>
      <c r="F56" s="91" t="s">
        <v>470</v>
      </c>
      <c r="G56" s="118" t="s">
        <v>421</v>
      </c>
      <c r="H56" s="19"/>
      <c r="I56" s="19"/>
      <c r="J56" s="19"/>
      <c r="K56" s="19"/>
      <c r="L56" s="19"/>
      <c r="M56" s="19"/>
      <c r="N56" s="19"/>
      <c r="O56" s="19"/>
      <c r="P56" s="19"/>
    </row>
    <row r="57">
      <c r="A57" s="91">
        <v>7.0</v>
      </c>
      <c r="B57" s="117" t="s">
        <v>477</v>
      </c>
      <c r="C57" s="17" t="s">
        <v>414</v>
      </c>
      <c r="D57" s="91" t="s">
        <v>416</v>
      </c>
      <c r="E57" s="91" t="s">
        <v>479</v>
      </c>
      <c r="F57" s="91" t="s">
        <v>481</v>
      </c>
      <c r="G57" s="118" t="s">
        <v>421</v>
      </c>
      <c r="H57" s="19"/>
      <c r="I57" s="19"/>
      <c r="J57" s="19"/>
      <c r="K57" s="19"/>
      <c r="L57" s="19"/>
      <c r="M57" s="19"/>
      <c r="N57" s="19"/>
      <c r="O57" s="19"/>
      <c r="P57" s="19"/>
    </row>
    <row r="58">
      <c r="A58" s="91">
        <v>8.0</v>
      </c>
      <c r="B58" s="117" t="s">
        <v>483</v>
      </c>
      <c r="C58" s="17" t="s">
        <v>414</v>
      </c>
      <c r="D58" s="91" t="s">
        <v>486</v>
      </c>
      <c r="E58" s="91" t="s">
        <v>489</v>
      </c>
      <c r="F58" s="91" t="s">
        <v>491</v>
      </c>
      <c r="G58" s="118" t="s">
        <v>421</v>
      </c>
      <c r="H58" s="19"/>
      <c r="I58" s="19"/>
      <c r="J58" s="19"/>
      <c r="K58" s="19"/>
      <c r="L58" s="19"/>
      <c r="M58" s="19"/>
      <c r="N58" s="19"/>
      <c r="O58" s="19"/>
      <c r="P58" s="19"/>
    </row>
    <row r="59">
      <c r="A59" s="91">
        <v>9.0</v>
      </c>
      <c r="B59" s="117" t="s">
        <v>496</v>
      </c>
      <c r="C59" s="17" t="s">
        <v>437</v>
      </c>
      <c r="D59" s="91" t="s">
        <v>497</v>
      </c>
      <c r="E59" s="91" t="s">
        <v>498</v>
      </c>
      <c r="F59" s="91" t="s">
        <v>499</v>
      </c>
      <c r="G59" s="118" t="s">
        <v>421</v>
      </c>
      <c r="H59" s="19"/>
      <c r="I59" s="19"/>
      <c r="J59" s="19"/>
      <c r="K59" s="19"/>
      <c r="L59" s="19"/>
      <c r="M59" s="19"/>
      <c r="N59" s="19"/>
      <c r="O59" s="19"/>
      <c r="P59" s="19"/>
    </row>
    <row r="60">
      <c r="A60" s="91">
        <v>10.0</v>
      </c>
      <c r="B60" s="117" t="s">
        <v>509</v>
      </c>
      <c r="C60" s="17" t="s">
        <v>414</v>
      </c>
      <c r="D60" s="91" t="s">
        <v>438</v>
      </c>
      <c r="E60" s="91" t="s">
        <v>511</v>
      </c>
      <c r="F60" s="91" t="s">
        <v>512</v>
      </c>
      <c r="G60" s="118" t="s">
        <v>421</v>
      </c>
      <c r="H60" s="19"/>
      <c r="I60" s="19"/>
      <c r="J60" s="19"/>
      <c r="K60" s="19"/>
      <c r="L60" s="19"/>
      <c r="M60" s="19"/>
      <c r="N60" s="19"/>
      <c r="O60" s="19"/>
      <c r="P60" s="19"/>
    </row>
    <row r="61">
      <c r="A61" s="91">
        <v>11.0</v>
      </c>
      <c r="B61" s="117" t="s">
        <v>516</v>
      </c>
      <c r="C61" s="17" t="s">
        <v>414</v>
      </c>
      <c r="D61" s="91" t="s">
        <v>416</v>
      </c>
      <c r="E61" s="91" t="s">
        <v>519</v>
      </c>
      <c r="F61" s="91" t="s">
        <v>520</v>
      </c>
      <c r="G61" s="118" t="s">
        <v>421</v>
      </c>
      <c r="H61" s="19"/>
      <c r="I61" s="19"/>
      <c r="J61" s="19"/>
      <c r="K61" s="19"/>
      <c r="L61" s="19"/>
      <c r="M61" s="19"/>
      <c r="N61" s="19"/>
      <c r="O61" s="19"/>
      <c r="P61" s="19"/>
    </row>
    <row r="62">
      <c r="A62" s="91">
        <v>12.0</v>
      </c>
      <c r="B62" s="117" t="s">
        <v>525</v>
      </c>
      <c r="C62" s="17" t="s">
        <v>437</v>
      </c>
      <c r="D62" s="91" t="s">
        <v>528</v>
      </c>
      <c r="E62" s="91" t="s">
        <v>529</v>
      </c>
      <c r="F62" s="91" t="s">
        <v>530</v>
      </c>
      <c r="G62" s="118" t="s">
        <v>421</v>
      </c>
      <c r="H62" s="19"/>
      <c r="I62" s="19"/>
      <c r="J62" s="19"/>
      <c r="K62" s="19"/>
      <c r="L62" s="19"/>
      <c r="M62" s="19"/>
      <c r="N62" s="19"/>
      <c r="O62" s="19"/>
      <c r="P62" s="19"/>
    </row>
    <row r="63">
      <c r="A63" s="91">
        <v>13.0</v>
      </c>
      <c r="B63" s="117" t="s">
        <v>536</v>
      </c>
      <c r="C63" s="17" t="s">
        <v>414</v>
      </c>
      <c r="D63" s="91" t="s">
        <v>416</v>
      </c>
      <c r="E63" s="91" t="s">
        <v>539</v>
      </c>
      <c r="F63" s="91" t="s">
        <v>540</v>
      </c>
      <c r="G63" s="118" t="s">
        <v>421</v>
      </c>
      <c r="H63" s="19"/>
      <c r="I63" s="19"/>
      <c r="J63" s="19"/>
      <c r="K63" s="19"/>
      <c r="L63" s="19"/>
      <c r="M63" s="19"/>
      <c r="N63" s="19"/>
      <c r="O63" s="19"/>
      <c r="P63" s="19"/>
    </row>
    <row r="64">
      <c r="A64" s="91">
        <v>14.0</v>
      </c>
      <c r="B64" s="117" t="s">
        <v>548</v>
      </c>
      <c r="C64" s="17" t="s">
        <v>414</v>
      </c>
      <c r="D64" s="91" t="s">
        <v>416</v>
      </c>
      <c r="E64" s="91" t="s">
        <v>550</v>
      </c>
      <c r="F64" s="91" t="s">
        <v>553</v>
      </c>
      <c r="G64" s="118" t="s">
        <v>421</v>
      </c>
      <c r="H64" s="19"/>
      <c r="I64" s="19"/>
      <c r="J64" s="19"/>
      <c r="K64" s="19"/>
      <c r="L64" s="19"/>
      <c r="M64" s="19"/>
      <c r="N64" s="19"/>
      <c r="O64" s="19"/>
      <c r="P64" s="19"/>
    </row>
    <row r="65">
      <c r="A65" s="91">
        <v>15.0</v>
      </c>
      <c r="B65" s="117" t="s">
        <v>559</v>
      </c>
      <c r="C65" s="17" t="s">
        <v>414</v>
      </c>
      <c r="D65" s="91" t="s">
        <v>562</v>
      </c>
      <c r="E65" s="91" t="s">
        <v>564</v>
      </c>
      <c r="F65" s="91" t="s">
        <v>566</v>
      </c>
      <c r="G65" s="118" t="s">
        <v>421</v>
      </c>
      <c r="H65" s="19"/>
      <c r="I65" s="19"/>
      <c r="J65" s="19"/>
      <c r="K65" s="19"/>
      <c r="L65" s="19"/>
      <c r="M65" s="19"/>
      <c r="N65" s="19"/>
      <c r="O65" s="19"/>
      <c r="P65" s="19"/>
    </row>
    <row r="66">
      <c r="A66" s="91">
        <v>16.0</v>
      </c>
      <c r="B66" s="117" t="s">
        <v>572</v>
      </c>
      <c r="C66" s="17" t="s">
        <v>414</v>
      </c>
      <c r="D66" s="91" t="s">
        <v>416</v>
      </c>
      <c r="E66" s="91" t="s">
        <v>575</v>
      </c>
      <c r="F66" s="91" t="s">
        <v>577</v>
      </c>
      <c r="G66" s="118" t="s">
        <v>421</v>
      </c>
      <c r="H66" s="19"/>
      <c r="I66" s="19"/>
      <c r="J66" s="19"/>
      <c r="K66" s="19"/>
      <c r="L66" s="19"/>
      <c r="M66" s="19"/>
      <c r="N66" s="19"/>
      <c r="O66" s="19"/>
      <c r="P66" s="19"/>
    </row>
    <row r="67">
      <c r="A67" s="91">
        <v>17.0</v>
      </c>
      <c r="B67" s="117" t="s">
        <v>582</v>
      </c>
      <c r="C67" s="17" t="s">
        <v>414</v>
      </c>
      <c r="D67" s="91" t="s">
        <v>416</v>
      </c>
      <c r="E67" s="91" t="s">
        <v>585</v>
      </c>
      <c r="F67" s="91" t="s">
        <v>587</v>
      </c>
      <c r="G67" s="118" t="s">
        <v>421</v>
      </c>
      <c r="H67" s="19"/>
      <c r="I67" s="19"/>
      <c r="J67" s="19"/>
      <c r="K67" s="19"/>
      <c r="L67" s="19"/>
      <c r="M67" s="19"/>
      <c r="N67" s="19"/>
      <c r="O67" s="19"/>
      <c r="P67" s="19"/>
    </row>
    <row r="68">
      <c r="A68" s="91">
        <v>18.0</v>
      </c>
      <c r="B68" s="117" t="s">
        <v>595</v>
      </c>
      <c r="C68" s="17" t="s">
        <v>414</v>
      </c>
      <c r="D68" s="91" t="s">
        <v>416</v>
      </c>
      <c r="E68" s="91" t="s">
        <v>596</v>
      </c>
      <c r="F68" s="91" t="s">
        <v>598</v>
      </c>
      <c r="G68" s="118" t="s">
        <v>421</v>
      </c>
      <c r="H68" s="19"/>
      <c r="I68" s="19"/>
      <c r="J68" s="19"/>
      <c r="K68" s="19"/>
      <c r="L68" s="19"/>
      <c r="M68" s="19"/>
      <c r="N68" s="19"/>
      <c r="O68" s="19"/>
      <c r="P68" s="19"/>
    </row>
    <row r="69">
      <c r="A69" s="91">
        <v>19.0</v>
      </c>
      <c r="B69" s="117" t="s">
        <v>605</v>
      </c>
      <c r="C69" s="17" t="s">
        <v>414</v>
      </c>
      <c r="D69" s="91" t="s">
        <v>416</v>
      </c>
      <c r="E69" s="91" t="s">
        <v>608</v>
      </c>
      <c r="F69" s="91" t="s">
        <v>609</v>
      </c>
      <c r="G69" s="118" t="s">
        <v>421</v>
      </c>
      <c r="H69" s="19"/>
      <c r="I69" s="19"/>
      <c r="J69" s="19"/>
      <c r="K69" s="19"/>
      <c r="L69" s="19"/>
      <c r="M69" s="19"/>
      <c r="N69" s="19"/>
      <c r="O69" s="19"/>
      <c r="P69" s="19"/>
    </row>
    <row r="70">
      <c r="A70" s="91">
        <v>20.0</v>
      </c>
      <c r="B70" s="117" t="s">
        <v>615</v>
      </c>
      <c r="C70" s="17" t="s">
        <v>414</v>
      </c>
      <c r="D70" s="91" t="s">
        <v>497</v>
      </c>
      <c r="E70" s="91" t="s">
        <v>620</v>
      </c>
      <c r="F70" s="91" t="s">
        <v>621</v>
      </c>
      <c r="G70" s="118" t="s">
        <v>421</v>
      </c>
      <c r="H70" s="19"/>
      <c r="I70" s="19"/>
      <c r="J70" s="19"/>
      <c r="K70" s="19"/>
      <c r="L70" s="19"/>
      <c r="M70" s="19"/>
      <c r="N70" s="19"/>
      <c r="O70" s="19"/>
      <c r="P70" s="19"/>
    </row>
    <row r="71">
      <c r="A71" s="91">
        <v>21.0</v>
      </c>
      <c r="B71" s="117" t="s">
        <v>627</v>
      </c>
      <c r="C71" s="17" t="s">
        <v>414</v>
      </c>
      <c r="D71" s="91" t="s">
        <v>497</v>
      </c>
      <c r="E71" s="91" t="s">
        <v>629</v>
      </c>
      <c r="F71" s="91" t="s">
        <v>631</v>
      </c>
      <c r="G71" s="118" t="s">
        <v>421</v>
      </c>
      <c r="H71" s="19"/>
      <c r="I71" s="19"/>
      <c r="J71" s="19"/>
      <c r="K71" s="19"/>
      <c r="L71" s="19"/>
      <c r="M71" s="19"/>
      <c r="N71" s="19"/>
      <c r="O71" s="19"/>
      <c r="P71" s="19"/>
    </row>
    <row r="72">
      <c r="A72" s="91">
        <v>22.0</v>
      </c>
      <c r="B72" s="117" t="s">
        <v>634</v>
      </c>
      <c r="C72" s="17" t="s">
        <v>414</v>
      </c>
      <c r="D72" s="91" t="s">
        <v>416</v>
      </c>
      <c r="E72" s="91" t="s">
        <v>639</v>
      </c>
      <c r="F72" s="91" t="s">
        <v>641</v>
      </c>
      <c r="G72" s="118" t="s">
        <v>421</v>
      </c>
      <c r="H72" s="19"/>
      <c r="I72" s="19"/>
      <c r="J72" s="19"/>
      <c r="K72" s="19"/>
      <c r="L72" s="19"/>
      <c r="M72" s="19"/>
      <c r="N72" s="19"/>
      <c r="O72" s="19"/>
      <c r="P72" s="19"/>
    </row>
    <row r="73">
      <c r="A73" s="91">
        <v>23.0</v>
      </c>
      <c r="B73" s="117" t="s">
        <v>645</v>
      </c>
      <c r="C73" s="17" t="s">
        <v>414</v>
      </c>
      <c r="D73" s="91" t="s">
        <v>647</v>
      </c>
      <c r="E73" s="91" t="s">
        <v>648</v>
      </c>
      <c r="F73" s="91" t="s">
        <v>649</v>
      </c>
      <c r="G73" s="118" t="s">
        <v>421</v>
      </c>
      <c r="H73" s="19"/>
      <c r="I73" s="19"/>
      <c r="J73" s="19"/>
      <c r="K73" s="19"/>
      <c r="L73" s="19"/>
      <c r="M73" s="19"/>
      <c r="N73" s="19"/>
      <c r="O73" s="19"/>
      <c r="P73" s="19"/>
    </row>
    <row r="74">
      <c r="A74" s="91">
        <v>24.0</v>
      </c>
      <c r="B74" s="117" t="s">
        <v>655</v>
      </c>
      <c r="C74" s="17" t="s">
        <v>414</v>
      </c>
      <c r="D74" s="91" t="s">
        <v>416</v>
      </c>
      <c r="E74" s="91" t="s">
        <v>656</v>
      </c>
      <c r="F74" s="91" t="s">
        <v>658</v>
      </c>
      <c r="G74" s="118" t="s">
        <v>421</v>
      </c>
      <c r="H74" s="19"/>
      <c r="I74" s="19"/>
      <c r="J74" s="19"/>
      <c r="K74" s="19"/>
      <c r="L74" s="19"/>
      <c r="M74" s="19"/>
      <c r="N74" s="19"/>
      <c r="O74" s="19"/>
      <c r="P74" s="19"/>
    </row>
    <row r="75">
      <c r="A75" s="91">
        <v>25.0</v>
      </c>
      <c r="B75" s="117" t="s">
        <v>668</v>
      </c>
      <c r="C75" s="17" t="s">
        <v>414</v>
      </c>
      <c r="D75" s="91" t="s">
        <v>562</v>
      </c>
      <c r="E75" s="91" t="s">
        <v>669</v>
      </c>
      <c r="F75" s="91" t="s">
        <v>670</v>
      </c>
      <c r="G75" s="118" t="s">
        <v>421</v>
      </c>
      <c r="H75" s="19"/>
      <c r="I75" s="19"/>
      <c r="J75" s="19"/>
      <c r="K75" s="19"/>
      <c r="L75" s="19"/>
      <c r="M75" s="19"/>
      <c r="N75" s="19"/>
      <c r="O75" s="19"/>
      <c r="P75" s="19"/>
    </row>
    <row r="76">
      <c r="A76" s="91">
        <v>26.0</v>
      </c>
      <c r="B76" s="117" t="s">
        <v>678</v>
      </c>
      <c r="C76" s="17" t="s">
        <v>414</v>
      </c>
      <c r="D76" s="91" t="s">
        <v>416</v>
      </c>
      <c r="E76" s="91" t="s">
        <v>681</v>
      </c>
      <c r="F76" s="91" t="s">
        <v>683</v>
      </c>
      <c r="G76" s="118" t="s">
        <v>421</v>
      </c>
      <c r="H76" s="19"/>
      <c r="I76" s="19"/>
      <c r="J76" s="19"/>
      <c r="K76" s="19"/>
      <c r="L76" s="19"/>
      <c r="M76" s="19"/>
      <c r="N76" s="19"/>
      <c r="O76" s="19"/>
      <c r="P76" s="19"/>
    </row>
    <row r="77">
      <c r="A77" s="91">
        <v>27.0</v>
      </c>
      <c r="B77" s="117" t="s">
        <v>685</v>
      </c>
      <c r="C77" s="17" t="s">
        <v>414</v>
      </c>
      <c r="D77" s="91" t="s">
        <v>416</v>
      </c>
      <c r="E77" s="91" t="s">
        <v>690</v>
      </c>
      <c r="F77" s="91" t="s">
        <v>692</v>
      </c>
      <c r="G77" s="118" t="s">
        <v>421</v>
      </c>
      <c r="H77" s="19"/>
      <c r="I77" s="19"/>
      <c r="J77" s="19"/>
      <c r="K77" s="19"/>
      <c r="L77" s="19"/>
      <c r="M77" s="19"/>
      <c r="N77" s="19"/>
      <c r="O77" s="19"/>
      <c r="P77" s="19"/>
    </row>
    <row r="78">
      <c r="A78" s="91">
        <v>28.0</v>
      </c>
      <c r="B78" s="117" t="s">
        <v>698</v>
      </c>
      <c r="C78" s="17" t="s">
        <v>414</v>
      </c>
      <c r="D78" s="91" t="s">
        <v>701</v>
      </c>
      <c r="E78" s="91" t="s">
        <v>702</v>
      </c>
      <c r="F78" s="91" t="s">
        <v>703</v>
      </c>
      <c r="G78" s="118" t="s">
        <v>421</v>
      </c>
      <c r="H78" s="19"/>
      <c r="I78" s="19"/>
      <c r="J78" s="19"/>
      <c r="K78" s="19"/>
      <c r="L78" s="19"/>
      <c r="M78" s="19"/>
      <c r="N78" s="19"/>
      <c r="O78" s="19"/>
      <c r="P78" s="19"/>
    </row>
    <row r="79">
      <c r="A79" s="91">
        <v>29.0</v>
      </c>
      <c r="B79" s="117" t="s">
        <v>709</v>
      </c>
      <c r="C79" s="17" t="s">
        <v>414</v>
      </c>
      <c r="D79" s="91" t="s">
        <v>416</v>
      </c>
      <c r="E79" s="91" t="s">
        <v>710</v>
      </c>
      <c r="F79" s="91" t="s">
        <v>712</v>
      </c>
      <c r="G79" s="118" t="s">
        <v>421</v>
      </c>
      <c r="H79" s="19"/>
      <c r="I79" s="19"/>
      <c r="J79" s="19"/>
      <c r="K79" s="19"/>
      <c r="L79" s="19"/>
      <c r="M79" s="19"/>
      <c r="N79" s="19"/>
      <c r="O79" s="19"/>
      <c r="P79" s="19"/>
    </row>
    <row r="80">
      <c r="A80" s="91">
        <v>30.0</v>
      </c>
      <c r="B80" s="117" t="s">
        <v>716</v>
      </c>
      <c r="C80" s="17" t="s">
        <v>414</v>
      </c>
      <c r="D80" s="91" t="s">
        <v>416</v>
      </c>
      <c r="E80" s="91" t="s">
        <v>719</v>
      </c>
      <c r="F80" s="91" t="s">
        <v>720</v>
      </c>
      <c r="G80" s="118" t="s">
        <v>421</v>
      </c>
      <c r="H80" s="19"/>
      <c r="I80" s="19"/>
      <c r="J80" s="19"/>
      <c r="K80" s="19"/>
      <c r="L80" s="19"/>
      <c r="M80" s="19"/>
      <c r="N80" s="19"/>
      <c r="O80" s="19"/>
      <c r="P80" s="19"/>
    </row>
    <row r="81">
      <c r="A81" s="91">
        <v>31.0</v>
      </c>
      <c r="B81" s="117" t="s">
        <v>723</v>
      </c>
      <c r="C81" s="17" t="s">
        <v>414</v>
      </c>
      <c r="D81" s="91" t="s">
        <v>416</v>
      </c>
      <c r="E81" s="91" t="s">
        <v>725</v>
      </c>
      <c r="F81" s="91" t="s">
        <v>726</v>
      </c>
      <c r="G81" s="118" t="s">
        <v>421</v>
      </c>
      <c r="H81" s="19"/>
      <c r="I81" s="19"/>
      <c r="J81" s="19"/>
      <c r="K81" s="19"/>
      <c r="L81" s="19"/>
      <c r="M81" s="19"/>
      <c r="N81" s="19"/>
      <c r="O81" s="19"/>
      <c r="P81" s="19"/>
    </row>
    <row r="82">
      <c r="A82" s="91">
        <v>32.0</v>
      </c>
      <c r="B82" s="117" t="s">
        <v>732</v>
      </c>
      <c r="C82" s="17" t="s">
        <v>414</v>
      </c>
      <c r="D82" s="91" t="s">
        <v>416</v>
      </c>
      <c r="E82" s="91" t="s">
        <v>734</v>
      </c>
      <c r="F82" s="91" t="s">
        <v>735</v>
      </c>
      <c r="G82" s="118" t="s">
        <v>421</v>
      </c>
      <c r="H82" s="19"/>
      <c r="I82" s="19"/>
      <c r="J82" s="19"/>
      <c r="K82" s="19"/>
      <c r="L82" s="19"/>
      <c r="M82" s="19"/>
      <c r="N82" s="19"/>
      <c r="O82" s="19"/>
      <c r="P82" s="19"/>
    </row>
    <row r="83">
      <c r="A83" s="19"/>
      <c r="B83" s="19"/>
      <c r="C83" s="19"/>
      <c r="D83" s="19"/>
      <c r="E83" s="19"/>
      <c r="F83" s="19"/>
      <c r="G83" s="19"/>
      <c r="H83" s="19"/>
      <c r="I83" s="19"/>
      <c r="J83" s="19"/>
      <c r="K83" s="19"/>
      <c r="L83" s="19"/>
      <c r="M83" s="19"/>
      <c r="N83" s="19"/>
      <c r="O83" s="19"/>
      <c r="P83" s="19"/>
    </row>
    <row r="84">
      <c r="A84" s="104" t="s">
        <v>742</v>
      </c>
      <c r="B84" s="5"/>
      <c r="C84" s="5"/>
      <c r="D84" s="5"/>
      <c r="E84" s="5"/>
      <c r="F84" s="5"/>
      <c r="G84" s="5"/>
      <c r="H84" s="5"/>
      <c r="I84" s="5"/>
      <c r="J84" s="5"/>
      <c r="K84" s="5"/>
      <c r="L84" s="5"/>
      <c r="M84" s="5"/>
      <c r="N84" s="5"/>
      <c r="O84" s="5"/>
      <c r="P84" s="7"/>
    </row>
    <row r="85">
      <c r="A85" s="105" t="s">
        <v>15</v>
      </c>
      <c r="B85" s="106" t="s">
        <v>7</v>
      </c>
      <c r="C85" s="18" t="s">
        <v>26</v>
      </c>
      <c r="D85" s="107" t="s">
        <v>27</v>
      </c>
      <c r="E85" s="107" t="s">
        <v>29</v>
      </c>
      <c r="F85" s="109" t="s">
        <v>30</v>
      </c>
      <c r="G85" s="109" t="s">
        <v>12</v>
      </c>
      <c r="H85" s="111" t="s">
        <v>33</v>
      </c>
      <c r="I85" s="113" t="s">
        <v>34</v>
      </c>
      <c r="J85" s="111" t="s">
        <v>14</v>
      </c>
      <c r="K85" s="42" t="s">
        <v>16</v>
      </c>
      <c r="L85" s="42" t="s">
        <v>35</v>
      </c>
      <c r="M85" s="42" t="s">
        <v>18</v>
      </c>
      <c r="N85" s="42" t="s">
        <v>19</v>
      </c>
      <c r="O85" s="42" t="s">
        <v>20</v>
      </c>
      <c r="P85" s="42" t="s">
        <v>21</v>
      </c>
    </row>
    <row r="86">
      <c r="A86" s="29">
        <v>1.0</v>
      </c>
      <c r="B86" s="26" t="s">
        <v>757</v>
      </c>
      <c r="C86" s="34" t="s">
        <v>437</v>
      </c>
      <c r="D86" s="19"/>
      <c r="E86" s="142" t="s">
        <v>759</v>
      </c>
      <c r="F86" s="29" t="s">
        <v>760</v>
      </c>
      <c r="G86" s="34" t="s">
        <v>762</v>
      </c>
      <c r="H86" s="19"/>
      <c r="I86" s="19"/>
      <c r="J86" s="34" t="s">
        <v>764</v>
      </c>
      <c r="K86" s="34" t="s">
        <v>766</v>
      </c>
      <c r="L86" s="19"/>
      <c r="M86" s="19"/>
      <c r="N86" s="19"/>
      <c r="O86" s="19"/>
      <c r="P86" s="143" t="s">
        <v>767</v>
      </c>
    </row>
    <row r="87">
      <c r="A87" s="29">
        <v>2.0</v>
      </c>
      <c r="B87" s="26" t="s">
        <v>768</v>
      </c>
      <c r="C87" s="34" t="s">
        <v>437</v>
      </c>
      <c r="D87" s="19"/>
      <c r="E87" s="142" t="s">
        <v>770</v>
      </c>
      <c r="F87" s="29" t="s">
        <v>771</v>
      </c>
      <c r="G87" s="34" t="s">
        <v>762</v>
      </c>
      <c r="H87" s="19"/>
      <c r="I87" s="19"/>
      <c r="J87" s="34" t="s">
        <v>51</v>
      </c>
      <c r="K87" s="34" t="s">
        <v>773</v>
      </c>
      <c r="L87" s="19"/>
      <c r="M87" s="19"/>
      <c r="N87" s="19"/>
      <c r="O87" s="19"/>
      <c r="P87" s="143" t="s">
        <v>774</v>
      </c>
    </row>
    <row r="88">
      <c r="A88" s="29">
        <v>3.0</v>
      </c>
      <c r="B88" s="26" t="s">
        <v>775</v>
      </c>
      <c r="C88" s="34" t="s">
        <v>414</v>
      </c>
      <c r="D88" s="19"/>
      <c r="E88" s="142" t="s">
        <v>776</v>
      </c>
      <c r="F88" s="29" t="s">
        <v>777</v>
      </c>
      <c r="G88" s="34" t="s">
        <v>762</v>
      </c>
      <c r="H88" s="19"/>
      <c r="I88" s="19"/>
      <c r="J88" s="34" t="s">
        <v>778</v>
      </c>
      <c r="K88" s="34" t="s">
        <v>779</v>
      </c>
      <c r="L88" s="19"/>
      <c r="M88" s="19"/>
      <c r="N88" s="19"/>
      <c r="O88" s="19"/>
      <c r="P88" s="143" t="s">
        <v>780</v>
      </c>
    </row>
    <row r="89">
      <c r="A89" s="29">
        <v>4.0</v>
      </c>
      <c r="B89" s="26" t="s">
        <v>781</v>
      </c>
      <c r="C89" s="34" t="s">
        <v>414</v>
      </c>
      <c r="D89" s="19"/>
      <c r="E89" s="142" t="s">
        <v>783</v>
      </c>
      <c r="F89" s="29" t="s">
        <v>784</v>
      </c>
      <c r="G89" s="34" t="s">
        <v>762</v>
      </c>
      <c r="H89" s="19"/>
      <c r="I89" s="19"/>
      <c r="J89" s="26" t="s">
        <v>51</v>
      </c>
      <c r="K89" s="146">
        <v>45877.0</v>
      </c>
      <c r="L89" s="19"/>
      <c r="M89" s="19"/>
      <c r="N89" s="19"/>
      <c r="O89" s="19"/>
      <c r="P89" s="143" t="s">
        <v>785</v>
      </c>
    </row>
    <row r="90">
      <c r="A90" s="29">
        <v>5.0</v>
      </c>
      <c r="B90" s="26" t="s">
        <v>786</v>
      </c>
      <c r="C90" s="34" t="s">
        <v>414</v>
      </c>
      <c r="D90" s="19"/>
      <c r="E90" s="142" t="s">
        <v>788</v>
      </c>
      <c r="F90" s="29" t="s">
        <v>789</v>
      </c>
      <c r="G90" s="34" t="s">
        <v>762</v>
      </c>
      <c r="H90" s="19"/>
      <c r="I90" s="19"/>
      <c r="J90" s="26" t="s">
        <v>51</v>
      </c>
      <c r="K90" s="146">
        <v>45877.0</v>
      </c>
      <c r="L90" s="19"/>
      <c r="M90" s="19"/>
      <c r="N90" s="19"/>
      <c r="O90" s="19"/>
      <c r="P90" s="143" t="s">
        <v>790</v>
      </c>
    </row>
    <row r="91">
      <c r="A91" s="29">
        <v>6.0</v>
      </c>
      <c r="B91" s="26" t="s">
        <v>791</v>
      </c>
      <c r="C91" s="34" t="s">
        <v>414</v>
      </c>
      <c r="D91" s="19"/>
      <c r="E91" s="142" t="s">
        <v>792</v>
      </c>
      <c r="F91" s="29" t="s">
        <v>793</v>
      </c>
      <c r="G91" s="34" t="s">
        <v>762</v>
      </c>
      <c r="H91" s="19"/>
      <c r="I91" s="19"/>
      <c r="J91" s="34" t="s">
        <v>51</v>
      </c>
      <c r="K91" s="148">
        <v>45816.0</v>
      </c>
      <c r="L91" s="19"/>
      <c r="M91" s="19"/>
      <c r="N91" s="19"/>
      <c r="O91" s="19"/>
      <c r="P91" s="143" t="s">
        <v>797</v>
      </c>
    </row>
    <row r="92">
      <c r="A92" s="29">
        <v>7.0</v>
      </c>
      <c r="B92" s="26" t="s">
        <v>798</v>
      </c>
      <c r="C92" s="34" t="s">
        <v>414</v>
      </c>
      <c r="D92" s="19"/>
      <c r="E92" s="142" t="s">
        <v>799</v>
      </c>
      <c r="F92" s="29" t="s">
        <v>800</v>
      </c>
      <c r="G92" s="34" t="s">
        <v>762</v>
      </c>
      <c r="H92" s="19"/>
      <c r="I92" s="19"/>
      <c r="J92" s="34" t="s">
        <v>51</v>
      </c>
      <c r="K92" s="148">
        <v>45816.0</v>
      </c>
      <c r="L92" s="19"/>
      <c r="M92" s="19"/>
      <c r="N92" s="19"/>
      <c r="O92" s="19"/>
      <c r="P92" s="143" t="s">
        <v>804</v>
      </c>
    </row>
    <row r="93">
      <c r="A93" s="29">
        <v>8.0</v>
      </c>
      <c r="B93" s="26" t="s">
        <v>807</v>
      </c>
      <c r="C93" s="34" t="s">
        <v>414</v>
      </c>
      <c r="D93" s="19"/>
      <c r="E93" s="142" t="s">
        <v>808</v>
      </c>
      <c r="F93" s="29" t="s">
        <v>809</v>
      </c>
      <c r="G93" s="34" t="s">
        <v>762</v>
      </c>
      <c r="H93" s="19"/>
      <c r="I93" s="19"/>
      <c r="J93" s="34" t="s">
        <v>51</v>
      </c>
      <c r="K93" s="148">
        <v>45816.0</v>
      </c>
      <c r="L93" s="19"/>
      <c r="M93" s="19"/>
      <c r="N93" s="19"/>
      <c r="O93" s="19"/>
      <c r="P93" s="143" t="s">
        <v>813</v>
      </c>
    </row>
    <row r="94">
      <c r="A94" s="29">
        <v>9.0</v>
      </c>
      <c r="B94" s="26" t="s">
        <v>816</v>
      </c>
      <c r="C94" s="34" t="s">
        <v>414</v>
      </c>
      <c r="D94" s="19"/>
      <c r="E94" s="142" t="s">
        <v>817</v>
      </c>
      <c r="F94" s="29" t="s">
        <v>818</v>
      </c>
      <c r="G94" s="34" t="s">
        <v>762</v>
      </c>
      <c r="H94" s="19"/>
      <c r="I94" s="19"/>
      <c r="J94" s="34" t="s">
        <v>51</v>
      </c>
      <c r="K94" s="148">
        <v>45846.0</v>
      </c>
      <c r="L94" s="19"/>
      <c r="M94" s="19"/>
      <c r="N94" s="19"/>
      <c r="O94" s="19"/>
      <c r="P94" s="143" t="s">
        <v>820</v>
      </c>
    </row>
    <row r="95">
      <c r="A95" s="29">
        <v>10.0</v>
      </c>
      <c r="B95" s="26" t="s">
        <v>821</v>
      </c>
      <c r="C95" s="34" t="s">
        <v>437</v>
      </c>
      <c r="D95" s="19"/>
      <c r="E95" s="142" t="s">
        <v>823</v>
      </c>
      <c r="F95" s="29" t="s">
        <v>824</v>
      </c>
      <c r="G95" s="34" t="s">
        <v>762</v>
      </c>
      <c r="H95" s="19"/>
      <c r="I95" s="19"/>
      <c r="J95" s="19"/>
      <c r="K95" s="19"/>
      <c r="L95" s="19"/>
      <c r="M95" s="19"/>
      <c r="N95" s="19"/>
      <c r="O95" s="19"/>
      <c r="P95" s="143" t="s">
        <v>828</v>
      </c>
    </row>
    <row r="96">
      <c r="A96" s="29">
        <v>11.0</v>
      </c>
      <c r="B96" s="26" t="s">
        <v>829</v>
      </c>
      <c r="C96" s="34" t="s">
        <v>414</v>
      </c>
      <c r="D96" s="19"/>
      <c r="E96" s="142" t="s">
        <v>831</v>
      </c>
      <c r="F96" s="29" t="s">
        <v>832</v>
      </c>
      <c r="G96" s="34" t="s">
        <v>762</v>
      </c>
      <c r="H96" s="19"/>
      <c r="I96" s="19"/>
      <c r="J96" s="19"/>
      <c r="K96" s="19"/>
      <c r="L96" s="19"/>
      <c r="M96" s="19"/>
      <c r="N96" s="19"/>
      <c r="O96" s="19"/>
      <c r="P96" s="143" t="s">
        <v>836</v>
      </c>
    </row>
    <row r="97">
      <c r="A97" s="29">
        <v>12.0</v>
      </c>
      <c r="B97" s="26" t="s">
        <v>839</v>
      </c>
      <c r="C97" s="34" t="s">
        <v>414</v>
      </c>
      <c r="D97" s="19"/>
      <c r="E97" s="142" t="s">
        <v>840</v>
      </c>
      <c r="F97" s="29" t="s">
        <v>841</v>
      </c>
      <c r="G97" s="34" t="s">
        <v>762</v>
      </c>
      <c r="H97" s="19"/>
      <c r="I97" s="19"/>
      <c r="J97" s="19"/>
      <c r="K97" s="19"/>
      <c r="L97" s="19"/>
      <c r="M97" s="19"/>
      <c r="N97" s="19"/>
      <c r="O97" s="19"/>
      <c r="P97" s="143" t="s">
        <v>843</v>
      </c>
    </row>
    <row r="98">
      <c r="A98" s="29">
        <v>13.0</v>
      </c>
      <c r="B98" s="26" t="s">
        <v>845</v>
      </c>
      <c r="C98" s="34" t="s">
        <v>414</v>
      </c>
      <c r="D98" s="19"/>
      <c r="E98" s="142" t="s">
        <v>846</v>
      </c>
      <c r="F98" s="29" t="s">
        <v>847</v>
      </c>
      <c r="G98" s="34" t="s">
        <v>762</v>
      </c>
      <c r="H98" s="19"/>
      <c r="I98" s="19"/>
      <c r="J98" s="19"/>
      <c r="K98" s="19"/>
      <c r="L98" s="19"/>
      <c r="M98" s="19"/>
      <c r="N98" s="19"/>
      <c r="O98" s="19"/>
      <c r="P98" s="143" t="s">
        <v>850</v>
      </c>
    </row>
    <row r="99">
      <c r="A99" s="29">
        <v>14.0</v>
      </c>
      <c r="B99" s="26" t="s">
        <v>851</v>
      </c>
      <c r="C99" s="34" t="s">
        <v>414</v>
      </c>
      <c r="D99" s="19"/>
      <c r="E99" s="142" t="s">
        <v>852</v>
      </c>
      <c r="F99" s="29" t="s">
        <v>853</v>
      </c>
      <c r="G99" s="34" t="s">
        <v>762</v>
      </c>
      <c r="H99" s="19"/>
      <c r="I99" s="19"/>
      <c r="J99" s="19"/>
      <c r="K99" s="19"/>
      <c r="L99" s="19"/>
      <c r="M99" s="19"/>
      <c r="N99" s="19"/>
      <c r="O99" s="19"/>
      <c r="P99" s="143" t="s">
        <v>856</v>
      </c>
    </row>
    <row r="100">
      <c r="A100" s="29">
        <v>15.0</v>
      </c>
      <c r="B100" s="26" t="s">
        <v>858</v>
      </c>
      <c r="C100" s="34" t="s">
        <v>414</v>
      </c>
      <c r="D100" s="19"/>
      <c r="E100" s="142" t="s">
        <v>860</v>
      </c>
      <c r="F100" s="29" t="s">
        <v>861</v>
      </c>
      <c r="G100" s="34" t="s">
        <v>762</v>
      </c>
      <c r="H100" s="19"/>
      <c r="I100" s="19"/>
      <c r="J100" s="34" t="s">
        <v>51</v>
      </c>
      <c r="K100" s="34" t="s">
        <v>773</v>
      </c>
      <c r="L100" s="19"/>
      <c r="M100" s="19"/>
      <c r="N100" s="19"/>
      <c r="O100" s="19"/>
      <c r="P100" s="143" t="s">
        <v>864</v>
      </c>
    </row>
    <row r="101">
      <c r="A101" s="29">
        <v>16.0</v>
      </c>
      <c r="B101" s="26" t="s">
        <v>866</v>
      </c>
      <c r="C101" s="34" t="s">
        <v>437</v>
      </c>
      <c r="D101" s="19"/>
      <c r="E101" s="142" t="s">
        <v>870</v>
      </c>
      <c r="F101" s="29" t="s">
        <v>872</v>
      </c>
      <c r="G101" s="34" t="s">
        <v>762</v>
      </c>
      <c r="H101" s="19"/>
      <c r="I101" s="19"/>
      <c r="J101" s="34" t="s">
        <v>51</v>
      </c>
      <c r="K101" s="34" t="s">
        <v>773</v>
      </c>
      <c r="L101" s="19"/>
      <c r="M101" s="19"/>
      <c r="N101" s="19"/>
      <c r="O101" s="19"/>
      <c r="P101" s="143" t="s">
        <v>873</v>
      </c>
    </row>
    <row r="102">
      <c r="A102" s="29">
        <v>17.0</v>
      </c>
      <c r="B102" s="26" t="s">
        <v>875</v>
      </c>
      <c r="C102" s="34" t="s">
        <v>414</v>
      </c>
      <c r="D102" s="19"/>
      <c r="E102" s="142" t="s">
        <v>877</v>
      </c>
      <c r="F102" s="29" t="s">
        <v>879</v>
      </c>
      <c r="G102" s="34" t="s">
        <v>762</v>
      </c>
      <c r="H102" s="19"/>
      <c r="I102" s="19"/>
      <c r="J102" s="34" t="s">
        <v>51</v>
      </c>
      <c r="K102" s="34" t="s">
        <v>773</v>
      </c>
      <c r="L102" s="19"/>
      <c r="M102" s="19"/>
      <c r="N102" s="19"/>
      <c r="O102" s="19"/>
      <c r="P102" s="143" t="s">
        <v>884</v>
      </c>
    </row>
    <row r="103">
      <c r="A103" s="29">
        <v>18.0</v>
      </c>
      <c r="B103" s="26" t="s">
        <v>886</v>
      </c>
      <c r="C103" s="34" t="s">
        <v>414</v>
      </c>
      <c r="D103" s="19"/>
      <c r="E103" s="142" t="s">
        <v>888</v>
      </c>
      <c r="F103" s="29" t="s">
        <v>889</v>
      </c>
      <c r="G103" s="34" t="s">
        <v>762</v>
      </c>
      <c r="H103" s="19"/>
      <c r="I103" s="19"/>
      <c r="J103" s="34" t="s">
        <v>51</v>
      </c>
      <c r="K103" s="148">
        <v>45846.0</v>
      </c>
      <c r="L103" s="19"/>
      <c r="M103" s="19"/>
      <c r="N103" s="19"/>
      <c r="O103" s="19"/>
      <c r="P103" s="143" t="s">
        <v>894</v>
      </c>
    </row>
    <row r="104">
      <c r="A104" s="29">
        <v>19.0</v>
      </c>
      <c r="B104" s="26" t="s">
        <v>895</v>
      </c>
      <c r="C104" s="34" t="s">
        <v>437</v>
      </c>
      <c r="D104" s="19"/>
      <c r="E104" s="142" t="s">
        <v>896</v>
      </c>
      <c r="F104" s="29" t="s">
        <v>897</v>
      </c>
      <c r="G104" s="34" t="s">
        <v>762</v>
      </c>
      <c r="H104" s="19"/>
      <c r="I104" s="19"/>
      <c r="J104" s="34" t="s">
        <v>51</v>
      </c>
      <c r="K104" s="148">
        <v>45846.0</v>
      </c>
      <c r="L104" s="19"/>
      <c r="M104" s="19"/>
      <c r="N104" s="19"/>
      <c r="O104" s="19"/>
      <c r="P104" s="143" t="s">
        <v>902</v>
      </c>
    </row>
  </sheetData>
  <mergeCells count="6">
    <mergeCell ref="A1:P1"/>
    <mergeCell ref="A14:P14"/>
    <mergeCell ref="A29:P29"/>
    <mergeCell ref="A42:P42"/>
    <mergeCell ref="A49:P49"/>
    <mergeCell ref="A84:P84"/>
  </mergeCells>
  <hyperlinks>
    <hyperlink r:id="rId1" ref="A2"/>
    <hyperlink r:id="rId2" ref="A15"/>
    <hyperlink r:id="rId3" ref="A30"/>
    <hyperlink r:id="rId4" ref="A43"/>
    <hyperlink r:id="rId5" ref="A50"/>
    <hyperlink r:id="rId6" ref="A85"/>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25"/>
    <col customWidth="1" min="3" max="3" width="22.38"/>
    <col customWidth="1" min="4" max="4" width="21.5"/>
    <col customWidth="1" min="5" max="5" width="19.75"/>
    <col customWidth="1" min="6" max="6" width="44.25"/>
    <col customWidth="1" min="7" max="7" width="23.63"/>
    <col customWidth="1" min="8" max="8" width="17.38"/>
    <col customWidth="1" min="9" max="9" width="23.75"/>
    <col customWidth="1" min="10" max="10" width="32.88"/>
    <col customWidth="1" min="11" max="11" width="20.75"/>
    <col customWidth="1" min="12" max="12" width="20.0"/>
    <col customWidth="1" min="13" max="13" width="20.13"/>
    <col customWidth="1" min="14" max="14" width="40.63"/>
  </cols>
  <sheetData>
    <row r="1">
      <c r="A1" s="2" t="s">
        <v>1</v>
      </c>
      <c r="B1" s="4" t="s">
        <v>7</v>
      </c>
      <c r="C1" s="4" t="s">
        <v>9</v>
      </c>
      <c r="D1" s="4" t="s">
        <v>10</v>
      </c>
      <c r="E1" s="4" t="s">
        <v>11</v>
      </c>
      <c r="F1" s="4" t="s">
        <v>12</v>
      </c>
      <c r="G1" s="2" t="s">
        <v>13</v>
      </c>
      <c r="H1" s="8" t="s">
        <v>14</v>
      </c>
      <c r="I1" s="9" t="s">
        <v>16</v>
      </c>
      <c r="J1" s="10" t="s">
        <v>17</v>
      </c>
      <c r="K1" s="9" t="s">
        <v>18</v>
      </c>
      <c r="L1" s="9" t="s">
        <v>19</v>
      </c>
      <c r="M1" s="11" t="s">
        <v>20</v>
      </c>
      <c r="N1" s="9" t="s">
        <v>21</v>
      </c>
    </row>
    <row r="2" hidden="1">
      <c r="A2" s="12">
        <v>1.0</v>
      </c>
      <c r="B2" s="12" t="s">
        <v>23</v>
      </c>
      <c r="C2" s="14"/>
      <c r="D2" s="19"/>
      <c r="E2" s="14"/>
      <c r="F2" s="14"/>
      <c r="G2" s="25" t="s">
        <v>31</v>
      </c>
      <c r="H2" s="14"/>
      <c r="I2" s="19"/>
      <c r="J2" s="19"/>
      <c r="K2" s="19"/>
      <c r="L2" s="19"/>
      <c r="M2" s="31"/>
      <c r="N2" s="34" t="s">
        <v>37</v>
      </c>
    </row>
    <row r="3">
      <c r="A3" s="36">
        <v>2.0</v>
      </c>
      <c r="B3" s="38" t="s">
        <v>46</v>
      </c>
      <c r="C3" s="39"/>
      <c r="D3" s="39"/>
      <c r="E3" s="39"/>
      <c r="F3" s="39"/>
      <c r="G3" s="40">
        <v>45755.0</v>
      </c>
      <c r="H3" s="36" t="s">
        <v>51</v>
      </c>
      <c r="I3" s="39"/>
      <c r="J3" s="39"/>
      <c r="K3" s="39"/>
      <c r="L3" s="39"/>
      <c r="M3" s="43"/>
      <c r="N3" s="39"/>
    </row>
    <row r="4" hidden="1">
      <c r="A4" s="36">
        <v>3.0</v>
      </c>
      <c r="B4" s="44" t="s">
        <v>61</v>
      </c>
      <c r="C4" s="45" t="s">
        <v>62</v>
      </c>
      <c r="D4" s="39"/>
      <c r="E4" s="45" t="s">
        <v>65</v>
      </c>
      <c r="F4" s="47" t="s">
        <v>68</v>
      </c>
      <c r="G4" s="45" t="s">
        <v>71</v>
      </c>
      <c r="H4" s="39"/>
      <c r="I4" s="39"/>
      <c r="J4" s="39"/>
      <c r="K4" s="39"/>
      <c r="L4" s="39"/>
      <c r="M4" s="43"/>
      <c r="N4" s="36" t="s">
        <v>37</v>
      </c>
    </row>
    <row r="5">
      <c r="A5" s="36">
        <v>4.0</v>
      </c>
      <c r="B5" s="38" t="s">
        <v>78</v>
      </c>
      <c r="C5" s="45" t="s">
        <v>62</v>
      </c>
      <c r="D5" s="39"/>
      <c r="E5" s="36" t="s">
        <v>84</v>
      </c>
      <c r="F5" s="47" t="s">
        <v>68</v>
      </c>
      <c r="G5" s="36" t="s">
        <v>87</v>
      </c>
      <c r="H5" s="39"/>
      <c r="I5" s="39"/>
      <c r="J5" s="39"/>
      <c r="K5" s="39"/>
      <c r="L5" s="36" t="s">
        <v>89</v>
      </c>
      <c r="M5" s="43"/>
      <c r="N5" s="36" t="s">
        <v>37</v>
      </c>
    </row>
    <row r="6">
      <c r="A6" s="36">
        <v>5.0</v>
      </c>
      <c r="B6" s="38" t="s">
        <v>93</v>
      </c>
      <c r="C6" s="45" t="s">
        <v>62</v>
      </c>
      <c r="D6" s="39"/>
      <c r="E6" s="36" t="s">
        <v>97</v>
      </c>
      <c r="F6" s="47" t="s">
        <v>68</v>
      </c>
      <c r="G6" s="36" t="s">
        <v>99</v>
      </c>
      <c r="H6" s="36" t="s">
        <v>100</v>
      </c>
      <c r="I6" s="39"/>
      <c r="J6" s="39"/>
      <c r="K6" s="39"/>
      <c r="L6" s="36" t="s">
        <v>89</v>
      </c>
      <c r="M6" s="43"/>
      <c r="N6" s="36" t="s">
        <v>37</v>
      </c>
    </row>
    <row r="7" hidden="1">
      <c r="A7" s="36">
        <v>6.0</v>
      </c>
      <c r="B7" s="57" t="s">
        <v>104</v>
      </c>
      <c r="C7" s="58" t="s">
        <v>62</v>
      </c>
      <c r="D7" s="39"/>
      <c r="E7" s="58" t="s">
        <v>109</v>
      </c>
      <c r="F7" s="47" t="s">
        <v>112</v>
      </c>
      <c r="G7" s="36" t="s">
        <v>114</v>
      </c>
      <c r="H7" s="39"/>
      <c r="I7" s="39"/>
      <c r="J7" s="39"/>
      <c r="K7" s="39"/>
      <c r="L7" s="39"/>
      <c r="M7" s="60" t="s">
        <v>115</v>
      </c>
      <c r="N7" s="36" t="s">
        <v>37</v>
      </c>
    </row>
    <row r="8">
      <c r="A8" s="36">
        <v>7.0</v>
      </c>
      <c r="B8" s="61" t="s">
        <v>117</v>
      </c>
      <c r="C8" s="58" t="s">
        <v>62</v>
      </c>
      <c r="D8" s="39"/>
      <c r="E8" s="45" t="s">
        <v>122</v>
      </c>
      <c r="F8" s="39"/>
      <c r="G8" s="36" t="s">
        <v>124</v>
      </c>
      <c r="H8" s="39"/>
      <c r="I8" s="39"/>
      <c r="J8" s="39"/>
      <c r="K8" s="39"/>
      <c r="L8" s="39"/>
      <c r="M8" s="43"/>
      <c r="N8" s="36" t="s">
        <v>128</v>
      </c>
    </row>
    <row r="9" hidden="1">
      <c r="A9" s="36">
        <v>8.0</v>
      </c>
      <c r="B9" s="38" t="s">
        <v>130</v>
      </c>
      <c r="C9" s="39"/>
      <c r="D9" s="39"/>
      <c r="E9" s="39"/>
      <c r="F9" s="39"/>
      <c r="G9" s="39"/>
      <c r="H9" s="39"/>
      <c r="I9" s="39"/>
      <c r="J9" s="39"/>
      <c r="K9" s="39"/>
      <c r="L9" s="39"/>
      <c r="M9" s="43"/>
      <c r="N9" s="39"/>
    </row>
    <row r="10">
      <c r="A10" s="36">
        <v>8.0</v>
      </c>
      <c r="B10" s="38" t="s">
        <v>139</v>
      </c>
      <c r="C10" s="58" t="s">
        <v>62</v>
      </c>
      <c r="D10" s="39"/>
      <c r="E10" s="39"/>
      <c r="F10" s="39"/>
      <c r="G10" s="39"/>
      <c r="H10" s="39"/>
      <c r="I10" s="39"/>
      <c r="J10" s="39"/>
      <c r="K10" s="39"/>
      <c r="L10" s="39"/>
      <c r="M10" s="43"/>
      <c r="N10" s="39"/>
    </row>
    <row r="11">
      <c r="A11" s="36">
        <v>9.0</v>
      </c>
      <c r="B11" s="38" t="s">
        <v>153</v>
      </c>
      <c r="C11" s="58" t="s">
        <v>62</v>
      </c>
      <c r="D11" s="39"/>
      <c r="E11" s="39"/>
      <c r="F11" s="47" t="s">
        <v>68</v>
      </c>
      <c r="G11" s="40">
        <v>45728.0</v>
      </c>
      <c r="H11" s="39"/>
      <c r="I11" s="39"/>
      <c r="J11" s="39"/>
      <c r="K11" s="39"/>
      <c r="L11" s="39"/>
      <c r="M11" s="43"/>
      <c r="N11" s="39"/>
    </row>
    <row r="12">
      <c r="A12" s="36">
        <v>10.0</v>
      </c>
      <c r="B12" s="38" t="s">
        <v>162</v>
      </c>
      <c r="C12" s="58" t="s">
        <v>62</v>
      </c>
      <c r="D12" s="39"/>
      <c r="E12" s="39"/>
      <c r="F12" s="39"/>
      <c r="G12" s="39"/>
      <c r="H12" s="39"/>
      <c r="I12" s="39"/>
      <c r="J12" s="39"/>
      <c r="K12" s="39"/>
      <c r="L12" s="39"/>
      <c r="M12" s="43"/>
      <c r="N12" s="39"/>
    </row>
    <row r="13">
      <c r="A13" s="36">
        <v>11.0</v>
      </c>
      <c r="B13" s="38" t="s">
        <v>171</v>
      </c>
      <c r="C13" s="58" t="s">
        <v>62</v>
      </c>
      <c r="D13" s="39"/>
      <c r="E13" s="39"/>
      <c r="F13" s="36" t="s">
        <v>173</v>
      </c>
      <c r="G13" s="39"/>
      <c r="H13" s="39"/>
      <c r="I13" s="39"/>
      <c r="J13" s="39"/>
      <c r="K13" s="39"/>
      <c r="L13" s="39"/>
      <c r="M13" s="43"/>
      <c r="N13" s="39"/>
    </row>
    <row r="14">
      <c r="A14" s="36">
        <v>12.0</v>
      </c>
      <c r="B14" s="38" t="s">
        <v>177</v>
      </c>
      <c r="C14" s="58" t="s">
        <v>62</v>
      </c>
      <c r="D14" s="39"/>
      <c r="E14" s="45" t="s">
        <v>181</v>
      </c>
      <c r="F14" s="47" t="s">
        <v>68</v>
      </c>
      <c r="G14" s="39"/>
      <c r="H14" s="39"/>
      <c r="I14" s="39"/>
      <c r="J14" s="39"/>
      <c r="K14" s="39"/>
      <c r="L14" s="39"/>
      <c r="M14" s="43"/>
      <c r="N14" s="39"/>
    </row>
    <row r="15">
      <c r="A15" s="36">
        <v>13.0</v>
      </c>
      <c r="B15" s="38" t="s">
        <v>189</v>
      </c>
      <c r="C15" s="58" t="s">
        <v>62</v>
      </c>
      <c r="D15" s="39"/>
      <c r="E15" s="39"/>
      <c r="F15" s="47" t="s">
        <v>68</v>
      </c>
      <c r="G15" s="39"/>
      <c r="H15" s="39"/>
      <c r="I15" s="39"/>
      <c r="J15" s="39"/>
      <c r="K15" s="39"/>
      <c r="L15" s="39"/>
      <c r="M15" s="43"/>
      <c r="N15" s="39"/>
    </row>
    <row r="16">
      <c r="A16" s="36">
        <v>14.0</v>
      </c>
      <c r="B16" s="38" t="s">
        <v>199</v>
      </c>
      <c r="C16" s="39"/>
      <c r="D16" s="36">
        <v>1566.0</v>
      </c>
      <c r="E16" s="36" t="s">
        <v>201</v>
      </c>
      <c r="F16" s="36" t="s">
        <v>206</v>
      </c>
      <c r="G16" s="39"/>
      <c r="H16" s="36" t="s">
        <v>209</v>
      </c>
      <c r="I16" s="36" t="s">
        <v>210</v>
      </c>
      <c r="J16" s="36" t="s">
        <v>51</v>
      </c>
      <c r="K16" s="36" t="s">
        <v>212</v>
      </c>
      <c r="L16" s="39"/>
      <c r="M16" s="43"/>
      <c r="N16" s="36" t="s">
        <v>37</v>
      </c>
    </row>
    <row r="17">
      <c r="A17" s="36">
        <v>15.0</v>
      </c>
      <c r="B17" s="38" t="s">
        <v>214</v>
      </c>
      <c r="C17" s="39"/>
      <c r="D17" s="39"/>
      <c r="E17" s="39"/>
      <c r="F17" s="47" t="s">
        <v>68</v>
      </c>
      <c r="G17" s="39"/>
      <c r="H17" s="39"/>
      <c r="I17" s="39"/>
      <c r="J17" s="39"/>
      <c r="K17" s="39"/>
      <c r="L17" s="39"/>
      <c r="M17" s="43"/>
      <c r="N17" s="39"/>
    </row>
    <row r="18">
      <c r="A18" s="36">
        <v>16.0</v>
      </c>
      <c r="B18" s="38" t="s">
        <v>222</v>
      </c>
      <c r="C18" s="39"/>
      <c r="D18" s="39"/>
      <c r="E18" s="39"/>
      <c r="F18" s="39"/>
      <c r="G18" s="39"/>
      <c r="H18" s="39"/>
      <c r="I18" s="39"/>
      <c r="J18" s="39"/>
      <c r="K18" s="39"/>
      <c r="L18" s="39"/>
      <c r="M18" s="43"/>
      <c r="N18" s="39"/>
    </row>
    <row r="19">
      <c r="A19" s="36">
        <v>17.0</v>
      </c>
      <c r="B19" s="38" t="s">
        <v>233</v>
      </c>
      <c r="C19" s="39"/>
      <c r="D19" s="39"/>
      <c r="E19" s="36" t="s">
        <v>237</v>
      </c>
      <c r="F19" s="39"/>
      <c r="G19" s="39"/>
      <c r="H19" s="39"/>
      <c r="I19" s="39"/>
      <c r="J19" s="39"/>
      <c r="K19" s="39"/>
      <c r="L19" s="39"/>
      <c r="M19" s="43"/>
      <c r="N19" s="39"/>
    </row>
    <row r="20">
      <c r="A20" s="36">
        <v>18.0</v>
      </c>
      <c r="B20" s="38" t="s">
        <v>241</v>
      </c>
      <c r="C20" s="39"/>
      <c r="D20" s="39"/>
      <c r="E20" s="36" t="s">
        <v>245</v>
      </c>
      <c r="F20" s="39"/>
      <c r="G20" s="39"/>
      <c r="H20" s="39"/>
      <c r="I20" s="39"/>
      <c r="J20" s="39"/>
      <c r="K20" s="39"/>
      <c r="L20" s="39"/>
      <c r="M20" s="43"/>
      <c r="N20" s="39"/>
    </row>
    <row r="21">
      <c r="A21" s="36">
        <v>19.0</v>
      </c>
      <c r="B21" s="38" t="s">
        <v>250</v>
      </c>
      <c r="C21" s="39"/>
      <c r="D21" s="39"/>
      <c r="E21" s="36" t="s">
        <v>253</v>
      </c>
      <c r="F21" s="39"/>
      <c r="G21" s="39"/>
      <c r="H21" s="39"/>
      <c r="I21" s="39"/>
      <c r="J21" s="39"/>
      <c r="K21" s="39"/>
      <c r="L21" s="39"/>
      <c r="M21" s="43"/>
      <c r="N21" s="39"/>
    </row>
    <row r="22">
      <c r="A22" s="36">
        <v>20.0</v>
      </c>
      <c r="B22" s="38" t="s">
        <v>262</v>
      </c>
      <c r="C22" s="39"/>
      <c r="D22" s="39"/>
      <c r="E22" s="36" t="s">
        <v>264</v>
      </c>
      <c r="F22" s="39"/>
      <c r="G22" s="39"/>
      <c r="H22" s="39"/>
      <c r="I22" s="39"/>
      <c r="J22" s="39"/>
      <c r="K22" s="39"/>
      <c r="L22" s="39"/>
      <c r="M22" s="43"/>
      <c r="N22" s="39"/>
    </row>
    <row r="23">
      <c r="A23" s="36">
        <v>21.0</v>
      </c>
      <c r="B23" s="38" t="s">
        <v>272</v>
      </c>
      <c r="C23" s="39"/>
      <c r="D23" s="39"/>
      <c r="E23" s="36" t="s">
        <v>274</v>
      </c>
      <c r="F23" s="39"/>
      <c r="G23" s="39"/>
      <c r="H23" s="39"/>
      <c r="I23" s="39"/>
      <c r="J23" s="39"/>
      <c r="K23" s="39"/>
      <c r="L23" s="39"/>
      <c r="M23" s="43"/>
      <c r="N23" s="39"/>
    </row>
    <row r="24">
      <c r="A24" s="36">
        <v>22.0</v>
      </c>
      <c r="B24" s="38" t="s">
        <v>282</v>
      </c>
      <c r="C24" s="39"/>
      <c r="D24" s="39"/>
      <c r="E24" s="39"/>
      <c r="F24" s="39"/>
      <c r="G24" s="36" t="s">
        <v>283</v>
      </c>
      <c r="H24" s="39"/>
      <c r="I24" s="39"/>
      <c r="J24" s="39"/>
      <c r="K24" s="39"/>
      <c r="L24" s="39"/>
      <c r="M24" s="43"/>
      <c r="N24" s="39"/>
    </row>
    <row r="25">
      <c r="A25" s="36">
        <v>23.0</v>
      </c>
      <c r="B25" s="38" t="s">
        <v>287</v>
      </c>
      <c r="C25" s="39"/>
      <c r="D25" s="36" t="s">
        <v>288</v>
      </c>
      <c r="E25" s="36" t="s">
        <v>290</v>
      </c>
      <c r="F25" s="39"/>
      <c r="G25" s="39"/>
      <c r="H25" s="36" t="s">
        <v>292</v>
      </c>
      <c r="I25" s="36" t="s">
        <v>294</v>
      </c>
      <c r="J25" s="36" t="s">
        <v>51</v>
      </c>
      <c r="K25" s="36" t="s">
        <v>212</v>
      </c>
      <c r="L25" s="36" t="s">
        <v>298</v>
      </c>
      <c r="M25" s="60" t="s">
        <v>299</v>
      </c>
      <c r="N25" s="39"/>
    </row>
    <row r="26">
      <c r="A26" s="36">
        <v>24.0</v>
      </c>
      <c r="B26" s="38" t="s">
        <v>300</v>
      </c>
      <c r="C26" s="39"/>
      <c r="D26" s="39"/>
      <c r="E26" s="39"/>
      <c r="F26" s="39"/>
      <c r="G26" s="39"/>
      <c r="H26" s="39"/>
      <c r="I26" s="39"/>
      <c r="J26" s="39"/>
      <c r="K26" s="39"/>
      <c r="L26" s="39"/>
      <c r="M26" s="43"/>
      <c r="N26" s="39"/>
    </row>
    <row r="27">
      <c r="A27" s="36">
        <v>25.0</v>
      </c>
      <c r="B27" s="38" t="s">
        <v>305</v>
      </c>
      <c r="C27" s="39"/>
      <c r="D27" s="39"/>
      <c r="E27" s="39"/>
      <c r="F27" s="39"/>
      <c r="G27" s="39"/>
      <c r="H27" s="39"/>
      <c r="I27" s="39"/>
      <c r="J27" s="39"/>
      <c r="K27" s="39"/>
      <c r="L27" s="39"/>
      <c r="M27" s="43"/>
      <c r="N27" s="39"/>
    </row>
    <row r="28">
      <c r="A28" s="36">
        <v>26.0</v>
      </c>
      <c r="B28" s="38" t="s">
        <v>312</v>
      </c>
      <c r="C28" s="58" t="s">
        <v>62</v>
      </c>
      <c r="D28" s="39"/>
      <c r="E28" s="39"/>
      <c r="F28" s="39"/>
      <c r="G28" s="39"/>
      <c r="H28" s="39"/>
      <c r="I28" s="39"/>
      <c r="J28" s="39"/>
      <c r="K28" s="39"/>
      <c r="L28" s="39"/>
      <c r="M28" s="43"/>
      <c r="N28" s="39"/>
    </row>
    <row r="29">
      <c r="A29" s="36">
        <v>27.0</v>
      </c>
      <c r="B29" s="38" t="s">
        <v>320</v>
      </c>
      <c r="C29" s="58" t="s">
        <v>62</v>
      </c>
      <c r="D29" s="39"/>
      <c r="E29" s="39"/>
      <c r="F29" s="39"/>
      <c r="G29" s="39"/>
      <c r="H29" s="39"/>
      <c r="I29" s="39"/>
      <c r="J29" s="39"/>
      <c r="K29" s="39"/>
      <c r="L29" s="39"/>
      <c r="M29" s="43"/>
      <c r="N29" s="39"/>
    </row>
    <row r="30">
      <c r="A30" s="36">
        <v>28.0</v>
      </c>
      <c r="B30" s="38" t="s">
        <v>326</v>
      </c>
      <c r="C30" s="58" t="s">
        <v>62</v>
      </c>
      <c r="D30" s="39"/>
      <c r="E30" s="39"/>
      <c r="F30" s="39"/>
      <c r="G30" s="39"/>
      <c r="H30" s="39"/>
      <c r="I30" s="39"/>
      <c r="J30" s="39"/>
      <c r="K30" s="39"/>
      <c r="L30" s="39"/>
      <c r="M30" s="43"/>
      <c r="N30" s="39"/>
    </row>
    <row r="31">
      <c r="A31" s="36">
        <v>29.0</v>
      </c>
      <c r="B31" s="38" t="s">
        <v>332</v>
      </c>
      <c r="C31" s="39"/>
      <c r="D31" s="39"/>
      <c r="E31" s="36" t="s">
        <v>334</v>
      </c>
      <c r="F31" s="36" t="s">
        <v>335</v>
      </c>
      <c r="G31" s="39"/>
      <c r="H31" s="39"/>
      <c r="I31" s="39"/>
      <c r="J31" s="39"/>
      <c r="K31" s="39"/>
      <c r="L31" s="39"/>
      <c r="M31" s="43"/>
      <c r="N31" s="39"/>
    </row>
    <row r="32">
      <c r="A32" s="36">
        <v>30.0</v>
      </c>
      <c r="B32" s="38" t="s">
        <v>340</v>
      </c>
      <c r="C32" s="58" t="s">
        <v>62</v>
      </c>
      <c r="D32" s="39"/>
      <c r="E32" s="39"/>
      <c r="F32" s="47" t="s">
        <v>68</v>
      </c>
      <c r="G32" s="39"/>
      <c r="H32" s="39"/>
      <c r="I32" s="39"/>
      <c r="J32" s="39"/>
      <c r="K32" s="39"/>
      <c r="L32" s="39"/>
      <c r="M32" s="43"/>
      <c r="N32" s="39"/>
    </row>
    <row r="33">
      <c r="A33" s="36">
        <v>31.0</v>
      </c>
      <c r="B33" s="38" t="s">
        <v>345</v>
      </c>
      <c r="C33" s="58" t="s">
        <v>62</v>
      </c>
      <c r="D33" s="39"/>
      <c r="E33" s="39"/>
      <c r="F33" s="47" t="s">
        <v>68</v>
      </c>
      <c r="G33" s="39"/>
      <c r="H33" s="39"/>
      <c r="I33" s="39"/>
      <c r="J33" s="39"/>
      <c r="K33" s="39"/>
      <c r="L33" s="39"/>
      <c r="M33" s="43"/>
      <c r="N33" s="39"/>
    </row>
    <row r="34">
      <c r="A34" s="36">
        <v>32.0</v>
      </c>
      <c r="B34" s="38" t="s">
        <v>358</v>
      </c>
      <c r="C34" s="39"/>
      <c r="D34" s="39"/>
      <c r="E34" s="36" t="s">
        <v>361</v>
      </c>
      <c r="F34" s="36" t="s">
        <v>335</v>
      </c>
      <c r="G34" s="39"/>
      <c r="H34" s="39"/>
      <c r="I34" s="39"/>
      <c r="J34" s="36" t="s">
        <v>362</v>
      </c>
      <c r="K34" s="39"/>
      <c r="L34" s="36" t="s">
        <v>363</v>
      </c>
      <c r="M34" s="60">
        <v>46085.0</v>
      </c>
      <c r="N34" s="39"/>
    </row>
    <row r="35">
      <c r="A35" s="36">
        <v>33.0</v>
      </c>
      <c r="B35" s="38" t="s">
        <v>365</v>
      </c>
      <c r="C35" s="58" t="s">
        <v>62</v>
      </c>
      <c r="D35" s="39"/>
      <c r="E35" s="39"/>
      <c r="F35" s="36" t="s">
        <v>173</v>
      </c>
      <c r="G35" s="36" t="s">
        <v>371</v>
      </c>
      <c r="H35" s="36" t="s">
        <v>374</v>
      </c>
      <c r="I35" s="36" t="s">
        <v>375</v>
      </c>
      <c r="J35" s="36" t="s">
        <v>377</v>
      </c>
      <c r="K35" s="39"/>
      <c r="L35" s="36" t="s">
        <v>298</v>
      </c>
      <c r="M35" s="60">
        <v>46178.0</v>
      </c>
      <c r="N35" s="39"/>
    </row>
    <row r="36">
      <c r="A36" s="36">
        <v>34.0</v>
      </c>
      <c r="B36" s="38" t="s">
        <v>380</v>
      </c>
      <c r="C36" s="58" t="s">
        <v>62</v>
      </c>
      <c r="D36" s="39"/>
      <c r="E36" s="39"/>
      <c r="F36" s="36" t="s">
        <v>173</v>
      </c>
      <c r="G36" s="36" t="s">
        <v>371</v>
      </c>
      <c r="H36" s="36" t="s">
        <v>374</v>
      </c>
      <c r="I36" s="36" t="s">
        <v>375</v>
      </c>
      <c r="J36" s="36" t="s">
        <v>377</v>
      </c>
      <c r="K36" s="39"/>
      <c r="L36" s="36" t="s">
        <v>298</v>
      </c>
      <c r="M36" s="60">
        <v>46178.0</v>
      </c>
      <c r="N36" s="39"/>
    </row>
    <row r="37">
      <c r="A37" s="36">
        <v>35.0</v>
      </c>
      <c r="B37" s="38" t="s">
        <v>392</v>
      </c>
      <c r="C37" s="58" t="s">
        <v>62</v>
      </c>
      <c r="D37" s="39"/>
      <c r="E37" s="39"/>
      <c r="F37" s="47" t="s">
        <v>68</v>
      </c>
      <c r="G37" s="39"/>
      <c r="H37" s="39"/>
      <c r="I37" s="39"/>
      <c r="J37" s="36" t="s">
        <v>377</v>
      </c>
      <c r="K37" s="39"/>
      <c r="L37" s="39"/>
      <c r="M37" s="43"/>
      <c r="N37" s="39"/>
    </row>
    <row r="38">
      <c r="A38" s="36">
        <v>36.0</v>
      </c>
      <c r="B38" s="38" t="s">
        <v>402</v>
      </c>
      <c r="C38" s="39"/>
      <c r="D38" s="39"/>
      <c r="E38" s="36" t="s">
        <v>405</v>
      </c>
      <c r="F38" s="36" t="s">
        <v>406</v>
      </c>
      <c r="G38" s="39"/>
      <c r="H38" s="39"/>
      <c r="I38" s="39"/>
      <c r="J38" s="36" t="s">
        <v>407</v>
      </c>
      <c r="K38" s="39"/>
      <c r="L38" s="36" t="s">
        <v>298</v>
      </c>
      <c r="M38" s="60" t="s">
        <v>409</v>
      </c>
      <c r="N38" s="39"/>
    </row>
    <row r="39">
      <c r="A39" s="36">
        <v>39.0</v>
      </c>
      <c r="B39" s="38" t="s">
        <v>411</v>
      </c>
      <c r="C39" s="58" t="s">
        <v>62</v>
      </c>
      <c r="D39" s="39"/>
      <c r="E39" s="36" t="s">
        <v>417</v>
      </c>
      <c r="F39" s="39" t="s">
        <v>25</v>
      </c>
      <c r="G39" s="39"/>
      <c r="H39" s="39"/>
      <c r="I39" s="39"/>
      <c r="J39" s="39"/>
      <c r="K39" s="39"/>
      <c r="L39" s="39"/>
      <c r="M39" s="43"/>
      <c r="N39" s="39"/>
    </row>
    <row r="40">
      <c r="A40" s="36">
        <v>41.0</v>
      </c>
      <c r="B40" s="38" t="s">
        <v>427</v>
      </c>
      <c r="C40" s="58" t="s">
        <v>62</v>
      </c>
      <c r="D40" s="39"/>
      <c r="E40" s="36" t="s">
        <v>430</v>
      </c>
      <c r="F40" s="36" t="s">
        <v>431</v>
      </c>
      <c r="G40" s="39"/>
      <c r="H40" s="39"/>
      <c r="I40" s="39"/>
      <c r="J40" s="39"/>
      <c r="K40" s="39"/>
      <c r="L40" s="39"/>
      <c r="M40" s="43"/>
      <c r="N40" s="39"/>
    </row>
    <row r="41">
      <c r="A41" s="36">
        <v>42.0</v>
      </c>
      <c r="B41" s="38" t="s">
        <v>441</v>
      </c>
      <c r="C41" s="58" t="s">
        <v>62</v>
      </c>
      <c r="D41" s="39"/>
      <c r="E41" s="36" t="s">
        <v>445</v>
      </c>
      <c r="F41" s="36" t="s">
        <v>431</v>
      </c>
      <c r="G41" s="39"/>
      <c r="H41" s="39"/>
      <c r="I41" s="39"/>
      <c r="J41" s="39"/>
      <c r="K41" s="39"/>
      <c r="L41" s="39"/>
      <c r="M41" s="43"/>
      <c r="N41" s="39"/>
    </row>
    <row r="42">
      <c r="A42" s="36">
        <v>43.0</v>
      </c>
      <c r="B42" s="38" t="s">
        <v>454</v>
      </c>
      <c r="C42" s="58" t="s">
        <v>62</v>
      </c>
      <c r="D42" s="39"/>
      <c r="E42" s="39"/>
      <c r="F42" s="39"/>
      <c r="G42" s="39"/>
      <c r="H42" s="39"/>
      <c r="I42" s="39"/>
      <c r="J42" s="36" t="s">
        <v>362</v>
      </c>
      <c r="K42" s="39"/>
      <c r="L42" s="36" t="s">
        <v>462</v>
      </c>
      <c r="M42" s="43"/>
      <c r="N42" s="39"/>
    </row>
    <row r="43">
      <c r="A43" s="36">
        <v>44.0</v>
      </c>
      <c r="B43" s="38" t="s">
        <v>464</v>
      </c>
      <c r="C43" s="58" t="s">
        <v>62</v>
      </c>
      <c r="D43" s="39"/>
      <c r="E43" s="39"/>
      <c r="F43" s="39"/>
      <c r="G43" s="39"/>
      <c r="H43" s="39"/>
      <c r="I43" s="39"/>
      <c r="J43" s="36" t="s">
        <v>362</v>
      </c>
      <c r="K43" s="39"/>
      <c r="L43" s="36" t="s">
        <v>462</v>
      </c>
      <c r="M43" s="43"/>
      <c r="N43" s="39"/>
    </row>
    <row r="44">
      <c r="A44" s="36">
        <v>45.0</v>
      </c>
      <c r="B44" s="38" t="s">
        <v>476</v>
      </c>
      <c r="C44" s="58" t="s">
        <v>62</v>
      </c>
      <c r="D44" s="39"/>
      <c r="E44" s="39"/>
      <c r="F44" s="39"/>
      <c r="G44" s="39"/>
      <c r="H44" s="39"/>
      <c r="I44" s="39"/>
      <c r="J44" s="36" t="s">
        <v>362</v>
      </c>
      <c r="K44" s="39"/>
      <c r="L44" s="36" t="s">
        <v>462</v>
      </c>
      <c r="M44" s="43"/>
      <c r="N44" s="39"/>
    </row>
    <row r="45">
      <c r="A45" s="36">
        <v>46.0</v>
      </c>
      <c r="B45" s="38" t="s">
        <v>490</v>
      </c>
      <c r="C45" s="58" t="s">
        <v>62</v>
      </c>
      <c r="D45" s="39"/>
      <c r="E45" s="36"/>
      <c r="F45" s="36"/>
      <c r="G45" s="39"/>
      <c r="H45" s="39"/>
      <c r="I45" s="39"/>
      <c r="J45" s="39"/>
      <c r="K45" s="39"/>
      <c r="L45" s="39"/>
      <c r="M45" s="43"/>
      <c r="N45" s="39"/>
    </row>
    <row r="46">
      <c r="A46" s="36">
        <v>47.0</v>
      </c>
      <c r="B46" s="38" t="s">
        <v>500</v>
      </c>
      <c r="C46" s="58" t="s">
        <v>62</v>
      </c>
      <c r="D46" s="39"/>
      <c r="E46" s="36" t="s">
        <v>505</v>
      </c>
      <c r="F46" s="36" t="s">
        <v>506</v>
      </c>
      <c r="G46" s="39"/>
      <c r="H46" s="39"/>
      <c r="I46" s="39"/>
      <c r="J46" s="39"/>
      <c r="K46" s="39"/>
      <c r="L46" s="39"/>
      <c r="M46" s="43"/>
      <c r="N46" s="39"/>
    </row>
    <row r="47">
      <c r="A47" s="36">
        <v>48.0</v>
      </c>
      <c r="B47" s="38" t="s">
        <v>513</v>
      </c>
      <c r="C47" s="58" t="s">
        <v>62</v>
      </c>
      <c r="D47" s="39"/>
      <c r="E47" s="36" t="s">
        <v>515</v>
      </c>
      <c r="F47" s="36" t="s">
        <v>506</v>
      </c>
      <c r="G47" s="39"/>
      <c r="H47" s="39"/>
      <c r="I47" s="39"/>
      <c r="J47" s="39"/>
      <c r="K47" s="39"/>
      <c r="L47" s="39"/>
      <c r="M47" s="43"/>
      <c r="N47" s="39"/>
    </row>
    <row r="48">
      <c r="A48" s="36">
        <v>49.0</v>
      </c>
      <c r="B48" s="38" t="s">
        <v>524</v>
      </c>
      <c r="C48" s="58" t="s">
        <v>62</v>
      </c>
      <c r="D48" s="39"/>
      <c r="E48" s="36" t="s">
        <v>526</v>
      </c>
      <c r="F48" s="36" t="s">
        <v>527</v>
      </c>
      <c r="G48" s="39"/>
      <c r="H48" s="39"/>
      <c r="I48" s="39"/>
      <c r="J48" s="39"/>
      <c r="K48" s="39"/>
      <c r="L48" s="39"/>
      <c r="M48" s="43"/>
      <c r="N48" s="39"/>
    </row>
    <row r="49">
      <c r="A49" s="36">
        <v>50.0</v>
      </c>
      <c r="B49" s="38" t="s">
        <v>534</v>
      </c>
      <c r="C49" s="58" t="s">
        <v>62</v>
      </c>
      <c r="D49" s="39"/>
      <c r="E49" s="36" t="s">
        <v>537</v>
      </c>
      <c r="F49" s="36" t="s">
        <v>538</v>
      </c>
      <c r="G49" s="36" t="s">
        <v>541</v>
      </c>
      <c r="H49" s="39"/>
      <c r="I49" s="39"/>
      <c r="J49" s="36" t="s">
        <v>407</v>
      </c>
      <c r="K49" s="39"/>
      <c r="L49" s="36" t="s">
        <v>298</v>
      </c>
      <c r="M49" s="60" t="s">
        <v>546</v>
      </c>
      <c r="N49" s="39"/>
    </row>
    <row r="50">
      <c r="A50" s="36">
        <v>51.0</v>
      </c>
      <c r="B50" s="123" t="s">
        <v>549</v>
      </c>
      <c r="C50" s="58" t="s">
        <v>62</v>
      </c>
      <c r="D50" s="39"/>
      <c r="E50" s="39" t="s">
        <v>554</v>
      </c>
      <c r="F50" s="124" t="s">
        <v>556</v>
      </c>
      <c r="G50" s="39"/>
      <c r="H50" s="39"/>
      <c r="I50" s="39"/>
      <c r="J50" s="39"/>
      <c r="K50" s="39"/>
      <c r="L50" s="39"/>
      <c r="M50" s="43"/>
      <c r="N50" s="39"/>
    </row>
    <row r="51">
      <c r="A51" s="36">
        <v>52.0</v>
      </c>
      <c r="B51" s="126" t="s">
        <v>568</v>
      </c>
      <c r="C51" s="58" t="s">
        <v>62</v>
      </c>
      <c r="D51" s="39"/>
      <c r="E51" s="124" t="s">
        <v>573</v>
      </c>
      <c r="F51" s="124" t="s">
        <v>556</v>
      </c>
      <c r="G51" s="39"/>
      <c r="H51" s="39"/>
      <c r="I51" s="39"/>
      <c r="J51" s="39"/>
      <c r="K51" s="39"/>
      <c r="L51" s="39"/>
      <c r="M51" s="43"/>
      <c r="N51" s="39"/>
    </row>
    <row r="52">
      <c r="A52" s="36">
        <v>53.0</v>
      </c>
      <c r="B52" s="126" t="s">
        <v>580</v>
      </c>
      <c r="C52" s="58" t="s">
        <v>62</v>
      </c>
      <c r="D52" s="39"/>
      <c r="E52" s="39" t="s">
        <v>581</v>
      </c>
      <c r="F52" s="124" t="s">
        <v>556</v>
      </c>
      <c r="G52" s="39"/>
      <c r="H52" s="39"/>
      <c r="I52" s="39"/>
      <c r="J52" s="39"/>
      <c r="K52" s="39"/>
      <c r="L52" s="39"/>
      <c r="M52" s="43"/>
      <c r="N52" s="39"/>
    </row>
    <row r="53">
      <c r="A53" s="12">
        <v>55.0</v>
      </c>
      <c r="B53" s="129" t="s">
        <v>591</v>
      </c>
      <c r="C53" s="14"/>
      <c r="D53" s="14"/>
      <c r="E53" s="12" t="s">
        <v>593</v>
      </c>
      <c r="F53" s="12" t="s">
        <v>594</v>
      </c>
      <c r="G53" s="14"/>
      <c r="H53" s="14"/>
      <c r="I53" s="14"/>
      <c r="J53" s="14"/>
      <c r="K53" s="14"/>
      <c r="L53" s="14"/>
      <c r="M53" s="31"/>
      <c r="N53" s="14"/>
    </row>
    <row r="54">
      <c r="A54" s="36">
        <v>56.0</v>
      </c>
      <c r="B54" s="129" t="s">
        <v>604</v>
      </c>
      <c r="C54" s="58" t="s">
        <v>62</v>
      </c>
      <c r="D54" s="19"/>
      <c r="E54" s="12" t="s">
        <v>606</v>
      </c>
      <c r="F54" s="12" t="s">
        <v>607</v>
      </c>
      <c r="G54" s="14"/>
      <c r="H54" s="14"/>
      <c r="I54" s="19"/>
      <c r="J54" s="36" t="s">
        <v>407</v>
      </c>
      <c r="K54" s="39"/>
      <c r="L54" s="36" t="s">
        <v>298</v>
      </c>
      <c r="M54" s="36" t="s">
        <v>611</v>
      </c>
      <c r="N54" s="19"/>
    </row>
    <row r="55">
      <c r="A55" s="12">
        <v>57.0</v>
      </c>
      <c r="B55" s="129" t="s">
        <v>617</v>
      </c>
      <c r="C55" s="58" t="s">
        <v>62</v>
      </c>
      <c r="D55" s="19"/>
      <c r="E55" s="12" t="s">
        <v>622</v>
      </c>
      <c r="F55" s="12" t="s">
        <v>607</v>
      </c>
      <c r="G55" s="14"/>
      <c r="H55" s="14"/>
      <c r="I55" s="19"/>
      <c r="J55" s="36" t="s">
        <v>407</v>
      </c>
      <c r="K55" s="39"/>
      <c r="L55" s="36" t="s">
        <v>298</v>
      </c>
      <c r="M55" s="36" t="s">
        <v>611</v>
      </c>
      <c r="N55" s="19"/>
    </row>
    <row r="56">
      <c r="A56" s="36">
        <v>58.0</v>
      </c>
      <c r="B56" s="129" t="s">
        <v>626</v>
      </c>
      <c r="C56" s="58" t="s">
        <v>62</v>
      </c>
      <c r="D56" s="19"/>
      <c r="E56" s="12" t="s">
        <v>628</v>
      </c>
      <c r="F56" s="12" t="s">
        <v>607</v>
      </c>
      <c r="G56" s="40">
        <v>46361.0</v>
      </c>
      <c r="H56" s="14"/>
      <c r="I56" s="19"/>
      <c r="J56" s="36" t="s">
        <v>407</v>
      </c>
      <c r="K56" s="39"/>
      <c r="L56" s="130" t="s">
        <v>633</v>
      </c>
      <c r="M56" s="36" t="s">
        <v>611</v>
      </c>
      <c r="N56" s="19"/>
    </row>
    <row r="57">
      <c r="A57" s="12">
        <v>59.0</v>
      </c>
      <c r="B57" s="129" t="s">
        <v>635</v>
      </c>
      <c r="C57" s="58" t="s">
        <v>62</v>
      </c>
      <c r="D57" s="14"/>
      <c r="E57" s="12" t="s">
        <v>638</v>
      </c>
      <c r="F57" s="12" t="s">
        <v>594</v>
      </c>
      <c r="G57" s="14"/>
      <c r="H57" s="14"/>
      <c r="I57" s="14"/>
      <c r="J57" s="14"/>
      <c r="K57" s="14"/>
      <c r="L57" s="14"/>
      <c r="M57" s="31"/>
      <c r="N57" s="131"/>
    </row>
    <row r="58">
      <c r="A58" s="36">
        <v>60.0</v>
      </c>
      <c r="B58" s="129" t="s">
        <v>646</v>
      </c>
      <c r="C58" s="58" t="s">
        <v>62</v>
      </c>
      <c r="D58" s="19"/>
      <c r="E58" s="14"/>
      <c r="F58" s="14"/>
      <c r="G58" s="14"/>
      <c r="H58" s="14"/>
      <c r="I58" s="19"/>
      <c r="J58" s="19"/>
      <c r="K58" s="19"/>
      <c r="L58" s="19"/>
      <c r="M58" s="31"/>
      <c r="N58" s="19"/>
    </row>
    <row r="59">
      <c r="A59" s="12">
        <v>61.0</v>
      </c>
      <c r="B59" s="133" t="s">
        <v>661</v>
      </c>
      <c r="C59" s="58" t="s">
        <v>62</v>
      </c>
      <c r="D59" s="19"/>
      <c r="E59" s="12" t="s">
        <v>663</v>
      </c>
      <c r="F59" s="12" t="s">
        <v>594</v>
      </c>
      <c r="G59" s="14"/>
      <c r="H59" s="14"/>
      <c r="I59" s="19"/>
      <c r="J59" s="19"/>
      <c r="K59" s="19"/>
      <c r="L59" s="19"/>
      <c r="M59" s="31"/>
      <c r="N59" s="19"/>
    </row>
    <row r="60">
      <c r="A60" s="36">
        <v>62.0</v>
      </c>
      <c r="B60" s="129" t="s">
        <v>672</v>
      </c>
      <c r="C60" s="58" t="s">
        <v>62</v>
      </c>
      <c r="D60" s="19"/>
      <c r="E60" s="12" t="s">
        <v>676</v>
      </c>
      <c r="F60" s="12" t="s">
        <v>594</v>
      </c>
      <c r="G60" s="14"/>
      <c r="H60" s="14"/>
      <c r="I60" s="19"/>
      <c r="J60" s="19"/>
      <c r="K60" s="19"/>
      <c r="L60" s="19"/>
      <c r="M60" s="31"/>
      <c r="N60" s="19"/>
    </row>
    <row r="61">
      <c r="A61" s="12">
        <v>63.0</v>
      </c>
      <c r="B61" s="34" t="s">
        <v>682</v>
      </c>
      <c r="C61" s="58" t="s">
        <v>62</v>
      </c>
      <c r="D61" s="19"/>
      <c r="E61" s="134" t="s">
        <v>695</v>
      </c>
      <c r="F61" s="135" t="s">
        <v>696</v>
      </c>
      <c r="G61" s="34" t="s">
        <v>697</v>
      </c>
      <c r="H61" s="12" t="s">
        <v>699</v>
      </c>
      <c r="I61" s="34" t="s">
        <v>700</v>
      </c>
      <c r="J61" s="12" t="s">
        <v>699</v>
      </c>
      <c r="K61" s="19"/>
      <c r="L61" s="19"/>
      <c r="M61" s="136">
        <v>46302.0</v>
      </c>
      <c r="N61" s="36" t="s">
        <v>37</v>
      </c>
    </row>
    <row r="62">
      <c r="A62" s="12">
        <v>64.0</v>
      </c>
      <c r="B62" s="137" t="s">
        <v>707</v>
      </c>
      <c r="C62" s="58" t="s">
        <v>62</v>
      </c>
      <c r="D62" s="19"/>
      <c r="E62" s="134" t="s">
        <v>711</v>
      </c>
      <c r="F62" s="138" t="s">
        <v>696</v>
      </c>
      <c r="G62" s="34" t="s">
        <v>697</v>
      </c>
      <c r="H62" s="12" t="s">
        <v>699</v>
      </c>
      <c r="I62" s="34" t="s">
        <v>700</v>
      </c>
      <c r="J62" s="12" t="s">
        <v>699</v>
      </c>
      <c r="K62" s="19"/>
      <c r="L62" s="19"/>
      <c r="M62" s="136">
        <v>46302.0</v>
      </c>
      <c r="N62" s="36" t="s">
        <v>37</v>
      </c>
    </row>
    <row r="63">
      <c r="A63" s="12">
        <v>65.0</v>
      </c>
      <c r="B63" s="129" t="s">
        <v>721</v>
      </c>
      <c r="C63" s="58" t="s">
        <v>62</v>
      </c>
      <c r="D63" s="19"/>
      <c r="E63" s="12" t="s">
        <v>724</v>
      </c>
      <c r="F63" s="139" t="s">
        <v>728</v>
      </c>
      <c r="G63" s="140"/>
      <c r="H63" s="140"/>
      <c r="M63" s="141"/>
    </row>
    <row r="64">
      <c r="A64" s="12">
        <v>66.0</v>
      </c>
      <c r="B64" s="129" t="s">
        <v>733</v>
      </c>
      <c r="C64" s="58" t="s">
        <v>62</v>
      </c>
      <c r="D64" s="19"/>
      <c r="E64" s="12" t="s">
        <v>736</v>
      </c>
      <c r="F64" s="139" t="s">
        <v>728</v>
      </c>
      <c r="G64" s="140"/>
      <c r="H64" s="140"/>
      <c r="M64" s="141"/>
    </row>
    <row r="65">
      <c r="A65" s="12">
        <v>67.0</v>
      </c>
      <c r="B65" s="129" t="s">
        <v>738</v>
      </c>
      <c r="C65" s="58" t="s">
        <v>62</v>
      </c>
      <c r="D65" s="19"/>
      <c r="E65" s="12" t="s">
        <v>739</v>
      </c>
      <c r="F65" s="12" t="s">
        <v>594</v>
      </c>
      <c r="G65" s="140"/>
      <c r="H65" s="140"/>
      <c r="M65" s="141"/>
    </row>
    <row r="66">
      <c r="A66" s="12">
        <v>68.0</v>
      </c>
      <c r="B66" s="34" t="s">
        <v>741</v>
      </c>
      <c r="C66" s="14"/>
      <c r="D66" s="19"/>
      <c r="E66" s="14"/>
      <c r="F66" s="34" t="s">
        <v>746</v>
      </c>
      <c r="G66" s="14"/>
      <c r="H66" s="140"/>
      <c r="M66" s="141"/>
    </row>
    <row r="67">
      <c r="A67" s="12">
        <v>69.0</v>
      </c>
      <c r="B67" s="129" t="s">
        <v>747</v>
      </c>
      <c r="C67" s="14"/>
      <c r="D67" s="19"/>
      <c r="E67" s="12" t="s">
        <v>749</v>
      </c>
      <c r="F67" s="12" t="s">
        <v>750</v>
      </c>
      <c r="G67" s="14"/>
      <c r="H67" s="140"/>
      <c r="M67" s="141"/>
    </row>
    <row r="68">
      <c r="A68" s="140"/>
      <c r="B68" s="140"/>
      <c r="C68" s="140"/>
      <c r="E68" s="140"/>
      <c r="F68" s="140"/>
      <c r="G68" s="140"/>
      <c r="H68" s="140"/>
      <c r="M68" s="141"/>
    </row>
    <row r="69">
      <c r="A69" s="140"/>
      <c r="B69" s="140"/>
      <c r="C69" s="140"/>
      <c r="E69" s="140"/>
      <c r="F69" s="140"/>
      <c r="G69" s="140"/>
      <c r="H69" s="140"/>
      <c r="M69" s="141"/>
    </row>
    <row r="70">
      <c r="A70" s="140"/>
      <c r="B70" s="140"/>
      <c r="C70" s="140"/>
      <c r="E70" s="140"/>
      <c r="F70" s="140"/>
      <c r="G70" s="140"/>
      <c r="H70" s="140"/>
      <c r="M70" s="141"/>
    </row>
    <row r="71">
      <c r="A71" s="140"/>
      <c r="B71" s="140"/>
      <c r="C71" s="140"/>
      <c r="E71" s="140"/>
      <c r="F71" s="140"/>
      <c r="G71" s="140"/>
      <c r="H71" s="140"/>
      <c r="M71" s="141"/>
    </row>
    <row r="72">
      <c r="A72" s="140"/>
      <c r="B72" s="140"/>
      <c r="C72" s="140"/>
      <c r="E72" s="140"/>
      <c r="F72" s="140"/>
      <c r="G72" s="140"/>
      <c r="H72" s="140"/>
      <c r="M72" s="141"/>
    </row>
    <row r="73">
      <c r="A73" s="140"/>
      <c r="B73" s="140"/>
      <c r="C73" s="140"/>
      <c r="E73" s="140"/>
      <c r="F73" s="140"/>
      <c r="G73" s="140"/>
      <c r="H73" s="140"/>
      <c r="M73" s="141"/>
    </row>
    <row r="74">
      <c r="A74" s="140"/>
      <c r="B74" s="140"/>
      <c r="C74" s="140"/>
      <c r="E74" s="140"/>
      <c r="F74" s="140"/>
      <c r="G74" s="140"/>
      <c r="H74" s="140"/>
      <c r="M74" s="141"/>
    </row>
    <row r="75">
      <c r="A75" s="140"/>
      <c r="B75" s="140"/>
      <c r="C75" s="140"/>
      <c r="E75" s="140"/>
      <c r="F75" s="140"/>
      <c r="G75" s="140"/>
      <c r="H75" s="140"/>
      <c r="M75" s="141"/>
    </row>
    <row r="76">
      <c r="A76" s="140"/>
      <c r="B76" s="140"/>
      <c r="C76" s="140"/>
      <c r="E76" s="140"/>
      <c r="F76" s="140"/>
      <c r="G76" s="140"/>
      <c r="H76" s="140"/>
      <c r="M76" s="141"/>
    </row>
    <row r="77">
      <c r="A77" s="140"/>
      <c r="B77" s="140"/>
      <c r="C77" s="140"/>
      <c r="E77" s="140"/>
      <c r="F77" s="140"/>
      <c r="G77" s="140"/>
      <c r="H77" s="140"/>
      <c r="M77" s="141"/>
    </row>
    <row r="78">
      <c r="A78" s="140"/>
      <c r="B78" s="140"/>
      <c r="C78" s="140"/>
      <c r="E78" s="140"/>
      <c r="F78" s="140"/>
      <c r="G78" s="140"/>
      <c r="H78" s="140"/>
      <c r="M78" s="141"/>
    </row>
    <row r="79">
      <c r="A79" s="140"/>
      <c r="B79" s="140"/>
      <c r="C79" s="140"/>
      <c r="E79" s="140"/>
      <c r="F79" s="140"/>
      <c r="G79" s="140"/>
      <c r="H79" s="140"/>
      <c r="M79" s="141"/>
    </row>
    <row r="80">
      <c r="A80" s="140"/>
      <c r="B80" s="140"/>
      <c r="C80" s="140"/>
      <c r="E80" s="140"/>
      <c r="F80" s="140"/>
      <c r="G80" s="140"/>
      <c r="H80" s="140"/>
      <c r="M80" s="141"/>
    </row>
    <row r="81">
      <c r="A81" s="140"/>
      <c r="B81" s="140"/>
      <c r="C81" s="140"/>
      <c r="E81" s="140"/>
      <c r="F81" s="140"/>
      <c r="G81" s="140"/>
      <c r="H81" s="140"/>
      <c r="M81" s="141"/>
    </row>
    <row r="82">
      <c r="A82" s="140"/>
      <c r="B82" s="140"/>
      <c r="C82" s="140"/>
      <c r="E82" s="140"/>
      <c r="F82" s="140"/>
      <c r="G82" s="140"/>
      <c r="H82" s="140"/>
      <c r="M82" s="141"/>
    </row>
    <row r="83">
      <c r="A83" s="140"/>
      <c r="B83" s="140"/>
      <c r="C83" s="140"/>
      <c r="E83" s="140"/>
      <c r="F83" s="140"/>
      <c r="G83" s="140"/>
      <c r="H83" s="140"/>
      <c r="M83" s="141"/>
    </row>
    <row r="84">
      <c r="A84" s="140"/>
      <c r="B84" s="140"/>
      <c r="C84" s="140"/>
      <c r="E84" s="140"/>
      <c r="F84" s="140"/>
      <c r="G84" s="140"/>
      <c r="H84" s="140"/>
      <c r="M84" s="141"/>
    </row>
    <row r="85">
      <c r="A85" s="140"/>
      <c r="B85" s="140"/>
      <c r="C85" s="140"/>
      <c r="E85" s="140"/>
      <c r="F85" s="140"/>
      <c r="G85" s="140"/>
      <c r="H85" s="140"/>
      <c r="M85" s="141"/>
    </row>
    <row r="86">
      <c r="A86" s="140"/>
      <c r="B86" s="140"/>
      <c r="C86" s="140"/>
      <c r="E86" s="140"/>
      <c r="F86" s="140"/>
      <c r="G86" s="140"/>
      <c r="H86" s="140"/>
      <c r="M86" s="141"/>
    </row>
    <row r="87">
      <c r="A87" s="140"/>
      <c r="B87" s="140"/>
      <c r="C87" s="140"/>
      <c r="E87" s="140"/>
      <c r="F87" s="140"/>
      <c r="G87" s="140"/>
      <c r="H87" s="140"/>
      <c r="M87" s="141"/>
    </row>
    <row r="88">
      <c r="A88" s="140"/>
      <c r="B88" s="140"/>
      <c r="C88" s="140"/>
      <c r="E88" s="140"/>
      <c r="F88" s="140"/>
      <c r="G88" s="140"/>
      <c r="H88" s="140"/>
      <c r="M88" s="141"/>
    </row>
    <row r="89">
      <c r="A89" s="140"/>
      <c r="B89" s="140"/>
      <c r="C89" s="140"/>
      <c r="E89" s="140"/>
      <c r="F89" s="140"/>
      <c r="G89" s="140"/>
      <c r="H89" s="140"/>
      <c r="M89" s="141"/>
    </row>
    <row r="90">
      <c r="A90" s="140"/>
      <c r="B90" s="140"/>
      <c r="C90" s="140"/>
      <c r="E90" s="140"/>
      <c r="F90" s="140"/>
      <c r="G90" s="140"/>
      <c r="H90" s="140"/>
      <c r="M90" s="141"/>
    </row>
    <row r="91">
      <c r="A91" s="140"/>
      <c r="B91" s="140"/>
      <c r="C91" s="140"/>
      <c r="E91" s="140"/>
      <c r="F91" s="140"/>
      <c r="G91" s="140"/>
      <c r="H91" s="140"/>
      <c r="M91" s="141"/>
    </row>
    <row r="92">
      <c r="A92" s="140"/>
      <c r="B92" s="140"/>
      <c r="C92" s="140"/>
      <c r="E92" s="140"/>
      <c r="F92" s="140"/>
      <c r="G92" s="140"/>
      <c r="H92" s="140"/>
      <c r="M92" s="141"/>
    </row>
    <row r="93">
      <c r="A93" s="140"/>
      <c r="B93" s="140"/>
      <c r="C93" s="140"/>
      <c r="E93" s="140"/>
      <c r="F93" s="140"/>
      <c r="G93" s="140"/>
      <c r="H93" s="140"/>
      <c r="M93" s="141"/>
    </row>
    <row r="94">
      <c r="A94" s="140"/>
      <c r="B94" s="140"/>
      <c r="C94" s="140"/>
      <c r="E94" s="140"/>
      <c r="F94" s="140"/>
      <c r="G94" s="140"/>
      <c r="H94" s="140"/>
      <c r="M94" s="141"/>
    </row>
    <row r="95">
      <c r="A95" s="140"/>
      <c r="B95" s="140"/>
      <c r="C95" s="140"/>
      <c r="E95" s="140"/>
      <c r="F95" s="140"/>
      <c r="G95" s="140"/>
      <c r="H95" s="140"/>
      <c r="M95" s="141"/>
    </row>
    <row r="96">
      <c r="A96" s="140"/>
      <c r="B96" s="140"/>
      <c r="C96" s="140"/>
      <c r="E96" s="140"/>
      <c r="F96" s="140"/>
      <c r="G96" s="140"/>
      <c r="H96" s="140"/>
      <c r="M96" s="141"/>
    </row>
    <row r="97">
      <c r="A97" s="140"/>
      <c r="B97" s="140"/>
      <c r="C97" s="140"/>
      <c r="E97" s="140"/>
      <c r="F97" s="140"/>
      <c r="G97" s="140"/>
      <c r="H97" s="140"/>
      <c r="M97" s="141"/>
    </row>
    <row r="98">
      <c r="A98" s="140"/>
      <c r="B98" s="140"/>
      <c r="C98" s="140"/>
      <c r="E98" s="140"/>
      <c r="F98" s="140"/>
      <c r="G98" s="140"/>
      <c r="H98" s="140"/>
      <c r="M98" s="141"/>
    </row>
    <row r="99">
      <c r="A99" s="140"/>
      <c r="B99" s="140"/>
      <c r="C99" s="140"/>
      <c r="E99" s="140"/>
      <c r="F99" s="140"/>
      <c r="G99" s="140"/>
      <c r="H99" s="140"/>
      <c r="M99" s="141"/>
    </row>
    <row r="100">
      <c r="A100" s="140"/>
      <c r="B100" s="140"/>
      <c r="C100" s="140"/>
      <c r="E100" s="140"/>
      <c r="F100" s="140"/>
      <c r="G100" s="140"/>
      <c r="H100" s="140"/>
      <c r="M100" s="141"/>
    </row>
    <row r="101">
      <c r="A101" s="140"/>
      <c r="B101" s="140"/>
      <c r="C101" s="140"/>
      <c r="E101" s="140"/>
      <c r="F101" s="140"/>
      <c r="G101" s="140"/>
      <c r="H101" s="140"/>
      <c r="M101" s="141"/>
    </row>
    <row r="102">
      <c r="A102" s="140"/>
      <c r="B102" s="140"/>
      <c r="C102" s="140"/>
      <c r="E102" s="140"/>
      <c r="F102" s="140"/>
      <c r="G102" s="140"/>
      <c r="H102" s="140"/>
      <c r="M102" s="141"/>
    </row>
    <row r="103">
      <c r="A103" s="140"/>
      <c r="B103" s="140"/>
      <c r="C103" s="140"/>
      <c r="E103" s="140"/>
      <c r="F103" s="140"/>
      <c r="G103" s="140"/>
      <c r="H103" s="140"/>
      <c r="M103" s="141"/>
    </row>
    <row r="104">
      <c r="A104" s="140"/>
      <c r="B104" s="140"/>
      <c r="C104" s="140"/>
      <c r="E104" s="140"/>
      <c r="F104" s="140"/>
      <c r="G104" s="140"/>
      <c r="H104" s="140"/>
      <c r="M104" s="141"/>
    </row>
    <row r="105">
      <c r="A105" s="140"/>
      <c r="B105" s="140"/>
      <c r="C105" s="140"/>
      <c r="E105" s="140"/>
      <c r="F105" s="140"/>
      <c r="G105" s="140"/>
      <c r="H105" s="140"/>
      <c r="M105" s="141"/>
    </row>
    <row r="106">
      <c r="A106" s="140"/>
      <c r="B106" s="140"/>
      <c r="C106" s="140"/>
      <c r="E106" s="140"/>
      <c r="F106" s="140"/>
      <c r="G106" s="140"/>
      <c r="H106" s="140"/>
      <c r="M106" s="141"/>
    </row>
    <row r="107">
      <c r="A107" s="140"/>
      <c r="B107" s="140"/>
      <c r="C107" s="140"/>
      <c r="E107" s="140"/>
      <c r="F107" s="140"/>
      <c r="G107" s="140"/>
      <c r="H107" s="140"/>
      <c r="M107" s="141"/>
    </row>
    <row r="108">
      <c r="A108" s="140"/>
      <c r="B108" s="140"/>
      <c r="C108" s="140"/>
      <c r="E108" s="140"/>
      <c r="F108" s="140"/>
      <c r="G108" s="140"/>
      <c r="H108" s="140"/>
      <c r="M108" s="141"/>
    </row>
    <row r="109">
      <c r="A109" s="140"/>
      <c r="B109" s="140"/>
      <c r="C109" s="140"/>
      <c r="E109" s="140"/>
      <c r="F109" s="140"/>
      <c r="G109" s="140"/>
      <c r="H109" s="140"/>
      <c r="M109" s="141"/>
    </row>
    <row r="110">
      <c r="A110" s="140"/>
      <c r="B110" s="140"/>
      <c r="C110" s="140"/>
      <c r="E110" s="140"/>
      <c r="F110" s="140"/>
      <c r="G110" s="140"/>
      <c r="H110" s="140"/>
      <c r="M110" s="141"/>
    </row>
    <row r="111">
      <c r="A111" s="140"/>
      <c r="B111" s="140"/>
      <c r="C111" s="140"/>
      <c r="E111" s="140"/>
      <c r="F111" s="140"/>
      <c r="G111" s="140"/>
      <c r="H111" s="140"/>
      <c r="M111" s="141"/>
    </row>
    <row r="112">
      <c r="A112" s="140"/>
      <c r="B112" s="140"/>
      <c r="C112" s="140"/>
      <c r="E112" s="140"/>
      <c r="F112" s="140"/>
      <c r="G112" s="140"/>
      <c r="H112" s="140"/>
      <c r="M112" s="141"/>
    </row>
    <row r="113">
      <c r="A113" s="140"/>
      <c r="B113" s="140"/>
      <c r="C113" s="140"/>
      <c r="E113" s="140"/>
      <c r="F113" s="140"/>
      <c r="G113" s="140"/>
      <c r="H113" s="140"/>
      <c r="M113" s="141"/>
    </row>
    <row r="114">
      <c r="A114" s="140"/>
      <c r="B114" s="140"/>
      <c r="C114" s="140"/>
      <c r="E114" s="140"/>
      <c r="F114" s="140"/>
      <c r="G114" s="140"/>
      <c r="H114" s="140"/>
      <c r="M114" s="141"/>
    </row>
    <row r="115">
      <c r="A115" s="140"/>
      <c r="B115" s="140"/>
      <c r="C115" s="140"/>
      <c r="E115" s="140"/>
      <c r="F115" s="140"/>
      <c r="G115" s="140"/>
      <c r="H115" s="140"/>
      <c r="M115" s="141"/>
    </row>
    <row r="116">
      <c r="A116" s="140"/>
      <c r="B116" s="140"/>
      <c r="C116" s="140"/>
      <c r="E116" s="140"/>
      <c r="F116" s="140"/>
      <c r="G116" s="140"/>
      <c r="H116" s="140"/>
      <c r="M116" s="141"/>
    </row>
    <row r="117">
      <c r="A117" s="140"/>
      <c r="B117" s="140"/>
      <c r="C117" s="140"/>
      <c r="E117" s="140"/>
      <c r="F117" s="140"/>
      <c r="G117" s="140"/>
      <c r="H117" s="140"/>
      <c r="M117" s="141"/>
    </row>
    <row r="118">
      <c r="A118" s="140"/>
      <c r="B118" s="140"/>
      <c r="C118" s="140"/>
      <c r="E118" s="140"/>
      <c r="F118" s="140"/>
      <c r="G118" s="140"/>
      <c r="H118" s="140"/>
      <c r="M118" s="141"/>
    </row>
    <row r="119">
      <c r="A119" s="140"/>
      <c r="B119" s="140"/>
      <c r="C119" s="140"/>
      <c r="E119" s="140"/>
      <c r="F119" s="140"/>
      <c r="G119" s="140"/>
      <c r="H119" s="140"/>
      <c r="M119" s="141"/>
    </row>
    <row r="120">
      <c r="A120" s="140"/>
      <c r="B120" s="140"/>
      <c r="C120" s="140"/>
      <c r="E120" s="140"/>
      <c r="F120" s="140"/>
      <c r="G120" s="140"/>
      <c r="H120" s="140"/>
      <c r="M120" s="141"/>
    </row>
    <row r="121">
      <c r="A121" s="140"/>
      <c r="B121" s="140"/>
      <c r="C121" s="140"/>
      <c r="E121" s="140"/>
      <c r="F121" s="140"/>
      <c r="G121" s="140"/>
      <c r="H121" s="140"/>
      <c r="M121" s="141"/>
    </row>
    <row r="122">
      <c r="A122" s="140"/>
      <c r="B122" s="140"/>
      <c r="C122" s="140"/>
      <c r="E122" s="140"/>
      <c r="F122" s="140"/>
      <c r="G122" s="140"/>
      <c r="H122" s="140"/>
      <c r="M122" s="141"/>
    </row>
    <row r="123">
      <c r="A123" s="140"/>
      <c r="B123" s="140"/>
      <c r="C123" s="140"/>
      <c r="E123" s="140"/>
      <c r="F123" s="140"/>
      <c r="G123" s="140"/>
      <c r="H123" s="140"/>
      <c r="M123" s="141"/>
    </row>
    <row r="124">
      <c r="A124" s="140"/>
      <c r="B124" s="140"/>
      <c r="C124" s="140"/>
      <c r="E124" s="140"/>
      <c r="F124" s="140"/>
      <c r="G124" s="140"/>
      <c r="H124" s="140"/>
      <c r="M124" s="141"/>
    </row>
    <row r="125">
      <c r="A125" s="140"/>
      <c r="B125" s="140"/>
      <c r="C125" s="140"/>
      <c r="E125" s="140"/>
      <c r="F125" s="140"/>
      <c r="G125" s="140"/>
      <c r="H125" s="140"/>
      <c r="M125" s="141"/>
    </row>
    <row r="126">
      <c r="A126" s="140"/>
      <c r="B126" s="140"/>
      <c r="C126" s="140"/>
      <c r="E126" s="140"/>
      <c r="F126" s="140"/>
      <c r="G126" s="140"/>
      <c r="H126" s="140"/>
      <c r="M126" s="141"/>
    </row>
    <row r="127">
      <c r="A127" s="140"/>
      <c r="B127" s="140"/>
      <c r="C127" s="140"/>
      <c r="E127" s="140"/>
      <c r="F127" s="140"/>
      <c r="G127" s="140"/>
      <c r="H127" s="140"/>
      <c r="M127" s="141"/>
    </row>
    <row r="128">
      <c r="A128" s="140"/>
      <c r="B128" s="140"/>
      <c r="C128" s="140"/>
      <c r="E128" s="140"/>
      <c r="F128" s="140"/>
      <c r="G128" s="140"/>
      <c r="H128" s="140"/>
      <c r="M128" s="141"/>
    </row>
    <row r="129">
      <c r="A129" s="140"/>
      <c r="B129" s="140"/>
      <c r="C129" s="140"/>
      <c r="E129" s="140"/>
      <c r="F129" s="140"/>
      <c r="G129" s="140"/>
      <c r="H129" s="140"/>
      <c r="M129" s="141"/>
    </row>
    <row r="130">
      <c r="A130" s="140"/>
      <c r="B130" s="140"/>
      <c r="C130" s="140"/>
      <c r="E130" s="140"/>
      <c r="F130" s="140"/>
      <c r="G130" s="140"/>
      <c r="H130" s="140"/>
      <c r="M130" s="141"/>
    </row>
    <row r="131">
      <c r="A131" s="140"/>
      <c r="B131" s="140"/>
      <c r="C131" s="140"/>
      <c r="E131" s="140"/>
      <c r="F131" s="140"/>
      <c r="G131" s="140"/>
      <c r="H131" s="140"/>
      <c r="M131" s="141"/>
    </row>
    <row r="132">
      <c r="A132" s="140"/>
      <c r="B132" s="140"/>
      <c r="C132" s="140"/>
      <c r="E132" s="140"/>
      <c r="F132" s="140"/>
      <c r="G132" s="140"/>
      <c r="H132" s="140"/>
      <c r="M132" s="141"/>
    </row>
    <row r="133">
      <c r="A133" s="140"/>
      <c r="B133" s="140"/>
      <c r="C133" s="140"/>
      <c r="E133" s="140"/>
      <c r="F133" s="140"/>
      <c r="G133" s="140"/>
      <c r="H133" s="140"/>
      <c r="M133" s="141"/>
    </row>
    <row r="134">
      <c r="A134" s="140"/>
      <c r="B134" s="140"/>
      <c r="C134" s="140"/>
      <c r="E134" s="140"/>
      <c r="F134" s="140"/>
      <c r="G134" s="140"/>
      <c r="H134" s="140"/>
      <c r="M134" s="141"/>
    </row>
    <row r="135">
      <c r="A135" s="140"/>
      <c r="B135" s="140"/>
      <c r="C135" s="140"/>
      <c r="E135" s="140"/>
      <c r="F135" s="140"/>
      <c r="G135" s="140"/>
      <c r="H135" s="140"/>
      <c r="M135" s="141"/>
    </row>
    <row r="136">
      <c r="A136" s="140"/>
      <c r="B136" s="140"/>
      <c r="C136" s="140"/>
      <c r="E136" s="140"/>
      <c r="F136" s="140"/>
      <c r="G136" s="140"/>
      <c r="H136" s="140"/>
      <c r="M136" s="141"/>
    </row>
    <row r="137">
      <c r="A137" s="140"/>
      <c r="B137" s="140"/>
      <c r="C137" s="140"/>
      <c r="E137" s="140"/>
      <c r="F137" s="140"/>
      <c r="G137" s="140"/>
      <c r="H137" s="140"/>
      <c r="M137" s="141"/>
    </row>
    <row r="138">
      <c r="A138" s="140"/>
      <c r="B138" s="140"/>
      <c r="C138" s="140"/>
      <c r="E138" s="140"/>
      <c r="F138" s="140"/>
      <c r="G138" s="140"/>
      <c r="H138" s="140"/>
      <c r="M138" s="141"/>
    </row>
    <row r="139">
      <c r="A139" s="140"/>
      <c r="B139" s="140"/>
      <c r="C139" s="140"/>
      <c r="E139" s="140"/>
      <c r="F139" s="140"/>
      <c r="G139" s="140"/>
      <c r="H139" s="140"/>
      <c r="M139" s="141"/>
    </row>
    <row r="140">
      <c r="A140" s="140"/>
      <c r="B140" s="140"/>
      <c r="C140" s="140"/>
      <c r="E140" s="140"/>
      <c r="F140" s="140"/>
      <c r="G140" s="140"/>
      <c r="H140" s="140"/>
      <c r="M140" s="141"/>
    </row>
    <row r="141">
      <c r="A141" s="140"/>
      <c r="B141" s="140"/>
      <c r="C141" s="140"/>
      <c r="E141" s="140"/>
      <c r="F141" s="140"/>
      <c r="G141" s="140"/>
      <c r="H141" s="140"/>
      <c r="M141" s="141"/>
    </row>
    <row r="142">
      <c r="A142" s="140"/>
      <c r="B142" s="140"/>
      <c r="C142" s="140"/>
      <c r="E142" s="140"/>
      <c r="F142" s="140"/>
      <c r="G142" s="140"/>
      <c r="H142" s="140"/>
      <c r="M142" s="141"/>
    </row>
    <row r="143">
      <c r="A143" s="140"/>
      <c r="B143" s="140"/>
      <c r="C143" s="140"/>
      <c r="E143" s="140"/>
      <c r="F143" s="140"/>
      <c r="G143" s="140"/>
      <c r="H143" s="140"/>
      <c r="M143" s="141"/>
    </row>
    <row r="144">
      <c r="A144" s="140"/>
      <c r="B144" s="140"/>
      <c r="C144" s="140"/>
      <c r="E144" s="140"/>
      <c r="F144" s="140"/>
      <c r="G144" s="140"/>
      <c r="H144" s="140"/>
      <c r="M144" s="141"/>
    </row>
    <row r="145">
      <c r="A145" s="140"/>
      <c r="B145" s="140"/>
      <c r="C145" s="140"/>
      <c r="E145" s="140"/>
      <c r="F145" s="140"/>
      <c r="G145" s="140"/>
      <c r="H145" s="140"/>
      <c r="M145" s="141"/>
    </row>
    <row r="146">
      <c r="A146" s="140"/>
      <c r="B146" s="140"/>
      <c r="C146" s="140"/>
      <c r="E146" s="140"/>
      <c r="F146" s="140"/>
      <c r="G146" s="140"/>
      <c r="H146" s="140"/>
      <c r="M146" s="141"/>
    </row>
    <row r="147">
      <c r="A147" s="140"/>
      <c r="B147" s="140"/>
      <c r="C147" s="140"/>
      <c r="E147" s="140"/>
      <c r="F147" s="140"/>
      <c r="G147" s="140"/>
      <c r="H147" s="140"/>
      <c r="M147" s="141"/>
    </row>
    <row r="148">
      <c r="A148" s="140"/>
      <c r="B148" s="140"/>
      <c r="C148" s="140"/>
      <c r="E148" s="140"/>
      <c r="F148" s="140"/>
      <c r="G148" s="140"/>
      <c r="H148" s="140"/>
      <c r="M148" s="141"/>
    </row>
    <row r="149">
      <c r="A149" s="140"/>
      <c r="B149" s="140"/>
      <c r="C149" s="140"/>
      <c r="E149" s="140"/>
      <c r="F149" s="140"/>
      <c r="G149" s="140"/>
      <c r="H149" s="140"/>
      <c r="M149" s="141"/>
    </row>
    <row r="150">
      <c r="A150" s="140"/>
      <c r="B150" s="140"/>
      <c r="C150" s="140"/>
      <c r="E150" s="140"/>
      <c r="F150" s="140"/>
      <c r="G150" s="140"/>
      <c r="H150" s="140"/>
      <c r="M150" s="141"/>
    </row>
    <row r="151">
      <c r="A151" s="140"/>
      <c r="B151" s="140"/>
      <c r="C151" s="140"/>
      <c r="E151" s="140"/>
      <c r="F151" s="140"/>
      <c r="G151" s="140"/>
      <c r="H151" s="140"/>
      <c r="M151" s="141"/>
    </row>
    <row r="152">
      <c r="A152" s="140"/>
      <c r="B152" s="140"/>
      <c r="C152" s="140"/>
      <c r="E152" s="140"/>
      <c r="F152" s="140"/>
      <c r="G152" s="140"/>
      <c r="H152" s="140"/>
      <c r="M152" s="141"/>
    </row>
    <row r="153">
      <c r="A153" s="140"/>
      <c r="B153" s="140"/>
      <c r="C153" s="140"/>
      <c r="E153" s="140"/>
      <c r="F153" s="140"/>
      <c r="G153" s="140"/>
      <c r="H153" s="140"/>
      <c r="M153" s="141"/>
    </row>
    <row r="154">
      <c r="A154" s="140"/>
      <c r="B154" s="140"/>
      <c r="C154" s="140"/>
      <c r="E154" s="140"/>
      <c r="F154" s="140"/>
      <c r="G154" s="140"/>
      <c r="H154" s="140"/>
      <c r="M154" s="141"/>
    </row>
    <row r="155">
      <c r="A155" s="140"/>
      <c r="B155" s="140"/>
      <c r="C155" s="140"/>
      <c r="E155" s="140"/>
      <c r="F155" s="140"/>
      <c r="G155" s="140"/>
      <c r="H155" s="140"/>
      <c r="M155" s="141"/>
    </row>
    <row r="156">
      <c r="A156" s="140"/>
      <c r="B156" s="140"/>
      <c r="C156" s="140"/>
      <c r="E156" s="140"/>
      <c r="F156" s="140"/>
      <c r="G156" s="140"/>
      <c r="H156" s="140"/>
      <c r="M156" s="141"/>
    </row>
    <row r="157">
      <c r="A157" s="140"/>
      <c r="B157" s="140"/>
      <c r="C157" s="140"/>
      <c r="E157" s="140"/>
      <c r="F157" s="140"/>
      <c r="G157" s="140"/>
      <c r="H157" s="140"/>
      <c r="M157" s="141"/>
    </row>
    <row r="158">
      <c r="A158" s="140"/>
      <c r="B158" s="140"/>
      <c r="C158" s="140"/>
      <c r="E158" s="140"/>
      <c r="F158" s="140"/>
      <c r="G158" s="140"/>
      <c r="H158" s="140"/>
      <c r="M158" s="141"/>
    </row>
    <row r="159">
      <c r="A159" s="140"/>
      <c r="B159" s="140"/>
      <c r="C159" s="140"/>
      <c r="E159" s="140"/>
      <c r="F159" s="140"/>
      <c r="G159" s="140"/>
      <c r="H159" s="140"/>
      <c r="M159" s="141"/>
    </row>
    <row r="160">
      <c r="A160" s="140"/>
      <c r="B160" s="140"/>
      <c r="C160" s="140"/>
      <c r="E160" s="140"/>
      <c r="F160" s="140"/>
      <c r="G160" s="140"/>
      <c r="H160" s="140"/>
      <c r="M160" s="141"/>
    </row>
    <row r="161">
      <c r="A161" s="140"/>
      <c r="B161" s="140"/>
      <c r="C161" s="140"/>
      <c r="E161" s="140"/>
      <c r="F161" s="140"/>
      <c r="G161" s="140"/>
      <c r="H161" s="140"/>
      <c r="M161" s="141"/>
    </row>
    <row r="162">
      <c r="A162" s="140"/>
      <c r="B162" s="140"/>
      <c r="C162" s="140"/>
      <c r="E162" s="140"/>
      <c r="F162" s="140"/>
      <c r="G162" s="140"/>
      <c r="H162" s="140"/>
      <c r="M162" s="141"/>
    </row>
    <row r="163">
      <c r="A163" s="140"/>
      <c r="B163" s="140"/>
      <c r="C163" s="140"/>
      <c r="E163" s="140"/>
      <c r="F163" s="140"/>
      <c r="G163" s="140"/>
      <c r="H163" s="140"/>
      <c r="M163" s="141"/>
    </row>
    <row r="164">
      <c r="A164" s="140"/>
      <c r="B164" s="140"/>
      <c r="C164" s="140"/>
      <c r="E164" s="140"/>
      <c r="F164" s="140"/>
      <c r="G164" s="140"/>
      <c r="H164" s="140"/>
      <c r="M164" s="141"/>
    </row>
    <row r="165">
      <c r="A165" s="140"/>
      <c r="B165" s="140"/>
      <c r="C165" s="140"/>
      <c r="E165" s="140"/>
      <c r="F165" s="140"/>
      <c r="G165" s="140"/>
      <c r="H165" s="140"/>
      <c r="M165" s="141"/>
    </row>
    <row r="166">
      <c r="A166" s="140"/>
      <c r="B166" s="140"/>
      <c r="C166" s="140"/>
      <c r="E166" s="140"/>
      <c r="F166" s="140"/>
      <c r="G166" s="140"/>
      <c r="H166" s="140"/>
      <c r="M166" s="141"/>
    </row>
    <row r="167">
      <c r="A167" s="140"/>
      <c r="B167" s="140"/>
      <c r="C167" s="140"/>
      <c r="E167" s="140"/>
      <c r="F167" s="140"/>
      <c r="G167" s="140"/>
      <c r="H167" s="140"/>
      <c r="M167" s="141"/>
    </row>
    <row r="168">
      <c r="A168" s="140"/>
      <c r="B168" s="140"/>
      <c r="C168" s="140"/>
      <c r="E168" s="140"/>
      <c r="F168" s="140"/>
      <c r="G168" s="140"/>
      <c r="H168" s="140"/>
      <c r="M168" s="141"/>
    </row>
    <row r="169">
      <c r="A169" s="140"/>
      <c r="B169" s="140"/>
      <c r="C169" s="140"/>
      <c r="E169" s="140"/>
      <c r="F169" s="140"/>
      <c r="G169" s="140"/>
      <c r="H169" s="140"/>
      <c r="M169" s="141"/>
    </row>
    <row r="170">
      <c r="A170" s="140"/>
      <c r="B170" s="140"/>
      <c r="C170" s="140"/>
      <c r="E170" s="140"/>
      <c r="F170" s="140"/>
      <c r="G170" s="140"/>
      <c r="H170" s="140"/>
      <c r="M170" s="141"/>
    </row>
    <row r="171">
      <c r="A171" s="140"/>
      <c r="B171" s="140"/>
      <c r="C171" s="140"/>
      <c r="E171" s="140"/>
      <c r="F171" s="140"/>
      <c r="G171" s="140"/>
      <c r="H171" s="140"/>
      <c r="M171" s="141"/>
    </row>
    <row r="172">
      <c r="A172" s="140"/>
      <c r="B172" s="140"/>
      <c r="C172" s="140"/>
      <c r="E172" s="140"/>
      <c r="F172" s="140"/>
      <c r="G172" s="140"/>
      <c r="H172" s="140"/>
      <c r="M172" s="141"/>
    </row>
    <row r="173">
      <c r="A173" s="140"/>
      <c r="B173" s="140"/>
      <c r="C173" s="140"/>
      <c r="E173" s="140"/>
      <c r="F173" s="140"/>
      <c r="G173" s="140"/>
      <c r="H173" s="140"/>
      <c r="M173" s="141"/>
    </row>
    <row r="174">
      <c r="A174" s="140"/>
      <c r="B174" s="140"/>
      <c r="C174" s="140"/>
      <c r="E174" s="140"/>
      <c r="F174" s="140"/>
      <c r="G174" s="140"/>
      <c r="H174" s="140"/>
      <c r="M174" s="141"/>
    </row>
    <row r="175">
      <c r="A175" s="140"/>
      <c r="B175" s="140"/>
      <c r="C175" s="140"/>
      <c r="E175" s="140"/>
      <c r="F175" s="140"/>
      <c r="G175" s="140"/>
      <c r="H175" s="140"/>
      <c r="M175" s="141"/>
    </row>
    <row r="176">
      <c r="A176" s="140"/>
      <c r="B176" s="140"/>
      <c r="C176" s="140"/>
      <c r="E176" s="140"/>
      <c r="F176" s="140"/>
      <c r="G176" s="140"/>
      <c r="H176" s="140"/>
      <c r="M176" s="141"/>
    </row>
    <row r="177">
      <c r="A177" s="140"/>
      <c r="B177" s="140"/>
      <c r="C177" s="140"/>
      <c r="E177" s="140"/>
      <c r="F177" s="140"/>
      <c r="G177" s="140"/>
      <c r="H177" s="140"/>
      <c r="M177" s="141"/>
    </row>
    <row r="178">
      <c r="A178" s="140"/>
      <c r="B178" s="140"/>
      <c r="C178" s="140"/>
      <c r="E178" s="140"/>
      <c r="F178" s="140"/>
      <c r="G178" s="140"/>
      <c r="H178" s="140"/>
      <c r="M178" s="141"/>
    </row>
    <row r="179">
      <c r="A179" s="140"/>
      <c r="B179" s="140"/>
      <c r="C179" s="140"/>
      <c r="E179" s="140"/>
      <c r="F179" s="140"/>
      <c r="G179" s="140"/>
      <c r="H179" s="140"/>
      <c r="M179" s="141"/>
    </row>
    <row r="180">
      <c r="A180" s="140"/>
      <c r="B180" s="140"/>
      <c r="C180" s="140"/>
      <c r="E180" s="140"/>
      <c r="F180" s="140"/>
      <c r="G180" s="140"/>
      <c r="H180" s="140"/>
      <c r="M180" s="141"/>
    </row>
    <row r="181">
      <c r="A181" s="140"/>
      <c r="B181" s="140"/>
      <c r="C181" s="140"/>
      <c r="E181" s="140"/>
      <c r="F181" s="140"/>
      <c r="G181" s="140"/>
      <c r="H181" s="140"/>
      <c r="M181" s="141"/>
    </row>
    <row r="182">
      <c r="A182" s="140"/>
      <c r="B182" s="140"/>
      <c r="C182" s="140"/>
      <c r="E182" s="140"/>
      <c r="F182" s="140"/>
      <c r="G182" s="140"/>
      <c r="H182" s="140"/>
      <c r="M182" s="141"/>
    </row>
    <row r="183">
      <c r="A183" s="140"/>
      <c r="B183" s="140"/>
      <c r="C183" s="140"/>
      <c r="E183" s="140"/>
      <c r="F183" s="140"/>
      <c r="G183" s="140"/>
      <c r="H183" s="140"/>
      <c r="M183" s="141"/>
    </row>
    <row r="184">
      <c r="A184" s="140"/>
      <c r="B184" s="140"/>
      <c r="C184" s="140"/>
      <c r="E184" s="140"/>
      <c r="F184" s="140"/>
      <c r="G184" s="140"/>
      <c r="H184" s="140"/>
      <c r="M184" s="141"/>
    </row>
    <row r="185">
      <c r="A185" s="140"/>
      <c r="B185" s="140"/>
      <c r="C185" s="140"/>
      <c r="E185" s="140"/>
      <c r="F185" s="140"/>
      <c r="G185" s="140"/>
      <c r="H185" s="140"/>
      <c r="M185" s="141"/>
    </row>
    <row r="186">
      <c r="A186" s="140"/>
      <c r="B186" s="140"/>
      <c r="C186" s="140"/>
      <c r="E186" s="140"/>
      <c r="F186" s="140"/>
      <c r="G186" s="140"/>
      <c r="H186" s="140"/>
      <c r="M186" s="141"/>
    </row>
    <row r="187">
      <c r="A187" s="140"/>
      <c r="B187" s="140"/>
      <c r="C187" s="140"/>
      <c r="E187" s="140"/>
      <c r="F187" s="140"/>
      <c r="G187" s="140"/>
      <c r="H187" s="140"/>
      <c r="M187" s="141"/>
    </row>
    <row r="188">
      <c r="A188" s="140"/>
      <c r="B188" s="140"/>
      <c r="C188" s="140"/>
      <c r="E188" s="140"/>
      <c r="F188" s="140"/>
      <c r="G188" s="140"/>
      <c r="H188" s="140"/>
      <c r="M188" s="141"/>
    </row>
    <row r="189">
      <c r="A189" s="140"/>
      <c r="B189" s="140"/>
      <c r="C189" s="140"/>
      <c r="E189" s="140"/>
      <c r="F189" s="140"/>
      <c r="G189" s="140"/>
      <c r="H189" s="140"/>
      <c r="M189" s="141"/>
    </row>
    <row r="190">
      <c r="A190" s="140"/>
      <c r="B190" s="140"/>
      <c r="C190" s="140"/>
      <c r="E190" s="140"/>
      <c r="F190" s="140"/>
      <c r="G190" s="140"/>
      <c r="H190" s="140"/>
      <c r="M190" s="141"/>
    </row>
    <row r="191">
      <c r="A191" s="140"/>
      <c r="B191" s="140"/>
      <c r="C191" s="140"/>
      <c r="E191" s="140"/>
      <c r="F191" s="140"/>
      <c r="G191" s="140"/>
      <c r="H191" s="140"/>
      <c r="M191" s="141"/>
    </row>
    <row r="192">
      <c r="A192" s="140"/>
      <c r="B192" s="140"/>
      <c r="C192" s="140"/>
      <c r="E192" s="140"/>
      <c r="F192" s="140"/>
      <c r="G192" s="140"/>
      <c r="H192" s="140"/>
      <c r="M192" s="141"/>
    </row>
    <row r="193">
      <c r="A193" s="140"/>
      <c r="B193" s="140"/>
      <c r="C193" s="140"/>
      <c r="E193" s="140"/>
      <c r="F193" s="140"/>
      <c r="G193" s="140"/>
      <c r="H193" s="140"/>
      <c r="M193" s="141"/>
    </row>
    <row r="194">
      <c r="A194" s="140"/>
      <c r="B194" s="140"/>
      <c r="C194" s="140"/>
      <c r="E194" s="140"/>
      <c r="F194" s="140"/>
      <c r="G194" s="140"/>
      <c r="H194" s="140"/>
      <c r="M194" s="141"/>
    </row>
    <row r="195">
      <c r="A195" s="140"/>
      <c r="B195" s="140"/>
      <c r="C195" s="140"/>
      <c r="E195" s="140"/>
      <c r="F195" s="140"/>
      <c r="G195" s="140"/>
      <c r="H195" s="140"/>
      <c r="M195" s="141"/>
    </row>
    <row r="196">
      <c r="A196" s="140"/>
      <c r="B196" s="140"/>
      <c r="C196" s="140"/>
      <c r="E196" s="140"/>
      <c r="F196" s="140"/>
      <c r="G196" s="140"/>
      <c r="H196" s="140"/>
      <c r="M196" s="141"/>
    </row>
    <row r="197">
      <c r="A197" s="140"/>
      <c r="B197" s="140"/>
      <c r="C197" s="140"/>
      <c r="E197" s="140"/>
      <c r="F197" s="140"/>
      <c r="G197" s="140"/>
      <c r="H197" s="140"/>
      <c r="M197" s="141"/>
    </row>
    <row r="198">
      <c r="A198" s="140"/>
      <c r="B198" s="140"/>
      <c r="C198" s="140"/>
      <c r="E198" s="140"/>
      <c r="F198" s="140"/>
      <c r="G198" s="140"/>
      <c r="H198" s="140"/>
      <c r="M198" s="141"/>
    </row>
    <row r="199">
      <c r="A199" s="140"/>
      <c r="B199" s="140"/>
      <c r="C199" s="140"/>
      <c r="E199" s="140"/>
      <c r="F199" s="140"/>
      <c r="G199" s="140"/>
      <c r="H199" s="140"/>
      <c r="M199" s="141"/>
    </row>
    <row r="200">
      <c r="A200" s="140"/>
      <c r="B200" s="140"/>
      <c r="C200" s="140"/>
      <c r="E200" s="140"/>
      <c r="F200" s="140"/>
      <c r="G200" s="140"/>
      <c r="H200" s="140"/>
      <c r="M200" s="141"/>
    </row>
    <row r="201">
      <c r="A201" s="140"/>
      <c r="B201" s="140"/>
      <c r="C201" s="140"/>
      <c r="E201" s="140"/>
      <c r="F201" s="140"/>
      <c r="G201" s="140"/>
      <c r="H201" s="140"/>
      <c r="M201" s="141"/>
    </row>
    <row r="202">
      <c r="A202" s="140"/>
      <c r="B202" s="140"/>
      <c r="C202" s="140"/>
      <c r="E202" s="140"/>
      <c r="F202" s="140"/>
      <c r="G202" s="140"/>
      <c r="H202" s="140"/>
      <c r="M202" s="141"/>
    </row>
    <row r="203">
      <c r="A203" s="140"/>
      <c r="B203" s="140"/>
      <c r="C203" s="140"/>
      <c r="E203" s="140"/>
      <c r="F203" s="140"/>
      <c r="G203" s="140"/>
      <c r="H203" s="140"/>
      <c r="M203" s="141"/>
    </row>
    <row r="204">
      <c r="A204" s="140"/>
      <c r="B204" s="140"/>
      <c r="C204" s="140"/>
      <c r="E204" s="140"/>
      <c r="F204" s="140"/>
      <c r="G204" s="140"/>
      <c r="H204" s="140"/>
      <c r="M204" s="141"/>
    </row>
    <row r="205">
      <c r="A205" s="140"/>
      <c r="B205" s="140"/>
      <c r="C205" s="140"/>
      <c r="E205" s="140"/>
      <c r="F205" s="140"/>
      <c r="G205" s="140"/>
      <c r="H205" s="140"/>
      <c r="M205" s="141"/>
    </row>
    <row r="206">
      <c r="A206" s="140"/>
      <c r="B206" s="140"/>
      <c r="C206" s="140"/>
      <c r="E206" s="140"/>
      <c r="F206" s="140"/>
      <c r="G206" s="140"/>
      <c r="H206" s="140"/>
      <c r="M206" s="141"/>
    </row>
    <row r="207">
      <c r="A207" s="140"/>
      <c r="B207" s="140"/>
      <c r="C207" s="140"/>
      <c r="E207" s="140"/>
      <c r="F207" s="140"/>
      <c r="G207" s="140"/>
      <c r="H207" s="140"/>
      <c r="M207" s="141"/>
    </row>
    <row r="208">
      <c r="A208" s="140"/>
      <c r="B208" s="140"/>
      <c r="C208" s="140"/>
      <c r="E208" s="140"/>
      <c r="F208" s="140"/>
      <c r="G208" s="140"/>
      <c r="H208" s="140"/>
      <c r="M208" s="141"/>
    </row>
    <row r="209">
      <c r="A209" s="140"/>
      <c r="B209" s="140"/>
      <c r="C209" s="140"/>
      <c r="E209" s="140"/>
      <c r="F209" s="140"/>
      <c r="G209" s="140"/>
      <c r="H209" s="140"/>
      <c r="M209" s="141"/>
    </row>
    <row r="210">
      <c r="A210" s="140"/>
      <c r="B210" s="140"/>
      <c r="C210" s="140"/>
      <c r="E210" s="140"/>
      <c r="F210" s="140"/>
      <c r="G210" s="140"/>
      <c r="H210" s="140"/>
      <c r="M210" s="141"/>
    </row>
    <row r="211">
      <c r="A211" s="140"/>
      <c r="B211" s="140"/>
      <c r="C211" s="140"/>
      <c r="E211" s="140"/>
      <c r="F211" s="140"/>
      <c r="G211" s="140"/>
      <c r="H211" s="140"/>
      <c r="M211" s="141"/>
    </row>
    <row r="212">
      <c r="A212" s="140"/>
      <c r="B212" s="140"/>
      <c r="C212" s="140"/>
      <c r="E212" s="140"/>
      <c r="F212" s="140"/>
      <c r="G212" s="140"/>
      <c r="H212" s="140"/>
      <c r="M212" s="141"/>
    </row>
    <row r="213">
      <c r="A213" s="140"/>
      <c r="B213" s="140"/>
      <c r="C213" s="140"/>
      <c r="E213" s="140"/>
      <c r="F213" s="140"/>
      <c r="G213" s="140"/>
      <c r="H213" s="140"/>
      <c r="M213" s="141"/>
    </row>
    <row r="214">
      <c r="A214" s="140"/>
      <c r="B214" s="140"/>
      <c r="C214" s="140"/>
      <c r="E214" s="140"/>
      <c r="F214" s="140"/>
      <c r="G214" s="140"/>
      <c r="H214" s="140"/>
      <c r="M214" s="141"/>
    </row>
    <row r="215">
      <c r="A215" s="140"/>
      <c r="B215" s="140"/>
      <c r="C215" s="140"/>
      <c r="E215" s="140"/>
      <c r="F215" s="140"/>
      <c r="G215" s="140"/>
      <c r="H215" s="140"/>
      <c r="M215" s="141"/>
    </row>
    <row r="216">
      <c r="A216" s="140"/>
      <c r="B216" s="140"/>
      <c r="C216" s="140"/>
      <c r="E216" s="140"/>
      <c r="F216" s="140"/>
      <c r="G216" s="140"/>
      <c r="H216" s="140"/>
      <c r="M216" s="141"/>
    </row>
    <row r="217">
      <c r="A217" s="140"/>
      <c r="B217" s="140"/>
      <c r="C217" s="140"/>
      <c r="E217" s="140"/>
      <c r="F217" s="140"/>
      <c r="G217" s="140"/>
      <c r="H217" s="140"/>
      <c r="M217" s="141"/>
    </row>
    <row r="218">
      <c r="A218" s="140"/>
      <c r="B218" s="140"/>
      <c r="C218" s="140"/>
      <c r="E218" s="140"/>
      <c r="F218" s="140"/>
      <c r="G218" s="140"/>
      <c r="H218" s="140"/>
      <c r="M218" s="141"/>
    </row>
    <row r="219">
      <c r="A219" s="140"/>
      <c r="B219" s="140"/>
      <c r="C219" s="140"/>
      <c r="E219" s="140"/>
      <c r="F219" s="140"/>
      <c r="G219" s="140"/>
      <c r="H219" s="140"/>
      <c r="M219" s="141"/>
    </row>
    <row r="220">
      <c r="A220" s="140"/>
      <c r="B220" s="140"/>
      <c r="C220" s="140"/>
      <c r="E220" s="140"/>
      <c r="F220" s="140"/>
      <c r="G220" s="140"/>
      <c r="H220" s="140"/>
      <c r="M220" s="141"/>
    </row>
    <row r="221">
      <c r="A221" s="140"/>
      <c r="B221" s="140"/>
      <c r="C221" s="140"/>
      <c r="E221" s="140"/>
      <c r="F221" s="140"/>
      <c r="G221" s="140"/>
      <c r="H221" s="140"/>
      <c r="M221" s="141"/>
    </row>
    <row r="222">
      <c r="A222" s="140"/>
      <c r="B222" s="140"/>
      <c r="C222" s="140"/>
      <c r="E222" s="140"/>
      <c r="F222" s="140"/>
      <c r="G222" s="140"/>
      <c r="H222" s="140"/>
      <c r="M222" s="141"/>
    </row>
    <row r="223">
      <c r="A223" s="140"/>
      <c r="B223" s="140"/>
      <c r="C223" s="140"/>
      <c r="E223" s="140"/>
      <c r="F223" s="140"/>
      <c r="G223" s="140"/>
      <c r="H223" s="140"/>
      <c r="M223" s="141"/>
    </row>
    <row r="224">
      <c r="A224" s="140"/>
      <c r="B224" s="140"/>
      <c r="C224" s="140"/>
      <c r="E224" s="140"/>
      <c r="F224" s="140"/>
      <c r="G224" s="140"/>
      <c r="H224" s="140"/>
      <c r="M224" s="141"/>
    </row>
    <row r="225">
      <c r="A225" s="140"/>
      <c r="B225" s="140"/>
      <c r="C225" s="140"/>
      <c r="E225" s="140"/>
      <c r="F225" s="140"/>
      <c r="G225" s="140"/>
      <c r="H225" s="140"/>
      <c r="M225" s="141"/>
    </row>
    <row r="226">
      <c r="A226" s="140"/>
      <c r="B226" s="140"/>
      <c r="C226" s="140"/>
      <c r="E226" s="140"/>
      <c r="F226" s="140"/>
      <c r="G226" s="140"/>
      <c r="H226" s="140"/>
      <c r="M226" s="141"/>
    </row>
    <row r="227">
      <c r="A227" s="140"/>
      <c r="B227" s="140"/>
      <c r="C227" s="140"/>
      <c r="E227" s="140"/>
      <c r="F227" s="140"/>
      <c r="G227" s="140"/>
      <c r="H227" s="140"/>
      <c r="M227" s="141"/>
    </row>
    <row r="228">
      <c r="A228" s="140"/>
      <c r="B228" s="140"/>
      <c r="C228" s="140"/>
      <c r="E228" s="140"/>
      <c r="F228" s="140"/>
      <c r="G228" s="140"/>
      <c r="H228" s="140"/>
      <c r="M228" s="141"/>
    </row>
    <row r="229">
      <c r="A229" s="140"/>
      <c r="B229" s="140"/>
      <c r="C229" s="140"/>
      <c r="E229" s="140"/>
      <c r="F229" s="140"/>
      <c r="G229" s="140"/>
      <c r="H229" s="140"/>
      <c r="M229" s="141"/>
    </row>
    <row r="230">
      <c r="A230" s="140"/>
      <c r="B230" s="140"/>
      <c r="C230" s="140"/>
      <c r="E230" s="140"/>
      <c r="F230" s="140"/>
      <c r="G230" s="140"/>
      <c r="H230" s="140"/>
      <c r="M230" s="141"/>
    </row>
    <row r="231">
      <c r="A231" s="140"/>
      <c r="B231" s="140"/>
      <c r="C231" s="140"/>
      <c r="E231" s="140"/>
      <c r="F231" s="140"/>
      <c r="G231" s="140"/>
      <c r="H231" s="140"/>
      <c r="M231" s="141"/>
    </row>
    <row r="232">
      <c r="A232" s="140"/>
      <c r="B232" s="140"/>
      <c r="C232" s="140"/>
      <c r="E232" s="140"/>
      <c r="F232" s="140"/>
      <c r="G232" s="140"/>
      <c r="H232" s="140"/>
      <c r="M232" s="141"/>
    </row>
    <row r="233">
      <c r="A233" s="140"/>
      <c r="B233" s="140"/>
      <c r="C233" s="140"/>
      <c r="E233" s="140"/>
      <c r="F233" s="140"/>
      <c r="G233" s="140"/>
      <c r="H233" s="140"/>
      <c r="M233" s="141"/>
    </row>
    <row r="234">
      <c r="A234" s="140"/>
      <c r="B234" s="140"/>
      <c r="C234" s="140"/>
      <c r="E234" s="140"/>
      <c r="F234" s="140"/>
      <c r="G234" s="140"/>
      <c r="H234" s="140"/>
      <c r="M234" s="141"/>
    </row>
    <row r="235">
      <c r="A235" s="140"/>
      <c r="B235" s="140"/>
      <c r="C235" s="140"/>
      <c r="E235" s="140"/>
      <c r="F235" s="140"/>
      <c r="G235" s="140"/>
      <c r="H235" s="140"/>
      <c r="M235" s="141"/>
    </row>
    <row r="236">
      <c r="A236" s="140"/>
      <c r="B236" s="140"/>
      <c r="C236" s="140"/>
      <c r="E236" s="140"/>
      <c r="F236" s="140"/>
      <c r="G236" s="140"/>
      <c r="H236" s="140"/>
      <c r="M236" s="141"/>
    </row>
    <row r="237">
      <c r="A237" s="140"/>
      <c r="B237" s="140"/>
      <c r="C237" s="140"/>
      <c r="E237" s="140"/>
      <c r="F237" s="140"/>
      <c r="G237" s="140"/>
      <c r="H237" s="140"/>
      <c r="M237" s="141"/>
    </row>
    <row r="238">
      <c r="A238" s="140"/>
      <c r="B238" s="140"/>
      <c r="C238" s="140"/>
      <c r="E238" s="140"/>
      <c r="F238" s="140"/>
      <c r="G238" s="140"/>
      <c r="H238" s="140"/>
      <c r="M238" s="141"/>
    </row>
    <row r="239">
      <c r="A239" s="140"/>
      <c r="B239" s="140"/>
      <c r="C239" s="140"/>
      <c r="E239" s="140"/>
      <c r="F239" s="140"/>
      <c r="G239" s="140"/>
      <c r="H239" s="140"/>
      <c r="M239" s="141"/>
    </row>
    <row r="240">
      <c r="A240" s="140"/>
      <c r="B240" s="140"/>
      <c r="C240" s="140"/>
      <c r="E240" s="140"/>
      <c r="F240" s="140"/>
      <c r="G240" s="140"/>
      <c r="H240" s="140"/>
      <c r="M240" s="141"/>
    </row>
    <row r="241">
      <c r="A241" s="140"/>
      <c r="B241" s="140"/>
      <c r="C241" s="140"/>
      <c r="E241" s="140"/>
      <c r="F241" s="140"/>
      <c r="G241" s="140"/>
      <c r="H241" s="140"/>
      <c r="M241" s="141"/>
    </row>
    <row r="242">
      <c r="A242" s="140"/>
      <c r="B242" s="140"/>
      <c r="C242" s="140"/>
      <c r="E242" s="140"/>
      <c r="F242" s="140"/>
      <c r="G242" s="140"/>
      <c r="H242" s="140"/>
      <c r="M242" s="141"/>
    </row>
    <row r="243">
      <c r="A243" s="140"/>
      <c r="B243" s="140"/>
      <c r="C243" s="140"/>
      <c r="E243" s="140"/>
      <c r="F243" s="140"/>
      <c r="G243" s="140"/>
      <c r="H243" s="140"/>
      <c r="M243" s="141"/>
    </row>
    <row r="244">
      <c r="A244" s="140"/>
      <c r="B244" s="140"/>
      <c r="C244" s="140"/>
      <c r="E244" s="140"/>
      <c r="F244" s="140"/>
      <c r="G244" s="140"/>
      <c r="H244" s="140"/>
      <c r="M244" s="141"/>
    </row>
    <row r="245">
      <c r="A245" s="140"/>
      <c r="B245" s="140"/>
      <c r="C245" s="140"/>
      <c r="E245" s="140"/>
      <c r="F245" s="140"/>
      <c r="G245" s="140"/>
      <c r="H245" s="140"/>
      <c r="M245" s="141"/>
    </row>
    <row r="246">
      <c r="A246" s="140"/>
      <c r="B246" s="140"/>
      <c r="C246" s="140"/>
      <c r="E246" s="140"/>
      <c r="F246" s="140"/>
      <c r="G246" s="140"/>
      <c r="H246" s="140"/>
      <c r="M246" s="141"/>
    </row>
    <row r="247">
      <c r="A247" s="140"/>
      <c r="B247" s="140"/>
      <c r="C247" s="140"/>
      <c r="E247" s="140"/>
      <c r="F247" s="140"/>
      <c r="G247" s="140"/>
      <c r="H247" s="140"/>
      <c r="M247" s="141"/>
    </row>
    <row r="248">
      <c r="A248" s="140"/>
      <c r="B248" s="140"/>
      <c r="C248" s="140"/>
      <c r="E248" s="140"/>
      <c r="F248" s="140"/>
      <c r="G248" s="140"/>
      <c r="H248" s="140"/>
      <c r="M248" s="141"/>
    </row>
    <row r="249">
      <c r="A249" s="140"/>
      <c r="B249" s="140"/>
      <c r="C249" s="140"/>
      <c r="E249" s="140"/>
      <c r="F249" s="140"/>
      <c r="G249" s="140"/>
      <c r="H249" s="140"/>
      <c r="M249" s="141"/>
    </row>
    <row r="250">
      <c r="A250" s="140"/>
      <c r="B250" s="140"/>
      <c r="C250" s="140"/>
      <c r="E250" s="140"/>
      <c r="F250" s="140"/>
      <c r="G250" s="140"/>
      <c r="H250" s="140"/>
      <c r="M250" s="141"/>
    </row>
    <row r="251">
      <c r="A251" s="140"/>
      <c r="B251" s="140"/>
      <c r="C251" s="140"/>
      <c r="E251" s="140"/>
      <c r="F251" s="140"/>
      <c r="G251" s="140"/>
      <c r="H251" s="140"/>
      <c r="M251" s="141"/>
    </row>
    <row r="252">
      <c r="A252" s="140"/>
      <c r="B252" s="140"/>
      <c r="C252" s="140"/>
      <c r="E252" s="140"/>
      <c r="F252" s="140"/>
      <c r="G252" s="140"/>
      <c r="H252" s="140"/>
      <c r="M252" s="141"/>
    </row>
    <row r="253">
      <c r="A253" s="140"/>
      <c r="B253" s="140"/>
      <c r="C253" s="140"/>
      <c r="E253" s="140"/>
      <c r="F253" s="140"/>
      <c r="G253" s="140"/>
      <c r="H253" s="140"/>
      <c r="M253" s="141"/>
    </row>
    <row r="254">
      <c r="A254" s="140"/>
      <c r="B254" s="140"/>
      <c r="C254" s="140"/>
      <c r="E254" s="140"/>
      <c r="F254" s="140"/>
      <c r="G254" s="140"/>
      <c r="H254" s="140"/>
      <c r="M254" s="141"/>
    </row>
    <row r="255">
      <c r="A255" s="140"/>
      <c r="B255" s="140"/>
      <c r="C255" s="140"/>
      <c r="E255" s="140"/>
      <c r="F255" s="140"/>
      <c r="G255" s="140"/>
      <c r="H255" s="140"/>
      <c r="M255" s="141"/>
    </row>
    <row r="256">
      <c r="A256" s="140"/>
      <c r="B256" s="140"/>
      <c r="C256" s="140"/>
      <c r="E256" s="140"/>
      <c r="F256" s="140"/>
      <c r="G256" s="140"/>
      <c r="H256" s="140"/>
      <c r="M256" s="141"/>
    </row>
    <row r="257">
      <c r="A257" s="140"/>
      <c r="B257" s="140"/>
      <c r="C257" s="140"/>
      <c r="E257" s="140"/>
      <c r="F257" s="140"/>
      <c r="G257" s="140"/>
      <c r="H257" s="140"/>
      <c r="M257" s="141"/>
    </row>
    <row r="258">
      <c r="A258" s="140"/>
      <c r="B258" s="140"/>
      <c r="C258" s="140"/>
      <c r="E258" s="140"/>
      <c r="F258" s="140"/>
      <c r="G258" s="140"/>
      <c r="H258" s="140"/>
      <c r="M258" s="141"/>
    </row>
    <row r="259">
      <c r="A259" s="140"/>
      <c r="B259" s="140"/>
      <c r="C259" s="140"/>
      <c r="E259" s="140"/>
      <c r="F259" s="140"/>
      <c r="G259" s="140"/>
      <c r="H259" s="140"/>
      <c r="M259" s="141"/>
    </row>
    <row r="260">
      <c r="A260" s="140"/>
      <c r="B260" s="140"/>
      <c r="C260" s="140"/>
      <c r="E260" s="140"/>
      <c r="F260" s="140"/>
      <c r="G260" s="140"/>
      <c r="H260" s="140"/>
      <c r="M260" s="141"/>
    </row>
    <row r="261">
      <c r="A261" s="140"/>
      <c r="B261" s="140"/>
      <c r="C261" s="140"/>
      <c r="E261" s="140"/>
      <c r="F261" s="140"/>
      <c r="G261" s="140"/>
      <c r="H261" s="140"/>
      <c r="M261" s="141"/>
    </row>
    <row r="262">
      <c r="A262" s="140"/>
      <c r="B262" s="140"/>
      <c r="C262" s="140"/>
      <c r="E262" s="140"/>
      <c r="F262" s="140"/>
      <c r="G262" s="140"/>
      <c r="H262" s="140"/>
      <c r="M262" s="141"/>
    </row>
    <row r="263">
      <c r="A263" s="140"/>
      <c r="B263" s="140"/>
      <c r="C263" s="140"/>
      <c r="E263" s="140"/>
      <c r="F263" s="140"/>
      <c r="G263" s="140"/>
      <c r="H263" s="140"/>
      <c r="M263" s="141"/>
    </row>
    <row r="264">
      <c r="A264" s="140"/>
      <c r="B264" s="140"/>
      <c r="C264" s="140"/>
      <c r="E264" s="140"/>
      <c r="F264" s="140"/>
      <c r="G264" s="140"/>
      <c r="H264" s="140"/>
      <c r="M264" s="141"/>
    </row>
    <row r="265">
      <c r="A265" s="140"/>
      <c r="B265" s="140"/>
      <c r="C265" s="140"/>
      <c r="E265" s="140"/>
      <c r="F265" s="140"/>
      <c r="G265" s="140"/>
      <c r="H265" s="140"/>
      <c r="M265" s="141"/>
    </row>
    <row r="266">
      <c r="A266" s="140"/>
      <c r="B266" s="140"/>
      <c r="C266" s="140"/>
      <c r="E266" s="140"/>
      <c r="F266" s="140"/>
      <c r="G266" s="140"/>
      <c r="H266" s="140"/>
      <c r="M266" s="141"/>
    </row>
    <row r="267">
      <c r="A267" s="140"/>
      <c r="B267" s="140"/>
      <c r="C267" s="140"/>
      <c r="E267" s="140"/>
      <c r="F267" s="140"/>
      <c r="G267" s="140"/>
      <c r="H267" s="140"/>
      <c r="M267" s="141"/>
    </row>
    <row r="268">
      <c r="A268" s="140"/>
      <c r="B268" s="140"/>
      <c r="C268" s="140"/>
      <c r="E268" s="140"/>
      <c r="F268" s="140"/>
      <c r="G268" s="140"/>
      <c r="H268" s="140"/>
      <c r="M268" s="141"/>
    </row>
    <row r="269">
      <c r="A269" s="140"/>
      <c r="B269" s="140"/>
      <c r="C269" s="140"/>
      <c r="E269" s="140"/>
      <c r="F269" s="140"/>
      <c r="G269" s="140"/>
      <c r="H269" s="140"/>
      <c r="M269" s="141"/>
    </row>
    <row r="270">
      <c r="A270" s="140"/>
      <c r="B270" s="140"/>
      <c r="C270" s="140"/>
      <c r="E270" s="140"/>
      <c r="F270" s="140"/>
      <c r="G270" s="140"/>
      <c r="H270" s="140"/>
      <c r="M270" s="141"/>
    </row>
    <row r="271">
      <c r="A271" s="140"/>
      <c r="B271" s="140"/>
      <c r="C271" s="140"/>
      <c r="E271" s="140"/>
      <c r="F271" s="140"/>
      <c r="G271" s="140"/>
      <c r="H271" s="140"/>
      <c r="M271" s="141"/>
    </row>
    <row r="272">
      <c r="A272" s="140"/>
      <c r="B272" s="140"/>
      <c r="C272" s="140"/>
      <c r="E272" s="140"/>
      <c r="F272" s="140"/>
      <c r="G272" s="140"/>
      <c r="H272" s="140"/>
      <c r="M272" s="141"/>
    </row>
    <row r="273">
      <c r="A273" s="140"/>
      <c r="B273" s="140"/>
      <c r="C273" s="140"/>
      <c r="E273" s="140"/>
      <c r="F273" s="140"/>
      <c r="G273" s="140"/>
      <c r="H273" s="140"/>
      <c r="M273" s="141"/>
    </row>
    <row r="274">
      <c r="A274" s="140"/>
      <c r="B274" s="140"/>
      <c r="C274" s="140"/>
      <c r="E274" s="140"/>
      <c r="F274" s="140"/>
      <c r="G274" s="140"/>
      <c r="H274" s="140"/>
      <c r="M274" s="141"/>
    </row>
    <row r="275">
      <c r="A275" s="140"/>
      <c r="B275" s="140"/>
      <c r="C275" s="140"/>
      <c r="E275" s="140"/>
      <c r="F275" s="140"/>
      <c r="G275" s="140"/>
      <c r="H275" s="140"/>
      <c r="M275" s="141"/>
    </row>
    <row r="276">
      <c r="A276" s="140"/>
      <c r="B276" s="140"/>
      <c r="C276" s="140"/>
      <c r="E276" s="140"/>
      <c r="F276" s="140"/>
      <c r="G276" s="140"/>
      <c r="H276" s="140"/>
      <c r="M276" s="141"/>
    </row>
    <row r="277">
      <c r="A277" s="140"/>
      <c r="B277" s="140"/>
      <c r="C277" s="140"/>
      <c r="E277" s="140"/>
      <c r="F277" s="140"/>
      <c r="G277" s="140"/>
      <c r="H277" s="140"/>
      <c r="M277" s="141"/>
    </row>
    <row r="278">
      <c r="A278" s="140"/>
      <c r="B278" s="140"/>
      <c r="C278" s="140"/>
      <c r="E278" s="140"/>
      <c r="F278" s="140"/>
      <c r="G278" s="140"/>
      <c r="H278" s="140"/>
      <c r="M278" s="141"/>
    </row>
    <row r="279">
      <c r="A279" s="140"/>
      <c r="B279" s="140"/>
      <c r="C279" s="140"/>
      <c r="E279" s="140"/>
      <c r="F279" s="140"/>
      <c r="G279" s="140"/>
      <c r="H279" s="140"/>
      <c r="M279" s="141"/>
    </row>
    <row r="280">
      <c r="A280" s="140"/>
      <c r="B280" s="140"/>
      <c r="C280" s="140"/>
      <c r="E280" s="140"/>
      <c r="F280" s="140"/>
      <c r="G280" s="140"/>
      <c r="H280" s="140"/>
      <c r="M280" s="141"/>
    </row>
    <row r="281">
      <c r="A281" s="140"/>
      <c r="B281" s="140"/>
      <c r="C281" s="140"/>
      <c r="E281" s="140"/>
      <c r="F281" s="140"/>
      <c r="G281" s="140"/>
      <c r="H281" s="140"/>
      <c r="M281" s="141"/>
    </row>
    <row r="282">
      <c r="A282" s="140"/>
      <c r="B282" s="140"/>
      <c r="C282" s="140"/>
      <c r="E282" s="140"/>
      <c r="F282" s="140"/>
      <c r="G282" s="140"/>
      <c r="H282" s="140"/>
      <c r="M282" s="141"/>
    </row>
    <row r="283">
      <c r="A283" s="140"/>
      <c r="B283" s="140"/>
      <c r="C283" s="140"/>
      <c r="E283" s="140"/>
      <c r="F283" s="140"/>
      <c r="G283" s="140"/>
      <c r="H283" s="140"/>
      <c r="M283" s="141"/>
    </row>
    <row r="284">
      <c r="A284" s="140"/>
      <c r="B284" s="140"/>
      <c r="C284" s="140"/>
      <c r="E284" s="140"/>
      <c r="F284" s="140"/>
      <c r="G284" s="140"/>
      <c r="H284" s="140"/>
      <c r="M284" s="141"/>
    </row>
    <row r="285">
      <c r="A285" s="140"/>
      <c r="B285" s="140"/>
      <c r="C285" s="140"/>
      <c r="E285" s="140"/>
      <c r="F285" s="140"/>
      <c r="G285" s="140"/>
      <c r="H285" s="140"/>
      <c r="M285" s="141"/>
    </row>
    <row r="286">
      <c r="A286" s="140"/>
      <c r="B286" s="140"/>
      <c r="C286" s="140"/>
      <c r="E286" s="140"/>
      <c r="F286" s="140"/>
      <c r="G286" s="140"/>
      <c r="H286" s="140"/>
      <c r="M286" s="141"/>
    </row>
    <row r="287">
      <c r="A287" s="140"/>
      <c r="B287" s="140"/>
      <c r="C287" s="140"/>
      <c r="E287" s="140"/>
      <c r="F287" s="140"/>
      <c r="G287" s="140"/>
      <c r="H287" s="140"/>
      <c r="M287" s="141"/>
    </row>
    <row r="288">
      <c r="A288" s="140"/>
      <c r="B288" s="140"/>
      <c r="C288" s="140"/>
      <c r="E288" s="140"/>
      <c r="F288" s="140"/>
      <c r="G288" s="140"/>
      <c r="H288" s="140"/>
      <c r="M288" s="141"/>
    </row>
    <row r="289">
      <c r="A289" s="140"/>
      <c r="B289" s="140"/>
      <c r="C289" s="140"/>
      <c r="E289" s="140"/>
      <c r="F289" s="140"/>
      <c r="G289" s="140"/>
      <c r="H289" s="140"/>
      <c r="M289" s="141"/>
    </row>
    <row r="290">
      <c r="A290" s="140"/>
      <c r="B290" s="140"/>
      <c r="C290" s="140"/>
      <c r="E290" s="140"/>
      <c r="F290" s="140"/>
      <c r="G290" s="140"/>
      <c r="H290" s="140"/>
      <c r="M290" s="141"/>
    </row>
    <row r="291">
      <c r="A291" s="140"/>
      <c r="B291" s="140"/>
      <c r="C291" s="140"/>
      <c r="E291" s="140"/>
      <c r="F291" s="140"/>
      <c r="G291" s="140"/>
      <c r="H291" s="140"/>
      <c r="M291" s="141"/>
    </row>
    <row r="292">
      <c r="A292" s="140"/>
      <c r="B292" s="140"/>
      <c r="C292" s="140"/>
      <c r="E292" s="140"/>
      <c r="F292" s="140"/>
      <c r="G292" s="140"/>
      <c r="H292" s="140"/>
      <c r="M292" s="141"/>
    </row>
    <row r="293">
      <c r="A293" s="140"/>
      <c r="B293" s="140"/>
      <c r="C293" s="140"/>
      <c r="E293" s="140"/>
      <c r="F293" s="140"/>
      <c r="G293" s="140"/>
      <c r="H293" s="140"/>
      <c r="M293" s="141"/>
    </row>
    <row r="294">
      <c r="A294" s="140"/>
      <c r="B294" s="140"/>
      <c r="C294" s="140"/>
      <c r="E294" s="140"/>
      <c r="F294" s="140"/>
      <c r="G294" s="140"/>
      <c r="H294" s="140"/>
      <c r="M294" s="141"/>
    </row>
    <row r="295">
      <c r="A295" s="140"/>
      <c r="B295" s="140"/>
      <c r="C295" s="140"/>
      <c r="E295" s="140"/>
      <c r="F295" s="140"/>
      <c r="G295" s="140"/>
      <c r="H295" s="140"/>
      <c r="M295" s="141"/>
    </row>
    <row r="296">
      <c r="A296" s="140"/>
      <c r="B296" s="140"/>
      <c r="C296" s="140"/>
      <c r="E296" s="140"/>
      <c r="F296" s="140"/>
      <c r="G296" s="140"/>
      <c r="H296" s="140"/>
      <c r="M296" s="141"/>
    </row>
    <row r="297">
      <c r="A297" s="140"/>
      <c r="B297" s="140"/>
      <c r="C297" s="140"/>
      <c r="E297" s="140"/>
      <c r="F297" s="140"/>
      <c r="G297" s="140"/>
      <c r="H297" s="140"/>
      <c r="M297" s="141"/>
    </row>
    <row r="298">
      <c r="A298" s="140"/>
      <c r="B298" s="140"/>
      <c r="C298" s="140"/>
      <c r="E298" s="140"/>
      <c r="F298" s="140"/>
      <c r="G298" s="140"/>
      <c r="H298" s="140"/>
      <c r="M298" s="141"/>
    </row>
    <row r="299">
      <c r="A299" s="140"/>
      <c r="B299" s="140"/>
      <c r="C299" s="140"/>
      <c r="E299" s="140"/>
      <c r="F299" s="140"/>
      <c r="G299" s="140"/>
      <c r="H299" s="140"/>
      <c r="M299" s="141"/>
    </row>
    <row r="300">
      <c r="A300" s="140"/>
      <c r="B300" s="140"/>
      <c r="C300" s="140"/>
      <c r="E300" s="140"/>
      <c r="F300" s="140"/>
      <c r="G300" s="140"/>
      <c r="H300" s="140"/>
      <c r="M300" s="141"/>
    </row>
    <row r="301">
      <c r="A301" s="140"/>
      <c r="B301" s="140"/>
      <c r="C301" s="140"/>
      <c r="E301" s="140"/>
      <c r="F301" s="140"/>
      <c r="G301" s="140"/>
      <c r="H301" s="140"/>
      <c r="M301" s="141"/>
    </row>
    <row r="302">
      <c r="A302" s="140"/>
      <c r="B302" s="140"/>
      <c r="C302" s="140"/>
      <c r="E302" s="140"/>
      <c r="F302" s="140"/>
      <c r="G302" s="140"/>
      <c r="H302" s="140"/>
      <c r="M302" s="141"/>
    </row>
    <row r="303">
      <c r="A303" s="140"/>
      <c r="B303" s="140"/>
      <c r="C303" s="140"/>
      <c r="E303" s="140"/>
      <c r="F303" s="140"/>
      <c r="G303" s="140"/>
      <c r="H303" s="140"/>
      <c r="M303" s="141"/>
    </row>
    <row r="304">
      <c r="A304" s="140"/>
      <c r="B304" s="140"/>
      <c r="C304" s="140"/>
      <c r="E304" s="140"/>
      <c r="F304" s="140"/>
      <c r="G304" s="140"/>
      <c r="H304" s="140"/>
      <c r="M304" s="141"/>
    </row>
    <row r="305">
      <c r="A305" s="140"/>
      <c r="B305" s="140"/>
      <c r="C305" s="140"/>
      <c r="E305" s="140"/>
      <c r="F305" s="140"/>
      <c r="G305" s="140"/>
      <c r="H305" s="140"/>
      <c r="M305" s="141"/>
    </row>
    <row r="306">
      <c r="A306" s="140"/>
      <c r="B306" s="140"/>
      <c r="C306" s="140"/>
      <c r="E306" s="140"/>
      <c r="F306" s="140"/>
      <c r="G306" s="140"/>
      <c r="H306" s="140"/>
      <c r="M306" s="141"/>
    </row>
    <row r="307">
      <c r="A307" s="140"/>
      <c r="B307" s="140"/>
      <c r="C307" s="140"/>
      <c r="E307" s="140"/>
      <c r="F307" s="140"/>
      <c r="G307" s="140"/>
      <c r="H307" s="140"/>
      <c r="M307" s="141"/>
    </row>
    <row r="308">
      <c r="A308" s="140"/>
      <c r="B308" s="140"/>
      <c r="C308" s="140"/>
      <c r="E308" s="140"/>
      <c r="F308" s="140"/>
      <c r="G308" s="140"/>
      <c r="H308" s="140"/>
      <c r="M308" s="141"/>
    </row>
    <row r="309">
      <c r="A309" s="140"/>
      <c r="B309" s="140"/>
      <c r="C309" s="140"/>
      <c r="E309" s="140"/>
      <c r="F309" s="140"/>
      <c r="G309" s="140"/>
      <c r="H309" s="140"/>
      <c r="M309" s="141"/>
    </row>
    <row r="310">
      <c r="A310" s="140"/>
      <c r="B310" s="140"/>
      <c r="C310" s="140"/>
      <c r="E310" s="140"/>
      <c r="F310" s="140"/>
      <c r="G310" s="140"/>
      <c r="H310" s="140"/>
      <c r="M310" s="141"/>
    </row>
    <row r="311">
      <c r="A311" s="140"/>
      <c r="B311" s="140"/>
      <c r="C311" s="140"/>
      <c r="E311" s="140"/>
      <c r="F311" s="140"/>
      <c r="G311" s="140"/>
      <c r="H311" s="140"/>
      <c r="M311" s="141"/>
    </row>
    <row r="312">
      <c r="A312" s="140"/>
      <c r="B312" s="140"/>
      <c r="C312" s="140"/>
      <c r="E312" s="140"/>
      <c r="F312" s="140"/>
      <c r="G312" s="140"/>
      <c r="H312" s="140"/>
      <c r="M312" s="141"/>
    </row>
    <row r="313">
      <c r="A313" s="140"/>
      <c r="B313" s="140"/>
      <c r="C313" s="140"/>
      <c r="E313" s="140"/>
      <c r="F313" s="140"/>
      <c r="G313" s="140"/>
      <c r="H313" s="140"/>
      <c r="M313" s="141"/>
    </row>
    <row r="314">
      <c r="A314" s="140"/>
      <c r="B314" s="140"/>
      <c r="C314" s="140"/>
      <c r="E314" s="140"/>
      <c r="F314" s="140"/>
      <c r="G314" s="140"/>
      <c r="H314" s="140"/>
      <c r="M314" s="141"/>
    </row>
    <row r="315">
      <c r="A315" s="140"/>
      <c r="B315" s="140"/>
      <c r="C315" s="140"/>
      <c r="E315" s="140"/>
      <c r="F315" s="140"/>
      <c r="G315" s="140"/>
      <c r="H315" s="140"/>
      <c r="M315" s="141"/>
    </row>
    <row r="316">
      <c r="A316" s="140"/>
      <c r="B316" s="140"/>
      <c r="C316" s="140"/>
      <c r="E316" s="140"/>
      <c r="F316" s="140"/>
      <c r="G316" s="140"/>
      <c r="H316" s="140"/>
      <c r="M316" s="141"/>
    </row>
    <row r="317">
      <c r="A317" s="140"/>
      <c r="B317" s="140"/>
      <c r="C317" s="140"/>
      <c r="E317" s="140"/>
      <c r="F317" s="140"/>
      <c r="G317" s="140"/>
      <c r="H317" s="140"/>
      <c r="M317" s="141"/>
    </row>
    <row r="318">
      <c r="A318" s="140"/>
      <c r="B318" s="140"/>
      <c r="C318" s="140"/>
      <c r="E318" s="140"/>
      <c r="F318" s="140"/>
      <c r="G318" s="140"/>
      <c r="H318" s="140"/>
      <c r="M318" s="141"/>
    </row>
    <row r="319">
      <c r="A319" s="140"/>
      <c r="B319" s="140"/>
      <c r="C319" s="140"/>
      <c r="E319" s="140"/>
      <c r="F319" s="140"/>
      <c r="G319" s="140"/>
      <c r="H319" s="140"/>
      <c r="M319" s="141"/>
    </row>
    <row r="320">
      <c r="A320" s="140"/>
      <c r="B320" s="140"/>
      <c r="C320" s="140"/>
      <c r="E320" s="140"/>
      <c r="F320" s="140"/>
      <c r="G320" s="140"/>
      <c r="H320" s="140"/>
      <c r="M320" s="141"/>
    </row>
    <row r="321">
      <c r="A321" s="140"/>
      <c r="B321" s="140"/>
      <c r="C321" s="140"/>
      <c r="E321" s="140"/>
      <c r="F321" s="140"/>
      <c r="G321" s="140"/>
      <c r="H321" s="140"/>
      <c r="M321" s="141"/>
    </row>
    <row r="322">
      <c r="A322" s="140"/>
      <c r="B322" s="140"/>
      <c r="C322" s="140"/>
      <c r="E322" s="140"/>
      <c r="F322" s="140"/>
      <c r="G322" s="140"/>
      <c r="H322" s="140"/>
      <c r="M322" s="141"/>
    </row>
    <row r="323">
      <c r="A323" s="140"/>
      <c r="B323" s="140"/>
      <c r="C323" s="140"/>
      <c r="E323" s="140"/>
      <c r="F323" s="140"/>
      <c r="G323" s="140"/>
      <c r="H323" s="140"/>
      <c r="M323" s="141"/>
    </row>
    <row r="324">
      <c r="A324" s="140"/>
      <c r="B324" s="140"/>
      <c r="C324" s="140"/>
      <c r="E324" s="140"/>
      <c r="F324" s="140"/>
      <c r="G324" s="140"/>
      <c r="H324" s="140"/>
      <c r="M324" s="141"/>
    </row>
    <row r="325">
      <c r="A325" s="140"/>
      <c r="B325" s="140"/>
      <c r="C325" s="140"/>
      <c r="E325" s="140"/>
      <c r="F325" s="140"/>
      <c r="G325" s="140"/>
      <c r="H325" s="140"/>
      <c r="M325" s="141"/>
    </row>
    <row r="326">
      <c r="A326" s="140"/>
      <c r="B326" s="140"/>
      <c r="C326" s="140"/>
      <c r="E326" s="140"/>
      <c r="F326" s="140"/>
      <c r="G326" s="140"/>
      <c r="H326" s="140"/>
      <c r="M326" s="141"/>
    </row>
    <row r="327">
      <c r="A327" s="140"/>
      <c r="B327" s="140"/>
      <c r="C327" s="140"/>
      <c r="E327" s="140"/>
      <c r="F327" s="140"/>
      <c r="G327" s="140"/>
      <c r="H327" s="140"/>
      <c r="M327" s="141"/>
    </row>
    <row r="328">
      <c r="A328" s="140"/>
      <c r="B328" s="140"/>
      <c r="C328" s="140"/>
      <c r="E328" s="140"/>
      <c r="F328" s="140"/>
      <c r="G328" s="140"/>
      <c r="H328" s="140"/>
      <c r="M328" s="141"/>
    </row>
    <row r="329">
      <c r="A329" s="140"/>
      <c r="B329" s="140"/>
      <c r="C329" s="140"/>
      <c r="E329" s="140"/>
      <c r="F329" s="140"/>
      <c r="G329" s="140"/>
      <c r="H329" s="140"/>
      <c r="M329" s="141"/>
    </row>
    <row r="330">
      <c r="A330" s="140"/>
      <c r="B330" s="140"/>
      <c r="C330" s="140"/>
      <c r="E330" s="140"/>
      <c r="F330" s="140"/>
      <c r="G330" s="140"/>
      <c r="H330" s="140"/>
      <c r="M330" s="141"/>
    </row>
    <row r="331">
      <c r="A331" s="140"/>
      <c r="B331" s="140"/>
      <c r="C331" s="140"/>
      <c r="E331" s="140"/>
      <c r="F331" s="140"/>
      <c r="G331" s="140"/>
      <c r="H331" s="140"/>
      <c r="M331" s="141"/>
    </row>
    <row r="332">
      <c r="A332" s="140"/>
      <c r="B332" s="140"/>
      <c r="C332" s="140"/>
      <c r="E332" s="140"/>
      <c r="F332" s="140"/>
      <c r="G332" s="140"/>
      <c r="H332" s="140"/>
      <c r="M332" s="141"/>
    </row>
    <row r="333">
      <c r="A333" s="140"/>
      <c r="B333" s="140"/>
      <c r="C333" s="140"/>
      <c r="E333" s="140"/>
      <c r="F333" s="140"/>
      <c r="G333" s="140"/>
      <c r="H333" s="140"/>
      <c r="M333" s="141"/>
    </row>
    <row r="334">
      <c r="A334" s="140"/>
      <c r="B334" s="140"/>
      <c r="C334" s="140"/>
      <c r="E334" s="140"/>
      <c r="F334" s="140"/>
      <c r="G334" s="140"/>
      <c r="H334" s="140"/>
      <c r="M334" s="141"/>
    </row>
    <row r="335">
      <c r="A335" s="140"/>
      <c r="B335" s="140"/>
      <c r="C335" s="140"/>
      <c r="E335" s="140"/>
      <c r="F335" s="140"/>
      <c r="G335" s="140"/>
      <c r="H335" s="140"/>
      <c r="M335" s="141"/>
    </row>
    <row r="336">
      <c r="A336" s="140"/>
      <c r="B336" s="140"/>
      <c r="C336" s="140"/>
      <c r="E336" s="140"/>
      <c r="F336" s="140"/>
      <c r="G336" s="140"/>
      <c r="H336" s="140"/>
      <c r="M336" s="141"/>
    </row>
    <row r="337">
      <c r="A337" s="140"/>
      <c r="B337" s="140"/>
      <c r="C337" s="140"/>
      <c r="E337" s="140"/>
      <c r="F337" s="140"/>
      <c r="G337" s="140"/>
      <c r="H337" s="140"/>
      <c r="M337" s="141"/>
    </row>
    <row r="338">
      <c r="A338" s="140"/>
      <c r="B338" s="140"/>
      <c r="C338" s="140"/>
      <c r="E338" s="140"/>
      <c r="F338" s="140"/>
      <c r="G338" s="140"/>
      <c r="H338" s="140"/>
      <c r="M338" s="141"/>
    </row>
    <row r="339">
      <c r="A339" s="140"/>
      <c r="B339" s="140"/>
      <c r="C339" s="140"/>
      <c r="E339" s="140"/>
      <c r="F339" s="140"/>
      <c r="G339" s="140"/>
      <c r="H339" s="140"/>
      <c r="M339" s="141"/>
    </row>
    <row r="340">
      <c r="A340" s="140"/>
      <c r="B340" s="140"/>
      <c r="C340" s="140"/>
      <c r="E340" s="140"/>
      <c r="F340" s="140"/>
      <c r="G340" s="140"/>
      <c r="H340" s="140"/>
      <c r="M340" s="141"/>
    </row>
    <row r="341">
      <c r="A341" s="140"/>
      <c r="B341" s="140"/>
      <c r="C341" s="140"/>
      <c r="E341" s="140"/>
      <c r="F341" s="140"/>
      <c r="G341" s="140"/>
      <c r="H341" s="140"/>
      <c r="M341" s="141"/>
    </row>
    <row r="342">
      <c r="A342" s="140"/>
      <c r="B342" s="140"/>
      <c r="C342" s="140"/>
      <c r="E342" s="140"/>
      <c r="F342" s="140"/>
      <c r="G342" s="140"/>
      <c r="H342" s="140"/>
      <c r="M342" s="141"/>
    </row>
    <row r="343">
      <c r="A343" s="140"/>
      <c r="B343" s="140"/>
      <c r="C343" s="140"/>
      <c r="E343" s="140"/>
      <c r="F343" s="140"/>
      <c r="G343" s="140"/>
      <c r="H343" s="140"/>
      <c r="M343" s="141"/>
    </row>
    <row r="344">
      <c r="A344" s="140"/>
      <c r="B344" s="140"/>
      <c r="C344" s="140"/>
      <c r="E344" s="140"/>
      <c r="F344" s="140"/>
      <c r="G344" s="140"/>
      <c r="H344" s="140"/>
      <c r="M344" s="141"/>
    </row>
    <row r="345">
      <c r="A345" s="140"/>
      <c r="B345" s="140"/>
      <c r="C345" s="140"/>
      <c r="E345" s="140"/>
      <c r="F345" s="140"/>
      <c r="G345" s="140"/>
      <c r="H345" s="140"/>
      <c r="M345" s="141"/>
    </row>
    <row r="346">
      <c r="A346" s="140"/>
      <c r="B346" s="140"/>
      <c r="C346" s="140"/>
      <c r="E346" s="140"/>
      <c r="F346" s="140"/>
      <c r="G346" s="140"/>
      <c r="H346" s="140"/>
      <c r="M346" s="141"/>
    </row>
    <row r="347">
      <c r="A347" s="140"/>
      <c r="B347" s="140"/>
      <c r="C347" s="140"/>
      <c r="E347" s="140"/>
      <c r="F347" s="140"/>
      <c r="G347" s="140"/>
      <c r="H347" s="140"/>
      <c r="M347" s="141"/>
    </row>
    <row r="348">
      <c r="A348" s="140"/>
      <c r="B348" s="140"/>
      <c r="C348" s="140"/>
      <c r="E348" s="140"/>
      <c r="F348" s="140"/>
      <c r="G348" s="140"/>
      <c r="H348" s="140"/>
      <c r="M348" s="141"/>
    </row>
    <row r="349">
      <c r="A349" s="140"/>
      <c r="B349" s="140"/>
      <c r="C349" s="140"/>
      <c r="E349" s="140"/>
      <c r="F349" s="140"/>
      <c r="G349" s="140"/>
      <c r="H349" s="140"/>
      <c r="M349" s="141"/>
    </row>
    <row r="350">
      <c r="A350" s="140"/>
      <c r="B350" s="140"/>
      <c r="C350" s="140"/>
      <c r="E350" s="140"/>
      <c r="F350" s="140"/>
      <c r="G350" s="140"/>
      <c r="H350" s="140"/>
      <c r="M350" s="141"/>
    </row>
    <row r="351">
      <c r="A351" s="140"/>
      <c r="B351" s="140"/>
      <c r="C351" s="140"/>
      <c r="E351" s="140"/>
      <c r="F351" s="140"/>
      <c r="G351" s="140"/>
      <c r="H351" s="140"/>
      <c r="M351" s="141"/>
    </row>
    <row r="352">
      <c r="A352" s="140"/>
      <c r="B352" s="140"/>
      <c r="C352" s="140"/>
      <c r="E352" s="140"/>
      <c r="F352" s="140"/>
      <c r="G352" s="140"/>
      <c r="H352" s="140"/>
      <c r="M352" s="141"/>
    </row>
    <row r="353">
      <c r="A353" s="140"/>
      <c r="B353" s="140"/>
      <c r="C353" s="140"/>
      <c r="E353" s="140"/>
      <c r="F353" s="140"/>
      <c r="G353" s="140"/>
      <c r="H353" s="140"/>
      <c r="M353" s="141"/>
    </row>
    <row r="354">
      <c r="A354" s="140"/>
      <c r="B354" s="140"/>
      <c r="C354" s="140"/>
      <c r="E354" s="140"/>
      <c r="F354" s="140"/>
      <c r="G354" s="140"/>
      <c r="H354" s="140"/>
      <c r="M354" s="141"/>
    </row>
    <row r="355">
      <c r="A355" s="140"/>
      <c r="B355" s="140"/>
      <c r="C355" s="140"/>
      <c r="E355" s="140"/>
      <c r="F355" s="140"/>
      <c r="G355" s="140"/>
      <c r="H355" s="140"/>
      <c r="M355" s="141"/>
    </row>
    <row r="356">
      <c r="A356" s="140"/>
      <c r="B356" s="140"/>
      <c r="C356" s="140"/>
      <c r="E356" s="140"/>
      <c r="F356" s="140"/>
      <c r="G356" s="140"/>
      <c r="H356" s="140"/>
      <c r="M356" s="141"/>
    </row>
    <row r="357">
      <c r="A357" s="140"/>
      <c r="B357" s="140"/>
      <c r="C357" s="140"/>
      <c r="E357" s="140"/>
      <c r="F357" s="140"/>
      <c r="G357" s="140"/>
      <c r="H357" s="140"/>
      <c r="M357" s="141"/>
    </row>
    <row r="358">
      <c r="A358" s="140"/>
      <c r="B358" s="140"/>
      <c r="C358" s="140"/>
      <c r="E358" s="140"/>
      <c r="F358" s="140"/>
      <c r="G358" s="140"/>
      <c r="H358" s="140"/>
      <c r="M358" s="141"/>
    </row>
    <row r="359">
      <c r="A359" s="140"/>
      <c r="B359" s="140"/>
      <c r="C359" s="140"/>
      <c r="E359" s="140"/>
      <c r="F359" s="140"/>
      <c r="G359" s="140"/>
      <c r="H359" s="140"/>
      <c r="M359" s="141"/>
    </row>
    <row r="360">
      <c r="A360" s="140"/>
      <c r="B360" s="140"/>
      <c r="C360" s="140"/>
      <c r="E360" s="140"/>
      <c r="F360" s="140"/>
      <c r="G360" s="140"/>
      <c r="H360" s="140"/>
      <c r="M360" s="141"/>
    </row>
    <row r="361">
      <c r="A361" s="140"/>
      <c r="B361" s="140"/>
      <c r="C361" s="140"/>
      <c r="E361" s="140"/>
      <c r="F361" s="140"/>
      <c r="G361" s="140"/>
      <c r="H361" s="140"/>
      <c r="M361" s="141"/>
    </row>
    <row r="362">
      <c r="A362" s="140"/>
      <c r="B362" s="140"/>
      <c r="C362" s="140"/>
      <c r="E362" s="140"/>
      <c r="F362" s="140"/>
      <c r="G362" s="140"/>
      <c r="H362" s="140"/>
      <c r="M362" s="141"/>
    </row>
    <row r="363">
      <c r="A363" s="140"/>
      <c r="B363" s="140"/>
      <c r="C363" s="140"/>
      <c r="E363" s="140"/>
      <c r="F363" s="140"/>
      <c r="G363" s="140"/>
      <c r="H363" s="140"/>
      <c r="M363" s="141"/>
    </row>
    <row r="364">
      <c r="A364" s="140"/>
      <c r="B364" s="140"/>
      <c r="C364" s="140"/>
      <c r="E364" s="140"/>
      <c r="F364" s="140"/>
      <c r="G364" s="140"/>
      <c r="H364" s="140"/>
      <c r="M364" s="141"/>
    </row>
    <row r="365">
      <c r="A365" s="140"/>
      <c r="B365" s="140"/>
      <c r="C365" s="140"/>
      <c r="E365" s="140"/>
      <c r="F365" s="140"/>
      <c r="G365" s="140"/>
      <c r="H365" s="140"/>
      <c r="M365" s="141"/>
    </row>
    <row r="366">
      <c r="A366" s="140"/>
      <c r="B366" s="140"/>
      <c r="C366" s="140"/>
      <c r="E366" s="140"/>
      <c r="F366" s="140"/>
      <c r="G366" s="140"/>
      <c r="H366" s="140"/>
      <c r="M366" s="141"/>
    </row>
    <row r="367">
      <c r="A367" s="140"/>
      <c r="B367" s="140"/>
      <c r="C367" s="140"/>
      <c r="E367" s="140"/>
      <c r="F367" s="140"/>
      <c r="G367" s="140"/>
      <c r="H367" s="140"/>
      <c r="M367" s="141"/>
    </row>
    <row r="368">
      <c r="A368" s="140"/>
      <c r="B368" s="140"/>
      <c r="C368" s="140"/>
      <c r="E368" s="140"/>
      <c r="F368" s="140"/>
      <c r="G368" s="140"/>
      <c r="H368" s="140"/>
      <c r="M368" s="141"/>
    </row>
    <row r="369">
      <c r="A369" s="140"/>
      <c r="B369" s="140"/>
      <c r="C369" s="140"/>
      <c r="E369" s="140"/>
      <c r="F369" s="140"/>
      <c r="G369" s="140"/>
      <c r="H369" s="140"/>
      <c r="M369" s="141"/>
    </row>
    <row r="370">
      <c r="A370" s="140"/>
      <c r="B370" s="140"/>
      <c r="C370" s="140"/>
      <c r="E370" s="140"/>
      <c r="F370" s="140"/>
      <c r="G370" s="140"/>
      <c r="H370" s="140"/>
      <c r="M370" s="141"/>
    </row>
    <row r="371">
      <c r="A371" s="140"/>
      <c r="B371" s="140"/>
      <c r="C371" s="140"/>
      <c r="E371" s="140"/>
      <c r="F371" s="140"/>
      <c r="G371" s="140"/>
      <c r="H371" s="140"/>
      <c r="M371" s="141"/>
    </row>
    <row r="372">
      <c r="A372" s="140"/>
      <c r="B372" s="140"/>
      <c r="C372" s="140"/>
      <c r="E372" s="140"/>
      <c r="F372" s="140"/>
      <c r="G372" s="140"/>
      <c r="H372" s="140"/>
      <c r="M372" s="141"/>
    </row>
    <row r="373">
      <c r="A373" s="140"/>
      <c r="B373" s="140"/>
      <c r="C373" s="140"/>
      <c r="E373" s="140"/>
      <c r="F373" s="140"/>
      <c r="G373" s="140"/>
      <c r="H373" s="140"/>
      <c r="M373" s="141"/>
    </row>
    <row r="374">
      <c r="A374" s="140"/>
      <c r="B374" s="140"/>
      <c r="C374" s="140"/>
      <c r="E374" s="140"/>
      <c r="F374" s="140"/>
      <c r="G374" s="140"/>
      <c r="H374" s="140"/>
      <c r="M374" s="141"/>
    </row>
    <row r="375">
      <c r="A375" s="140"/>
      <c r="B375" s="140"/>
      <c r="C375" s="140"/>
      <c r="E375" s="140"/>
      <c r="F375" s="140"/>
      <c r="G375" s="140"/>
      <c r="H375" s="140"/>
      <c r="M375" s="141"/>
    </row>
    <row r="376">
      <c r="A376" s="140"/>
      <c r="B376" s="140"/>
      <c r="C376" s="140"/>
      <c r="E376" s="140"/>
      <c r="F376" s="140"/>
      <c r="G376" s="140"/>
      <c r="H376" s="140"/>
      <c r="M376" s="141"/>
    </row>
    <row r="377">
      <c r="A377" s="140"/>
      <c r="B377" s="140"/>
      <c r="C377" s="140"/>
      <c r="E377" s="140"/>
      <c r="F377" s="140"/>
      <c r="G377" s="140"/>
      <c r="H377" s="140"/>
      <c r="M377" s="141"/>
    </row>
    <row r="378">
      <c r="A378" s="140"/>
      <c r="B378" s="140"/>
      <c r="C378" s="140"/>
      <c r="E378" s="140"/>
      <c r="F378" s="140"/>
      <c r="G378" s="140"/>
      <c r="H378" s="140"/>
      <c r="M378" s="141"/>
    </row>
    <row r="379">
      <c r="A379" s="140"/>
      <c r="B379" s="140"/>
      <c r="C379" s="140"/>
      <c r="E379" s="140"/>
      <c r="F379" s="140"/>
      <c r="G379" s="140"/>
      <c r="H379" s="140"/>
      <c r="M379" s="141"/>
    </row>
    <row r="380">
      <c r="A380" s="140"/>
      <c r="B380" s="140"/>
      <c r="C380" s="140"/>
      <c r="E380" s="140"/>
      <c r="F380" s="140"/>
      <c r="G380" s="140"/>
      <c r="H380" s="140"/>
      <c r="M380" s="141"/>
    </row>
    <row r="381">
      <c r="A381" s="140"/>
      <c r="B381" s="140"/>
      <c r="C381" s="140"/>
      <c r="E381" s="140"/>
      <c r="F381" s="140"/>
      <c r="G381" s="140"/>
      <c r="H381" s="140"/>
      <c r="M381" s="141"/>
    </row>
    <row r="382">
      <c r="A382" s="140"/>
      <c r="B382" s="140"/>
      <c r="C382" s="140"/>
      <c r="E382" s="140"/>
      <c r="F382" s="140"/>
      <c r="G382" s="140"/>
      <c r="H382" s="140"/>
      <c r="M382" s="141"/>
    </row>
    <row r="383">
      <c r="A383" s="140"/>
      <c r="B383" s="140"/>
      <c r="C383" s="140"/>
      <c r="E383" s="140"/>
      <c r="F383" s="140"/>
      <c r="G383" s="140"/>
      <c r="H383" s="140"/>
      <c r="M383" s="141"/>
    </row>
    <row r="384">
      <c r="A384" s="140"/>
      <c r="B384" s="140"/>
      <c r="C384" s="140"/>
      <c r="E384" s="140"/>
      <c r="F384" s="140"/>
      <c r="G384" s="140"/>
      <c r="H384" s="140"/>
      <c r="M384" s="141"/>
    </row>
    <row r="385">
      <c r="A385" s="140"/>
      <c r="B385" s="140"/>
      <c r="C385" s="140"/>
      <c r="E385" s="140"/>
      <c r="F385" s="140"/>
      <c r="G385" s="140"/>
      <c r="H385" s="140"/>
      <c r="M385" s="141"/>
    </row>
    <row r="386">
      <c r="A386" s="140"/>
      <c r="B386" s="140"/>
      <c r="C386" s="140"/>
      <c r="E386" s="140"/>
      <c r="F386" s="140"/>
      <c r="G386" s="140"/>
      <c r="H386" s="140"/>
      <c r="M386" s="141"/>
    </row>
    <row r="387">
      <c r="A387" s="140"/>
      <c r="B387" s="140"/>
      <c r="C387" s="140"/>
      <c r="E387" s="140"/>
      <c r="F387" s="140"/>
      <c r="G387" s="140"/>
      <c r="H387" s="140"/>
      <c r="M387" s="141"/>
    </row>
    <row r="388">
      <c r="A388" s="140"/>
      <c r="B388" s="140"/>
      <c r="C388" s="140"/>
      <c r="E388" s="140"/>
      <c r="F388" s="140"/>
      <c r="G388" s="140"/>
      <c r="H388" s="140"/>
      <c r="M388" s="141"/>
    </row>
    <row r="389">
      <c r="A389" s="140"/>
      <c r="B389" s="140"/>
      <c r="C389" s="140"/>
      <c r="E389" s="140"/>
      <c r="F389" s="140"/>
      <c r="G389" s="140"/>
      <c r="H389" s="140"/>
      <c r="M389" s="141"/>
    </row>
    <row r="390">
      <c r="A390" s="140"/>
      <c r="B390" s="140"/>
      <c r="C390" s="140"/>
      <c r="E390" s="140"/>
      <c r="F390" s="140"/>
      <c r="G390" s="140"/>
      <c r="H390" s="140"/>
      <c r="M390" s="141"/>
    </row>
    <row r="391">
      <c r="A391" s="140"/>
      <c r="B391" s="140"/>
      <c r="C391" s="140"/>
      <c r="E391" s="140"/>
      <c r="F391" s="140"/>
      <c r="G391" s="140"/>
      <c r="H391" s="140"/>
      <c r="M391" s="141"/>
    </row>
    <row r="392">
      <c r="A392" s="140"/>
      <c r="B392" s="140"/>
      <c r="C392" s="140"/>
      <c r="E392" s="140"/>
      <c r="F392" s="140"/>
      <c r="G392" s="140"/>
      <c r="H392" s="140"/>
      <c r="M392" s="141"/>
    </row>
    <row r="393">
      <c r="A393" s="140"/>
      <c r="B393" s="140"/>
      <c r="C393" s="140"/>
      <c r="E393" s="140"/>
      <c r="F393" s="140"/>
      <c r="G393" s="140"/>
      <c r="H393" s="140"/>
      <c r="M393" s="141"/>
    </row>
    <row r="394">
      <c r="A394" s="140"/>
      <c r="B394" s="140"/>
      <c r="C394" s="140"/>
      <c r="E394" s="140"/>
      <c r="F394" s="140"/>
      <c r="G394" s="140"/>
      <c r="H394" s="140"/>
      <c r="M394" s="141"/>
    </row>
    <row r="395">
      <c r="A395" s="140"/>
      <c r="B395" s="140"/>
      <c r="C395" s="140"/>
      <c r="E395" s="140"/>
      <c r="F395" s="140"/>
      <c r="G395" s="140"/>
      <c r="H395" s="140"/>
      <c r="M395" s="141"/>
    </row>
    <row r="396">
      <c r="A396" s="140"/>
      <c r="B396" s="140"/>
      <c r="C396" s="140"/>
      <c r="E396" s="140"/>
      <c r="F396" s="140"/>
      <c r="G396" s="140"/>
      <c r="H396" s="140"/>
      <c r="M396" s="141"/>
    </row>
    <row r="397">
      <c r="A397" s="140"/>
      <c r="B397" s="140"/>
      <c r="C397" s="140"/>
      <c r="E397" s="140"/>
      <c r="F397" s="140"/>
      <c r="G397" s="140"/>
      <c r="H397" s="140"/>
      <c r="M397" s="141"/>
    </row>
    <row r="398">
      <c r="A398" s="140"/>
      <c r="B398" s="140"/>
      <c r="C398" s="140"/>
      <c r="E398" s="140"/>
      <c r="F398" s="140"/>
      <c r="G398" s="140"/>
      <c r="H398" s="140"/>
      <c r="M398" s="141"/>
    </row>
    <row r="399">
      <c r="A399" s="140"/>
      <c r="B399" s="140"/>
      <c r="C399" s="140"/>
      <c r="E399" s="140"/>
      <c r="F399" s="140"/>
      <c r="G399" s="140"/>
      <c r="H399" s="140"/>
      <c r="M399" s="141"/>
    </row>
    <row r="400">
      <c r="A400" s="140"/>
      <c r="B400" s="140"/>
      <c r="C400" s="140"/>
      <c r="E400" s="140"/>
      <c r="F400" s="140"/>
      <c r="G400" s="140"/>
      <c r="H400" s="140"/>
      <c r="M400" s="141"/>
    </row>
    <row r="401">
      <c r="A401" s="140"/>
      <c r="B401" s="140"/>
      <c r="C401" s="140"/>
      <c r="E401" s="140"/>
      <c r="F401" s="140"/>
      <c r="G401" s="140"/>
      <c r="H401" s="140"/>
      <c r="M401" s="141"/>
    </row>
    <row r="402">
      <c r="A402" s="140"/>
      <c r="B402" s="140"/>
      <c r="C402" s="140"/>
      <c r="E402" s="140"/>
      <c r="F402" s="140"/>
      <c r="G402" s="140"/>
      <c r="H402" s="140"/>
      <c r="M402" s="141"/>
    </row>
    <row r="403">
      <c r="A403" s="140"/>
      <c r="B403" s="140"/>
      <c r="C403" s="140"/>
      <c r="E403" s="140"/>
      <c r="F403" s="140"/>
      <c r="G403" s="140"/>
      <c r="H403" s="140"/>
      <c r="M403" s="141"/>
    </row>
    <row r="404">
      <c r="A404" s="140"/>
      <c r="B404" s="140"/>
      <c r="C404" s="140"/>
      <c r="E404" s="140"/>
      <c r="F404" s="140"/>
      <c r="G404" s="140"/>
      <c r="H404" s="140"/>
      <c r="M404" s="141"/>
    </row>
    <row r="405">
      <c r="A405" s="140"/>
      <c r="B405" s="140"/>
      <c r="C405" s="140"/>
      <c r="E405" s="140"/>
      <c r="F405" s="140"/>
      <c r="G405" s="140"/>
      <c r="H405" s="140"/>
      <c r="M405" s="141"/>
    </row>
    <row r="406">
      <c r="A406" s="140"/>
      <c r="B406" s="140"/>
      <c r="C406" s="140"/>
      <c r="E406" s="140"/>
      <c r="F406" s="140"/>
      <c r="G406" s="140"/>
      <c r="H406" s="140"/>
      <c r="M406" s="141"/>
    </row>
    <row r="407">
      <c r="A407" s="140"/>
      <c r="B407" s="140"/>
      <c r="C407" s="140"/>
      <c r="E407" s="140"/>
      <c r="F407" s="140"/>
      <c r="G407" s="140"/>
      <c r="H407" s="140"/>
      <c r="M407" s="141"/>
    </row>
    <row r="408">
      <c r="A408" s="140"/>
      <c r="B408" s="140"/>
      <c r="C408" s="140"/>
      <c r="E408" s="140"/>
      <c r="F408" s="140"/>
      <c r="G408" s="140"/>
      <c r="H408" s="140"/>
      <c r="M408" s="141"/>
    </row>
    <row r="409">
      <c r="A409" s="140"/>
      <c r="B409" s="140"/>
      <c r="C409" s="140"/>
      <c r="E409" s="140"/>
      <c r="F409" s="140"/>
      <c r="G409" s="140"/>
      <c r="H409" s="140"/>
      <c r="M409" s="141"/>
    </row>
    <row r="410">
      <c r="A410" s="140"/>
      <c r="B410" s="140"/>
      <c r="C410" s="140"/>
      <c r="E410" s="140"/>
      <c r="F410" s="140"/>
      <c r="G410" s="140"/>
      <c r="H410" s="140"/>
      <c r="M410" s="141"/>
    </row>
    <row r="411">
      <c r="A411" s="140"/>
      <c r="B411" s="140"/>
      <c r="C411" s="140"/>
      <c r="E411" s="140"/>
      <c r="F411" s="140"/>
      <c r="G411" s="140"/>
      <c r="H411" s="140"/>
      <c r="M411" s="141"/>
    </row>
    <row r="412">
      <c r="A412" s="140"/>
      <c r="B412" s="140"/>
      <c r="C412" s="140"/>
      <c r="E412" s="140"/>
      <c r="F412" s="140"/>
      <c r="G412" s="140"/>
      <c r="H412" s="140"/>
      <c r="M412" s="141"/>
    </row>
    <row r="413">
      <c r="A413" s="140"/>
      <c r="B413" s="140"/>
      <c r="C413" s="140"/>
      <c r="E413" s="140"/>
      <c r="F413" s="140"/>
      <c r="G413" s="140"/>
      <c r="H413" s="140"/>
      <c r="M413" s="141"/>
    </row>
    <row r="414">
      <c r="A414" s="140"/>
      <c r="B414" s="140"/>
      <c r="C414" s="140"/>
      <c r="E414" s="140"/>
      <c r="F414" s="140"/>
      <c r="G414" s="140"/>
      <c r="H414" s="140"/>
      <c r="M414" s="141"/>
    </row>
    <row r="415">
      <c r="A415" s="140"/>
      <c r="B415" s="140"/>
      <c r="C415" s="140"/>
      <c r="E415" s="140"/>
      <c r="F415" s="140"/>
      <c r="G415" s="140"/>
      <c r="H415" s="140"/>
      <c r="M415" s="141"/>
    </row>
    <row r="416">
      <c r="A416" s="140"/>
      <c r="B416" s="140"/>
      <c r="C416" s="140"/>
      <c r="E416" s="140"/>
      <c r="F416" s="140"/>
      <c r="G416" s="140"/>
      <c r="H416" s="140"/>
      <c r="M416" s="141"/>
    </row>
    <row r="417">
      <c r="A417" s="140"/>
      <c r="B417" s="140"/>
      <c r="C417" s="140"/>
      <c r="E417" s="140"/>
      <c r="F417" s="140"/>
      <c r="G417" s="140"/>
      <c r="H417" s="140"/>
      <c r="M417" s="141"/>
    </row>
    <row r="418">
      <c r="A418" s="140"/>
      <c r="B418" s="140"/>
      <c r="C418" s="140"/>
      <c r="E418" s="140"/>
      <c r="F418" s="140"/>
      <c r="G418" s="140"/>
      <c r="H418" s="140"/>
      <c r="M418" s="141"/>
    </row>
    <row r="419">
      <c r="A419" s="140"/>
      <c r="B419" s="140"/>
      <c r="C419" s="140"/>
      <c r="E419" s="140"/>
      <c r="F419" s="140"/>
      <c r="G419" s="140"/>
      <c r="H419" s="140"/>
      <c r="M419" s="141"/>
    </row>
    <row r="420">
      <c r="A420" s="140"/>
      <c r="B420" s="140"/>
      <c r="C420" s="140"/>
      <c r="E420" s="140"/>
      <c r="F420" s="140"/>
      <c r="G420" s="140"/>
      <c r="H420" s="140"/>
      <c r="M420" s="141"/>
    </row>
    <row r="421">
      <c r="A421" s="140"/>
      <c r="B421" s="140"/>
      <c r="C421" s="140"/>
      <c r="E421" s="140"/>
      <c r="F421" s="140"/>
      <c r="G421" s="140"/>
      <c r="H421" s="140"/>
      <c r="M421" s="141"/>
    </row>
    <row r="422">
      <c r="A422" s="140"/>
      <c r="B422" s="140"/>
      <c r="C422" s="140"/>
      <c r="E422" s="140"/>
      <c r="F422" s="140"/>
      <c r="G422" s="140"/>
      <c r="H422" s="140"/>
      <c r="M422" s="141"/>
    </row>
    <row r="423">
      <c r="A423" s="140"/>
      <c r="B423" s="140"/>
      <c r="C423" s="140"/>
      <c r="E423" s="140"/>
      <c r="F423" s="140"/>
      <c r="G423" s="140"/>
      <c r="H423" s="140"/>
      <c r="M423" s="141"/>
    </row>
    <row r="424">
      <c r="A424" s="140"/>
      <c r="B424" s="140"/>
      <c r="C424" s="140"/>
      <c r="E424" s="140"/>
      <c r="F424" s="140"/>
      <c r="G424" s="140"/>
      <c r="H424" s="140"/>
      <c r="M424" s="141"/>
    </row>
    <row r="425">
      <c r="A425" s="140"/>
      <c r="B425" s="140"/>
      <c r="C425" s="140"/>
      <c r="E425" s="140"/>
      <c r="F425" s="140"/>
      <c r="G425" s="140"/>
      <c r="H425" s="140"/>
      <c r="M425" s="141"/>
    </row>
    <row r="426">
      <c r="A426" s="140"/>
      <c r="B426" s="140"/>
      <c r="C426" s="140"/>
      <c r="E426" s="140"/>
      <c r="F426" s="140"/>
      <c r="G426" s="140"/>
      <c r="H426" s="140"/>
      <c r="M426" s="141"/>
    </row>
    <row r="427">
      <c r="A427" s="140"/>
      <c r="B427" s="140"/>
      <c r="C427" s="140"/>
      <c r="E427" s="140"/>
      <c r="F427" s="140"/>
      <c r="G427" s="140"/>
      <c r="H427" s="140"/>
      <c r="M427" s="141"/>
    </row>
    <row r="428">
      <c r="A428" s="140"/>
      <c r="B428" s="140"/>
      <c r="C428" s="140"/>
      <c r="E428" s="140"/>
      <c r="F428" s="140"/>
      <c r="G428" s="140"/>
      <c r="H428" s="140"/>
      <c r="M428" s="141"/>
    </row>
    <row r="429">
      <c r="A429" s="140"/>
      <c r="B429" s="140"/>
      <c r="C429" s="140"/>
      <c r="E429" s="140"/>
      <c r="F429" s="140"/>
      <c r="G429" s="140"/>
      <c r="H429" s="140"/>
      <c r="M429" s="141"/>
    </row>
    <row r="430">
      <c r="A430" s="140"/>
      <c r="B430" s="140"/>
      <c r="C430" s="140"/>
      <c r="E430" s="140"/>
      <c r="F430" s="140"/>
      <c r="G430" s="140"/>
      <c r="H430" s="140"/>
      <c r="M430" s="141"/>
    </row>
    <row r="431">
      <c r="A431" s="140"/>
      <c r="B431" s="140"/>
      <c r="C431" s="140"/>
      <c r="E431" s="140"/>
      <c r="F431" s="140"/>
      <c r="G431" s="140"/>
      <c r="H431" s="140"/>
      <c r="M431" s="141"/>
    </row>
    <row r="432">
      <c r="A432" s="140"/>
      <c r="B432" s="140"/>
      <c r="C432" s="140"/>
      <c r="E432" s="140"/>
      <c r="F432" s="140"/>
      <c r="G432" s="140"/>
      <c r="H432" s="140"/>
      <c r="M432" s="141"/>
    </row>
    <row r="433">
      <c r="A433" s="140"/>
      <c r="B433" s="140"/>
      <c r="C433" s="140"/>
      <c r="E433" s="140"/>
      <c r="F433" s="140"/>
      <c r="G433" s="140"/>
      <c r="H433" s="140"/>
      <c r="M433" s="141"/>
    </row>
    <row r="434">
      <c r="A434" s="140"/>
      <c r="B434" s="140"/>
      <c r="C434" s="140"/>
      <c r="E434" s="140"/>
      <c r="F434" s="140"/>
      <c r="G434" s="140"/>
      <c r="H434" s="140"/>
      <c r="M434" s="141"/>
    </row>
    <row r="435">
      <c r="A435" s="140"/>
      <c r="B435" s="140"/>
      <c r="C435" s="140"/>
      <c r="E435" s="140"/>
      <c r="F435" s="140"/>
      <c r="G435" s="140"/>
      <c r="H435" s="140"/>
      <c r="M435" s="141"/>
    </row>
    <row r="436">
      <c r="A436" s="140"/>
      <c r="B436" s="140"/>
      <c r="C436" s="140"/>
      <c r="E436" s="140"/>
      <c r="F436" s="140"/>
      <c r="G436" s="140"/>
      <c r="H436" s="140"/>
      <c r="M436" s="141"/>
    </row>
    <row r="437">
      <c r="A437" s="140"/>
      <c r="B437" s="140"/>
      <c r="C437" s="140"/>
      <c r="E437" s="140"/>
      <c r="F437" s="140"/>
      <c r="G437" s="140"/>
      <c r="H437" s="140"/>
      <c r="M437" s="141"/>
    </row>
    <row r="438">
      <c r="A438" s="140"/>
      <c r="B438" s="140"/>
      <c r="C438" s="140"/>
      <c r="E438" s="140"/>
      <c r="F438" s="140"/>
      <c r="G438" s="140"/>
      <c r="H438" s="140"/>
      <c r="M438" s="141"/>
    </row>
    <row r="439">
      <c r="A439" s="140"/>
      <c r="B439" s="140"/>
      <c r="C439" s="140"/>
      <c r="E439" s="140"/>
      <c r="F439" s="140"/>
      <c r="G439" s="140"/>
      <c r="H439" s="140"/>
      <c r="M439" s="141"/>
    </row>
    <row r="440">
      <c r="A440" s="140"/>
      <c r="B440" s="140"/>
      <c r="C440" s="140"/>
      <c r="E440" s="140"/>
      <c r="F440" s="140"/>
      <c r="G440" s="140"/>
      <c r="H440" s="140"/>
      <c r="M440" s="141"/>
    </row>
    <row r="441">
      <c r="A441" s="140"/>
      <c r="B441" s="140"/>
      <c r="C441" s="140"/>
      <c r="E441" s="140"/>
      <c r="F441" s="140"/>
      <c r="G441" s="140"/>
      <c r="H441" s="140"/>
      <c r="M441" s="141"/>
    </row>
    <row r="442">
      <c r="A442" s="140"/>
      <c r="B442" s="140"/>
      <c r="C442" s="140"/>
      <c r="E442" s="140"/>
      <c r="F442" s="140"/>
      <c r="G442" s="140"/>
      <c r="H442" s="140"/>
      <c r="M442" s="141"/>
    </row>
    <row r="443">
      <c r="A443" s="140"/>
      <c r="B443" s="140"/>
      <c r="C443" s="140"/>
      <c r="E443" s="140"/>
      <c r="F443" s="140"/>
      <c r="G443" s="140"/>
      <c r="H443" s="140"/>
      <c r="M443" s="141"/>
    </row>
    <row r="444">
      <c r="A444" s="140"/>
      <c r="B444" s="140"/>
      <c r="C444" s="140"/>
      <c r="E444" s="140"/>
      <c r="F444" s="140"/>
      <c r="G444" s="140"/>
      <c r="H444" s="140"/>
      <c r="M444" s="141"/>
    </row>
    <row r="445">
      <c r="A445" s="140"/>
      <c r="B445" s="140"/>
      <c r="C445" s="140"/>
      <c r="E445" s="140"/>
      <c r="F445" s="140"/>
      <c r="G445" s="140"/>
      <c r="H445" s="140"/>
      <c r="M445" s="141"/>
    </row>
    <row r="446">
      <c r="A446" s="140"/>
      <c r="B446" s="140"/>
      <c r="C446" s="140"/>
      <c r="E446" s="140"/>
      <c r="F446" s="140"/>
      <c r="G446" s="140"/>
      <c r="H446" s="140"/>
      <c r="M446" s="141"/>
    </row>
    <row r="447">
      <c r="A447" s="140"/>
      <c r="B447" s="140"/>
      <c r="C447" s="140"/>
      <c r="E447" s="140"/>
      <c r="F447" s="140"/>
      <c r="G447" s="140"/>
      <c r="H447" s="140"/>
      <c r="M447" s="141"/>
    </row>
    <row r="448">
      <c r="A448" s="140"/>
      <c r="B448" s="140"/>
      <c r="C448" s="140"/>
      <c r="E448" s="140"/>
      <c r="F448" s="140"/>
      <c r="G448" s="140"/>
      <c r="H448" s="140"/>
      <c r="M448" s="141"/>
    </row>
    <row r="449">
      <c r="A449" s="140"/>
      <c r="B449" s="140"/>
      <c r="C449" s="140"/>
      <c r="E449" s="140"/>
      <c r="F449" s="140"/>
      <c r="G449" s="140"/>
      <c r="H449" s="140"/>
      <c r="M449" s="141"/>
    </row>
    <row r="450">
      <c r="A450" s="140"/>
      <c r="B450" s="140"/>
      <c r="C450" s="140"/>
      <c r="E450" s="140"/>
      <c r="F450" s="140"/>
      <c r="G450" s="140"/>
      <c r="H450" s="140"/>
      <c r="M450" s="141"/>
    </row>
    <row r="451">
      <c r="A451" s="140"/>
      <c r="B451" s="140"/>
      <c r="C451" s="140"/>
      <c r="E451" s="140"/>
      <c r="F451" s="140"/>
      <c r="G451" s="140"/>
      <c r="H451" s="140"/>
      <c r="M451" s="141"/>
    </row>
    <row r="452">
      <c r="A452" s="140"/>
      <c r="B452" s="140"/>
      <c r="C452" s="140"/>
      <c r="E452" s="140"/>
      <c r="F452" s="140"/>
      <c r="G452" s="140"/>
      <c r="H452" s="140"/>
      <c r="M452" s="141"/>
    </row>
    <row r="453">
      <c r="A453" s="140"/>
      <c r="B453" s="140"/>
      <c r="C453" s="140"/>
      <c r="E453" s="140"/>
      <c r="F453" s="140"/>
      <c r="G453" s="140"/>
      <c r="H453" s="140"/>
      <c r="M453" s="141"/>
    </row>
    <row r="454">
      <c r="A454" s="140"/>
      <c r="B454" s="140"/>
      <c r="C454" s="140"/>
      <c r="E454" s="140"/>
      <c r="F454" s="140"/>
      <c r="G454" s="140"/>
      <c r="H454" s="140"/>
      <c r="M454" s="141"/>
    </row>
    <row r="455">
      <c r="A455" s="140"/>
      <c r="B455" s="140"/>
      <c r="C455" s="140"/>
      <c r="E455" s="140"/>
      <c r="F455" s="140"/>
      <c r="G455" s="140"/>
      <c r="H455" s="140"/>
      <c r="M455" s="141"/>
    </row>
    <row r="456">
      <c r="A456" s="140"/>
      <c r="B456" s="140"/>
      <c r="C456" s="140"/>
      <c r="E456" s="140"/>
      <c r="F456" s="140"/>
      <c r="G456" s="140"/>
      <c r="H456" s="140"/>
      <c r="M456" s="141"/>
    </row>
    <row r="457">
      <c r="A457" s="140"/>
      <c r="B457" s="140"/>
      <c r="C457" s="140"/>
      <c r="E457" s="140"/>
      <c r="F457" s="140"/>
      <c r="G457" s="140"/>
      <c r="H457" s="140"/>
      <c r="M457" s="141"/>
    </row>
    <row r="458">
      <c r="A458" s="140"/>
      <c r="B458" s="140"/>
      <c r="C458" s="140"/>
      <c r="E458" s="140"/>
      <c r="F458" s="140"/>
      <c r="G458" s="140"/>
      <c r="H458" s="140"/>
      <c r="M458" s="141"/>
    </row>
    <row r="459">
      <c r="A459" s="140"/>
      <c r="B459" s="140"/>
      <c r="C459" s="140"/>
      <c r="E459" s="140"/>
      <c r="F459" s="140"/>
      <c r="G459" s="140"/>
      <c r="H459" s="140"/>
      <c r="M459" s="141"/>
    </row>
    <row r="460">
      <c r="A460" s="140"/>
      <c r="B460" s="140"/>
      <c r="C460" s="140"/>
      <c r="E460" s="140"/>
      <c r="F460" s="140"/>
      <c r="G460" s="140"/>
      <c r="H460" s="140"/>
      <c r="M460" s="141"/>
    </row>
    <row r="461">
      <c r="A461" s="140"/>
      <c r="B461" s="140"/>
      <c r="C461" s="140"/>
      <c r="E461" s="140"/>
      <c r="F461" s="140"/>
      <c r="G461" s="140"/>
      <c r="H461" s="140"/>
      <c r="M461" s="141"/>
    </row>
    <row r="462">
      <c r="A462" s="140"/>
      <c r="B462" s="140"/>
      <c r="C462" s="140"/>
      <c r="E462" s="140"/>
      <c r="F462" s="140"/>
      <c r="G462" s="140"/>
      <c r="H462" s="140"/>
      <c r="M462" s="141"/>
    </row>
    <row r="463">
      <c r="A463" s="140"/>
      <c r="B463" s="140"/>
      <c r="C463" s="140"/>
      <c r="E463" s="140"/>
      <c r="F463" s="140"/>
      <c r="G463" s="140"/>
      <c r="H463" s="140"/>
      <c r="M463" s="141"/>
    </row>
    <row r="464">
      <c r="A464" s="140"/>
      <c r="B464" s="140"/>
      <c r="C464" s="140"/>
      <c r="E464" s="140"/>
      <c r="F464" s="140"/>
      <c r="G464" s="140"/>
      <c r="H464" s="140"/>
      <c r="M464" s="141"/>
    </row>
    <row r="465">
      <c r="A465" s="140"/>
      <c r="B465" s="140"/>
      <c r="C465" s="140"/>
      <c r="E465" s="140"/>
      <c r="F465" s="140"/>
      <c r="G465" s="140"/>
      <c r="H465" s="140"/>
      <c r="M465" s="141"/>
    </row>
    <row r="466">
      <c r="A466" s="140"/>
      <c r="B466" s="140"/>
      <c r="C466" s="140"/>
      <c r="E466" s="140"/>
      <c r="F466" s="140"/>
      <c r="G466" s="140"/>
      <c r="H466" s="140"/>
      <c r="M466" s="141"/>
    </row>
    <row r="467">
      <c r="A467" s="140"/>
      <c r="B467" s="140"/>
      <c r="C467" s="140"/>
      <c r="E467" s="140"/>
      <c r="F467" s="140"/>
      <c r="G467" s="140"/>
      <c r="H467" s="140"/>
      <c r="M467" s="141"/>
    </row>
    <row r="468">
      <c r="A468" s="140"/>
      <c r="B468" s="140"/>
      <c r="C468" s="140"/>
      <c r="E468" s="140"/>
      <c r="F468" s="140"/>
      <c r="G468" s="140"/>
      <c r="H468" s="140"/>
      <c r="M468" s="141"/>
    </row>
    <row r="469">
      <c r="A469" s="140"/>
      <c r="B469" s="140"/>
      <c r="C469" s="140"/>
      <c r="E469" s="140"/>
      <c r="F469" s="140"/>
      <c r="G469" s="140"/>
      <c r="H469" s="140"/>
      <c r="M469" s="141"/>
    </row>
    <row r="470">
      <c r="A470" s="140"/>
      <c r="B470" s="140"/>
      <c r="C470" s="140"/>
      <c r="E470" s="140"/>
      <c r="F470" s="140"/>
      <c r="G470" s="140"/>
      <c r="H470" s="140"/>
      <c r="M470" s="141"/>
    </row>
    <row r="471">
      <c r="A471" s="140"/>
      <c r="B471" s="140"/>
      <c r="C471" s="140"/>
      <c r="E471" s="140"/>
      <c r="F471" s="140"/>
      <c r="G471" s="140"/>
      <c r="H471" s="140"/>
      <c r="M471" s="141"/>
    </row>
    <row r="472">
      <c r="A472" s="140"/>
      <c r="B472" s="140"/>
      <c r="C472" s="140"/>
      <c r="E472" s="140"/>
      <c r="F472" s="140"/>
      <c r="G472" s="140"/>
      <c r="H472" s="140"/>
      <c r="M472" s="141"/>
    </row>
    <row r="473">
      <c r="A473" s="140"/>
      <c r="B473" s="140"/>
      <c r="C473" s="140"/>
      <c r="E473" s="140"/>
      <c r="F473" s="140"/>
      <c r="G473" s="140"/>
      <c r="H473" s="140"/>
      <c r="M473" s="141"/>
    </row>
    <row r="474">
      <c r="A474" s="140"/>
      <c r="B474" s="140"/>
      <c r="C474" s="140"/>
      <c r="E474" s="140"/>
      <c r="F474" s="140"/>
      <c r="G474" s="140"/>
      <c r="H474" s="140"/>
      <c r="M474" s="141"/>
    </row>
    <row r="475">
      <c r="A475" s="140"/>
      <c r="B475" s="140"/>
      <c r="C475" s="140"/>
      <c r="E475" s="140"/>
      <c r="F475" s="140"/>
      <c r="G475" s="140"/>
      <c r="H475" s="140"/>
      <c r="M475" s="141"/>
    </row>
    <row r="476">
      <c r="A476" s="140"/>
      <c r="B476" s="140"/>
      <c r="C476" s="140"/>
      <c r="E476" s="140"/>
      <c r="F476" s="140"/>
      <c r="G476" s="140"/>
      <c r="H476" s="140"/>
      <c r="M476" s="141"/>
    </row>
    <row r="477">
      <c r="A477" s="140"/>
      <c r="B477" s="140"/>
      <c r="C477" s="140"/>
      <c r="E477" s="140"/>
      <c r="F477" s="140"/>
      <c r="G477" s="140"/>
      <c r="H477" s="140"/>
      <c r="M477" s="141"/>
    </row>
    <row r="478">
      <c r="A478" s="140"/>
      <c r="B478" s="140"/>
      <c r="C478" s="140"/>
      <c r="E478" s="140"/>
      <c r="F478" s="140"/>
      <c r="G478" s="140"/>
      <c r="H478" s="140"/>
      <c r="M478" s="141"/>
    </row>
    <row r="479">
      <c r="A479" s="140"/>
      <c r="B479" s="140"/>
      <c r="C479" s="140"/>
      <c r="E479" s="140"/>
      <c r="F479" s="140"/>
      <c r="G479" s="140"/>
      <c r="H479" s="140"/>
      <c r="M479" s="141"/>
    </row>
    <row r="480">
      <c r="A480" s="140"/>
      <c r="B480" s="140"/>
      <c r="C480" s="140"/>
      <c r="E480" s="140"/>
      <c r="F480" s="140"/>
      <c r="G480" s="140"/>
      <c r="H480" s="140"/>
      <c r="M480" s="141"/>
    </row>
    <row r="481">
      <c r="A481" s="140"/>
      <c r="B481" s="140"/>
      <c r="C481" s="140"/>
      <c r="E481" s="140"/>
      <c r="F481" s="140"/>
      <c r="G481" s="140"/>
      <c r="H481" s="140"/>
      <c r="M481" s="141"/>
    </row>
    <row r="482">
      <c r="A482" s="140"/>
      <c r="B482" s="140"/>
      <c r="C482" s="140"/>
      <c r="E482" s="140"/>
      <c r="F482" s="140"/>
      <c r="G482" s="140"/>
      <c r="H482" s="140"/>
      <c r="M482" s="141"/>
    </row>
    <row r="483">
      <c r="A483" s="140"/>
      <c r="B483" s="140"/>
      <c r="C483" s="140"/>
      <c r="E483" s="140"/>
      <c r="F483" s="140"/>
      <c r="G483" s="140"/>
      <c r="H483" s="140"/>
      <c r="M483" s="141"/>
    </row>
    <row r="484">
      <c r="A484" s="140"/>
      <c r="B484" s="140"/>
      <c r="C484" s="140"/>
      <c r="E484" s="140"/>
      <c r="F484" s="140"/>
      <c r="G484" s="140"/>
      <c r="H484" s="140"/>
      <c r="M484" s="141"/>
    </row>
    <row r="485">
      <c r="A485" s="140"/>
      <c r="B485" s="140"/>
      <c r="C485" s="140"/>
      <c r="E485" s="140"/>
      <c r="F485" s="140"/>
      <c r="G485" s="140"/>
      <c r="H485" s="140"/>
      <c r="M485" s="141"/>
    </row>
    <row r="486">
      <c r="A486" s="140"/>
      <c r="B486" s="140"/>
      <c r="C486" s="140"/>
      <c r="E486" s="140"/>
      <c r="F486" s="140"/>
      <c r="G486" s="140"/>
      <c r="H486" s="140"/>
      <c r="M486" s="141"/>
    </row>
    <row r="487">
      <c r="A487" s="140"/>
      <c r="B487" s="140"/>
      <c r="C487" s="140"/>
      <c r="E487" s="140"/>
      <c r="F487" s="140"/>
      <c r="G487" s="140"/>
      <c r="H487" s="140"/>
      <c r="M487" s="141"/>
    </row>
    <row r="488">
      <c r="A488" s="140"/>
      <c r="B488" s="140"/>
      <c r="C488" s="140"/>
      <c r="E488" s="140"/>
      <c r="F488" s="140"/>
      <c r="G488" s="140"/>
      <c r="H488" s="140"/>
      <c r="M488" s="141"/>
    </row>
    <row r="489">
      <c r="A489" s="140"/>
      <c r="B489" s="140"/>
      <c r="C489" s="140"/>
      <c r="E489" s="140"/>
      <c r="F489" s="140"/>
      <c r="G489" s="140"/>
      <c r="H489" s="140"/>
      <c r="M489" s="141"/>
    </row>
    <row r="490">
      <c r="A490" s="140"/>
      <c r="B490" s="140"/>
      <c r="C490" s="140"/>
      <c r="E490" s="140"/>
      <c r="F490" s="140"/>
      <c r="G490" s="140"/>
      <c r="H490" s="140"/>
      <c r="M490" s="141"/>
    </row>
    <row r="491">
      <c r="A491" s="140"/>
      <c r="B491" s="140"/>
      <c r="C491" s="140"/>
      <c r="E491" s="140"/>
      <c r="F491" s="140"/>
      <c r="G491" s="140"/>
      <c r="H491" s="140"/>
      <c r="M491" s="141"/>
    </row>
    <row r="492">
      <c r="A492" s="140"/>
      <c r="B492" s="140"/>
      <c r="C492" s="140"/>
      <c r="E492" s="140"/>
      <c r="F492" s="140"/>
      <c r="G492" s="140"/>
      <c r="H492" s="140"/>
      <c r="M492" s="141"/>
    </row>
    <row r="493">
      <c r="A493" s="140"/>
      <c r="B493" s="140"/>
      <c r="C493" s="140"/>
      <c r="E493" s="140"/>
      <c r="F493" s="140"/>
      <c r="G493" s="140"/>
      <c r="H493" s="140"/>
      <c r="M493" s="141"/>
    </row>
    <row r="494">
      <c r="A494" s="140"/>
      <c r="B494" s="140"/>
      <c r="C494" s="140"/>
      <c r="E494" s="140"/>
      <c r="F494" s="140"/>
      <c r="G494" s="140"/>
      <c r="H494" s="140"/>
      <c r="M494" s="141"/>
    </row>
    <row r="495">
      <c r="A495" s="140"/>
      <c r="B495" s="140"/>
      <c r="C495" s="140"/>
      <c r="E495" s="140"/>
      <c r="F495" s="140"/>
      <c r="G495" s="140"/>
      <c r="H495" s="140"/>
      <c r="M495" s="141"/>
    </row>
    <row r="496">
      <c r="A496" s="140"/>
      <c r="B496" s="140"/>
      <c r="C496" s="140"/>
      <c r="E496" s="140"/>
      <c r="F496" s="140"/>
      <c r="G496" s="140"/>
      <c r="H496" s="140"/>
      <c r="M496" s="141"/>
    </row>
    <row r="497">
      <c r="A497" s="140"/>
      <c r="B497" s="140"/>
      <c r="C497" s="140"/>
      <c r="E497" s="140"/>
      <c r="F497" s="140"/>
      <c r="G497" s="140"/>
      <c r="H497" s="140"/>
      <c r="M497" s="141"/>
    </row>
    <row r="498">
      <c r="A498" s="140"/>
      <c r="B498" s="140"/>
      <c r="C498" s="140"/>
      <c r="E498" s="140"/>
      <c r="F498" s="140"/>
      <c r="G498" s="140"/>
      <c r="H498" s="140"/>
      <c r="M498" s="141"/>
    </row>
    <row r="499">
      <c r="A499" s="140"/>
      <c r="B499" s="140"/>
      <c r="C499" s="140"/>
      <c r="E499" s="140"/>
      <c r="F499" s="140"/>
      <c r="G499" s="140"/>
      <c r="H499" s="140"/>
      <c r="M499" s="141"/>
    </row>
    <row r="500">
      <c r="A500" s="140"/>
      <c r="B500" s="140"/>
      <c r="C500" s="140"/>
      <c r="E500" s="140"/>
      <c r="F500" s="140"/>
      <c r="G500" s="140"/>
      <c r="H500" s="140"/>
      <c r="M500" s="141"/>
    </row>
    <row r="501">
      <c r="A501" s="140"/>
      <c r="B501" s="140"/>
      <c r="C501" s="140"/>
      <c r="E501" s="140"/>
      <c r="F501" s="140"/>
      <c r="G501" s="140"/>
      <c r="H501" s="140"/>
      <c r="M501" s="141"/>
    </row>
    <row r="502">
      <c r="A502" s="140"/>
      <c r="B502" s="140"/>
      <c r="C502" s="140"/>
      <c r="E502" s="140"/>
      <c r="F502" s="140"/>
      <c r="G502" s="140"/>
      <c r="H502" s="140"/>
      <c r="M502" s="141"/>
    </row>
    <row r="503">
      <c r="A503" s="140"/>
      <c r="B503" s="140"/>
      <c r="C503" s="140"/>
      <c r="E503" s="140"/>
      <c r="F503" s="140"/>
      <c r="G503" s="140"/>
      <c r="H503" s="140"/>
      <c r="M503" s="141"/>
    </row>
    <row r="504">
      <c r="A504" s="140"/>
      <c r="B504" s="140"/>
      <c r="C504" s="140"/>
      <c r="E504" s="140"/>
      <c r="F504" s="140"/>
      <c r="G504" s="140"/>
      <c r="H504" s="140"/>
      <c r="M504" s="141"/>
    </row>
    <row r="505">
      <c r="A505" s="140"/>
      <c r="B505" s="140"/>
      <c r="C505" s="140"/>
      <c r="E505" s="140"/>
      <c r="F505" s="140"/>
      <c r="G505" s="140"/>
      <c r="H505" s="140"/>
      <c r="M505" s="141"/>
    </row>
    <row r="506">
      <c r="A506" s="140"/>
      <c r="B506" s="140"/>
      <c r="C506" s="140"/>
      <c r="E506" s="140"/>
      <c r="F506" s="140"/>
      <c r="G506" s="140"/>
      <c r="H506" s="140"/>
      <c r="M506" s="141"/>
    </row>
    <row r="507">
      <c r="A507" s="140"/>
      <c r="B507" s="140"/>
      <c r="C507" s="140"/>
      <c r="E507" s="140"/>
      <c r="F507" s="140"/>
      <c r="G507" s="140"/>
      <c r="H507" s="140"/>
      <c r="M507" s="141"/>
    </row>
    <row r="508">
      <c r="A508" s="140"/>
      <c r="B508" s="140"/>
      <c r="C508" s="140"/>
      <c r="E508" s="140"/>
      <c r="F508" s="140"/>
      <c r="G508" s="140"/>
      <c r="H508" s="140"/>
      <c r="M508" s="141"/>
    </row>
    <row r="509">
      <c r="A509" s="140"/>
      <c r="B509" s="140"/>
      <c r="C509" s="140"/>
      <c r="E509" s="140"/>
      <c r="F509" s="140"/>
      <c r="G509" s="140"/>
      <c r="H509" s="140"/>
      <c r="M509" s="141"/>
    </row>
    <row r="510">
      <c r="A510" s="140"/>
      <c r="B510" s="140"/>
      <c r="C510" s="140"/>
      <c r="E510" s="140"/>
      <c r="F510" s="140"/>
      <c r="G510" s="140"/>
      <c r="H510" s="140"/>
      <c r="M510" s="141"/>
    </row>
    <row r="511">
      <c r="A511" s="140"/>
      <c r="B511" s="140"/>
      <c r="C511" s="140"/>
      <c r="E511" s="140"/>
      <c r="F511" s="140"/>
      <c r="G511" s="140"/>
      <c r="H511" s="140"/>
      <c r="M511" s="141"/>
    </row>
    <row r="512">
      <c r="A512" s="140"/>
      <c r="B512" s="140"/>
      <c r="C512" s="140"/>
      <c r="E512" s="140"/>
      <c r="F512" s="140"/>
      <c r="G512" s="140"/>
      <c r="H512" s="140"/>
      <c r="M512" s="141"/>
    </row>
    <row r="513">
      <c r="A513" s="140"/>
      <c r="B513" s="140"/>
      <c r="C513" s="140"/>
      <c r="E513" s="140"/>
      <c r="F513" s="140"/>
      <c r="G513" s="140"/>
      <c r="H513" s="140"/>
      <c r="M513" s="141"/>
    </row>
    <row r="514">
      <c r="A514" s="140"/>
      <c r="B514" s="140"/>
      <c r="C514" s="140"/>
      <c r="E514" s="140"/>
      <c r="F514" s="140"/>
      <c r="G514" s="140"/>
      <c r="H514" s="140"/>
      <c r="M514" s="141"/>
    </row>
    <row r="515">
      <c r="A515" s="140"/>
      <c r="B515" s="140"/>
      <c r="C515" s="140"/>
      <c r="E515" s="140"/>
      <c r="F515" s="140"/>
      <c r="G515" s="140"/>
      <c r="H515" s="140"/>
      <c r="M515" s="141"/>
    </row>
    <row r="516">
      <c r="A516" s="140"/>
      <c r="B516" s="140"/>
      <c r="C516" s="140"/>
      <c r="E516" s="140"/>
      <c r="F516" s="140"/>
      <c r="G516" s="140"/>
      <c r="H516" s="140"/>
      <c r="M516" s="141"/>
    </row>
    <row r="517">
      <c r="A517" s="140"/>
      <c r="B517" s="140"/>
      <c r="C517" s="140"/>
      <c r="E517" s="140"/>
      <c r="F517" s="140"/>
      <c r="G517" s="140"/>
      <c r="H517" s="140"/>
      <c r="M517" s="141"/>
    </row>
    <row r="518">
      <c r="A518" s="140"/>
      <c r="B518" s="140"/>
      <c r="C518" s="140"/>
      <c r="E518" s="140"/>
      <c r="F518" s="140"/>
      <c r="G518" s="140"/>
      <c r="H518" s="140"/>
      <c r="M518" s="141"/>
    </row>
    <row r="519">
      <c r="A519" s="140"/>
      <c r="B519" s="140"/>
      <c r="C519" s="140"/>
      <c r="E519" s="140"/>
      <c r="F519" s="140"/>
      <c r="G519" s="140"/>
      <c r="H519" s="140"/>
      <c r="M519" s="141"/>
    </row>
    <row r="520">
      <c r="A520" s="140"/>
      <c r="B520" s="140"/>
      <c r="C520" s="140"/>
      <c r="E520" s="140"/>
      <c r="F520" s="140"/>
      <c r="G520" s="140"/>
      <c r="H520" s="140"/>
      <c r="M520" s="141"/>
    </row>
    <row r="521">
      <c r="A521" s="140"/>
      <c r="B521" s="140"/>
      <c r="C521" s="140"/>
      <c r="E521" s="140"/>
      <c r="F521" s="140"/>
      <c r="G521" s="140"/>
      <c r="H521" s="140"/>
      <c r="M521" s="141"/>
    </row>
    <row r="522">
      <c r="A522" s="140"/>
      <c r="B522" s="140"/>
      <c r="C522" s="140"/>
      <c r="E522" s="140"/>
      <c r="F522" s="140"/>
      <c r="G522" s="140"/>
      <c r="H522" s="140"/>
      <c r="M522" s="141"/>
    </row>
    <row r="523">
      <c r="A523" s="140"/>
      <c r="B523" s="140"/>
      <c r="C523" s="140"/>
      <c r="E523" s="140"/>
      <c r="F523" s="140"/>
      <c r="G523" s="140"/>
      <c r="H523" s="140"/>
      <c r="M523" s="141"/>
    </row>
    <row r="524">
      <c r="A524" s="140"/>
      <c r="B524" s="140"/>
      <c r="C524" s="140"/>
      <c r="E524" s="140"/>
      <c r="F524" s="140"/>
      <c r="G524" s="140"/>
      <c r="H524" s="140"/>
      <c r="M524" s="141"/>
    </row>
    <row r="525">
      <c r="A525" s="140"/>
      <c r="B525" s="140"/>
      <c r="C525" s="140"/>
      <c r="E525" s="140"/>
      <c r="F525" s="140"/>
      <c r="G525" s="140"/>
      <c r="H525" s="140"/>
      <c r="M525" s="141"/>
    </row>
    <row r="526">
      <c r="A526" s="140"/>
      <c r="B526" s="140"/>
      <c r="C526" s="140"/>
      <c r="E526" s="140"/>
      <c r="F526" s="140"/>
      <c r="G526" s="140"/>
      <c r="H526" s="140"/>
      <c r="M526" s="141"/>
    </row>
    <row r="527">
      <c r="A527" s="140"/>
      <c r="B527" s="140"/>
      <c r="C527" s="140"/>
      <c r="E527" s="140"/>
      <c r="F527" s="140"/>
      <c r="G527" s="140"/>
      <c r="H527" s="140"/>
      <c r="M527" s="141"/>
    </row>
    <row r="528">
      <c r="A528" s="140"/>
      <c r="B528" s="140"/>
      <c r="C528" s="140"/>
      <c r="E528" s="140"/>
      <c r="F528" s="140"/>
      <c r="G528" s="140"/>
      <c r="H528" s="140"/>
      <c r="M528" s="141"/>
    </row>
    <row r="529">
      <c r="A529" s="140"/>
      <c r="B529" s="140"/>
      <c r="C529" s="140"/>
      <c r="E529" s="140"/>
      <c r="F529" s="140"/>
      <c r="G529" s="140"/>
      <c r="H529" s="140"/>
      <c r="M529" s="141"/>
    </row>
    <row r="530">
      <c r="A530" s="140"/>
      <c r="B530" s="140"/>
      <c r="C530" s="140"/>
      <c r="E530" s="140"/>
      <c r="F530" s="140"/>
      <c r="G530" s="140"/>
      <c r="H530" s="140"/>
      <c r="M530" s="141"/>
    </row>
    <row r="531">
      <c r="A531" s="140"/>
      <c r="B531" s="140"/>
      <c r="C531" s="140"/>
      <c r="E531" s="140"/>
      <c r="F531" s="140"/>
      <c r="G531" s="140"/>
      <c r="H531" s="140"/>
      <c r="M531" s="141"/>
    </row>
    <row r="532">
      <c r="A532" s="140"/>
      <c r="B532" s="140"/>
      <c r="C532" s="140"/>
      <c r="E532" s="140"/>
      <c r="F532" s="140"/>
      <c r="G532" s="140"/>
      <c r="H532" s="140"/>
      <c r="M532" s="141"/>
    </row>
    <row r="533">
      <c r="A533" s="140"/>
      <c r="B533" s="140"/>
      <c r="C533" s="140"/>
      <c r="E533" s="140"/>
      <c r="F533" s="140"/>
      <c r="G533" s="140"/>
      <c r="H533" s="140"/>
      <c r="M533" s="141"/>
    </row>
    <row r="534">
      <c r="A534" s="140"/>
      <c r="B534" s="140"/>
      <c r="C534" s="140"/>
      <c r="E534" s="140"/>
      <c r="F534" s="140"/>
      <c r="G534" s="140"/>
      <c r="H534" s="140"/>
      <c r="M534" s="141"/>
    </row>
    <row r="535">
      <c r="A535" s="140"/>
      <c r="B535" s="140"/>
      <c r="C535" s="140"/>
      <c r="E535" s="140"/>
      <c r="F535" s="140"/>
      <c r="G535" s="140"/>
      <c r="H535" s="140"/>
      <c r="M535" s="141"/>
    </row>
    <row r="536">
      <c r="A536" s="140"/>
      <c r="B536" s="140"/>
      <c r="C536" s="140"/>
      <c r="E536" s="140"/>
      <c r="F536" s="140"/>
      <c r="G536" s="140"/>
      <c r="H536" s="140"/>
      <c r="M536" s="141"/>
    </row>
    <row r="537">
      <c r="A537" s="140"/>
      <c r="B537" s="140"/>
      <c r="C537" s="140"/>
      <c r="E537" s="140"/>
      <c r="F537" s="140"/>
      <c r="G537" s="140"/>
      <c r="H537" s="140"/>
      <c r="M537" s="141"/>
    </row>
    <row r="538">
      <c r="A538" s="140"/>
      <c r="B538" s="140"/>
      <c r="C538" s="140"/>
      <c r="E538" s="140"/>
      <c r="F538" s="140"/>
      <c r="G538" s="140"/>
      <c r="H538" s="140"/>
      <c r="M538" s="141"/>
    </row>
    <row r="539">
      <c r="A539" s="140"/>
      <c r="B539" s="140"/>
      <c r="C539" s="140"/>
      <c r="E539" s="140"/>
      <c r="F539" s="140"/>
      <c r="G539" s="140"/>
      <c r="H539" s="140"/>
      <c r="M539" s="141"/>
    </row>
    <row r="540">
      <c r="A540" s="140"/>
      <c r="B540" s="140"/>
      <c r="C540" s="140"/>
      <c r="E540" s="140"/>
      <c r="F540" s="140"/>
      <c r="G540" s="140"/>
      <c r="H540" s="140"/>
      <c r="M540" s="141"/>
    </row>
    <row r="541">
      <c r="A541" s="140"/>
      <c r="B541" s="140"/>
      <c r="C541" s="140"/>
      <c r="E541" s="140"/>
      <c r="F541" s="140"/>
      <c r="G541" s="140"/>
      <c r="H541" s="140"/>
      <c r="M541" s="141"/>
    </row>
    <row r="542">
      <c r="A542" s="140"/>
      <c r="B542" s="140"/>
      <c r="C542" s="140"/>
      <c r="E542" s="140"/>
      <c r="F542" s="140"/>
      <c r="G542" s="140"/>
      <c r="H542" s="140"/>
      <c r="M542" s="141"/>
    </row>
    <row r="543">
      <c r="A543" s="140"/>
      <c r="B543" s="140"/>
      <c r="C543" s="140"/>
      <c r="E543" s="140"/>
      <c r="F543" s="140"/>
      <c r="G543" s="140"/>
      <c r="H543" s="140"/>
      <c r="M543" s="141"/>
    </row>
    <row r="544">
      <c r="A544" s="140"/>
      <c r="B544" s="140"/>
      <c r="C544" s="140"/>
      <c r="E544" s="140"/>
      <c r="F544" s="140"/>
      <c r="G544" s="140"/>
      <c r="H544" s="140"/>
      <c r="M544" s="141"/>
    </row>
    <row r="545">
      <c r="A545" s="140"/>
      <c r="B545" s="140"/>
      <c r="C545" s="140"/>
      <c r="E545" s="140"/>
      <c r="F545" s="140"/>
      <c r="G545" s="140"/>
      <c r="H545" s="140"/>
      <c r="M545" s="141"/>
    </row>
    <row r="546">
      <c r="A546" s="140"/>
      <c r="B546" s="140"/>
      <c r="C546" s="140"/>
      <c r="E546" s="140"/>
      <c r="F546" s="140"/>
      <c r="G546" s="140"/>
      <c r="H546" s="140"/>
      <c r="M546" s="141"/>
    </row>
    <row r="547">
      <c r="A547" s="140"/>
      <c r="B547" s="140"/>
      <c r="C547" s="140"/>
      <c r="E547" s="140"/>
      <c r="F547" s="140"/>
      <c r="G547" s="140"/>
      <c r="H547" s="140"/>
      <c r="M547" s="141"/>
    </row>
    <row r="548">
      <c r="A548" s="140"/>
      <c r="B548" s="140"/>
      <c r="C548" s="140"/>
      <c r="E548" s="140"/>
      <c r="F548" s="140"/>
      <c r="G548" s="140"/>
      <c r="H548" s="140"/>
      <c r="M548" s="141"/>
    </row>
    <row r="549">
      <c r="A549" s="140"/>
      <c r="B549" s="140"/>
      <c r="C549" s="140"/>
      <c r="E549" s="140"/>
      <c r="F549" s="140"/>
      <c r="G549" s="140"/>
      <c r="H549" s="140"/>
      <c r="M549" s="141"/>
    </row>
    <row r="550">
      <c r="A550" s="140"/>
      <c r="B550" s="140"/>
      <c r="C550" s="140"/>
      <c r="E550" s="140"/>
      <c r="F550" s="140"/>
      <c r="G550" s="140"/>
      <c r="H550" s="140"/>
      <c r="M550" s="141"/>
    </row>
    <row r="551">
      <c r="A551" s="140"/>
      <c r="B551" s="140"/>
      <c r="C551" s="140"/>
      <c r="E551" s="140"/>
      <c r="F551" s="140"/>
      <c r="G551" s="140"/>
      <c r="H551" s="140"/>
      <c r="M551" s="141"/>
    </row>
    <row r="552">
      <c r="A552" s="140"/>
      <c r="B552" s="140"/>
      <c r="C552" s="140"/>
      <c r="E552" s="140"/>
      <c r="F552" s="140"/>
      <c r="G552" s="140"/>
      <c r="H552" s="140"/>
      <c r="M552" s="141"/>
    </row>
    <row r="553">
      <c r="A553" s="140"/>
      <c r="B553" s="140"/>
      <c r="C553" s="140"/>
      <c r="E553" s="140"/>
      <c r="F553" s="140"/>
      <c r="G553" s="140"/>
      <c r="H553" s="140"/>
      <c r="M553" s="141"/>
    </row>
    <row r="554">
      <c r="A554" s="140"/>
      <c r="B554" s="140"/>
      <c r="C554" s="140"/>
      <c r="E554" s="140"/>
      <c r="F554" s="140"/>
      <c r="G554" s="140"/>
      <c r="H554" s="140"/>
      <c r="M554" s="141"/>
    </row>
    <row r="555">
      <c r="A555" s="140"/>
      <c r="B555" s="140"/>
      <c r="C555" s="140"/>
      <c r="E555" s="140"/>
      <c r="F555" s="140"/>
      <c r="G555" s="140"/>
      <c r="H555" s="140"/>
      <c r="M555" s="141"/>
    </row>
    <row r="556">
      <c r="A556" s="140"/>
      <c r="B556" s="140"/>
      <c r="C556" s="140"/>
      <c r="E556" s="140"/>
      <c r="F556" s="140"/>
      <c r="G556" s="140"/>
      <c r="H556" s="140"/>
      <c r="M556" s="141"/>
    </row>
    <row r="557">
      <c r="A557" s="140"/>
      <c r="B557" s="140"/>
      <c r="C557" s="140"/>
      <c r="E557" s="140"/>
      <c r="F557" s="140"/>
      <c r="G557" s="140"/>
      <c r="H557" s="140"/>
      <c r="M557" s="141"/>
    </row>
    <row r="558">
      <c r="A558" s="140"/>
      <c r="B558" s="140"/>
      <c r="C558" s="140"/>
      <c r="E558" s="140"/>
      <c r="F558" s="140"/>
      <c r="G558" s="140"/>
      <c r="H558" s="140"/>
      <c r="M558" s="141"/>
    </row>
    <row r="559">
      <c r="A559" s="140"/>
      <c r="B559" s="140"/>
      <c r="C559" s="140"/>
      <c r="E559" s="140"/>
      <c r="F559" s="140"/>
      <c r="G559" s="140"/>
      <c r="H559" s="140"/>
      <c r="M559" s="141"/>
    </row>
    <row r="560">
      <c r="A560" s="140"/>
      <c r="B560" s="140"/>
      <c r="C560" s="140"/>
      <c r="E560" s="140"/>
      <c r="F560" s="140"/>
      <c r="G560" s="140"/>
      <c r="H560" s="140"/>
      <c r="M560" s="141"/>
    </row>
    <row r="561">
      <c r="A561" s="140"/>
      <c r="B561" s="140"/>
      <c r="C561" s="140"/>
      <c r="E561" s="140"/>
      <c r="F561" s="140"/>
      <c r="G561" s="140"/>
      <c r="H561" s="140"/>
      <c r="M561" s="141"/>
    </row>
    <row r="562">
      <c r="A562" s="140"/>
      <c r="B562" s="140"/>
      <c r="C562" s="140"/>
      <c r="E562" s="140"/>
      <c r="F562" s="140"/>
      <c r="G562" s="140"/>
      <c r="H562" s="140"/>
      <c r="M562" s="141"/>
    </row>
    <row r="563">
      <c r="A563" s="140"/>
      <c r="B563" s="140"/>
      <c r="C563" s="140"/>
      <c r="E563" s="140"/>
      <c r="F563" s="140"/>
      <c r="G563" s="140"/>
      <c r="H563" s="140"/>
      <c r="M563" s="141"/>
    </row>
    <row r="564">
      <c r="A564" s="140"/>
      <c r="B564" s="140"/>
      <c r="C564" s="140"/>
      <c r="E564" s="140"/>
      <c r="F564" s="140"/>
      <c r="G564" s="140"/>
      <c r="H564" s="140"/>
      <c r="M564" s="141"/>
    </row>
    <row r="565">
      <c r="A565" s="140"/>
      <c r="B565" s="140"/>
      <c r="C565" s="140"/>
      <c r="E565" s="140"/>
      <c r="F565" s="140"/>
      <c r="G565" s="140"/>
      <c r="H565" s="140"/>
      <c r="M565" s="141"/>
    </row>
    <row r="566">
      <c r="A566" s="140"/>
      <c r="B566" s="140"/>
      <c r="C566" s="140"/>
      <c r="E566" s="140"/>
      <c r="F566" s="140"/>
      <c r="G566" s="140"/>
      <c r="H566" s="140"/>
      <c r="M566" s="141"/>
    </row>
    <row r="567">
      <c r="A567" s="140"/>
      <c r="B567" s="140"/>
      <c r="C567" s="140"/>
      <c r="E567" s="140"/>
      <c r="F567" s="140"/>
      <c r="G567" s="140"/>
      <c r="H567" s="140"/>
      <c r="M567" s="141"/>
    </row>
    <row r="568">
      <c r="A568" s="140"/>
      <c r="B568" s="140"/>
      <c r="C568" s="140"/>
      <c r="E568" s="140"/>
      <c r="F568" s="140"/>
      <c r="G568" s="140"/>
      <c r="H568" s="140"/>
      <c r="M568" s="141"/>
    </row>
    <row r="569">
      <c r="A569" s="140"/>
      <c r="B569" s="140"/>
      <c r="C569" s="140"/>
      <c r="E569" s="140"/>
      <c r="F569" s="140"/>
      <c r="G569" s="140"/>
      <c r="H569" s="140"/>
      <c r="M569" s="141"/>
    </row>
    <row r="570">
      <c r="A570" s="140"/>
      <c r="B570" s="140"/>
      <c r="C570" s="140"/>
      <c r="E570" s="140"/>
      <c r="F570" s="140"/>
      <c r="G570" s="140"/>
      <c r="H570" s="140"/>
      <c r="M570" s="141"/>
    </row>
    <row r="571">
      <c r="A571" s="140"/>
      <c r="B571" s="140"/>
      <c r="C571" s="140"/>
      <c r="E571" s="140"/>
      <c r="F571" s="140"/>
      <c r="G571" s="140"/>
      <c r="H571" s="140"/>
      <c r="M571" s="141"/>
    </row>
    <row r="572">
      <c r="A572" s="140"/>
      <c r="B572" s="140"/>
      <c r="C572" s="140"/>
      <c r="E572" s="140"/>
      <c r="F572" s="140"/>
      <c r="G572" s="140"/>
      <c r="H572" s="140"/>
      <c r="M572" s="141"/>
    </row>
    <row r="573">
      <c r="A573" s="140"/>
      <c r="B573" s="140"/>
      <c r="C573" s="140"/>
      <c r="E573" s="140"/>
      <c r="F573" s="140"/>
      <c r="G573" s="140"/>
      <c r="H573" s="140"/>
      <c r="M573" s="141"/>
    </row>
    <row r="574">
      <c r="A574" s="140"/>
      <c r="B574" s="140"/>
      <c r="C574" s="140"/>
      <c r="E574" s="140"/>
      <c r="F574" s="140"/>
      <c r="G574" s="140"/>
      <c r="H574" s="140"/>
      <c r="M574" s="141"/>
    </row>
    <row r="575">
      <c r="A575" s="140"/>
      <c r="B575" s="140"/>
      <c r="C575" s="140"/>
      <c r="E575" s="140"/>
      <c r="F575" s="140"/>
      <c r="G575" s="140"/>
      <c r="H575" s="140"/>
      <c r="M575" s="141"/>
    </row>
    <row r="576">
      <c r="A576" s="140"/>
      <c r="B576" s="140"/>
      <c r="C576" s="140"/>
      <c r="E576" s="140"/>
      <c r="F576" s="140"/>
      <c r="G576" s="140"/>
      <c r="H576" s="140"/>
      <c r="M576" s="141"/>
    </row>
    <row r="577">
      <c r="A577" s="140"/>
      <c r="B577" s="140"/>
      <c r="C577" s="140"/>
      <c r="E577" s="140"/>
      <c r="F577" s="140"/>
      <c r="G577" s="140"/>
      <c r="H577" s="140"/>
      <c r="M577" s="141"/>
    </row>
    <row r="578">
      <c r="A578" s="140"/>
      <c r="B578" s="140"/>
      <c r="C578" s="140"/>
      <c r="E578" s="140"/>
      <c r="F578" s="140"/>
      <c r="G578" s="140"/>
      <c r="H578" s="140"/>
      <c r="M578" s="141"/>
    </row>
    <row r="579">
      <c r="A579" s="140"/>
      <c r="B579" s="140"/>
      <c r="C579" s="140"/>
      <c r="E579" s="140"/>
      <c r="F579" s="140"/>
      <c r="G579" s="140"/>
      <c r="H579" s="140"/>
      <c r="M579" s="141"/>
    </row>
    <row r="580">
      <c r="A580" s="140"/>
      <c r="B580" s="140"/>
      <c r="C580" s="140"/>
      <c r="E580" s="140"/>
      <c r="F580" s="140"/>
      <c r="G580" s="140"/>
      <c r="H580" s="140"/>
      <c r="M580" s="141"/>
    </row>
    <row r="581">
      <c r="A581" s="140"/>
      <c r="B581" s="140"/>
      <c r="C581" s="140"/>
      <c r="E581" s="140"/>
      <c r="F581" s="140"/>
      <c r="G581" s="140"/>
      <c r="H581" s="140"/>
      <c r="M581" s="141"/>
    </row>
    <row r="582">
      <c r="A582" s="140"/>
      <c r="B582" s="140"/>
      <c r="C582" s="140"/>
      <c r="E582" s="140"/>
      <c r="F582" s="140"/>
      <c r="G582" s="140"/>
      <c r="H582" s="140"/>
      <c r="M582" s="141"/>
    </row>
    <row r="583">
      <c r="A583" s="140"/>
      <c r="B583" s="140"/>
      <c r="C583" s="140"/>
      <c r="E583" s="140"/>
      <c r="F583" s="140"/>
      <c r="G583" s="140"/>
      <c r="H583" s="140"/>
      <c r="M583" s="141"/>
    </row>
    <row r="584">
      <c r="A584" s="140"/>
      <c r="B584" s="140"/>
      <c r="C584" s="140"/>
      <c r="E584" s="140"/>
      <c r="F584" s="140"/>
      <c r="G584" s="140"/>
      <c r="H584" s="140"/>
      <c r="M584" s="141"/>
    </row>
    <row r="585">
      <c r="A585" s="140"/>
      <c r="B585" s="140"/>
      <c r="C585" s="140"/>
      <c r="E585" s="140"/>
      <c r="F585" s="140"/>
      <c r="G585" s="140"/>
      <c r="H585" s="140"/>
      <c r="M585" s="141"/>
    </row>
    <row r="586">
      <c r="A586" s="140"/>
      <c r="B586" s="140"/>
      <c r="C586" s="140"/>
      <c r="E586" s="140"/>
      <c r="F586" s="140"/>
      <c r="G586" s="140"/>
      <c r="H586" s="140"/>
      <c r="M586" s="141"/>
    </row>
    <row r="587">
      <c r="A587" s="140"/>
      <c r="B587" s="140"/>
      <c r="C587" s="140"/>
      <c r="E587" s="140"/>
      <c r="F587" s="140"/>
      <c r="G587" s="140"/>
      <c r="H587" s="140"/>
      <c r="M587" s="141"/>
    </row>
    <row r="588">
      <c r="A588" s="140"/>
      <c r="B588" s="140"/>
      <c r="C588" s="140"/>
      <c r="E588" s="140"/>
      <c r="F588" s="140"/>
      <c r="G588" s="140"/>
      <c r="H588" s="140"/>
      <c r="M588" s="141"/>
    </row>
    <row r="589">
      <c r="A589" s="140"/>
      <c r="B589" s="140"/>
      <c r="C589" s="140"/>
      <c r="E589" s="140"/>
      <c r="F589" s="140"/>
      <c r="G589" s="140"/>
      <c r="H589" s="140"/>
      <c r="M589" s="141"/>
    </row>
    <row r="590">
      <c r="A590" s="140"/>
      <c r="B590" s="140"/>
      <c r="C590" s="140"/>
      <c r="E590" s="140"/>
      <c r="F590" s="140"/>
      <c r="G590" s="140"/>
      <c r="H590" s="140"/>
      <c r="M590" s="141"/>
    </row>
    <row r="591">
      <c r="A591" s="140"/>
      <c r="B591" s="140"/>
      <c r="C591" s="140"/>
      <c r="E591" s="140"/>
      <c r="F591" s="140"/>
      <c r="G591" s="140"/>
      <c r="H591" s="140"/>
      <c r="M591" s="141"/>
    </row>
    <row r="592">
      <c r="A592" s="140"/>
      <c r="B592" s="140"/>
      <c r="C592" s="140"/>
      <c r="E592" s="140"/>
      <c r="F592" s="140"/>
      <c r="G592" s="140"/>
      <c r="H592" s="140"/>
      <c r="M592" s="141"/>
    </row>
    <row r="593">
      <c r="A593" s="140"/>
      <c r="B593" s="140"/>
      <c r="C593" s="140"/>
      <c r="E593" s="140"/>
      <c r="F593" s="140"/>
      <c r="G593" s="140"/>
      <c r="H593" s="140"/>
      <c r="M593" s="141"/>
    </row>
    <row r="594">
      <c r="A594" s="140"/>
      <c r="B594" s="140"/>
      <c r="C594" s="140"/>
      <c r="E594" s="140"/>
      <c r="F594" s="140"/>
      <c r="G594" s="140"/>
      <c r="H594" s="140"/>
      <c r="M594" s="141"/>
    </row>
    <row r="595">
      <c r="A595" s="140"/>
      <c r="B595" s="140"/>
      <c r="C595" s="140"/>
      <c r="E595" s="140"/>
      <c r="F595" s="140"/>
      <c r="G595" s="140"/>
      <c r="H595" s="140"/>
      <c r="M595" s="141"/>
    </row>
    <row r="596">
      <c r="A596" s="140"/>
      <c r="B596" s="140"/>
      <c r="C596" s="140"/>
      <c r="E596" s="140"/>
      <c r="F596" s="140"/>
      <c r="G596" s="140"/>
      <c r="H596" s="140"/>
      <c r="M596" s="141"/>
    </row>
    <row r="597">
      <c r="A597" s="140"/>
      <c r="B597" s="140"/>
      <c r="C597" s="140"/>
      <c r="E597" s="140"/>
      <c r="F597" s="140"/>
      <c r="G597" s="140"/>
      <c r="H597" s="140"/>
      <c r="M597" s="141"/>
    </row>
    <row r="598">
      <c r="A598" s="140"/>
      <c r="B598" s="140"/>
      <c r="C598" s="140"/>
      <c r="E598" s="140"/>
      <c r="F598" s="140"/>
      <c r="G598" s="140"/>
      <c r="H598" s="140"/>
      <c r="M598" s="141"/>
    </row>
    <row r="599">
      <c r="A599" s="140"/>
      <c r="B599" s="140"/>
      <c r="C599" s="140"/>
      <c r="E599" s="140"/>
      <c r="F599" s="140"/>
      <c r="G599" s="140"/>
      <c r="H599" s="140"/>
      <c r="M599" s="141"/>
    </row>
    <row r="600">
      <c r="A600" s="140"/>
      <c r="B600" s="140"/>
      <c r="C600" s="140"/>
      <c r="E600" s="140"/>
      <c r="F600" s="140"/>
      <c r="G600" s="140"/>
      <c r="H600" s="140"/>
      <c r="M600" s="141"/>
    </row>
    <row r="601">
      <c r="A601" s="140"/>
      <c r="B601" s="140"/>
      <c r="C601" s="140"/>
      <c r="E601" s="140"/>
      <c r="F601" s="140"/>
      <c r="G601" s="140"/>
      <c r="H601" s="140"/>
      <c r="M601" s="141"/>
    </row>
    <row r="602">
      <c r="A602" s="140"/>
      <c r="B602" s="140"/>
      <c r="C602" s="140"/>
      <c r="E602" s="140"/>
      <c r="F602" s="140"/>
      <c r="G602" s="140"/>
      <c r="H602" s="140"/>
      <c r="M602" s="141"/>
    </row>
    <row r="603">
      <c r="A603" s="140"/>
      <c r="B603" s="140"/>
      <c r="C603" s="140"/>
      <c r="E603" s="140"/>
      <c r="F603" s="140"/>
      <c r="G603" s="140"/>
      <c r="H603" s="140"/>
      <c r="M603" s="141"/>
    </row>
    <row r="604">
      <c r="A604" s="140"/>
      <c r="B604" s="140"/>
      <c r="C604" s="140"/>
      <c r="E604" s="140"/>
      <c r="F604" s="140"/>
      <c r="G604" s="140"/>
      <c r="H604" s="140"/>
      <c r="M604" s="141"/>
    </row>
    <row r="605">
      <c r="A605" s="140"/>
      <c r="B605" s="140"/>
      <c r="C605" s="140"/>
      <c r="E605" s="140"/>
      <c r="F605" s="140"/>
      <c r="G605" s="140"/>
      <c r="H605" s="140"/>
      <c r="M605" s="141"/>
    </row>
    <row r="606">
      <c r="A606" s="140"/>
      <c r="B606" s="140"/>
      <c r="C606" s="140"/>
      <c r="E606" s="140"/>
      <c r="F606" s="140"/>
      <c r="G606" s="140"/>
      <c r="H606" s="140"/>
      <c r="M606" s="141"/>
    </row>
    <row r="607">
      <c r="A607" s="140"/>
      <c r="B607" s="140"/>
      <c r="C607" s="140"/>
      <c r="E607" s="140"/>
      <c r="F607" s="140"/>
      <c r="G607" s="140"/>
      <c r="H607" s="140"/>
      <c r="M607" s="141"/>
    </row>
    <row r="608">
      <c r="A608" s="140"/>
      <c r="B608" s="140"/>
      <c r="C608" s="140"/>
      <c r="E608" s="140"/>
      <c r="F608" s="140"/>
      <c r="G608" s="140"/>
      <c r="H608" s="140"/>
      <c r="M608" s="141"/>
    </row>
    <row r="609">
      <c r="A609" s="140"/>
      <c r="B609" s="140"/>
      <c r="C609" s="140"/>
      <c r="E609" s="140"/>
      <c r="F609" s="140"/>
      <c r="G609" s="140"/>
      <c r="H609" s="140"/>
      <c r="M609" s="141"/>
    </row>
    <row r="610">
      <c r="A610" s="140"/>
      <c r="B610" s="140"/>
      <c r="C610" s="140"/>
      <c r="E610" s="140"/>
      <c r="F610" s="140"/>
      <c r="G610" s="140"/>
      <c r="H610" s="140"/>
      <c r="M610" s="141"/>
    </row>
    <row r="611">
      <c r="A611" s="140"/>
      <c r="B611" s="140"/>
      <c r="C611" s="140"/>
      <c r="E611" s="140"/>
      <c r="F611" s="140"/>
      <c r="G611" s="140"/>
      <c r="H611" s="140"/>
      <c r="M611" s="141"/>
    </row>
    <row r="612">
      <c r="A612" s="140"/>
      <c r="B612" s="140"/>
      <c r="C612" s="140"/>
      <c r="E612" s="140"/>
      <c r="F612" s="140"/>
      <c r="G612" s="140"/>
      <c r="H612" s="140"/>
      <c r="M612" s="141"/>
    </row>
    <row r="613">
      <c r="A613" s="140"/>
      <c r="B613" s="140"/>
      <c r="C613" s="140"/>
      <c r="E613" s="140"/>
      <c r="F613" s="140"/>
      <c r="G613" s="140"/>
      <c r="H613" s="140"/>
      <c r="M613" s="141"/>
    </row>
    <row r="614">
      <c r="A614" s="140"/>
      <c r="B614" s="140"/>
      <c r="C614" s="140"/>
      <c r="E614" s="140"/>
      <c r="F614" s="140"/>
      <c r="G614" s="140"/>
      <c r="H614" s="140"/>
      <c r="M614" s="141"/>
    </row>
    <row r="615">
      <c r="A615" s="140"/>
      <c r="B615" s="140"/>
      <c r="C615" s="140"/>
      <c r="E615" s="140"/>
      <c r="F615" s="140"/>
      <c r="G615" s="140"/>
      <c r="H615" s="140"/>
      <c r="M615" s="141"/>
    </row>
    <row r="616">
      <c r="A616" s="140"/>
      <c r="B616" s="140"/>
      <c r="C616" s="140"/>
      <c r="E616" s="140"/>
      <c r="F616" s="140"/>
      <c r="G616" s="140"/>
      <c r="H616" s="140"/>
      <c r="M616" s="141"/>
    </row>
    <row r="617">
      <c r="A617" s="140"/>
      <c r="B617" s="140"/>
      <c r="C617" s="140"/>
      <c r="E617" s="140"/>
      <c r="F617" s="140"/>
      <c r="G617" s="140"/>
      <c r="H617" s="140"/>
      <c r="M617" s="141"/>
    </row>
    <row r="618">
      <c r="A618" s="140"/>
      <c r="B618" s="140"/>
      <c r="C618" s="140"/>
      <c r="E618" s="140"/>
      <c r="F618" s="140"/>
      <c r="G618" s="140"/>
      <c r="H618" s="140"/>
      <c r="M618" s="141"/>
    </row>
    <row r="619">
      <c r="A619" s="140"/>
      <c r="B619" s="140"/>
      <c r="C619" s="140"/>
      <c r="E619" s="140"/>
      <c r="F619" s="140"/>
      <c r="G619" s="140"/>
      <c r="H619" s="140"/>
      <c r="M619" s="141"/>
    </row>
    <row r="620">
      <c r="A620" s="140"/>
      <c r="B620" s="140"/>
      <c r="C620" s="140"/>
      <c r="E620" s="140"/>
      <c r="F620" s="140"/>
      <c r="G620" s="140"/>
      <c r="H620" s="140"/>
      <c r="M620" s="141"/>
    </row>
    <row r="621">
      <c r="A621" s="140"/>
      <c r="B621" s="140"/>
      <c r="C621" s="140"/>
      <c r="E621" s="140"/>
      <c r="F621" s="140"/>
      <c r="G621" s="140"/>
      <c r="H621" s="140"/>
      <c r="M621" s="141"/>
    </row>
    <row r="622">
      <c r="A622" s="140"/>
      <c r="B622" s="140"/>
      <c r="C622" s="140"/>
      <c r="E622" s="140"/>
      <c r="F622" s="140"/>
      <c r="G622" s="140"/>
      <c r="H622" s="140"/>
      <c r="M622" s="141"/>
    </row>
    <row r="623">
      <c r="A623" s="140"/>
      <c r="B623" s="140"/>
      <c r="C623" s="140"/>
      <c r="E623" s="140"/>
      <c r="F623" s="140"/>
      <c r="G623" s="140"/>
      <c r="H623" s="140"/>
      <c r="M623" s="141"/>
    </row>
    <row r="624">
      <c r="A624" s="140"/>
      <c r="B624" s="140"/>
      <c r="C624" s="140"/>
      <c r="E624" s="140"/>
      <c r="F624" s="140"/>
      <c r="G624" s="140"/>
      <c r="H624" s="140"/>
      <c r="M624" s="141"/>
    </row>
    <row r="625">
      <c r="A625" s="140"/>
      <c r="B625" s="140"/>
      <c r="C625" s="140"/>
      <c r="E625" s="140"/>
      <c r="F625" s="140"/>
      <c r="G625" s="140"/>
      <c r="H625" s="140"/>
      <c r="M625" s="141"/>
    </row>
    <row r="626">
      <c r="A626" s="140"/>
      <c r="B626" s="140"/>
      <c r="C626" s="140"/>
      <c r="E626" s="140"/>
      <c r="F626" s="140"/>
      <c r="G626" s="140"/>
      <c r="H626" s="140"/>
      <c r="M626" s="141"/>
    </row>
    <row r="627">
      <c r="A627" s="140"/>
      <c r="B627" s="140"/>
      <c r="C627" s="140"/>
      <c r="E627" s="140"/>
      <c r="F627" s="140"/>
      <c r="G627" s="140"/>
      <c r="H627" s="140"/>
      <c r="M627" s="141"/>
    </row>
    <row r="628">
      <c r="A628" s="140"/>
      <c r="B628" s="140"/>
      <c r="C628" s="140"/>
      <c r="E628" s="140"/>
      <c r="F628" s="140"/>
      <c r="G628" s="140"/>
      <c r="H628" s="140"/>
      <c r="M628" s="141"/>
    </row>
    <row r="629">
      <c r="A629" s="140"/>
      <c r="B629" s="140"/>
      <c r="C629" s="140"/>
      <c r="E629" s="140"/>
      <c r="F629" s="140"/>
      <c r="G629" s="140"/>
      <c r="H629" s="140"/>
      <c r="M629" s="141"/>
    </row>
    <row r="630">
      <c r="A630" s="140"/>
      <c r="B630" s="140"/>
      <c r="C630" s="140"/>
      <c r="E630" s="140"/>
      <c r="F630" s="140"/>
      <c r="G630" s="140"/>
      <c r="H630" s="140"/>
      <c r="M630" s="141"/>
    </row>
    <row r="631">
      <c r="A631" s="140"/>
      <c r="B631" s="140"/>
      <c r="C631" s="140"/>
      <c r="E631" s="140"/>
      <c r="F631" s="140"/>
      <c r="G631" s="140"/>
      <c r="H631" s="140"/>
      <c r="M631" s="141"/>
    </row>
    <row r="632">
      <c r="A632" s="140"/>
      <c r="B632" s="140"/>
      <c r="C632" s="140"/>
      <c r="E632" s="140"/>
      <c r="F632" s="140"/>
      <c r="G632" s="140"/>
      <c r="H632" s="140"/>
      <c r="M632" s="141"/>
    </row>
    <row r="633">
      <c r="A633" s="140"/>
      <c r="B633" s="140"/>
      <c r="C633" s="140"/>
      <c r="E633" s="140"/>
      <c r="F633" s="140"/>
      <c r="G633" s="140"/>
      <c r="H633" s="140"/>
      <c r="M633" s="141"/>
    </row>
    <row r="634">
      <c r="A634" s="140"/>
      <c r="B634" s="140"/>
      <c r="C634" s="140"/>
      <c r="E634" s="140"/>
      <c r="F634" s="140"/>
      <c r="G634" s="140"/>
      <c r="H634" s="140"/>
      <c r="M634" s="141"/>
    </row>
    <row r="635">
      <c r="A635" s="140"/>
      <c r="B635" s="140"/>
      <c r="C635" s="140"/>
      <c r="E635" s="140"/>
      <c r="F635" s="140"/>
      <c r="G635" s="140"/>
      <c r="H635" s="140"/>
      <c r="M635" s="141"/>
    </row>
    <row r="636">
      <c r="A636" s="140"/>
      <c r="B636" s="140"/>
      <c r="C636" s="140"/>
      <c r="E636" s="140"/>
      <c r="F636" s="140"/>
      <c r="G636" s="140"/>
      <c r="H636" s="140"/>
      <c r="M636" s="141"/>
    </row>
    <row r="637">
      <c r="A637" s="140"/>
      <c r="B637" s="140"/>
      <c r="C637" s="140"/>
      <c r="E637" s="140"/>
      <c r="F637" s="140"/>
      <c r="G637" s="140"/>
      <c r="H637" s="140"/>
      <c r="M637" s="141"/>
    </row>
    <row r="638">
      <c r="A638" s="140"/>
      <c r="B638" s="140"/>
      <c r="C638" s="140"/>
      <c r="E638" s="140"/>
      <c r="F638" s="140"/>
      <c r="G638" s="140"/>
      <c r="H638" s="140"/>
      <c r="M638" s="141"/>
    </row>
    <row r="639">
      <c r="A639" s="140"/>
      <c r="B639" s="140"/>
      <c r="C639" s="140"/>
      <c r="E639" s="140"/>
      <c r="F639" s="140"/>
      <c r="G639" s="140"/>
      <c r="H639" s="140"/>
      <c r="M639" s="141"/>
    </row>
    <row r="640">
      <c r="A640" s="140"/>
      <c r="B640" s="140"/>
      <c r="C640" s="140"/>
      <c r="E640" s="140"/>
      <c r="F640" s="140"/>
      <c r="G640" s="140"/>
      <c r="H640" s="140"/>
      <c r="M640" s="141"/>
    </row>
    <row r="641">
      <c r="A641" s="140"/>
      <c r="B641" s="140"/>
      <c r="C641" s="140"/>
      <c r="E641" s="140"/>
      <c r="F641" s="140"/>
      <c r="G641" s="140"/>
      <c r="H641" s="140"/>
      <c r="M641" s="141"/>
    </row>
    <row r="642">
      <c r="A642" s="140"/>
      <c r="B642" s="140"/>
      <c r="C642" s="140"/>
      <c r="E642" s="140"/>
      <c r="F642" s="140"/>
      <c r="G642" s="140"/>
      <c r="H642" s="140"/>
      <c r="M642" s="141"/>
    </row>
    <row r="643">
      <c r="A643" s="140"/>
      <c r="B643" s="140"/>
      <c r="C643" s="140"/>
      <c r="E643" s="140"/>
      <c r="F643" s="140"/>
      <c r="G643" s="140"/>
      <c r="H643" s="140"/>
      <c r="M643" s="141"/>
    </row>
    <row r="644">
      <c r="A644" s="140"/>
      <c r="B644" s="140"/>
      <c r="C644" s="140"/>
      <c r="E644" s="140"/>
      <c r="F644" s="140"/>
      <c r="G644" s="140"/>
      <c r="H644" s="140"/>
      <c r="M644" s="141"/>
    </row>
    <row r="645">
      <c r="A645" s="140"/>
      <c r="B645" s="140"/>
      <c r="C645" s="140"/>
      <c r="E645" s="140"/>
      <c r="F645" s="140"/>
      <c r="G645" s="140"/>
      <c r="H645" s="140"/>
      <c r="M645" s="141"/>
    </row>
    <row r="646">
      <c r="A646" s="140"/>
      <c r="B646" s="140"/>
      <c r="C646" s="140"/>
      <c r="E646" s="140"/>
      <c r="F646" s="140"/>
      <c r="G646" s="140"/>
      <c r="H646" s="140"/>
      <c r="M646" s="141"/>
    </row>
    <row r="647">
      <c r="A647" s="140"/>
      <c r="B647" s="140"/>
      <c r="C647" s="140"/>
      <c r="E647" s="140"/>
      <c r="F647" s="140"/>
      <c r="G647" s="140"/>
      <c r="H647" s="140"/>
      <c r="M647" s="141"/>
    </row>
    <row r="648">
      <c r="A648" s="140"/>
      <c r="B648" s="140"/>
      <c r="C648" s="140"/>
      <c r="E648" s="140"/>
      <c r="F648" s="140"/>
      <c r="G648" s="140"/>
      <c r="H648" s="140"/>
      <c r="M648" s="141"/>
    </row>
    <row r="649">
      <c r="A649" s="140"/>
      <c r="B649" s="140"/>
      <c r="C649" s="140"/>
      <c r="E649" s="140"/>
      <c r="F649" s="140"/>
      <c r="G649" s="140"/>
      <c r="H649" s="140"/>
      <c r="M649" s="141"/>
    </row>
    <row r="650">
      <c r="A650" s="140"/>
      <c r="B650" s="140"/>
      <c r="C650" s="140"/>
      <c r="E650" s="140"/>
      <c r="F650" s="140"/>
      <c r="G650" s="140"/>
      <c r="H650" s="140"/>
      <c r="M650" s="141"/>
    </row>
    <row r="651">
      <c r="A651" s="140"/>
      <c r="B651" s="140"/>
      <c r="C651" s="140"/>
      <c r="E651" s="140"/>
      <c r="F651" s="140"/>
      <c r="G651" s="140"/>
      <c r="H651" s="140"/>
      <c r="M651" s="141"/>
    </row>
    <row r="652">
      <c r="A652" s="140"/>
      <c r="B652" s="140"/>
      <c r="C652" s="140"/>
      <c r="E652" s="140"/>
      <c r="F652" s="140"/>
      <c r="G652" s="140"/>
      <c r="H652" s="140"/>
      <c r="M652" s="141"/>
    </row>
    <row r="653">
      <c r="A653" s="140"/>
      <c r="B653" s="140"/>
      <c r="C653" s="140"/>
      <c r="E653" s="140"/>
      <c r="F653" s="140"/>
      <c r="G653" s="140"/>
      <c r="H653" s="140"/>
      <c r="M653" s="141"/>
    </row>
    <row r="654">
      <c r="A654" s="140"/>
      <c r="B654" s="140"/>
      <c r="C654" s="140"/>
      <c r="E654" s="140"/>
      <c r="F654" s="140"/>
      <c r="G654" s="140"/>
      <c r="H654" s="140"/>
      <c r="M654" s="141"/>
    </row>
    <row r="655">
      <c r="A655" s="140"/>
      <c r="B655" s="140"/>
      <c r="C655" s="140"/>
      <c r="E655" s="140"/>
      <c r="F655" s="140"/>
      <c r="G655" s="140"/>
      <c r="H655" s="140"/>
      <c r="M655" s="141"/>
    </row>
    <row r="656">
      <c r="A656" s="140"/>
      <c r="B656" s="140"/>
      <c r="C656" s="140"/>
      <c r="E656" s="140"/>
      <c r="F656" s="140"/>
      <c r="G656" s="140"/>
      <c r="H656" s="140"/>
      <c r="M656" s="141"/>
    </row>
    <row r="657">
      <c r="A657" s="140"/>
      <c r="B657" s="140"/>
      <c r="C657" s="140"/>
      <c r="E657" s="140"/>
      <c r="F657" s="140"/>
      <c r="G657" s="140"/>
      <c r="H657" s="140"/>
      <c r="M657" s="141"/>
    </row>
    <row r="658">
      <c r="A658" s="140"/>
      <c r="B658" s="140"/>
      <c r="C658" s="140"/>
      <c r="E658" s="140"/>
      <c r="F658" s="140"/>
      <c r="G658" s="140"/>
      <c r="H658" s="140"/>
      <c r="M658" s="141"/>
    </row>
    <row r="659">
      <c r="A659" s="140"/>
      <c r="B659" s="140"/>
      <c r="C659" s="140"/>
      <c r="E659" s="140"/>
      <c r="F659" s="140"/>
      <c r="G659" s="140"/>
      <c r="H659" s="140"/>
      <c r="M659" s="141"/>
    </row>
    <row r="660">
      <c r="A660" s="140"/>
      <c r="B660" s="140"/>
      <c r="C660" s="140"/>
      <c r="E660" s="140"/>
      <c r="F660" s="140"/>
      <c r="G660" s="140"/>
      <c r="H660" s="140"/>
      <c r="M660" s="141"/>
    </row>
    <row r="661">
      <c r="A661" s="140"/>
      <c r="B661" s="140"/>
      <c r="C661" s="140"/>
      <c r="E661" s="140"/>
      <c r="F661" s="140"/>
      <c r="G661" s="140"/>
      <c r="H661" s="140"/>
      <c r="M661" s="141"/>
    </row>
    <row r="662">
      <c r="A662" s="140"/>
      <c r="B662" s="140"/>
      <c r="C662" s="140"/>
      <c r="E662" s="140"/>
      <c r="F662" s="140"/>
      <c r="G662" s="140"/>
      <c r="H662" s="140"/>
      <c r="M662" s="141"/>
    </row>
    <row r="663">
      <c r="A663" s="140"/>
      <c r="B663" s="140"/>
      <c r="C663" s="140"/>
      <c r="E663" s="140"/>
      <c r="F663" s="140"/>
      <c r="G663" s="140"/>
      <c r="H663" s="140"/>
      <c r="M663" s="141"/>
    </row>
    <row r="664">
      <c r="A664" s="140"/>
      <c r="B664" s="140"/>
      <c r="C664" s="140"/>
      <c r="E664" s="140"/>
      <c r="F664" s="140"/>
      <c r="G664" s="140"/>
      <c r="H664" s="140"/>
      <c r="M664" s="141"/>
    </row>
    <row r="665">
      <c r="A665" s="140"/>
      <c r="B665" s="140"/>
      <c r="C665" s="140"/>
      <c r="E665" s="140"/>
      <c r="F665" s="140"/>
      <c r="G665" s="140"/>
      <c r="H665" s="140"/>
      <c r="M665" s="141"/>
    </row>
    <row r="666">
      <c r="A666" s="140"/>
      <c r="B666" s="140"/>
      <c r="C666" s="140"/>
      <c r="E666" s="140"/>
      <c r="F666" s="140"/>
      <c r="G666" s="140"/>
      <c r="H666" s="140"/>
      <c r="M666" s="141"/>
    </row>
    <row r="667">
      <c r="A667" s="140"/>
      <c r="B667" s="140"/>
      <c r="C667" s="140"/>
      <c r="E667" s="140"/>
      <c r="F667" s="140"/>
      <c r="G667" s="140"/>
      <c r="H667" s="140"/>
      <c r="M667" s="141"/>
    </row>
    <row r="668">
      <c r="A668" s="140"/>
      <c r="B668" s="140"/>
      <c r="C668" s="140"/>
      <c r="E668" s="140"/>
      <c r="F668" s="140"/>
      <c r="G668" s="140"/>
      <c r="H668" s="140"/>
      <c r="M668" s="141"/>
    </row>
    <row r="669">
      <c r="A669" s="140"/>
      <c r="B669" s="140"/>
      <c r="C669" s="140"/>
      <c r="E669" s="140"/>
      <c r="F669" s="140"/>
      <c r="G669" s="140"/>
      <c r="H669" s="140"/>
      <c r="M669" s="141"/>
    </row>
    <row r="670">
      <c r="A670" s="140"/>
      <c r="B670" s="140"/>
      <c r="C670" s="140"/>
      <c r="E670" s="140"/>
      <c r="F670" s="140"/>
      <c r="G670" s="140"/>
      <c r="H670" s="140"/>
      <c r="M670" s="141"/>
    </row>
    <row r="671">
      <c r="A671" s="140"/>
      <c r="B671" s="140"/>
      <c r="C671" s="140"/>
      <c r="E671" s="140"/>
      <c r="F671" s="140"/>
      <c r="G671" s="140"/>
      <c r="H671" s="140"/>
      <c r="M671" s="141"/>
    </row>
    <row r="672">
      <c r="A672" s="140"/>
      <c r="B672" s="140"/>
      <c r="C672" s="140"/>
      <c r="E672" s="140"/>
      <c r="F672" s="140"/>
      <c r="G672" s="140"/>
      <c r="H672" s="140"/>
      <c r="M672" s="141"/>
    </row>
    <row r="673">
      <c r="A673" s="140"/>
      <c r="B673" s="140"/>
      <c r="C673" s="140"/>
      <c r="E673" s="140"/>
      <c r="F673" s="140"/>
      <c r="G673" s="140"/>
      <c r="H673" s="140"/>
      <c r="M673" s="141"/>
    </row>
    <row r="674">
      <c r="A674" s="140"/>
      <c r="B674" s="140"/>
      <c r="C674" s="140"/>
      <c r="E674" s="140"/>
      <c r="F674" s="140"/>
      <c r="G674" s="140"/>
      <c r="H674" s="140"/>
      <c r="M674" s="141"/>
    </row>
    <row r="675">
      <c r="A675" s="140"/>
      <c r="B675" s="140"/>
      <c r="C675" s="140"/>
      <c r="E675" s="140"/>
      <c r="F675" s="140"/>
      <c r="G675" s="140"/>
      <c r="H675" s="140"/>
      <c r="M675" s="141"/>
    </row>
    <row r="676">
      <c r="A676" s="140"/>
      <c r="B676" s="140"/>
      <c r="C676" s="140"/>
      <c r="E676" s="140"/>
      <c r="F676" s="140"/>
      <c r="G676" s="140"/>
      <c r="H676" s="140"/>
      <c r="M676" s="141"/>
    </row>
    <row r="677">
      <c r="A677" s="140"/>
      <c r="B677" s="140"/>
      <c r="C677" s="140"/>
      <c r="E677" s="140"/>
      <c r="F677" s="140"/>
      <c r="G677" s="140"/>
      <c r="H677" s="140"/>
      <c r="M677" s="141"/>
    </row>
    <row r="678">
      <c r="A678" s="140"/>
      <c r="B678" s="140"/>
      <c r="C678" s="140"/>
      <c r="E678" s="140"/>
      <c r="F678" s="140"/>
      <c r="G678" s="140"/>
      <c r="H678" s="140"/>
      <c r="M678" s="141"/>
    </row>
    <row r="679">
      <c r="A679" s="140"/>
      <c r="B679" s="140"/>
      <c r="C679" s="140"/>
      <c r="E679" s="140"/>
      <c r="F679" s="140"/>
      <c r="G679" s="140"/>
      <c r="H679" s="140"/>
      <c r="M679" s="141"/>
    </row>
    <row r="680">
      <c r="A680" s="140"/>
      <c r="B680" s="140"/>
      <c r="C680" s="140"/>
      <c r="E680" s="140"/>
      <c r="F680" s="140"/>
      <c r="G680" s="140"/>
      <c r="H680" s="140"/>
      <c r="M680" s="141"/>
    </row>
    <row r="681">
      <c r="A681" s="140"/>
      <c r="B681" s="140"/>
      <c r="C681" s="140"/>
      <c r="E681" s="140"/>
      <c r="F681" s="140"/>
      <c r="G681" s="140"/>
      <c r="H681" s="140"/>
      <c r="M681" s="141"/>
    </row>
    <row r="682">
      <c r="A682" s="140"/>
      <c r="B682" s="140"/>
      <c r="C682" s="140"/>
      <c r="E682" s="140"/>
      <c r="F682" s="140"/>
      <c r="G682" s="140"/>
      <c r="H682" s="140"/>
      <c r="M682" s="141"/>
    </row>
    <row r="683">
      <c r="A683" s="140"/>
      <c r="B683" s="140"/>
      <c r="C683" s="140"/>
      <c r="E683" s="140"/>
      <c r="F683" s="140"/>
      <c r="G683" s="140"/>
      <c r="H683" s="140"/>
      <c r="M683" s="141"/>
    </row>
    <row r="684">
      <c r="A684" s="140"/>
      <c r="B684" s="140"/>
      <c r="C684" s="140"/>
      <c r="E684" s="140"/>
      <c r="F684" s="140"/>
      <c r="G684" s="140"/>
      <c r="H684" s="140"/>
      <c r="M684" s="141"/>
    </row>
    <row r="685">
      <c r="A685" s="140"/>
      <c r="B685" s="140"/>
      <c r="C685" s="140"/>
      <c r="E685" s="140"/>
      <c r="F685" s="140"/>
      <c r="G685" s="140"/>
      <c r="H685" s="140"/>
      <c r="M685" s="141"/>
    </row>
    <row r="686">
      <c r="A686" s="140"/>
      <c r="B686" s="140"/>
      <c r="C686" s="140"/>
      <c r="E686" s="140"/>
      <c r="F686" s="140"/>
      <c r="G686" s="140"/>
      <c r="H686" s="140"/>
      <c r="M686" s="141"/>
    </row>
    <row r="687">
      <c r="A687" s="140"/>
      <c r="B687" s="140"/>
      <c r="C687" s="140"/>
      <c r="E687" s="140"/>
      <c r="F687" s="140"/>
      <c r="G687" s="140"/>
      <c r="H687" s="140"/>
      <c r="M687" s="141"/>
    </row>
    <row r="688">
      <c r="A688" s="140"/>
      <c r="B688" s="140"/>
      <c r="C688" s="140"/>
      <c r="E688" s="140"/>
      <c r="F688" s="140"/>
      <c r="G688" s="140"/>
      <c r="H688" s="140"/>
      <c r="M688" s="141"/>
    </row>
    <row r="689">
      <c r="A689" s="140"/>
      <c r="B689" s="140"/>
      <c r="C689" s="140"/>
      <c r="E689" s="140"/>
      <c r="F689" s="140"/>
      <c r="G689" s="140"/>
      <c r="H689" s="140"/>
      <c r="M689" s="141"/>
    </row>
    <row r="690">
      <c r="A690" s="140"/>
      <c r="B690" s="140"/>
      <c r="C690" s="140"/>
      <c r="E690" s="140"/>
      <c r="F690" s="140"/>
      <c r="G690" s="140"/>
      <c r="H690" s="140"/>
      <c r="M690" s="141"/>
    </row>
    <row r="691">
      <c r="A691" s="140"/>
      <c r="B691" s="140"/>
      <c r="C691" s="140"/>
      <c r="E691" s="140"/>
      <c r="F691" s="140"/>
      <c r="G691" s="140"/>
      <c r="H691" s="140"/>
      <c r="M691" s="141"/>
    </row>
    <row r="692">
      <c r="A692" s="140"/>
      <c r="B692" s="140"/>
      <c r="C692" s="140"/>
      <c r="E692" s="140"/>
      <c r="F692" s="140"/>
      <c r="G692" s="140"/>
      <c r="H692" s="140"/>
      <c r="M692" s="141"/>
    </row>
    <row r="693">
      <c r="A693" s="140"/>
      <c r="B693" s="140"/>
      <c r="C693" s="140"/>
      <c r="E693" s="140"/>
      <c r="F693" s="140"/>
      <c r="G693" s="140"/>
      <c r="H693" s="140"/>
      <c r="M693" s="141"/>
    </row>
    <row r="694">
      <c r="A694" s="140"/>
      <c r="B694" s="140"/>
      <c r="C694" s="140"/>
      <c r="E694" s="140"/>
      <c r="F694" s="140"/>
      <c r="G694" s="140"/>
      <c r="H694" s="140"/>
      <c r="M694" s="141"/>
    </row>
    <row r="695">
      <c r="A695" s="140"/>
      <c r="B695" s="140"/>
      <c r="C695" s="140"/>
      <c r="E695" s="140"/>
      <c r="F695" s="140"/>
      <c r="G695" s="140"/>
      <c r="H695" s="140"/>
      <c r="M695" s="141"/>
    </row>
    <row r="696">
      <c r="A696" s="140"/>
      <c r="B696" s="140"/>
      <c r="C696" s="140"/>
      <c r="E696" s="140"/>
      <c r="F696" s="140"/>
      <c r="G696" s="140"/>
      <c r="H696" s="140"/>
      <c r="M696" s="141"/>
    </row>
    <row r="697">
      <c r="A697" s="140"/>
      <c r="B697" s="140"/>
      <c r="C697" s="140"/>
      <c r="E697" s="140"/>
      <c r="F697" s="140"/>
      <c r="G697" s="140"/>
      <c r="H697" s="140"/>
      <c r="M697" s="141"/>
    </row>
    <row r="698">
      <c r="A698" s="140"/>
      <c r="B698" s="140"/>
      <c r="C698" s="140"/>
      <c r="E698" s="140"/>
      <c r="F698" s="140"/>
      <c r="G698" s="140"/>
      <c r="H698" s="140"/>
      <c r="M698" s="141"/>
    </row>
    <row r="699">
      <c r="A699" s="140"/>
      <c r="B699" s="140"/>
      <c r="C699" s="140"/>
      <c r="E699" s="140"/>
      <c r="F699" s="140"/>
      <c r="G699" s="140"/>
      <c r="H699" s="140"/>
      <c r="M699" s="141"/>
    </row>
    <row r="700">
      <c r="A700" s="140"/>
      <c r="B700" s="140"/>
      <c r="C700" s="140"/>
      <c r="E700" s="140"/>
      <c r="F700" s="140"/>
      <c r="G700" s="140"/>
      <c r="H700" s="140"/>
      <c r="M700" s="141"/>
    </row>
    <row r="701">
      <c r="A701" s="140"/>
      <c r="B701" s="140"/>
      <c r="C701" s="140"/>
      <c r="E701" s="140"/>
      <c r="F701" s="140"/>
      <c r="G701" s="140"/>
      <c r="H701" s="140"/>
      <c r="M701" s="141"/>
    </row>
    <row r="702">
      <c r="A702" s="140"/>
      <c r="B702" s="140"/>
      <c r="C702" s="140"/>
      <c r="E702" s="140"/>
      <c r="F702" s="140"/>
      <c r="G702" s="140"/>
      <c r="H702" s="140"/>
      <c r="M702" s="141"/>
    </row>
    <row r="703">
      <c r="A703" s="140"/>
      <c r="B703" s="140"/>
      <c r="C703" s="140"/>
      <c r="E703" s="140"/>
      <c r="F703" s="140"/>
      <c r="G703" s="140"/>
      <c r="H703" s="140"/>
      <c r="M703" s="141"/>
    </row>
    <row r="704">
      <c r="A704" s="140"/>
      <c r="B704" s="140"/>
      <c r="C704" s="140"/>
      <c r="E704" s="140"/>
      <c r="F704" s="140"/>
      <c r="G704" s="140"/>
      <c r="H704" s="140"/>
      <c r="M704" s="141"/>
    </row>
    <row r="705">
      <c r="A705" s="140"/>
      <c r="B705" s="140"/>
      <c r="C705" s="140"/>
      <c r="E705" s="140"/>
      <c r="F705" s="140"/>
      <c r="G705" s="140"/>
      <c r="H705" s="140"/>
      <c r="M705" s="141"/>
    </row>
    <row r="706">
      <c r="A706" s="140"/>
      <c r="B706" s="140"/>
      <c r="C706" s="140"/>
      <c r="E706" s="140"/>
      <c r="F706" s="140"/>
      <c r="G706" s="140"/>
      <c r="H706" s="140"/>
      <c r="M706" s="141"/>
    </row>
    <row r="707">
      <c r="A707" s="140"/>
      <c r="B707" s="140"/>
      <c r="C707" s="140"/>
      <c r="E707" s="140"/>
      <c r="F707" s="140"/>
      <c r="G707" s="140"/>
      <c r="H707" s="140"/>
      <c r="M707" s="141"/>
    </row>
    <row r="708">
      <c r="A708" s="140"/>
      <c r="B708" s="140"/>
      <c r="C708" s="140"/>
      <c r="E708" s="140"/>
      <c r="F708" s="140"/>
      <c r="G708" s="140"/>
      <c r="H708" s="140"/>
      <c r="M708" s="141"/>
    </row>
    <row r="709">
      <c r="A709" s="140"/>
      <c r="B709" s="140"/>
      <c r="C709" s="140"/>
      <c r="E709" s="140"/>
      <c r="F709" s="140"/>
      <c r="G709" s="140"/>
      <c r="H709" s="140"/>
      <c r="M709" s="141"/>
    </row>
    <row r="710">
      <c r="A710" s="140"/>
      <c r="B710" s="140"/>
      <c r="C710" s="140"/>
      <c r="E710" s="140"/>
      <c r="F710" s="140"/>
      <c r="G710" s="140"/>
      <c r="H710" s="140"/>
      <c r="M710" s="141"/>
    </row>
    <row r="711">
      <c r="A711" s="140"/>
      <c r="B711" s="140"/>
      <c r="C711" s="140"/>
      <c r="E711" s="140"/>
      <c r="F711" s="140"/>
      <c r="G711" s="140"/>
      <c r="H711" s="140"/>
      <c r="M711" s="141"/>
    </row>
    <row r="712">
      <c r="A712" s="140"/>
      <c r="B712" s="140"/>
      <c r="C712" s="140"/>
      <c r="E712" s="140"/>
      <c r="F712" s="140"/>
      <c r="G712" s="140"/>
      <c r="H712" s="140"/>
      <c r="M712" s="141"/>
    </row>
    <row r="713">
      <c r="A713" s="140"/>
      <c r="B713" s="140"/>
      <c r="C713" s="140"/>
      <c r="E713" s="140"/>
      <c r="F713" s="140"/>
      <c r="G713" s="140"/>
      <c r="H713" s="140"/>
      <c r="M713" s="141"/>
    </row>
    <row r="714">
      <c r="A714" s="140"/>
      <c r="B714" s="140"/>
      <c r="C714" s="140"/>
      <c r="E714" s="140"/>
      <c r="F714" s="140"/>
      <c r="G714" s="140"/>
      <c r="H714" s="140"/>
      <c r="M714" s="141"/>
    </row>
    <row r="715">
      <c r="A715" s="140"/>
      <c r="B715" s="140"/>
      <c r="C715" s="140"/>
      <c r="E715" s="140"/>
      <c r="F715" s="140"/>
      <c r="G715" s="140"/>
      <c r="H715" s="140"/>
      <c r="M715" s="141"/>
    </row>
    <row r="716">
      <c r="A716" s="140"/>
      <c r="B716" s="140"/>
      <c r="C716" s="140"/>
      <c r="E716" s="140"/>
      <c r="F716" s="140"/>
      <c r="G716" s="140"/>
      <c r="H716" s="140"/>
      <c r="M716" s="141"/>
    </row>
    <row r="717">
      <c r="A717" s="140"/>
      <c r="B717" s="140"/>
      <c r="C717" s="140"/>
      <c r="E717" s="140"/>
      <c r="F717" s="140"/>
      <c r="G717" s="140"/>
      <c r="H717" s="140"/>
      <c r="M717" s="141"/>
    </row>
    <row r="718">
      <c r="A718" s="140"/>
      <c r="B718" s="140"/>
      <c r="C718" s="140"/>
      <c r="E718" s="140"/>
      <c r="F718" s="140"/>
      <c r="G718" s="140"/>
      <c r="H718" s="140"/>
      <c r="M718" s="141"/>
    </row>
    <row r="719">
      <c r="A719" s="140"/>
      <c r="B719" s="140"/>
      <c r="C719" s="140"/>
      <c r="E719" s="140"/>
      <c r="F719" s="140"/>
      <c r="G719" s="140"/>
      <c r="H719" s="140"/>
      <c r="M719" s="141"/>
    </row>
    <row r="720">
      <c r="A720" s="140"/>
      <c r="B720" s="140"/>
      <c r="C720" s="140"/>
      <c r="E720" s="140"/>
      <c r="F720" s="140"/>
      <c r="G720" s="140"/>
      <c r="H720" s="140"/>
      <c r="M720" s="141"/>
    </row>
    <row r="721">
      <c r="A721" s="140"/>
      <c r="B721" s="140"/>
      <c r="C721" s="140"/>
      <c r="E721" s="140"/>
      <c r="F721" s="140"/>
      <c r="G721" s="140"/>
      <c r="H721" s="140"/>
      <c r="M721" s="141"/>
    </row>
    <row r="722">
      <c r="A722" s="140"/>
      <c r="B722" s="140"/>
      <c r="C722" s="140"/>
      <c r="E722" s="140"/>
      <c r="F722" s="140"/>
      <c r="G722" s="140"/>
      <c r="H722" s="140"/>
      <c r="M722" s="141"/>
    </row>
    <row r="723">
      <c r="A723" s="140"/>
      <c r="B723" s="140"/>
      <c r="C723" s="140"/>
      <c r="E723" s="140"/>
      <c r="F723" s="140"/>
      <c r="G723" s="140"/>
      <c r="H723" s="140"/>
      <c r="M723" s="141"/>
    </row>
    <row r="724">
      <c r="A724" s="140"/>
      <c r="B724" s="140"/>
      <c r="C724" s="140"/>
      <c r="E724" s="140"/>
      <c r="F724" s="140"/>
      <c r="G724" s="140"/>
      <c r="H724" s="140"/>
      <c r="M724" s="141"/>
    </row>
    <row r="725">
      <c r="A725" s="140"/>
      <c r="B725" s="140"/>
      <c r="C725" s="140"/>
      <c r="E725" s="140"/>
      <c r="F725" s="140"/>
      <c r="G725" s="140"/>
      <c r="H725" s="140"/>
      <c r="M725" s="141"/>
    </row>
    <row r="726">
      <c r="A726" s="140"/>
      <c r="B726" s="140"/>
      <c r="C726" s="140"/>
      <c r="E726" s="140"/>
      <c r="F726" s="140"/>
      <c r="G726" s="140"/>
      <c r="H726" s="140"/>
      <c r="M726" s="141"/>
    </row>
    <row r="727">
      <c r="A727" s="140"/>
      <c r="B727" s="140"/>
      <c r="C727" s="140"/>
      <c r="E727" s="140"/>
      <c r="F727" s="140"/>
      <c r="G727" s="140"/>
      <c r="H727" s="140"/>
      <c r="M727" s="141"/>
    </row>
    <row r="728">
      <c r="A728" s="140"/>
      <c r="B728" s="140"/>
      <c r="C728" s="140"/>
      <c r="E728" s="140"/>
      <c r="F728" s="140"/>
      <c r="G728" s="140"/>
      <c r="H728" s="140"/>
      <c r="M728" s="141"/>
    </row>
    <row r="729">
      <c r="A729" s="140"/>
      <c r="B729" s="140"/>
      <c r="C729" s="140"/>
      <c r="E729" s="140"/>
      <c r="F729" s="140"/>
      <c r="G729" s="140"/>
      <c r="H729" s="140"/>
      <c r="M729" s="141"/>
    </row>
    <row r="730">
      <c r="A730" s="140"/>
      <c r="B730" s="140"/>
      <c r="C730" s="140"/>
      <c r="E730" s="140"/>
      <c r="F730" s="140"/>
      <c r="G730" s="140"/>
      <c r="H730" s="140"/>
      <c r="M730" s="141"/>
    </row>
    <row r="731">
      <c r="A731" s="140"/>
      <c r="B731" s="140"/>
      <c r="C731" s="140"/>
      <c r="E731" s="140"/>
      <c r="F731" s="140"/>
      <c r="G731" s="140"/>
      <c r="H731" s="140"/>
      <c r="M731" s="141"/>
    </row>
    <row r="732">
      <c r="A732" s="140"/>
      <c r="B732" s="140"/>
      <c r="C732" s="140"/>
      <c r="E732" s="140"/>
      <c r="F732" s="140"/>
      <c r="G732" s="140"/>
      <c r="H732" s="140"/>
      <c r="M732" s="141"/>
    </row>
    <row r="733">
      <c r="A733" s="140"/>
      <c r="B733" s="140"/>
      <c r="C733" s="140"/>
      <c r="E733" s="140"/>
      <c r="F733" s="140"/>
      <c r="G733" s="140"/>
      <c r="H733" s="140"/>
      <c r="M733" s="141"/>
    </row>
    <row r="734">
      <c r="A734" s="140"/>
      <c r="B734" s="140"/>
      <c r="C734" s="140"/>
      <c r="E734" s="140"/>
      <c r="F734" s="140"/>
      <c r="G734" s="140"/>
      <c r="H734" s="140"/>
      <c r="M734" s="141"/>
    </row>
    <row r="735">
      <c r="A735" s="140"/>
      <c r="B735" s="140"/>
      <c r="C735" s="140"/>
      <c r="E735" s="140"/>
      <c r="F735" s="140"/>
      <c r="G735" s="140"/>
      <c r="H735" s="140"/>
      <c r="M735" s="141"/>
    </row>
    <row r="736">
      <c r="A736" s="140"/>
      <c r="B736" s="140"/>
      <c r="C736" s="140"/>
      <c r="E736" s="140"/>
      <c r="F736" s="140"/>
      <c r="G736" s="140"/>
      <c r="H736" s="140"/>
      <c r="M736" s="141"/>
    </row>
    <row r="737">
      <c r="A737" s="140"/>
      <c r="B737" s="140"/>
      <c r="C737" s="140"/>
      <c r="E737" s="140"/>
      <c r="F737" s="140"/>
      <c r="G737" s="140"/>
      <c r="H737" s="140"/>
      <c r="M737" s="141"/>
    </row>
    <row r="738">
      <c r="A738" s="140"/>
      <c r="B738" s="140"/>
      <c r="C738" s="140"/>
      <c r="E738" s="140"/>
      <c r="F738" s="140"/>
      <c r="G738" s="140"/>
      <c r="H738" s="140"/>
      <c r="M738" s="141"/>
    </row>
    <row r="739">
      <c r="A739" s="140"/>
      <c r="B739" s="140"/>
      <c r="C739" s="140"/>
      <c r="E739" s="140"/>
      <c r="F739" s="140"/>
      <c r="G739" s="140"/>
      <c r="H739" s="140"/>
      <c r="M739" s="141"/>
    </row>
    <row r="740">
      <c r="A740" s="140"/>
      <c r="B740" s="140"/>
      <c r="C740" s="140"/>
      <c r="E740" s="140"/>
      <c r="F740" s="140"/>
      <c r="G740" s="140"/>
      <c r="H740" s="140"/>
      <c r="M740" s="141"/>
    </row>
    <row r="741">
      <c r="A741" s="140"/>
      <c r="B741" s="140"/>
      <c r="C741" s="140"/>
      <c r="E741" s="140"/>
      <c r="F741" s="140"/>
      <c r="G741" s="140"/>
      <c r="H741" s="140"/>
      <c r="M741" s="141"/>
    </row>
    <row r="742">
      <c r="A742" s="140"/>
      <c r="B742" s="140"/>
      <c r="C742" s="140"/>
      <c r="E742" s="140"/>
      <c r="F742" s="140"/>
      <c r="G742" s="140"/>
      <c r="H742" s="140"/>
      <c r="M742" s="141"/>
    </row>
    <row r="743">
      <c r="A743" s="140"/>
      <c r="B743" s="140"/>
      <c r="C743" s="140"/>
      <c r="E743" s="140"/>
      <c r="F743" s="140"/>
      <c r="G743" s="140"/>
      <c r="H743" s="140"/>
      <c r="M743" s="141"/>
    </row>
    <row r="744">
      <c r="A744" s="140"/>
      <c r="B744" s="140"/>
      <c r="C744" s="140"/>
      <c r="E744" s="140"/>
      <c r="F744" s="140"/>
      <c r="G744" s="140"/>
      <c r="H744" s="140"/>
      <c r="M744" s="141"/>
    </row>
    <row r="745">
      <c r="A745" s="140"/>
      <c r="B745" s="140"/>
      <c r="C745" s="140"/>
      <c r="E745" s="140"/>
      <c r="F745" s="140"/>
      <c r="G745" s="140"/>
      <c r="H745" s="140"/>
      <c r="M745" s="141"/>
    </row>
    <row r="746">
      <c r="A746" s="140"/>
      <c r="B746" s="140"/>
      <c r="C746" s="140"/>
      <c r="E746" s="140"/>
      <c r="F746" s="140"/>
      <c r="G746" s="140"/>
      <c r="H746" s="140"/>
      <c r="M746" s="141"/>
    </row>
    <row r="747">
      <c r="A747" s="140"/>
      <c r="B747" s="140"/>
      <c r="C747" s="140"/>
      <c r="E747" s="140"/>
      <c r="F747" s="140"/>
      <c r="G747" s="140"/>
      <c r="H747" s="140"/>
      <c r="M747" s="141"/>
    </row>
    <row r="748">
      <c r="A748" s="140"/>
      <c r="B748" s="140"/>
      <c r="C748" s="140"/>
      <c r="E748" s="140"/>
      <c r="F748" s="140"/>
      <c r="G748" s="140"/>
      <c r="H748" s="140"/>
      <c r="M748" s="141"/>
    </row>
    <row r="749">
      <c r="A749" s="140"/>
      <c r="B749" s="140"/>
      <c r="C749" s="140"/>
      <c r="E749" s="140"/>
      <c r="F749" s="140"/>
      <c r="G749" s="140"/>
      <c r="H749" s="140"/>
      <c r="M749" s="141"/>
    </row>
    <row r="750">
      <c r="A750" s="140"/>
      <c r="B750" s="140"/>
      <c r="C750" s="140"/>
      <c r="E750" s="140"/>
      <c r="F750" s="140"/>
      <c r="G750" s="140"/>
      <c r="H750" s="140"/>
      <c r="M750" s="141"/>
    </row>
    <row r="751">
      <c r="A751" s="140"/>
      <c r="B751" s="140"/>
      <c r="C751" s="140"/>
      <c r="E751" s="140"/>
      <c r="F751" s="140"/>
      <c r="G751" s="140"/>
      <c r="H751" s="140"/>
      <c r="M751" s="141"/>
    </row>
    <row r="752">
      <c r="A752" s="140"/>
      <c r="B752" s="140"/>
      <c r="C752" s="140"/>
      <c r="E752" s="140"/>
      <c r="F752" s="140"/>
      <c r="G752" s="140"/>
      <c r="H752" s="140"/>
      <c r="M752" s="141"/>
    </row>
    <row r="753">
      <c r="A753" s="140"/>
      <c r="B753" s="140"/>
      <c r="C753" s="140"/>
      <c r="E753" s="140"/>
      <c r="F753" s="140"/>
      <c r="G753" s="140"/>
      <c r="H753" s="140"/>
      <c r="M753" s="141"/>
    </row>
    <row r="754">
      <c r="A754" s="140"/>
      <c r="B754" s="140"/>
      <c r="C754" s="140"/>
      <c r="E754" s="140"/>
      <c r="F754" s="140"/>
      <c r="G754" s="140"/>
      <c r="H754" s="140"/>
      <c r="M754" s="141"/>
    </row>
    <row r="755">
      <c r="A755" s="140"/>
      <c r="B755" s="140"/>
      <c r="C755" s="140"/>
      <c r="E755" s="140"/>
      <c r="F755" s="140"/>
      <c r="G755" s="140"/>
      <c r="H755" s="140"/>
      <c r="M755" s="141"/>
    </row>
    <row r="756">
      <c r="A756" s="140"/>
      <c r="B756" s="140"/>
      <c r="C756" s="140"/>
      <c r="E756" s="140"/>
      <c r="F756" s="140"/>
      <c r="G756" s="140"/>
      <c r="H756" s="140"/>
      <c r="M756" s="141"/>
    </row>
    <row r="757">
      <c r="A757" s="140"/>
      <c r="B757" s="140"/>
      <c r="C757" s="140"/>
      <c r="E757" s="140"/>
      <c r="F757" s="140"/>
      <c r="G757" s="140"/>
      <c r="H757" s="140"/>
      <c r="M757" s="141"/>
    </row>
    <row r="758">
      <c r="A758" s="140"/>
      <c r="B758" s="140"/>
      <c r="C758" s="140"/>
      <c r="E758" s="140"/>
      <c r="F758" s="140"/>
      <c r="G758" s="140"/>
      <c r="H758" s="140"/>
      <c r="M758" s="141"/>
    </row>
    <row r="759">
      <c r="A759" s="140"/>
      <c r="B759" s="140"/>
      <c r="C759" s="140"/>
      <c r="E759" s="140"/>
      <c r="F759" s="140"/>
      <c r="G759" s="140"/>
      <c r="H759" s="140"/>
      <c r="M759" s="141"/>
    </row>
    <row r="760">
      <c r="A760" s="140"/>
      <c r="B760" s="140"/>
      <c r="C760" s="140"/>
      <c r="E760" s="140"/>
      <c r="F760" s="140"/>
      <c r="G760" s="140"/>
      <c r="H760" s="140"/>
      <c r="M760" s="141"/>
    </row>
    <row r="761">
      <c r="A761" s="140"/>
      <c r="B761" s="140"/>
      <c r="C761" s="140"/>
      <c r="E761" s="140"/>
      <c r="F761" s="140"/>
      <c r="G761" s="140"/>
      <c r="H761" s="140"/>
      <c r="M761" s="141"/>
    </row>
    <row r="762">
      <c r="A762" s="140"/>
      <c r="B762" s="140"/>
      <c r="C762" s="140"/>
      <c r="E762" s="140"/>
      <c r="F762" s="140"/>
      <c r="G762" s="140"/>
      <c r="H762" s="140"/>
      <c r="M762" s="141"/>
    </row>
    <row r="763">
      <c r="A763" s="140"/>
      <c r="B763" s="140"/>
      <c r="C763" s="140"/>
      <c r="E763" s="140"/>
      <c r="F763" s="140"/>
      <c r="G763" s="140"/>
      <c r="H763" s="140"/>
      <c r="M763" s="141"/>
    </row>
    <row r="764">
      <c r="A764" s="140"/>
      <c r="B764" s="140"/>
      <c r="C764" s="140"/>
      <c r="E764" s="140"/>
      <c r="F764" s="140"/>
      <c r="G764" s="140"/>
      <c r="H764" s="140"/>
      <c r="M764" s="141"/>
    </row>
    <row r="765">
      <c r="A765" s="140"/>
      <c r="B765" s="140"/>
      <c r="C765" s="140"/>
      <c r="E765" s="140"/>
      <c r="F765" s="140"/>
      <c r="G765" s="140"/>
      <c r="H765" s="140"/>
      <c r="M765" s="141"/>
    </row>
    <row r="766">
      <c r="A766" s="140"/>
      <c r="B766" s="140"/>
      <c r="C766" s="140"/>
      <c r="E766" s="140"/>
      <c r="F766" s="140"/>
      <c r="G766" s="140"/>
      <c r="H766" s="140"/>
      <c r="M766" s="141"/>
    </row>
    <row r="767">
      <c r="A767" s="140"/>
      <c r="B767" s="140"/>
      <c r="C767" s="140"/>
      <c r="E767" s="140"/>
      <c r="F767" s="140"/>
      <c r="G767" s="140"/>
      <c r="H767" s="140"/>
      <c r="M767" s="141"/>
    </row>
    <row r="768">
      <c r="A768" s="140"/>
      <c r="B768" s="140"/>
      <c r="C768" s="140"/>
      <c r="E768" s="140"/>
      <c r="F768" s="140"/>
      <c r="G768" s="140"/>
      <c r="H768" s="140"/>
      <c r="M768" s="141"/>
    </row>
    <row r="769">
      <c r="A769" s="140"/>
      <c r="B769" s="140"/>
      <c r="C769" s="140"/>
      <c r="E769" s="140"/>
      <c r="F769" s="140"/>
      <c r="G769" s="140"/>
      <c r="H769" s="140"/>
      <c r="M769" s="141"/>
    </row>
    <row r="770">
      <c r="A770" s="140"/>
      <c r="B770" s="140"/>
      <c r="C770" s="140"/>
      <c r="E770" s="140"/>
      <c r="F770" s="140"/>
      <c r="G770" s="140"/>
      <c r="H770" s="140"/>
      <c r="M770" s="141"/>
    </row>
    <row r="771">
      <c r="A771" s="140"/>
      <c r="B771" s="140"/>
      <c r="C771" s="140"/>
      <c r="E771" s="140"/>
      <c r="F771" s="140"/>
      <c r="G771" s="140"/>
      <c r="H771" s="140"/>
      <c r="M771" s="141"/>
    </row>
    <row r="772">
      <c r="A772" s="140"/>
      <c r="B772" s="140"/>
      <c r="C772" s="140"/>
      <c r="E772" s="140"/>
      <c r="F772" s="140"/>
      <c r="G772" s="140"/>
      <c r="H772" s="140"/>
      <c r="M772" s="141"/>
    </row>
    <row r="773">
      <c r="A773" s="140"/>
      <c r="B773" s="140"/>
      <c r="C773" s="140"/>
      <c r="E773" s="140"/>
      <c r="F773" s="140"/>
      <c r="G773" s="140"/>
      <c r="H773" s="140"/>
      <c r="M773" s="141"/>
    </row>
    <row r="774">
      <c r="A774" s="140"/>
      <c r="B774" s="140"/>
      <c r="C774" s="140"/>
      <c r="E774" s="140"/>
      <c r="F774" s="140"/>
      <c r="G774" s="140"/>
      <c r="H774" s="140"/>
      <c r="M774" s="141"/>
    </row>
    <row r="775">
      <c r="A775" s="140"/>
      <c r="B775" s="140"/>
      <c r="C775" s="140"/>
      <c r="E775" s="140"/>
      <c r="F775" s="140"/>
      <c r="G775" s="140"/>
      <c r="H775" s="140"/>
      <c r="M775" s="141"/>
    </row>
    <row r="776">
      <c r="A776" s="140"/>
      <c r="B776" s="140"/>
      <c r="C776" s="140"/>
      <c r="E776" s="140"/>
      <c r="F776" s="140"/>
      <c r="G776" s="140"/>
      <c r="H776" s="140"/>
      <c r="M776" s="141"/>
    </row>
    <row r="777">
      <c r="A777" s="140"/>
      <c r="B777" s="140"/>
      <c r="C777" s="140"/>
      <c r="E777" s="140"/>
      <c r="F777" s="140"/>
      <c r="G777" s="140"/>
      <c r="H777" s="140"/>
      <c r="M777" s="141"/>
    </row>
    <row r="778">
      <c r="A778" s="140"/>
      <c r="B778" s="140"/>
      <c r="C778" s="140"/>
      <c r="E778" s="140"/>
      <c r="F778" s="140"/>
      <c r="G778" s="140"/>
      <c r="H778" s="140"/>
      <c r="M778" s="141"/>
    </row>
    <row r="779">
      <c r="A779" s="140"/>
      <c r="B779" s="140"/>
      <c r="C779" s="140"/>
      <c r="E779" s="140"/>
      <c r="F779" s="140"/>
      <c r="G779" s="140"/>
      <c r="H779" s="140"/>
      <c r="M779" s="141"/>
    </row>
    <row r="780">
      <c r="A780" s="140"/>
      <c r="B780" s="140"/>
      <c r="C780" s="140"/>
      <c r="E780" s="140"/>
      <c r="F780" s="140"/>
      <c r="G780" s="140"/>
      <c r="H780" s="140"/>
      <c r="M780" s="141"/>
    </row>
    <row r="781">
      <c r="A781" s="140"/>
      <c r="B781" s="140"/>
      <c r="C781" s="140"/>
      <c r="E781" s="140"/>
      <c r="F781" s="140"/>
      <c r="G781" s="140"/>
      <c r="H781" s="140"/>
      <c r="M781" s="141"/>
    </row>
    <row r="782">
      <c r="A782" s="140"/>
      <c r="B782" s="140"/>
      <c r="C782" s="140"/>
      <c r="E782" s="140"/>
      <c r="F782" s="140"/>
      <c r="G782" s="140"/>
      <c r="H782" s="140"/>
      <c r="M782" s="141"/>
    </row>
    <row r="783">
      <c r="A783" s="140"/>
      <c r="B783" s="140"/>
      <c r="C783" s="140"/>
      <c r="E783" s="140"/>
      <c r="F783" s="140"/>
      <c r="G783" s="140"/>
      <c r="H783" s="140"/>
      <c r="M783" s="141"/>
    </row>
    <row r="784">
      <c r="A784" s="140"/>
      <c r="B784" s="140"/>
      <c r="C784" s="140"/>
      <c r="E784" s="140"/>
      <c r="F784" s="140"/>
      <c r="G784" s="140"/>
      <c r="H784" s="140"/>
      <c r="M784" s="141"/>
    </row>
    <row r="785">
      <c r="A785" s="140"/>
      <c r="B785" s="140"/>
      <c r="C785" s="140"/>
      <c r="E785" s="140"/>
      <c r="F785" s="140"/>
      <c r="G785" s="140"/>
      <c r="H785" s="140"/>
      <c r="M785" s="141"/>
    </row>
    <row r="786">
      <c r="A786" s="140"/>
      <c r="B786" s="140"/>
      <c r="C786" s="140"/>
      <c r="E786" s="140"/>
      <c r="F786" s="140"/>
      <c r="G786" s="140"/>
      <c r="H786" s="140"/>
      <c r="M786" s="141"/>
    </row>
    <row r="787">
      <c r="A787" s="140"/>
      <c r="B787" s="140"/>
      <c r="C787" s="140"/>
      <c r="E787" s="140"/>
      <c r="F787" s="140"/>
      <c r="G787" s="140"/>
      <c r="H787" s="140"/>
      <c r="M787" s="141"/>
    </row>
    <row r="788">
      <c r="A788" s="140"/>
      <c r="B788" s="140"/>
      <c r="C788" s="140"/>
      <c r="E788" s="140"/>
      <c r="F788" s="140"/>
      <c r="G788" s="140"/>
      <c r="H788" s="140"/>
      <c r="M788" s="141"/>
    </row>
    <row r="789">
      <c r="A789" s="140"/>
      <c r="B789" s="140"/>
      <c r="C789" s="140"/>
      <c r="E789" s="140"/>
      <c r="F789" s="140"/>
      <c r="G789" s="140"/>
      <c r="H789" s="140"/>
      <c r="M789" s="141"/>
    </row>
    <row r="790">
      <c r="A790" s="140"/>
      <c r="B790" s="140"/>
      <c r="C790" s="140"/>
      <c r="E790" s="140"/>
      <c r="F790" s="140"/>
      <c r="G790" s="140"/>
      <c r="H790" s="140"/>
      <c r="M790" s="141"/>
    </row>
    <row r="791">
      <c r="A791" s="140"/>
      <c r="B791" s="140"/>
      <c r="C791" s="140"/>
      <c r="E791" s="140"/>
      <c r="F791" s="140"/>
      <c r="G791" s="140"/>
      <c r="H791" s="140"/>
      <c r="M791" s="141"/>
    </row>
    <row r="792">
      <c r="A792" s="140"/>
      <c r="B792" s="140"/>
      <c r="C792" s="140"/>
      <c r="E792" s="140"/>
      <c r="F792" s="140"/>
      <c r="G792" s="140"/>
      <c r="H792" s="140"/>
      <c r="M792" s="141"/>
    </row>
    <row r="793">
      <c r="A793" s="140"/>
      <c r="B793" s="140"/>
      <c r="C793" s="140"/>
      <c r="E793" s="140"/>
      <c r="F793" s="140"/>
      <c r="G793" s="140"/>
      <c r="H793" s="140"/>
      <c r="M793" s="141"/>
    </row>
    <row r="794">
      <c r="A794" s="140"/>
      <c r="B794" s="140"/>
      <c r="C794" s="140"/>
      <c r="E794" s="140"/>
      <c r="F794" s="140"/>
      <c r="G794" s="140"/>
      <c r="H794" s="140"/>
      <c r="M794" s="141"/>
    </row>
    <row r="795">
      <c r="A795" s="140"/>
      <c r="B795" s="140"/>
      <c r="C795" s="140"/>
      <c r="E795" s="140"/>
      <c r="F795" s="140"/>
      <c r="G795" s="140"/>
      <c r="H795" s="140"/>
      <c r="M795" s="141"/>
    </row>
    <row r="796">
      <c r="A796" s="140"/>
      <c r="B796" s="140"/>
      <c r="C796" s="140"/>
      <c r="E796" s="140"/>
      <c r="F796" s="140"/>
      <c r="G796" s="140"/>
      <c r="H796" s="140"/>
      <c r="M796" s="141"/>
    </row>
    <row r="797">
      <c r="A797" s="140"/>
      <c r="B797" s="140"/>
      <c r="C797" s="140"/>
      <c r="E797" s="140"/>
      <c r="F797" s="140"/>
      <c r="G797" s="140"/>
      <c r="H797" s="140"/>
      <c r="M797" s="141"/>
    </row>
    <row r="798">
      <c r="A798" s="140"/>
      <c r="B798" s="140"/>
      <c r="C798" s="140"/>
      <c r="E798" s="140"/>
      <c r="F798" s="140"/>
      <c r="G798" s="140"/>
      <c r="H798" s="140"/>
      <c r="M798" s="141"/>
    </row>
    <row r="799">
      <c r="A799" s="140"/>
      <c r="B799" s="140"/>
      <c r="C799" s="140"/>
      <c r="E799" s="140"/>
      <c r="F799" s="140"/>
      <c r="G799" s="140"/>
      <c r="H799" s="140"/>
      <c r="M799" s="141"/>
    </row>
    <row r="800">
      <c r="A800" s="140"/>
      <c r="B800" s="140"/>
      <c r="C800" s="140"/>
      <c r="E800" s="140"/>
      <c r="F800" s="140"/>
      <c r="G800" s="140"/>
      <c r="H800" s="140"/>
      <c r="M800" s="141"/>
    </row>
    <row r="801">
      <c r="A801" s="140"/>
      <c r="B801" s="140"/>
      <c r="C801" s="140"/>
      <c r="E801" s="140"/>
      <c r="F801" s="140"/>
      <c r="G801" s="140"/>
      <c r="H801" s="140"/>
      <c r="M801" s="141"/>
    </row>
    <row r="802">
      <c r="A802" s="140"/>
      <c r="B802" s="140"/>
      <c r="C802" s="140"/>
      <c r="E802" s="140"/>
      <c r="F802" s="140"/>
      <c r="G802" s="140"/>
      <c r="H802" s="140"/>
      <c r="M802" s="141"/>
    </row>
    <row r="803">
      <c r="A803" s="140"/>
      <c r="B803" s="140"/>
      <c r="C803" s="140"/>
      <c r="E803" s="140"/>
      <c r="F803" s="140"/>
      <c r="G803" s="140"/>
      <c r="H803" s="140"/>
      <c r="M803" s="141"/>
    </row>
    <row r="804">
      <c r="A804" s="140"/>
      <c r="B804" s="140"/>
      <c r="C804" s="140"/>
      <c r="E804" s="140"/>
      <c r="F804" s="140"/>
      <c r="G804" s="140"/>
      <c r="H804" s="140"/>
      <c r="M804" s="141"/>
    </row>
    <row r="805">
      <c r="A805" s="140"/>
      <c r="B805" s="140"/>
      <c r="C805" s="140"/>
      <c r="E805" s="140"/>
      <c r="F805" s="140"/>
      <c r="G805" s="140"/>
      <c r="H805" s="140"/>
      <c r="M805" s="141"/>
    </row>
    <row r="806">
      <c r="A806" s="140"/>
      <c r="B806" s="140"/>
      <c r="C806" s="140"/>
      <c r="E806" s="140"/>
      <c r="F806" s="140"/>
      <c r="G806" s="140"/>
      <c r="H806" s="140"/>
      <c r="M806" s="141"/>
    </row>
    <row r="807">
      <c r="A807" s="140"/>
      <c r="B807" s="140"/>
      <c r="C807" s="140"/>
      <c r="E807" s="140"/>
      <c r="F807" s="140"/>
      <c r="G807" s="140"/>
      <c r="H807" s="140"/>
      <c r="M807" s="141"/>
    </row>
    <row r="808">
      <c r="A808" s="140"/>
      <c r="B808" s="140"/>
      <c r="C808" s="140"/>
      <c r="E808" s="140"/>
      <c r="F808" s="140"/>
      <c r="G808" s="140"/>
      <c r="H808" s="140"/>
      <c r="M808" s="141"/>
    </row>
    <row r="809">
      <c r="A809" s="140"/>
      <c r="B809" s="140"/>
      <c r="C809" s="140"/>
      <c r="E809" s="140"/>
      <c r="F809" s="140"/>
      <c r="G809" s="140"/>
      <c r="H809" s="140"/>
      <c r="M809" s="141"/>
    </row>
    <row r="810">
      <c r="A810" s="140"/>
      <c r="B810" s="140"/>
      <c r="C810" s="140"/>
      <c r="E810" s="140"/>
      <c r="F810" s="140"/>
      <c r="G810" s="140"/>
      <c r="H810" s="140"/>
      <c r="M810" s="141"/>
    </row>
    <row r="811">
      <c r="A811" s="140"/>
      <c r="B811" s="140"/>
      <c r="C811" s="140"/>
      <c r="E811" s="140"/>
      <c r="F811" s="140"/>
      <c r="G811" s="140"/>
      <c r="H811" s="140"/>
      <c r="M811" s="141"/>
    </row>
    <row r="812">
      <c r="A812" s="140"/>
      <c r="B812" s="140"/>
      <c r="C812" s="140"/>
      <c r="E812" s="140"/>
      <c r="F812" s="140"/>
      <c r="G812" s="140"/>
      <c r="H812" s="140"/>
      <c r="M812" s="141"/>
    </row>
    <row r="813">
      <c r="A813" s="140"/>
      <c r="B813" s="140"/>
      <c r="C813" s="140"/>
      <c r="E813" s="140"/>
      <c r="F813" s="140"/>
      <c r="G813" s="140"/>
      <c r="H813" s="140"/>
      <c r="M813" s="141"/>
    </row>
    <row r="814">
      <c r="A814" s="140"/>
      <c r="B814" s="140"/>
      <c r="C814" s="140"/>
      <c r="E814" s="140"/>
      <c r="F814" s="140"/>
      <c r="G814" s="140"/>
      <c r="H814" s="140"/>
      <c r="M814" s="141"/>
    </row>
    <row r="815">
      <c r="A815" s="140"/>
      <c r="B815" s="140"/>
      <c r="C815" s="140"/>
      <c r="E815" s="140"/>
      <c r="F815" s="140"/>
      <c r="G815" s="140"/>
      <c r="H815" s="140"/>
      <c r="M815" s="141"/>
    </row>
    <row r="816">
      <c r="A816" s="140"/>
      <c r="B816" s="140"/>
      <c r="C816" s="140"/>
      <c r="E816" s="140"/>
      <c r="F816" s="140"/>
      <c r="G816" s="140"/>
      <c r="H816" s="140"/>
      <c r="M816" s="141"/>
    </row>
    <row r="817">
      <c r="A817" s="140"/>
      <c r="B817" s="140"/>
      <c r="C817" s="140"/>
      <c r="E817" s="140"/>
      <c r="F817" s="140"/>
      <c r="G817" s="140"/>
      <c r="H817" s="140"/>
      <c r="M817" s="141"/>
    </row>
    <row r="818">
      <c r="A818" s="140"/>
      <c r="B818" s="140"/>
      <c r="C818" s="140"/>
      <c r="E818" s="140"/>
      <c r="F818" s="140"/>
      <c r="G818" s="140"/>
      <c r="H818" s="140"/>
      <c r="M818" s="141"/>
    </row>
    <row r="819">
      <c r="A819" s="140"/>
      <c r="B819" s="140"/>
      <c r="C819" s="140"/>
      <c r="E819" s="140"/>
      <c r="F819" s="140"/>
      <c r="G819" s="140"/>
      <c r="H819" s="140"/>
      <c r="M819" s="141"/>
    </row>
    <row r="820">
      <c r="A820" s="140"/>
      <c r="B820" s="140"/>
      <c r="C820" s="140"/>
      <c r="E820" s="140"/>
      <c r="F820" s="140"/>
      <c r="G820" s="140"/>
      <c r="H820" s="140"/>
      <c r="M820" s="141"/>
    </row>
    <row r="821">
      <c r="A821" s="140"/>
      <c r="B821" s="140"/>
      <c r="C821" s="140"/>
      <c r="E821" s="140"/>
      <c r="F821" s="140"/>
      <c r="G821" s="140"/>
      <c r="H821" s="140"/>
      <c r="M821" s="141"/>
    </row>
    <row r="822">
      <c r="A822" s="140"/>
      <c r="B822" s="140"/>
      <c r="C822" s="140"/>
      <c r="E822" s="140"/>
      <c r="F822" s="140"/>
      <c r="G822" s="140"/>
      <c r="H822" s="140"/>
      <c r="M822" s="141"/>
    </row>
    <row r="823">
      <c r="A823" s="140"/>
      <c r="B823" s="140"/>
      <c r="C823" s="140"/>
      <c r="E823" s="140"/>
      <c r="F823" s="140"/>
      <c r="G823" s="140"/>
      <c r="H823" s="140"/>
      <c r="M823" s="141"/>
    </row>
    <row r="824">
      <c r="A824" s="140"/>
      <c r="B824" s="140"/>
      <c r="C824" s="140"/>
      <c r="E824" s="140"/>
      <c r="F824" s="140"/>
      <c r="G824" s="140"/>
      <c r="H824" s="140"/>
      <c r="M824" s="141"/>
    </row>
    <row r="825">
      <c r="A825" s="140"/>
      <c r="B825" s="140"/>
      <c r="C825" s="140"/>
      <c r="E825" s="140"/>
      <c r="F825" s="140"/>
      <c r="G825" s="140"/>
      <c r="H825" s="140"/>
      <c r="M825" s="141"/>
    </row>
    <row r="826">
      <c r="A826" s="140"/>
      <c r="B826" s="140"/>
      <c r="C826" s="140"/>
      <c r="E826" s="140"/>
      <c r="F826" s="140"/>
      <c r="G826" s="140"/>
      <c r="H826" s="140"/>
      <c r="M826" s="141"/>
    </row>
    <row r="827">
      <c r="A827" s="140"/>
      <c r="B827" s="140"/>
      <c r="C827" s="140"/>
      <c r="E827" s="140"/>
      <c r="F827" s="140"/>
      <c r="G827" s="140"/>
      <c r="H827" s="140"/>
      <c r="M827" s="141"/>
    </row>
    <row r="828">
      <c r="A828" s="140"/>
      <c r="B828" s="140"/>
      <c r="C828" s="140"/>
      <c r="E828" s="140"/>
      <c r="F828" s="140"/>
      <c r="G828" s="140"/>
      <c r="H828" s="140"/>
      <c r="M828" s="141"/>
    </row>
    <row r="829">
      <c r="A829" s="140"/>
      <c r="B829" s="140"/>
      <c r="C829" s="140"/>
      <c r="E829" s="140"/>
      <c r="F829" s="140"/>
      <c r="G829" s="140"/>
      <c r="H829" s="140"/>
      <c r="M829" s="141"/>
    </row>
    <row r="830">
      <c r="A830" s="140"/>
      <c r="B830" s="140"/>
      <c r="C830" s="140"/>
      <c r="E830" s="140"/>
      <c r="F830" s="140"/>
      <c r="G830" s="140"/>
      <c r="H830" s="140"/>
      <c r="M830" s="141"/>
    </row>
    <row r="831">
      <c r="A831" s="140"/>
      <c r="B831" s="140"/>
      <c r="C831" s="140"/>
      <c r="E831" s="140"/>
      <c r="F831" s="140"/>
      <c r="G831" s="140"/>
      <c r="H831" s="140"/>
      <c r="M831" s="141"/>
    </row>
    <row r="832">
      <c r="A832" s="140"/>
      <c r="B832" s="140"/>
      <c r="C832" s="140"/>
      <c r="E832" s="140"/>
      <c r="F832" s="140"/>
      <c r="G832" s="140"/>
      <c r="H832" s="140"/>
      <c r="M832" s="141"/>
    </row>
    <row r="833">
      <c r="A833" s="140"/>
      <c r="B833" s="140"/>
      <c r="C833" s="140"/>
      <c r="E833" s="140"/>
      <c r="F833" s="140"/>
      <c r="G833" s="140"/>
      <c r="H833" s="140"/>
      <c r="M833" s="141"/>
    </row>
    <row r="834">
      <c r="A834" s="140"/>
      <c r="B834" s="140"/>
      <c r="C834" s="140"/>
      <c r="E834" s="140"/>
      <c r="F834" s="140"/>
      <c r="G834" s="140"/>
      <c r="H834" s="140"/>
      <c r="M834" s="141"/>
    </row>
    <row r="835">
      <c r="A835" s="140"/>
      <c r="B835" s="140"/>
      <c r="C835" s="140"/>
      <c r="E835" s="140"/>
      <c r="F835" s="140"/>
      <c r="G835" s="140"/>
      <c r="H835" s="140"/>
      <c r="M835" s="141"/>
    </row>
    <row r="836">
      <c r="A836" s="140"/>
      <c r="B836" s="140"/>
      <c r="C836" s="140"/>
      <c r="E836" s="140"/>
      <c r="F836" s="140"/>
      <c r="G836" s="140"/>
      <c r="H836" s="140"/>
      <c r="M836" s="141"/>
    </row>
    <row r="837">
      <c r="A837" s="140"/>
      <c r="B837" s="140"/>
      <c r="C837" s="140"/>
      <c r="E837" s="140"/>
      <c r="F837" s="140"/>
      <c r="G837" s="140"/>
      <c r="H837" s="140"/>
      <c r="M837" s="141"/>
    </row>
    <row r="838">
      <c r="A838" s="140"/>
      <c r="B838" s="140"/>
      <c r="C838" s="140"/>
      <c r="E838" s="140"/>
      <c r="F838" s="140"/>
      <c r="G838" s="140"/>
      <c r="H838" s="140"/>
      <c r="M838" s="141"/>
    </row>
    <row r="839">
      <c r="A839" s="140"/>
      <c r="B839" s="140"/>
      <c r="C839" s="140"/>
      <c r="E839" s="140"/>
      <c r="F839" s="140"/>
      <c r="G839" s="140"/>
      <c r="H839" s="140"/>
      <c r="M839" s="141"/>
    </row>
    <row r="840">
      <c r="A840" s="140"/>
      <c r="B840" s="140"/>
      <c r="C840" s="140"/>
      <c r="E840" s="140"/>
      <c r="F840" s="140"/>
      <c r="G840" s="140"/>
      <c r="H840" s="140"/>
      <c r="M840" s="141"/>
    </row>
    <row r="841">
      <c r="A841" s="140"/>
      <c r="B841" s="140"/>
      <c r="C841" s="140"/>
      <c r="E841" s="140"/>
      <c r="F841" s="140"/>
      <c r="G841" s="140"/>
      <c r="H841" s="140"/>
      <c r="M841" s="141"/>
    </row>
    <row r="842">
      <c r="A842" s="140"/>
      <c r="B842" s="140"/>
      <c r="C842" s="140"/>
      <c r="E842" s="140"/>
      <c r="F842" s="140"/>
      <c r="G842" s="140"/>
      <c r="H842" s="140"/>
      <c r="M842" s="141"/>
    </row>
    <row r="843">
      <c r="A843" s="140"/>
      <c r="B843" s="140"/>
      <c r="C843" s="140"/>
      <c r="E843" s="140"/>
      <c r="F843" s="140"/>
      <c r="G843" s="140"/>
      <c r="H843" s="140"/>
      <c r="M843" s="141"/>
    </row>
    <row r="844">
      <c r="A844" s="140"/>
      <c r="B844" s="140"/>
      <c r="C844" s="140"/>
      <c r="E844" s="140"/>
      <c r="F844" s="140"/>
      <c r="G844" s="140"/>
      <c r="H844" s="140"/>
      <c r="M844" s="141"/>
    </row>
    <row r="845">
      <c r="A845" s="140"/>
      <c r="B845" s="140"/>
      <c r="C845" s="140"/>
      <c r="E845" s="140"/>
      <c r="F845" s="140"/>
      <c r="G845" s="140"/>
      <c r="H845" s="140"/>
      <c r="M845" s="141"/>
    </row>
    <row r="846">
      <c r="A846" s="140"/>
      <c r="B846" s="140"/>
      <c r="C846" s="140"/>
      <c r="E846" s="140"/>
      <c r="F846" s="140"/>
      <c r="G846" s="140"/>
      <c r="H846" s="140"/>
      <c r="M846" s="141"/>
    </row>
    <row r="847">
      <c r="A847" s="140"/>
      <c r="B847" s="140"/>
      <c r="C847" s="140"/>
      <c r="E847" s="140"/>
      <c r="F847" s="140"/>
      <c r="G847" s="140"/>
      <c r="H847" s="140"/>
      <c r="M847" s="141"/>
    </row>
    <row r="848">
      <c r="A848" s="140"/>
      <c r="B848" s="140"/>
      <c r="C848" s="140"/>
      <c r="E848" s="140"/>
      <c r="F848" s="140"/>
      <c r="G848" s="140"/>
      <c r="H848" s="140"/>
      <c r="M848" s="141"/>
    </row>
    <row r="849">
      <c r="A849" s="140"/>
      <c r="B849" s="140"/>
      <c r="C849" s="140"/>
      <c r="E849" s="140"/>
      <c r="F849" s="140"/>
      <c r="G849" s="140"/>
      <c r="H849" s="140"/>
      <c r="M849" s="141"/>
    </row>
    <row r="850">
      <c r="A850" s="140"/>
      <c r="B850" s="140"/>
      <c r="C850" s="140"/>
      <c r="E850" s="140"/>
      <c r="F850" s="140"/>
      <c r="G850" s="140"/>
      <c r="H850" s="140"/>
      <c r="M850" s="141"/>
    </row>
    <row r="851">
      <c r="A851" s="140"/>
      <c r="B851" s="140"/>
      <c r="C851" s="140"/>
      <c r="E851" s="140"/>
      <c r="F851" s="140"/>
      <c r="G851" s="140"/>
      <c r="H851" s="140"/>
      <c r="M851" s="141"/>
    </row>
    <row r="852">
      <c r="A852" s="140"/>
      <c r="B852" s="140"/>
      <c r="C852" s="140"/>
      <c r="E852" s="140"/>
      <c r="F852" s="140"/>
      <c r="G852" s="140"/>
      <c r="H852" s="140"/>
      <c r="M852" s="141"/>
    </row>
    <row r="853">
      <c r="A853" s="140"/>
      <c r="B853" s="140"/>
      <c r="C853" s="140"/>
      <c r="E853" s="140"/>
      <c r="F853" s="140"/>
      <c r="G853" s="140"/>
      <c r="H853" s="140"/>
      <c r="M853" s="141"/>
    </row>
    <row r="854">
      <c r="A854" s="140"/>
      <c r="B854" s="140"/>
      <c r="C854" s="140"/>
      <c r="E854" s="140"/>
      <c r="F854" s="140"/>
      <c r="G854" s="140"/>
      <c r="H854" s="140"/>
      <c r="M854" s="141"/>
    </row>
    <row r="855">
      <c r="A855" s="140"/>
      <c r="B855" s="140"/>
      <c r="C855" s="140"/>
      <c r="E855" s="140"/>
      <c r="F855" s="140"/>
      <c r="G855" s="140"/>
      <c r="H855" s="140"/>
      <c r="M855" s="141"/>
    </row>
    <row r="856">
      <c r="A856" s="140"/>
      <c r="B856" s="140"/>
      <c r="C856" s="140"/>
      <c r="E856" s="140"/>
      <c r="F856" s="140"/>
      <c r="G856" s="140"/>
      <c r="H856" s="140"/>
      <c r="M856" s="141"/>
    </row>
    <row r="857">
      <c r="A857" s="140"/>
      <c r="B857" s="140"/>
      <c r="C857" s="140"/>
      <c r="E857" s="140"/>
      <c r="F857" s="140"/>
      <c r="G857" s="140"/>
      <c r="H857" s="140"/>
      <c r="M857" s="141"/>
    </row>
    <row r="858">
      <c r="A858" s="140"/>
      <c r="B858" s="140"/>
      <c r="C858" s="140"/>
      <c r="E858" s="140"/>
      <c r="F858" s="140"/>
      <c r="G858" s="140"/>
      <c r="H858" s="140"/>
      <c r="M858" s="141"/>
    </row>
    <row r="859">
      <c r="A859" s="140"/>
      <c r="B859" s="140"/>
      <c r="C859" s="140"/>
      <c r="E859" s="140"/>
      <c r="F859" s="140"/>
      <c r="G859" s="140"/>
      <c r="H859" s="140"/>
      <c r="M859" s="141"/>
    </row>
    <row r="860">
      <c r="A860" s="140"/>
      <c r="B860" s="140"/>
      <c r="C860" s="140"/>
      <c r="E860" s="140"/>
      <c r="F860" s="140"/>
      <c r="G860" s="140"/>
      <c r="H860" s="140"/>
      <c r="M860" s="141"/>
    </row>
    <row r="861">
      <c r="A861" s="140"/>
      <c r="B861" s="140"/>
      <c r="C861" s="140"/>
      <c r="E861" s="140"/>
      <c r="F861" s="140"/>
      <c r="G861" s="140"/>
      <c r="H861" s="140"/>
      <c r="M861" s="141"/>
    </row>
    <row r="862">
      <c r="A862" s="140"/>
      <c r="B862" s="140"/>
      <c r="C862" s="140"/>
      <c r="E862" s="140"/>
      <c r="F862" s="140"/>
      <c r="G862" s="140"/>
      <c r="H862" s="140"/>
      <c r="M862" s="141"/>
    </row>
    <row r="863">
      <c r="A863" s="140"/>
      <c r="B863" s="140"/>
      <c r="C863" s="140"/>
      <c r="E863" s="140"/>
      <c r="F863" s="140"/>
      <c r="G863" s="140"/>
      <c r="H863" s="140"/>
      <c r="M863" s="141"/>
    </row>
    <row r="864">
      <c r="A864" s="140"/>
      <c r="B864" s="140"/>
      <c r="C864" s="140"/>
      <c r="E864" s="140"/>
      <c r="F864" s="140"/>
      <c r="G864" s="140"/>
      <c r="H864" s="140"/>
      <c r="M864" s="141"/>
    </row>
    <row r="865">
      <c r="A865" s="140"/>
      <c r="B865" s="140"/>
      <c r="C865" s="140"/>
      <c r="E865" s="140"/>
      <c r="F865" s="140"/>
      <c r="G865" s="140"/>
      <c r="H865" s="140"/>
      <c r="M865" s="141"/>
    </row>
    <row r="866">
      <c r="A866" s="140"/>
      <c r="B866" s="140"/>
      <c r="C866" s="140"/>
      <c r="E866" s="140"/>
      <c r="F866" s="140"/>
      <c r="G866" s="140"/>
      <c r="H866" s="140"/>
      <c r="M866" s="141"/>
    </row>
    <row r="867">
      <c r="A867" s="140"/>
      <c r="B867" s="140"/>
      <c r="C867" s="140"/>
      <c r="E867" s="140"/>
      <c r="F867" s="140"/>
      <c r="G867" s="140"/>
      <c r="H867" s="140"/>
      <c r="M867" s="141"/>
    </row>
    <row r="868">
      <c r="A868" s="140"/>
      <c r="B868" s="140"/>
      <c r="C868" s="140"/>
      <c r="E868" s="140"/>
      <c r="F868" s="140"/>
      <c r="G868" s="140"/>
      <c r="H868" s="140"/>
      <c r="M868" s="141"/>
    </row>
    <row r="869">
      <c r="A869" s="140"/>
      <c r="B869" s="140"/>
      <c r="C869" s="140"/>
      <c r="E869" s="140"/>
      <c r="F869" s="140"/>
      <c r="G869" s="140"/>
      <c r="H869" s="140"/>
      <c r="M869" s="141"/>
    </row>
    <row r="870">
      <c r="A870" s="140"/>
      <c r="B870" s="140"/>
      <c r="C870" s="140"/>
      <c r="E870" s="140"/>
      <c r="F870" s="140"/>
      <c r="G870" s="140"/>
      <c r="H870" s="140"/>
      <c r="M870" s="141"/>
    </row>
    <row r="871">
      <c r="A871" s="140"/>
      <c r="B871" s="140"/>
      <c r="C871" s="140"/>
      <c r="E871" s="140"/>
      <c r="F871" s="140"/>
      <c r="G871" s="140"/>
      <c r="H871" s="140"/>
      <c r="M871" s="141"/>
    </row>
    <row r="872">
      <c r="A872" s="140"/>
      <c r="B872" s="140"/>
      <c r="C872" s="140"/>
      <c r="E872" s="140"/>
      <c r="F872" s="140"/>
      <c r="G872" s="140"/>
      <c r="H872" s="140"/>
      <c r="M872" s="141"/>
    </row>
    <row r="873">
      <c r="A873" s="140"/>
      <c r="B873" s="140"/>
      <c r="C873" s="140"/>
      <c r="E873" s="140"/>
      <c r="F873" s="140"/>
      <c r="G873" s="140"/>
      <c r="H873" s="140"/>
      <c r="M873" s="141"/>
    </row>
    <row r="874">
      <c r="A874" s="140"/>
      <c r="B874" s="140"/>
      <c r="C874" s="140"/>
      <c r="E874" s="140"/>
      <c r="F874" s="140"/>
      <c r="G874" s="140"/>
      <c r="H874" s="140"/>
      <c r="M874" s="141"/>
    </row>
    <row r="875">
      <c r="A875" s="140"/>
      <c r="B875" s="140"/>
      <c r="C875" s="140"/>
      <c r="E875" s="140"/>
      <c r="F875" s="140"/>
      <c r="G875" s="140"/>
      <c r="H875" s="140"/>
      <c r="M875" s="141"/>
    </row>
    <row r="876">
      <c r="A876" s="140"/>
      <c r="B876" s="140"/>
      <c r="C876" s="140"/>
      <c r="E876" s="140"/>
      <c r="F876" s="140"/>
      <c r="G876" s="140"/>
      <c r="H876" s="140"/>
      <c r="M876" s="141"/>
    </row>
    <row r="877">
      <c r="A877" s="140"/>
      <c r="B877" s="140"/>
      <c r="C877" s="140"/>
      <c r="E877" s="140"/>
      <c r="F877" s="140"/>
      <c r="G877" s="140"/>
      <c r="H877" s="140"/>
      <c r="M877" s="141"/>
    </row>
    <row r="878">
      <c r="A878" s="140"/>
      <c r="B878" s="140"/>
      <c r="C878" s="140"/>
      <c r="E878" s="140"/>
      <c r="F878" s="140"/>
      <c r="G878" s="140"/>
      <c r="H878" s="140"/>
      <c r="M878" s="141"/>
    </row>
    <row r="879">
      <c r="A879" s="140"/>
      <c r="B879" s="140"/>
      <c r="C879" s="140"/>
      <c r="E879" s="140"/>
      <c r="F879" s="140"/>
      <c r="G879" s="140"/>
      <c r="H879" s="140"/>
      <c r="M879" s="141"/>
    </row>
    <row r="880">
      <c r="A880" s="140"/>
      <c r="B880" s="140"/>
      <c r="C880" s="140"/>
      <c r="E880" s="140"/>
      <c r="F880" s="140"/>
      <c r="G880" s="140"/>
      <c r="H880" s="140"/>
      <c r="M880" s="141"/>
    </row>
    <row r="881">
      <c r="A881" s="140"/>
      <c r="B881" s="140"/>
      <c r="C881" s="140"/>
      <c r="E881" s="140"/>
      <c r="F881" s="140"/>
      <c r="G881" s="140"/>
      <c r="H881" s="140"/>
      <c r="M881" s="141"/>
    </row>
    <row r="882">
      <c r="A882" s="140"/>
      <c r="B882" s="140"/>
      <c r="C882" s="140"/>
      <c r="E882" s="140"/>
      <c r="F882" s="140"/>
      <c r="G882" s="140"/>
      <c r="H882" s="140"/>
      <c r="M882" s="141"/>
    </row>
    <row r="883">
      <c r="A883" s="140"/>
      <c r="B883" s="140"/>
      <c r="C883" s="140"/>
      <c r="E883" s="140"/>
      <c r="F883" s="140"/>
      <c r="G883" s="140"/>
      <c r="H883" s="140"/>
      <c r="M883" s="141"/>
    </row>
    <row r="884">
      <c r="A884" s="140"/>
      <c r="B884" s="140"/>
      <c r="C884" s="140"/>
      <c r="E884" s="140"/>
      <c r="F884" s="140"/>
      <c r="G884" s="140"/>
      <c r="H884" s="140"/>
      <c r="M884" s="141"/>
    </row>
    <row r="885">
      <c r="A885" s="140"/>
      <c r="B885" s="140"/>
      <c r="C885" s="140"/>
      <c r="E885" s="140"/>
      <c r="F885" s="140"/>
      <c r="G885" s="140"/>
      <c r="H885" s="140"/>
      <c r="M885" s="141"/>
    </row>
    <row r="886">
      <c r="A886" s="140"/>
      <c r="B886" s="140"/>
      <c r="C886" s="140"/>
      <c r="E886" s="140"/>
      <c r="F886" s="140"/>
      <c r="G886" s="140"/>
      <c r="H886" s="140"/>
      <c r="M886" s="141"/>
    </row>
    <row r="887">
      <c r="A887" s="140"/>
      <c r="B887" s="140"/>
      <c r="C887" s="140"/>
      <c r="E887" s="140"/>
      <c r="F887" s="140"/>
      <c r="G887" s="140"/>
      <c r="H887" s="140"/>
      <c r="M887" s="141"/>
    </row>
    <row r="888">
      <c r="A888" s="140"/>
      <c r="B888" s="140"/>
      <c r="C888" s="140"/>
      <c r="E888" s="140"/>
      <c r="F888" s="140"/>
      <c r="G888" s="140"/>
      <c r="H888" s="140"/>
      <c r="M888" s="141"/>
    </row>
    <row r="889">
      <c r="A889" s="140"/>
      <c r="B889" s="140"/>
      <c r="C889" s="140"/>
      <c r="E889" s="140"/>
      <c r="F889" s="140"/>
      <c r="G889" s="140"/>
      <c r="H889" s="140"/>
      <c r="M889" s="141"/>
    </row>
    <row r="890">
      <c r="A890" s="140"/>
      <c r="B890" s="140"/>
      <c r="C890" s="140"/>
      <c r="E890" s="140"/>
      <c r="F890" s="140"/>
      <c r="G890" s="140"/>
      <c r="H890" s="140"/>
      <c r="M890" s="141"/>
    </row>
    <row r="891">
      <c r="A891" s="140"/>
      <c r="B891" s="140"/>
      <c r="C891" s="140"/>
      <c r="E891" s="140"/>
      <c r="F891" s="140"/>
      <c r="G891" s="140"/>
      <c r="H891" s="140"/>
      <c r="M891" s="141"/>
    </row>
    <row r="892">
      <c r="A892" s="140"/>
      <c r="B892" s="140"/>
      <c r="C892" s="140"/>
      <c r="E892" s="140"/>
      <c r="F892" s="140"/>
      <c r="G892" s="140"/>
      <c r="H892" s="140"/>
      <c r="M892" s="141"/>
    </row>
    <row r="893">
      <c r="A893" s="140"/>
      <c r="B893" s="140"/>
      <c r="C893" s="140"/>
      <c r="E893" s="140"/>
      <c r="F893" s="140"/>
      <c r="G893" s="140"/>
      <c r="H893" s="140"/>
      <c r="M893" s="141"/>
    </row>
    <row r="894">
      <c r="A894" s="140"/>
      <c r="B894" s="140"/>
      <c r="C894" s="140"/>
      <c r="E894" s="140"/>
      <c r="F894" s="140"/>
      <c r="G894" s="140"/>
      <c r="H894" s="140"/>
      <c r="M894" s="141"/>
    </row>
    <row r="895">
      <c r="A895" s="140"/>
      <c r="B895" s="140"/>
      <c r="C895" s="140"/>
      <c r="E895" s="140"/>
      <c r="F895" s="140"/>
      <c r="G895" s="140"/>
      <c r="H895" s="140"/>
      <c r="M895" s="141"/>
    </row>
    <row r="896">
      <c r="A896" s="140"/>
      <c r="B896" s="140"/>
      <c r="C896" s="140"/>
      <c r="E896" s="140"/>
      <c r="F896" s="140"/>
      <c r="G896" s="140"/>
      <c r="H896" s="140"/>
      <c r="M896" s="141"/>
    </row>
    <row r="897">
      <c r="A897" s="140"/>
      <c r="B897" s="140"/>
      <c r="C897" s="140"/>
      <c r="E897" s="140"/>
      <c r="F897" s="140"/>
      <c r="G897" s="140"/>
      <c r="H897" s="140"/>
      <c r="M897" s="141"/>
    </row>
    <row r="898">
      <c r="A898" s="140"/>
      <c r="B898" s="140"/>
      <c r="C898" s="140"/>
      <c r="E898" s="140"/>
      <c r="F898" s="140"/>
      <c r="G898" s="140"/>
      <c r="H898" s="140"/>
      <c r="M898" s="141"/>
    </row>
    <row r="899">
      <c r="A899" s="140"/>
      <c r="B899" s="140"/>
      <c r="C899" s="140"/>
      <c r="E899" s="140"/>
      <c r="F899" s="140"/>
      <c r="G899" s="140"/>
      <c r="H899" s="140"/>
      <c r="M899" s="141"/>
    </row>
    <row r="900">
      <c r="A900" s="140"/>
      <c r="B900" s="140"/>
      <c r="C900" s="140"/>
      <c r="E900" s="140"/>
      <c r="F900" s="140"/>
      <c r="G900" s="140"/>
      <c r="H900" s="140"/>
      <c r="M900" s="141"/>
    </row>
    <row r="901">
      <c r="A901" s="140"/>
      <c r="B901" s="140"/>
      <c r="C901" s="140"/>
      <c r="E901" s="140"/>
      <c r="F901" s="140"/>
      <c r="G901" s="140"/>
      <c r="H901" s="140"/>
      <c r="M901" s="141"/>
    </row>
    <row r="902">
      <c r="A902" s="140"/>
      <c r="B902" s="140"/>
      <c r="C902" s="140"/>
      <c r="E902" s="140"/>
      <c r="F902" s="140"/>
      <c r="G902" s="140"/>
      <c r="H902" s="140"/>
      <c r="M902" s="141"/>
    </row>
    <row r="903">
      <c r="A903" s="140"/>
      <c r="B903" s="140"/>
      <c r="C903" s="140"/>
      <c r="E903" s="140"/>
      <c r="F903" s="140"/>
      <c r="G903" s="140"/>
      <c r="H903" s="140"/>
      <c r="M903" s="141"/>
    </row>
    <row r="904">
      <c r="A904" s="140"/>
      <c r="B904" s="140"/>
      <c r="C904" s="140"/>
      <c r="E904" s="140"/>
      <c r="F904" s="140"/>
      <c r="G904" s="140"/>
      <c r="H904" s="140"/>
      <c r="M904" s="141"/>
    </row>
    <row r="905">
      <c r="A905" s="140"/>
      <c r="B905" s="140"/>
      <c r="C905" s="140"/>
      <c r="E905" s="140"/>
      <c r="F905" s="140"/>
      <c r="G905" s="140"/>
      <c r="H905" s="140"/>
      <c r="M905" s="141"/>
    </row>
    <row r="906">
      <c r="A906" s="140"/>
      <c r="B906" s="140"/>
      <c r="C906" s="140"/>
      <c r="E906" s="140"/>
      <c r="F906" s="140"/>
      <c r="G906" s="140"/>
      <c r="H906" s="140"/>
      <c r="M906" s="141"/>
    </row>
    <row r="907">
      <c r="A907" s="140"/>
      <c r="B907" s="140"/>
      <c r="C907" s="140"/>
      <c r="E907" s="140"/>
      <c r="F907" s="140"/>
      <c r="G907" s="140"/>
      <c r="H907" s="140"/>
      <c r="M907" s="141"/>
    </row>
    <row r="908">
      <c r="A908" s="140"/>
      <c r="B908" s="140"/>
      <c r="C908" s="140"/>
      <c r="E908" s="140"/>
      <c r="F908" s="140"/>
      <c r="G908" s="140"/>
      <c r="H908" s="140"/>
      <c r="M908" s="141"/>
    </row>
    <row r="909">
      <c r="A909" s="140"/>
      <c r="B909" s="140"/>
      <c r="C909" s="140"/>
      <c r="E909" s="140"/>
      <c r="F909" s="140"/>
      <c r="G909" s="140"/>
      <c r="H909" s="140"/>
      <c r="M909" s="141"/>
    </row>
    <row r="910">
      <c r="A910" s="140"/>
      <c r="B910" s="140"/>
      <c r="C910" s="140"/>
      <c r="E910" s="140"/>
      <c r="F910" s="140"/>
      <c r="G910" s="140"/>
      <c r="H910" s="140"/>
      <c r="M910" s="141"/>
    </row>
    <row r="911">
      <c r="A911" s="140"/>
      <c r="B911" s="140"/>
      <c r="C911" s="140"/>
      <c r="E911" s="140"/>
      <c r="F911" s="140"/>
      <c r="G911" s="140"/>
      <c r="H911" s="140"/>
      <c r="M911" s="141"/>
    </row>
    <row r="912">
      <c r="A912" s="140"/>
      <c r="B912" s="140"/>
      <c r="C912" s="140"/>
      <c r="E912" s="140"/>
      <c r="F912" s="140"/>
      <c r="G912" s="140"/>
      <c r="H912" s="140"/>
      <c r="M912" s="141"/>
    </row>
    <row r="913">
      <c r="A913" s="140"/>
      <c r="B913" s="140"/>
      <c r="C913" s="140"/>
      <c r="E913" s="140"/>
      <c r="F913" s="140"/>
      <c r="G913" s="140"/>
      <c r="H913" s="140"/>
      <c r="M913" s="141"/>
    </row>
    <row r="914">
      <c r="A914" s="140"/>
      <c r="B914" s="140"/>
      <c r="C914" s="140"/>
      <c r="E914" s="140"/>
      <c r="F914" s="140"/>
      <c r="G914" s="140"/>
      <c r="H914" s="140"/>
      <c r="M914" s="141"/>
    </row>
    <row r="915">
      <c r="A915" s="140"/>
      <c r="B915" s="140"/>
      <c r="C915" s="140"/>
      <c r="E915" s="140"/>
      <c r="F915" s="140"/>
      <c r="G915" s="140"/>
      <c r="H915" s="140"/>
      <c r="M915" s="141"/>
    </row>
    <row r="916">
      <c r="A916" s="140"/>
      <c r="B916" s="140"/>
      <c r="C916" s="140"/>
      <c r="E916" s="140"/>
      <c r="F916" s="140"/>
      <c r="G916" s="140"/>
      <c r="H916" s="140"/>
      <c r="M916" s="141"/>
    </row>
    <row r="917">
      <c r="A917" s="140"/>
      <c r="B917" s="140"/>
      <c r="C917" s="140"/>
      <c r="E917" s="140"/>
      <c r="F917" s="140"/>
      <c r="G917" s="140"/>
      <c r="H917" s="140"/>
      <c r="M917" s="141"/>
    </row>
    <row r="918">
      <c r="A918" s="140"/>
      <c r="B918" s="140"/>
      <c r="C918" s="140"/>
      <c r="E918" s="140"/>
      <c r="F918" s="140"/>
      <c r="G918" s="140"/>
      <c r="H918" s="140"/>
      <c r="M918" s="141"/>
    </row>
    <row r="919">
      <c r="A919" s="140"/>
      <c r="B919" s="140"/>
      <c r="C919" s="140"/>
      <c r="E919" s="140"/>
      <c r="F919" s="140"/>
      <c r="G919" s="140"/>
      <c r="H919" s="140"/>
      <c r="M919" s="141"/>
    </row>
    <row r="920">
      <c r="A920" s="140"/>
      <c r="B920" s="140"/>
      <c r="C920" s="140"/>
      <c r="E920" s="140"/>
      <c r="F920" s="140"/>
      <c r="G920" s="140"/>
      <c r="H920" s="140"/>
      <c r="M920" s="141"/>
    </row>
    <row r="921">
      <c r="A921" s="140"/>
      <c r="B921" s="140"/>
      <c r="C921" s="140"/>
      <c r="E921" s="140"/>
      <c r="F921" s="140"/>
      <c r="G921" s="140"/>
      <c r="H921" s="140"/>
      <c r="M921" s="141"/>
    </row>
    <row r="922">
      <c r="A922" s="140"/>
      <c r="B922" s="140"/>
      <c r="C922" s="140"/>
      <c r="E922" s="140"/>
      <c r="F922" s="140"/>
      <c r="G922" s="140"/>
      <c r="H922" s="140"/>
      <c r="M922" s="141"/>
    </row>
    <row r="923">
      <c r="A923" s="140"/>
      <c r="B923" s="140"/>
      <c r="C923" s="140"/>
      <c r="E923" s="140"/>
      <c r="F923" s="140"/>
      <c r="G923" s="140"/>
      <c r="H923" s="140"/>
      <c r="M923" s="141"/>
    </row>
    <row r="924">
      <c r="A924" s="140"/>
      <c r="B924" s="140"/>
      <c r="C924" s="140"/>
      <c r="E924" s="140"/>
      <c r="F924" s="140"/>
      <c r="G924" s="140"/>
      <c r="H924" s="140"/>
      <c r="M924" s="141"/>
    </row>
    <row r="925">
      <c r="A925" s="140"/>
      <c r="B925" s="140"/>
      <c r="C925" s="140"/>
      <c r="E925" s="140"/>
      <c r="F925" s="140"/>
      <c r="G925" s="140"/>
      <c r="H925" s="140"/>
      <c r="M925" s="141"/>
    </row>
    <row r="926">
      <c r="A926" s="140"/>
      <c r="B926" s="140"/>
      <c r="C926" s="140"/>
      <c r="E926" s="140"/>
      <c r="F926" s="140"/>
      <c r="G926" s="140"/>
      <c r="H926" s="140"/>
      <c r="M926" s="141"/>
    </row>
    <row r="927">
      <c r="A927" s="140"/>
      <c r="B927" s="140"/>
      <c r="C927" s="140"/>
      <c r="E927" s="140"/>
      <c r="F927" s="140"/>
      <c r="G927" s="140"/>
      <c r="H927" s="140"/>
      <c r="M927" s="141"/>
    </row>
    <row r="928">
      <c r="A928" s="140"/>
      <c r="B928" s="140"/>
      <c r="C928" s="140"/>
      <c r="E928" s="140"/>
      <c r="F928" s="140"/>
      <c r="G928" s="140"/>
      <c r="H928" s="140"/>
      <c r="M928" s="141"/>
    </row>
    <row r="929">
      <c r="A929" s="140"/>
      <c r="B929" s="140"/>
      <c r="C929" s="140"/>
      <c r="E929" s="140"/>
      <c r="F929" s="140"/>
      <c r="G929" s="140"/>
      <c r="H929" s="140"/>
      <c r="M929" s="141"/>
    </row>
    <row r="930">
      <c r="A930" s="140"/>
      <c r="B930" s="140"/>
      <c r="C930" s="140"/>
      <c r="E930" s="140"/>
      <c r="F930" s="140"/>
      <c r="G930" s="140"/>
      <c r="H930" s="140"/>
      <c r="M930" s="141"/>
    </row>
    <row r="931">
      <c r="A931" s="140"/>
      <c r="B931" s="140"/>
      <c r="C931" s="140"/>
      <c r="E931" s="140"/>
      <c r="F931" s="140"/>
      <c r="G931" s="140"/>
      <c r="H931" s="140"/>
      <c r="M931" s="141"/>
    </row>
    <row r="932">
      <c r="A932" s="140"/>
      <c r="B932" s="140"/>
      <c r="C932" s="140"/>
      <c r="E932" s="140"/>
      <c r="F932" s="140"/>
      <c r="G932" s="140"/>
      <c r="H932" s="140"/>
      <c r="M932" s="141"/>
    </row>
    <row r="933">
      <c r="A933" s="140"/>
      <c r="B933" s="140"/>
      <c r="C933" s="140"/>
      <c r="E933" s="140"/>
      <c r="F933" s="140"/>
      <c r="G933" s="140"/>
      <c r="H933" s="140"/>
      <c r="M933" s="141"/>
    </row>
    <row r="934">
      <c r="A934" s="140"/>
      <c r="B934" s="140"/>
      <c r="C934" s="140"/>
      <c r="E934" s="140"/>
      <c r="F934" s="140"/>
      <c r="G934" s="140"/>
      <c r="H934" s="140"/>
      <c r="M934" s="141"/>
    </row>
    <row r="935">
      <c r="A935" s="140"/>
      <c r="B935" s="140"/>
      <c r="C935" s="140"/>
      <c r="E935" s="140"/>
      <c r="F935" s="140"/>
      <c r="G935" s="140"/>
      <c r="H935" s="140"/>
      <c r="M935" s="141"/>
    </row>
    <row r="936">
      <c r="A936" s="140"/>
      <c r="B936" s="140"/>
      <c r="C936" s="140"/>
      <c r="E936" s="140"/>
      <c r="F936" s="140"/>
      <c r="G936" s="140"/>
      <c r="H936" s="140"/>
      <c r="M936" s="141"/>
    </row>
    <row r="937">
      <c r="A937" s="140"/>
      <c r="B937" s="140"/>
      <c r="C937" s="140"/>
      <c r="E937" s="140"/>
      <c r="F937" s="140"/>
      <c r="G937" s="140"/>
      <c r="H937" s="140"/>
      <c r="M937" s="141"/>
    </row>
    <row r="938">
      <c r="A938" s="140"/>
      <c r="B938" s="140"/>
      <c r="C938" s="140"/>
      <c r="E938" s="140"/>
      <c r="F938" s="140"/>
      <c r="G938" s="140"/>
      <c r="H938" s="140"/>
      <c r="M938" s="141"/>
    </row>
    <row r="939">
      <c r="A939" s="140"/>
      <c r="B939" s="140"/>
      <c r="C939" s="140"/>
      <c r="E939" s="140"/>
      <c r="F939" s="140"/>
      <c r="G939" s="140"/>
      <c r="H939" s="140"/>
      <c r="M939" s="141"/>
    </row>
    <row r="940">
      <c r="A940" s="140"/>
      <c r="B940" s="140"/>
      <c r="C940" s="140"/>
      <c r="E940" s="140"/>
      <c r="F940" s="140"/>
      <c r="G940" s="140"/>
      <c r="H940" s="140"/>
      <c r="M940" s="141"/>
    </row>
    <row r="941">
      <c r="A941" s="140"/>
      <c r="B941" s="140"/>
      <c r="C941" s="140"/>
      <c r="E941" s="140"/>
      <c r="F941" s="140"/>
      <c r="G941" s="140"/>
      <c r="H941" s="140"/>
      <c r="M941" s="141"/>
    </row>
    <row r="942">
      <c r="A942" s="140"/>
      <c r="B942" s="140"/>
      <c r="C942" s="140"/>
      <c r="E942" s="140"/>
      <c r="F942" s="140"/>
      <c r="G942" s="140"/>
      <c r="H942" s="140"/>
      <c r="M942" s="141"/>
    </row>
    <row r="943">
      <c r="A943" s="140"/>
      <c r="B943" s="140"/>
      <c r="C943" s="140"/>
      <c r="E943" s="140"/>
      <c r="F943" s="140"/>
      <c r="G943" s="140"/>
      <c r="H943" s="140"/>
      <c r="M943" s="141"/>
    </row>
    <row r="944">
      <c r="A944" s="140"/>
      <c r="B944" s="140"/>
      <c r="C944" s="140"/>
      <c r="E944" s="140"/>
      <c r="F944" s="140"/>
      <c r="G944" s="140"/>
      <c r="H944" s="140"/>
      <c r="M944" s="141"/>
    </row>
    <row r="945">
      <c r="A945" s="140"/>
      <c r="B945" s="140"/>
      <c r="C945" s="140"/>
      <c r="E945" s="140"/>
      <c r="F945" s="140"/>
      <c r="G945" s="140"/>
      <c r="H945" s="140"/>
      <c r="M945" s="141"/>
    </row>
    <row r="946">
      <c r="A946" s="140"/>
      <c r="B946" s="140"/>
      <c r="C946" s="140"/>
      <c r="E946" s="140"/>
      <c r="F946" s="140"/>
      <c r="G946" s="140"/>
      <c r="H946" s="140"/>
      <c r="M946" s="141"/>
    </row>
    <row r="947">
      <c r="A947" s="140"/>
      <c r="B947" s="140"/>
      <c r="C947" s="140"/>
      <c r="E947" s="140"/>
      <c r="F947" s="140"/>
      <c r="G947" s="140"/>
      <c r="H947" s="140"/>
      <c r="M947" s="141"/>
    </row>
    <row r="948">
      <c r="A948" s="140"/>
      <c r="B948" s="140"/>
      <c r="C948" s="140"/>
      <c r="E948" s="140"/>
      <c r="F948" s="140"/>
      <c r="G948" s="140"/>
      <c r="H948" s="140"/>
      <c r="M948" s="141"/>
    </row>
    <row r="949">
      <c r="A949" s="140"/>
      <c r="B949" s="140"/>
      <c r="C949" s="140"/>
      <c r="E949" s="140"/>
      <c r="F949" s="140"/>
      <c r="G949" s="140"/>
      <c r="H949" s="140"/>
      <c r="M949" s="141"/>
    </row>
    <row r="950">
      <c r="A950" s="140"/>
      <c r="B950" s="140"/>
      <c r="C950" s="140"/>
      <c r="E950" s="140"/>
      <c r="F950" s="140"/>
      <c r="G950" s="140"/>
      <c r="H950" s="140"/>
      <c r="M950" s="141"/>
    </row>
    <row r="951">
      <c r="A951" s="140"/>
      <c r="B951" s="140"/>
      <c r="C951" s="140"/>
      <c r="E951" s="140"/>
      <c r="F951" s="140"/>
      <c r="G951" s="140"/>
      <c r="H951" s="140"/>
      <c r="M951" s="141"/>
    </row>
    <row r="952">
      <c r="A952" s="140"/>
      <c r="B952" s="140"/>
      <c r="C952" s="140"/>
      <c r="E952" s="140"/>
      <c r="F952" s="140"/>
      <c r="G952" s="140"/>
      <c r="H952" s="140"/>
      <c r="M952" s="141"/>
    </row>
    <row r="953">
      <c r="A953" s="140"/>
      <c r="B953" s="140"/>
      <c r="C953" s="140"/>
      <c r="E953" s="140"/>
      <c r="F953" s="140"/>
      <c r="G953" s="140"/>
      <c r="H953" s="140"/>
      <c r="M953" s="141"/>
    </row>
    <row r="954">
      <c r="A954" s="140"/>
      <c r="B954" s="140"/>
      <c r="C954" s="140"/>
      <c r="E954" s="140"/>
      <c r="F954" s="140"/>
      <c r="G954" s="140"/>
      <c r="H954" s="140"/>
      <c r="M954" s="141"/>
    </row>
    <row r="955">
      <c r="A955" s="140"/>
      <c r="B955" s="140"/>
      <c r="C955" s="140"/>
      <c r="E955" s="140"/>
      <c r="F955" s="140"/>
      <c r="G955" s="140"/>
      <c r="H955" s="140"/>
      <c r="M955" s="141"/>
    </row>
    <row r="956">
      <c r="A956" s="140"/>
      <c r="B956" s="140"/>
      <c r="C956" s="140"/>
      <c r="E956" s="140"/>
      <c r="F956" s="140"/>
      <c r="G956" s="140"/>
      <c r="H956" s="140"/>
      <c r="M956" s="141"/>
    </row>
    <row r="957">
      <c r="A957" s="140"/>
      <c r="B957" s="140"/>
      <c r="C957" s="140"/>
      <c r="E957" s="140"/>
      <c r="F957" s="140"/>
      <c r="G957" s="140"/>
      <c r="H957" s="140"/>
      <c r="M957" s="141"/>
    </row>
    <row r="958">
      <c r="A958" s="140"/>
      <c r="B958" s="140"/>
      <c r="C958" s="140"/>
      <c r="E958" s="140"/>
      <c r="F958" s="140"/>
      <c r="G958" s="140"/>
      <c r="H958" s="140"/>
      <c r="M958" s="141"/>
    </row>
    <row r="959">
      <c r="A959" s="140"/>
      <c r="B959" s="140"/>
      <c r="C959" s="140"/>
      <c r="E959" s="140"/>
      <c r="F959" s="140"/>
      <c r="G959" s="140"/>
      <c r="H959" s="140"/>
      <c r="M959" s="141"/>
    </row>
    <row r="960">
      <c r="A960" s="140"/>
      <c r="B960" s="140"/>
      <c r="C960" s="140"/>
      <c r="E960" s="140"/>
      <c r="F960" s="140"/>
      <c r="G960" s="140"/>
      <c r="H960" s="140"/>
      <c r="M960" s="141"/>
    </row>
    <row r="961">
      <c r="A961" s="140"/>
      <c r="B961" s="140"/>
      <c r="C961" s="140"/>
      <c r="E961" s="140"/>
      <c r="F961" s="140"/>
      <c r="G961" s="140"/>
      <c r="H961" s="140"/>
      <c r="M961" s="141"/>
    </row>
    <row r="962">
      <c r="A962" s="140"/>
      <c r="B962" s="140"/>
      <c r="C962" s="140"/>
      <c r="E962" s="140"/>
      <c r="F962" s="140"/>
      <c r="G962" s="140"/>
      <c r="H962" s="140"/>
      <c r="M962" s="141"/>
    </row>
    <row r="963">
      <c r="A963" s="140"/>
      <c r="B963" s="140"/>
      <c r="C963" s="140"/>
      <c r="E963" s="140"/>
      <c r="F963" s="140"/>
      <c r="G963" s="140"/>
      <c r="H963" s="140"/>
      <c r="M963" s="141"/>
    </row>
    <row r="964">
      <c r="A964" s="140"/>
      <c r="B964" s="140"/>
      <c r="C964" s="140"/>
      <c r="E964" s="140"/>
      <c r="F964" s="140"/>
      <c r="G964" s="140"/>
      <c r="H964" s="140"/>
      <c r="M964" s="141"/>
    </row>
    <row r="965">
      <c r="A965" s="140"/>
      <c r="B965" s="140"/>
      <c r="C965" s="140"/>
      <c r="E965" s="140"/>
      <c r="F965" s="140"/>
      <c r="G965" s="140"/>
      <c r="H965" s="140"/>
      <c r="M965" s="141"/>
    </row>
    <row r="966">
      <c r="A966" s="140"/>
      <c r="B966" s="140"/>
      <c r="C966" s="140"/>
      <c r="E966" s="140"/>
      <c r="F966" s="140"/>
      <c r="G966" s="140"/>
      <c r="H966" s="140"/>
      <c r="M966" s="141"/>
    </row>
    <row r="967">
      <c r="A967" s="140"/>
      <c r="B967" s="140"/>
      <c r="C967" s="140"/>
      <c r="E967" s="140"/>
      <c r="F967" s="140"/>
      <c r="G967" s="140"/>
      <c r="H967" s="140"/>
      <c r="M967" s="141"/>
    </row>
    <row r="968">
      <c r="A968" s="140"/>
      <c r="B968" s="140"/>
      <c r="C968" s="140"/>
      <c r="E968" s="140"/>
      <c r="F968" s="140"/>
      <c r="G968" s="140"/>
      <c r="H968" s="140"/>
      <c r="M968" s="141"/>
    </row>
    <row r="969">
      <c r="A969" s="140"/>
      <c r="B969" s="140"/>
      <c r="C969" s="140"/>
      <c r="E969" s="140"/>
      <c r="F969" s="140"/>
      <c r="G969" s="140"/>
      <c r="H969" s="140"/>
      <c r="M969" s="141"/>
    </row>
    <row r="970">
      <c r="A970" s="140"/>
      <c r="B970" s="140"/>
      <c r="C970" s="140"/>
      <c r="E970" s="140"/>
      <c r="F970" s="140"/>
      <c r="G970" s="140"/>
      <c r="H970" s="140"/>
      <c r="M970" s="141"/>
    </row>
    <row r="971">
      <c r="A971" s="140"/>
      <c r="B971" s="140"/>
      <c r="C971" s="140"/>
      <c r="E971" s="140"/>
      <c r="F971" s="140"/>
      <c r="G971" s="140"/>
      <c r="H971" s="140"/>
      <c r="M971" s="141"/>
    </row>
    <row r="972">
      <c r="A972" s="140"/>
      <c r="B972" s="140"/>
      <c r="C972" s="140"/>
      <c r="E972" s="140"/>
      <c r="F972" s="140"/>
      <c r="G972" s="140"/>
      <c r="H972" s="140"/>
      <c r="M972" s="141"/>
    </row>
    <row r="973">
      <c r="A973" s="140"/>
      <c r="B973" s="140"/>
      <c r="C973" s="140"/>
      <c r="E973" s="140"/>
      <c r="F973" s="140"/>
      <c r="G973" s="140"/>
      <c r="H973" s="140"/>
      <c r="M973" s="141"/>
    </row>
    <row r="974">
      <c r="A974" s="140"/>
      <c r="B974" s="140"/>
      <c r="C974" s="140"/>
      <c r="E974" s="140"/>
      <c r="F974" s="140"/>
      <c r="G974" s="140"/>
      <c r="H974" s="140"/>
      <c r="M974" s="141"/>
    </row>
    <row r="975">
      <c r="A975" s="140"/>
      <c r="B975" s="140"/>
      <c r="C975" s="140"/>
      <c r="E975" s="140"/>
      <c r="F975" s="140"/>
      <c r="G975" s="140"/>
      <c r="H975" s="140"/>
      <c r="M975" s="141"/>
    </row>
    <row r="976">
      <c r="A976" s="140"/>
      <c r="B976" s="140"/>
      <c r="C976" s="140"/>
      <c r="E976" s="140"/>
      <c r="F976" s="140"/>
      <c r="G976" s="140"/>
      <c r="H976" s="140"/>
      <c r="M976" s="141"/>
    </row>
    <row r="977">
      <c r="A977" s="140"/>
      <c r="B977" s="140"/>
      <c r="C977" s="140"/>
      <c r="E977" s="140"/>
      <c r="F977" s="140"/>
      <c r="G977" s="140"/>
      <c r="H977" s="140"/>
      <c r="M977" s="141"/>
    </row>
    <row r="978">
      <c r="A978" s="140"/>
      <c r="B978" s="140"/>
      <c r="C978" s="140"/>
      <c r="E978" s="140"/>
      <c r="F978" s="140"/>
      <c r="G978" s="140"/>
      <c r="H978" s="140"/>
      <c r="M978" s="141"/>
    </row>
    <row r="979">
      <c r="A979" s="140"/>
      <c r="B979" s="140"/>
      <c r="C979" s="140"/>
      <c r="E979" s="140"/>
      <c r="F979" s="140"/>
      <c r="G979" s="140"/>
      <c r="H979" s="140"/>
      <c r="M979" s="141"/>
    </row>
    <row r="980">
      <c r="A980" s="140"/>
      <c r="B980" s="140"/>
      <c r="C980" s="140"/>
      <c r="E980" s="140"/>
      <c r="F980" s="140"/>
      <c r="G980" s="140"/>
      <c r="H980" s="140"/>
      <c r="M980" s="141"/>
    </row>
    <row r="981">
      <c r="A981" s="140"/>
      <c r="B981" s="140"/>
      <c r="C981" s="140"/>
      <c r="E981" s="140"/>
      <c r="F981" s="140"/>
      <c r="G981" s="140"/>
      <c r="H981" s="140"/>
      <c r="M981" s="141"/>
    </row>
    <row r="982">
      <c r="A982" s="140"/>
      <c r="B982" s="140"/>
      <c r="C982" s="140"/>
      <c r="E982" s="140"/>
      <c r="F982" s="140"/>
      <c r="G982" s="140"/>
      <c r="H982" s="140"/>
      <c r="M982" s="141"/>
    </row>
    <row r="983">
      <c r="A983" s="140"/>
      <c r="B983" s="140"/>
      <c r="C983" s="140"/>
      <c r="E983" s="140"/>
      <c r="F983" s="140"/>
      <c r="G983" s="140"/>
      <c r="H983" s="140"/>
      <c r="M983" s="141"/>
    </row>
    <row r="984">
      <c r="A984" s="140"/>
      <c r="B984" s="140"/>
      <c r="C984" s="140"/>
      <c r="E984" s="140"/>
      <c r="F984" s="140"/>
      <c r="G984" s="140"/>
      <c r="H984" s="140"/>
      <c r="M984" s="141"/>
    </row>
    <row r="985">
      <c r="A985" s="140"/>
      <c r="B985" s="140"/>
      <c r="C985" s="140"/>
      <c r="E985" s="140"/>
      <c r="F985" s="140"/>
      <c r="G985" s="140"/>
      <c r="H985" s="140"/>
      <c r="M985" s="141"/>
    </row>
    <row r="986">
      <c r="A986" s="140"/>
      <c r="B986" s="140"/>
      <c r="C986" s="140"/>
      <c r="E986" s="140"/>
      <c r="F986" s="140"/>
      <c r="G986" s="140"/>
      <c r="H986" s="140"/>
      <c r="M986" s="141"/>
    </row>
    <row r="987">
      <c r="A987" s="140"/>
      <c r="B987" s="140"/>
      <c r="C987" s="140"/>
      <c r="E987" s="140"/>
      <c r="F987" s="140"/>
      <c r="G987" s="140"/>
      <c r="H987" s="140"/>
      <c r="M987" s="141"/>
    </row>
    <row r="988">
      <c r="A988" s="140"/>
      <c r="B988" s="140"/>
      <c r="C988" s="140"/>
      <c r="E988" s="140"/>
      <c r="F988" s="140"/>
      <c r="G988" s="140"/>
      <c r="H988" s="140"/>
      <c r="M988" s="141"/>
    </row>
    <row r="989">
      <c r="A989" s="140"/>
      <c r="B989" s="140"/>
      <c r="C989" s="140"/>
      <c r="E989" s="140"/>
      <c r="F989" s="140"/>
      <c r="G989" s="140"/>
      <c r="H989" s="140"/>
      <c r="M989" s="141"/>
    </row>
    <row r="990">
      <c r="A990" s="140"/>
      <c r="B990" s="140"/>
      <c r="C990" s="140"/>
      <c r="E990" s="140"/>
      <c r="F990" s="140"/>
      <c r="G990" s="140"/>
      <c r="H990" s="140"/>
      <c r="M990" s="141"/>
    </row>
    <row r="991">
      <c r="A991" s="140"/>
      <c r="B991" s="140"/>
      <c r="C991" s="140"/>
      <c r="E991" s="140"/>
      <c r="F991" s="140"/>
      <c r="G991" s="140"/>
      <c r="H991" s="140"/>
      <c r="M991" s="141"/>
    </row>
    <row r="992">
      <c r="A992" s="140"/>
      <c r="B992" s="140"/>
      <c r="C992" s="140"/>
      <c r="E992" s="140"/>
      <c r="F992" s="140"/>
      <c r="G992" s="140"/>
      <c r="H992" s="140"/>
      <c r="M992" s="141"/>
    </row>
    <row r="993">
      <c r="A993" s="140"/>
      <c r="B993" s="140"/>
      <c r="C993" s="140"/>
      <c r="E993" s="140"/>
      <c r="F993" s="140"/>
      <c r="G993" s="140"/>
      <c r="H993" s="140"/>
      <c r="M993" s="141"/>
    </row>
    <row r="994">
      <c r="A994" s="140"/>
      <c r="B994" s="140"/>
      <c r="C994" s="140"/>
      <c r="E994" s="140"/>
      <c r="F994" s="140"/>
      <c r="G994" s="140"/>
      <c r="H994" s="140"/>
      <c r="M994" s="141"/>
    </row>
    <row r="995">
      <c r="A995" s="140"/>
      <c r="B995" s="140"/>
      <c r="C995" s="140"/>
      <c r="E995" s="140"/>
      <c r="F995" s="140"/>
      <c r="G995" s="140"/>
      <c r="H995" s="140"/>
      <c r="M995" s="141"/>
    </row>
    <row r="996">
      <c r="A996" s="140"/>
      <c r="B996" s="140"/>
      <c r="C996" s="140"/>
      <c r="E996" s="140"/>
      <c r="F996" s="140"/>
      <c r="G996" s="140"/>
      <c r="H996" s="140"/>
      <c r="M996" s="14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58.38"/>
    <col customWidth="1" min="3" max="3" width="60.0"/>
    <col customWidth="1" min="4" max="4" width="22.0"/>
    <col customWidth="1" min="5" max="5" width="25.25"/>
    <col customWidth="1" min="6" max="6" width="88.75"/>
    <col customWidth="1" min="7" max="7" width="12.75"/>
    <col customWidth="1" hidden="1" min="8" max="8" width="19.75"/>
    <col customWidth="1" hidden="1" min="9" max="9" width="48.25"/>
    <col customWidth="1" hidden="1" min="10" max="10" width="20.5"/>
    <col customWidth="1" hidden="1" min="11" max="11" width="12.0"/>
    <col customWidth="1" min="12" max="12" width="33.25"/>
    <col customWidth="1" min="13" max="13" width="18.5"/>
    <col customWidth="1" min="14" max="14" width="34.63"/>
    <col customWidth="1" min="15" max="15" width="40.0"/>
    <col customWidth="1" min="16" max="16" width="58.25"/>
    <col customWidth="1" min="17" max="17" width="31.0"/>
  </cols>
  <sheetData>
    <row r="1">
      <c r="A1" s="16" t="s">
        <v>1</v>
      </c>
      <c r="B1" s="5"/>
      <c r="C1" s="5"/>
      <c r="D1" s="5"/>
      <c r="E1" s="5"/>
      <c r="F1" s="5"/>
      <c r="G1" s="5"/>
      <c r="H1" s="7"/>
      <c r="I1" s="22"/>
      <c r="J1" s="26"/>
      <c r="K1" s="26"/>
      <c r="L1" s="29"/>
      <c r="M1" s="26"/>
      <c r="N1" s="26"/>
      <c r="O1" s="26"/>
      <c r="P1" s="32" t="s">
        <v>36</v>
      </c>
      <c r="Q1" s="35"/>
      <c r="R1" s="35"/>
      <c r="S1" s="35"/>
      <c r="T1" s="35"/>
      <c r="U1" s="35"/>
      <c r="V1" s="35"/>
      <c r="W1" s="35"/>
      <c r="X1" s="35"/>
      <c r="Y1" s="35"/>
      <c r="Z1" s="35"/>
      <c r="AA1" s="35"/>
      <c r="AB1" s="35"/>
      <c r="AC1" s="35"/>
      <c r="AD1" s="35"/>
      <c r="AE1" s="35"/>
      <c r="AF1" s="35"/>
    </row>
    <row r="2">
      <c r="A2" s="41" t="s">
        <v>47</v>
      </c>
      <c r="B2" s="42" t="s">
        <v>7</v>
      </c>
      <c r="C2" s="42" t="s">
        <v>56</v>
      </c>
      <c r="D2" s="42" t="s">
        <v>58</v>
      </c>
      <c r="E2" s="42" t="s">
        <v>30</v>
      </c>
      <c r="F2" s="42" t="s">
        <v>12</v>
      </c>
      <c r="G2" s="42" t="s">
        <v>33</v>
      </c>
      <c r="H2" s="46" t="s">
        <v>34</v>
      </c>
      <c r="I2" s="46"/>
      <c r="J2" s="42" t="s">
        <v>67</v>
      </c>
      <c r="K2" s="42" t="s">
        <v>16</v>
      </c>
      <c r="L2" s="42" t="s">
        <v>35</v>
      </c>
      <c r="M2" s="42" t="s">
        <v>18</v>
      </c>
      <c r="N2" s="42" t="s">
        <v>19</v>
      </c>
      <c r="O2" s="42" t="s">
        <v>20</v>
      </c>
      <c r="P2" s="48" t="s">
        <v>74</v>
      </c>
    </row>
    <row r="3">
      <c r="A3" s="49">
        <v>26.0</v>
      </c>
      <c r="B3" s="50" t="s">
        <v>77</v>
      </c>
      <c r="C3" s="49" t="s">
        <v>80</v>
      </c>
      <c r="D3" s="49" t="s">
        <v>82</v>
      </c>
      <c r="E3" s="51" t="s">
        <v>86</v>
      </c>
      <c r="F3" s="17" t="s">
        <v>25</v>
      </c>
      <c r="G3" s="52">
        <v>45817.0</v>
      </c>
      <c r="H3" s="53"/>
      <c r="I3" s="53"/>
      <c r="J3" s="26"/>
      <c r="K3" s="26"/>
      <c r="L3" s="29"/>
      <c r="M3" s="26"/>
      <c r="N3" s="26"/>
      <c r="O3" s="54" t="s">
        <v>92</v>
      </c>
      <c r="P3" s="55" t="s">
        <v>94</v>
      </c>
      <c r="Q3" s="35"/>
      <c r="R3" s="35"/>
      <c r="S3" s="35"/>
      <c r="T3" s="35"/>
      <c r="U3" s="35"/>
      <c r="V3" s="35"/>
      <c r="W3" s="35"/>
      <c r="X3" s="35"/>
      <c r="Y3" s="35"/>
      <c r="Z3" s="35"/>
      <c r="AA3" s="35"/>
      <c r="AB3" s="35"/>
      <c r="AC3" s="35"/>
      <c r="AD3" s="35"/>
      <c r="AE3" s="35"/>
      <c r="AF3" s="35"/>
    </row>
    <row r="4">
      <c r="A4" s="49"/>
      <c r="B4" s="50"/>
      <c r="C4" s="49"/>
      <c r="D4" s="49"/>
      <c r="E4" s="14"/>
      <c r="F4" s="17"/>
      <c r="G4" s="56"/>
      <c r="H4" s="53"/>
      <c r="I4" s="53"/>
      <c r="J4" s="26"/>
      <c r="K4" s="26"/>
      <c r="L4" s="29"/>
      <c r="M4" s="26"/>
      <c r="N4" s="26"/>
      <c r="O4" s="26"/>
      <c r="P4" s="26"/>
      <c r="Q4" s="35"/>
      <c r="R4" s="35"/>
      <c r="S4" s="35"/>
      <c r="T4" s="35"/>
      <c r="U4" s="35"/>
      <c r="V4" s="35"/>
      <c r="W4" s="35"/>
      <c r="X4" s="35"/>
      <c r="Y4" s="35"/>
      <c r="Z4" s="35"/>
      <c r="AA4" s="35"/>
      <c r="AB4" s="35"/>
      <c r="AC4" s="35"/>
      <c r="AD4" s="35"/>
      <c r="AE4" s="35"/>
      <c r="AF4" s="35"/>
    </row>
    <row r="5">
      <c r="A5" s="59" t="s">
        <v>108</v>
      </c>
      <c r="B5" s="5"/>
      <c r="C5" s="5"/>
      <c r="D5" s="5"/>
      <c r="E5" s="5"/>
      <c r="F5" s="5"/>
      <c r="G5" s="5"/>
      <c r="H5" s="7"/>
      <c r="I5" s="22"/>
      <c r="J5" s="26"/>
      <c r="K5" s="26"/>
      <c r="L5" s="29"/>
      <c r="M5" s="26"/>
      <c r="N5" s="26"/>
      <c r="O5" s="26"/>
      <c r="P5" s="26"/>
      <c r="Q5" s="35"/>
      <c r="R5" s="35"/>
      <c r="S5" s="35"/>
      <c r="T5" s="35"/>
      <c r="U5" s="35"/>
      <c r="V5" s="35"/>
      <c r="W5" s="35"/>
      <c r="X5" s="35"/>
      <c r="Y5" s="35"/>
      <c r="Z5" s="35"/>
      <c r="AA5" s="35"/>
      <c r="AB5" s="35"/>
      <c r="AC5" s="35"/>
      <c r="AD5" s="35"/>
      <c r="AE5" s="35"/>
      <c r="AF5" s="35"/>
    </row>
    <row r="6">
      <c r="A6" s="41" t="s">
        <v>47</v>
      </c>
      <c r="B6" s="42" t="s">
        <v>7</v>
      </c>
      <c r="C6" s="42" t="s">
        <v>56</v>
      </c>
      <c r="D6" s="42" t="s">
        <v>58</v>
      </c>
      <c r="E6" s="42" t="s">
        <v>30</v>
      </c>
      <c r="F6" s="42" t="s">
        <v>12</v>
      </c>
      <c r="G6" s="42" t="s">
        <v>33</v>
      </c>
      <c r="H6" s="46" t="s">
        <v>34</v>
      </c>
      <c r="I6" s="46"/>
      <c r="J6" s="42" t="s">
        <v>67</v>
      </c>
      <c r="K6" s="42" t="s">
        <v>16</v>
      </c>
      <c r="L6" s="42" t="s">
        <v>35</v>
      </c>
      <c r="M6" s="42" t="s">
        <v>18</v>
      </c>
      <c r="N6" s="42" t="s">
        <v>19</v>
      </c>
      <c r="O6" s="42" t="s">
        <v>20</v>
      </c>
      <c r="P6" s="48" t="s">
        <v>74</v>
      </c>
    </row>
    <row r="7">
      <c r="A7" s="62">
        <v>17.0</v>
      </c>
      <c r="B7" s="50" t="s">
        <v>131</v>
      </c>
      <c r="C7" s="49" t="s">
        <v>80</v>
      </c>
      <c r="D7" s="49" t="s">
        <v>133</v>
      </c>
      <c r="E7" s="49" t="s">
        <v>134</v>
      </c>
      <c r="F7" s="14"/>
      <c r="G7" s="49" t="s">
        <v>136</v>
      </c>
      <c r="H7" s="53"/>
      <c r="I7" s="53"/>
      <c r="J7" s="26"/>
      <c r="K7" s="26"/>
      <c r="L7" s="29"/>
      <c r="M7" s="26"/>
      <c r="N7" s="26"/>
      <c r="O7" s="26"/>
      <c r="P7" s="26"/>
      <c r="Q7" s="35"/>
      <c r="R7" s="35"/>
      <c r="S7" s="35"/>
      <c r="T7" s="35"/>
      <c r="U7" s="35"/>
      <c r="V7" s="35"/>
      <c r="W7" s="35"/>
      <c r="X7" s="35"/>
      <c r="Y7" s="35"/>
      <c r="Z7" s="35"/>
      <c r="AA7" s="35"/>
      <c r="AB7" s="35"/>
      <c r="AC7" s="35"/>
      <c r="AD7" s="35"/>
      <c r="AE7" s="35"/>
      <c r="AF7" s="35"/>
    </row>
    <row r="8">
      <c r="A8" s="62">
        <v>24.0</v>
      </c>
      <c r="B8" s="50" t="s">
        <v>141</v>
      </c>
      <c r="C8" s="49" t="s">
        <v>80</v>
      </c>
      <c r="D8" s="49" t="s">
        <v>144</v>
      </c>
      <c r="E8" s="49" t="s">
        <v>145</v>
      </c>
      <c r="F8" s="17" t="s">
        <v>149</v>
      </c>
      <c r="G8" s="67">
        <v>45694.0</v>
      </c>
      <c r="H8" s="53"/>
      <c r="I8" s="53"/>
      <c r="J8" s="26"/>
      <c r="K8" s="26"/>
      <c r="L8" s="29"/>
      <c r="M8" s="26"/>
      <c r="N8" s="26"/>
      <c r="O8" s="26"/>
      <c r="P8" s="32" t="s">
        <v>154</v>
      </c>
      <c r="Q8" s="35"/>
      <c r="R8" s="35"/>
      <c r="S8" s="35"/>
      <c r="T8" s="35"/>
      <c r="U8" s="35"/>
      <c r="V8" s="35"/>
      <c r="W8" s="35"/>
      <c r="X8" s="35"/>
      <c r="Y8" s="35"/>
      <c r="Z8" s="35"/>
      <c r="AA8" s="35"/>
      <c r="AB8" s="35"/>
      <c r="AC8" s="35"/>
      <c r="AD8" s="35"/>
      <c r="AE8" s="35"/>
      <c r="AF8" s="35"/>
    </row>
    <row r="9">
      <c r="A9" s="62"/>
      <c r="B9" s="50"/>
      <c r="C9" s="49"/>
      <c r="D9" s="49"/>
      <c r="E9" s="14"/>
      <c r="F9" s="17"/>
      <c r="G9" s="53"/>
      <c r="H9" s="53"/>
      <c r="I9" s="53"/>
      <c r="J9" s="26"/>
      <c r="K9" s="26"/>
      <c r="L9" s="29"/>
      <c r="M9" s="26"/>
      <c r="N9" s="26"/>
      <c r="O9" s="26"/>
      <c r="P9" s="26"/>
      <c r="Q9" s="35"/>
      <c r="R9" s="35"/>
      <c r="S9" s="35"/>
      <c r="T9" s="35"/>
      <c r="U9" s="35"/>
      <c r="V9" s="35"/>
      <c r="W9" s="35"/>
      <c r="X9" s="35"/>
      <c r="Y9" s="35"/>
      <c r="Z9" s="35"/>
      <c r="AA9" s="35"/>
      <c r="AB9" s="35"/>
      <c r="AC9" s="35"/>
      <c r="AD9" s="35"/>
      <c r="AE9" s="35"/>
      <c r="AF9" s="35"/>
    </row>
    <row r="10">
      <c r="A10" s="59" t="s">
        <v>165</v>
      </c>
      <c r="B10" s="5"/>
      <c r="C10" s="5"/>
      <c r="D10" s="5"/>
      <c r="E10" s="5"/>
      <c r="F10" s="5"/>
      <c r="G10" s="5"/>
      <c r="H10" s="7"/>
      <c r="I10" s="22"/>
      <c r="J10" s="26"/>
      <c r="K10" s="26"/>
      <c r="L10" s="29"/>
      <c r="M10" s="26"/>
      <c r="N10" s="26"/>
      <c r="O10" s="26"/>
      <c r="P10" s="26"/>
      <c r="Q10" s="35"/>
      <c r="R10" s="35"/>
      <c r="S10" s="35"/>
      <c r="T10" s="35"/>
      <c r="U10" s="35"/>
      <c r="V10" s="35"/>
      <c r="W10" s="35"/>
      <c r="X10" s="35"/>
      <c r="Y10" s="35"/>
      <c r="Z10" s="35"/>
      <c r="AA10" s="35"/>
      <c r="AB10" s="35"/>
      <c r="AC10" s="35"/>
      <c r="AD10" s="35"/>
      <c r="AE10" s="35"/>
      <c r="AF10" s="35"/>
    </row>
    <row r="11">
      <c r="A11" s="41" t="s">
        <v>47</v>
      </c>
      <c r="B11" s="42" t="s">
        <v>7</v>
      </c>
      <c r="C11" s="42" t="s">
        <v>56</v>
      </c>
      <c r="D11" s="42" t="s">
        <v>58</v>
      </c>
      <c r="E11" s="42" t="s">
        <v>30</v>
      </c>
      <c r="F11" s="42" t="s">
        <v>12</v>
      </c>
      <c r="G11" s="42" t="s">
        <v>33</v>
      </c>
      <c r="H11" s="46" t="s">
        <v>34</v>
      </c>
      <c r="I11" s="46"/>
      <c r="J11" s="42" t="s">
        <v>67</v>
      </c>
      <c r="K11" s="42" t="s">
        <v>16</v>
      </c>
      <c r="L11" s="42" t="s">
        <v>35</v>
      </c>
      <c r="M11" s="42" t="s">
        <v>18</v>
      </c>
      <c r="N11" s="42" t="s">
        <v>19</v>
      </c>
      <c r="O11" s="42" t="s">
        <v>20</v>
      </c>
      <c r="P11" s="48" t="s">
        <v>74</v>
      </c>
    </row>
    <row r="12">
      <c r="A12" s="68">
        <v>1.0</v>
      </c>
      <c r="B12" s="68" t="s">
        <v>183</v>
      </c>
      <c r="C12" s="49" t="s">
        <v>80</v>
      </c>
      <c r="D12" s="69" t="s">
        <v>133</v>
      </c>
      <c r="E12" s="69" t="s">
        <v>134</v>
      </c>
      <c r="F12" s="68" t="s">
        <v>160</v>
      </c>
      <c r="G12" s="68" t="s">
        <v>138</v>
      </c>
      <c r="H12" s="70"/>
      <c r="I12" s="70"/>
      <c r="J12" s="34" t="s">
        <v>186</v>
      </c>
      <c r="K12" s="71">
        <v>45723.0</v>
      </c>
      <c r="L12" s="29"/>
      <c r="M12" s="26"/>
      <c r="N12" s="26"/>
      <c r="O12" s="26"/>
      <c r="P12" s="26"/>
      <c r="Q12" s="35"/>
      <c r="R12" s="35"/>
      <c r="S12" s="35"/>
      <c r="T12" s="35"/>
      <c r="U12" s="35"/>
      <c r="V12" s="35"/>
      <c r="W12" s="35"/>
      <c r="X12" s="35"/>
      <c r="Y12" s="35"/>
      <c r="Z12" s="35"/>
      <c r="AA12" s="35"/>
      <c r="AB12" s="35"/>
      <c r="AC12" s="35"/>
      <c r="AD12" s="35"/>
      <c r="AE12" s="35"/>
      <c r="AF12" s="35"/>
    </row>
    <row r="13">
      <c r="A13" s="22"/>
      <c r="B13" s="22"/>
      <c r="C13" s="22"/>
      <c r="D13" s="22"/>
      <c r="E13" s="22"/>
      <c r="F13" s="22"/>
      <c r="G13" s="22"/>
      <c r="H13" s="22"/>
      <c r="I13" s="22"/>
      <c r="J13" s="26"/>
      <c r="K13" s="26"/>
      <c r="L13" s="29"/>
      <c r="M13" s="26"/>
      <c r="N13" s="26"/>
      <c r="O13" s="26"/>
      <c r="P13" s="26"/>
      <c r="Q13" s="35"/>
      <c r="R13" s="35"/>
      <c r="S13" s="35"/>
      <c r="T13" s="35"/>
      <c r="U13" s="35"/>
      <c r="V13" s="35"/>
      <c r="W13" s="35"/>
      <c r="X13" s="35"/>
      <c r="Y13" s="35"/>
      <c r="Z13" s="35"/>
      <c r="AA13" s="35"/>
      <c r="AB13" s="35"/>
      <c r="AC13" s="35"/>
      <c r="AD13" s="35"/>
      <c r="AE13" s="35"/>
      <c r="AF13" s="35"/>
    </row>
    <row r="14">
      <c r="A14" s="59" t="s">
        <v>165</v>
      </c>
      <c r="B14" s="5"/>
      <c r="C14" s="5"/>
      <c r="D14" s="5"/>
      <c r="E14" s="5"/>
      <c r="F14" s="5"/>
      <c r="G14" s="5"/>
      <c r="H14" s="7"/>
      <c r="I14" s="22"/>
      <c r="J14" s="26"/>
      <c r="K14" s="26"/>
      <c r="L14" s="29"/>
      <c r="M14" s="26"/>
      <c r="N14" s="26"/>
      <c r="O14" s="26"/>
      <c r="P14" s="26"/>
      <c r="Q14" s="35"/>
      <c r="R14" s="35"/>
      <c r="S14" s="35"/>
      <c r="T14" s="35"/>
      <c r="U14" s="35"/>
      <c r="V14" s="35"/>
      <c r="W14" s="35"/>
      <c r="X14" s="35"/>
      <c r="Y14" s="35"/>
      <c r="Z14" s="35"/>
      <c r="AA14" s="35"/>
      <c r="AB14" s="35"/>
      <c r="AC14" s="35"/>
      <c r="AD14" s="35"/>
      <c r="AE14" s="35"/>
      <c r="AF14" s="35"/>
    </row>
    <row r="15">
      <c r="A15" s="41" t="s">
        <v>47</v>
      </c>
      <c r="B15" s="42" t="s">
        <v>7</v>
      </c>
      <c r="C15" s="42" t="s">
        <v>56</v>
      </c>
      <c r="D15" s="42" t="s">
        <v>58</v>
      </c>
      <c r="E15" s="42" t="s">
        <v>30</v>
      </c>
      <c r="F15" s="42" t="s">
        <v>12</v>
      </c>
      <c r="G15" s="42" t="s">
        <v>33</v>
      </c>
      <c r="H15" s="46" t="s">
        <v>34</v>
      </c>
      <c r="I15" s="46"/>
      <c r="J15" s="42" t="s">
        <v>67</v>
      </c>
      <c r="K15" s="42" t="s">
        <v>16</v>
      </c>
      <c r="L15" s="42" t="s">
        <v>35</v>
      </c>
      <c r="M15" s="42" t="s">
        <v>18</v>
      </c>
      <c r="N15" s="42" t="s">
        <v>19</v>
      </c>
      <c r="O15" s="42" t="s">
        <v>20</v>
      </c>
      <c r="P15" s="48" t="s">
        <v>74</v>
      </c>
    </row>
    <row r="16">
      <c r="A16" s="62">
        <v>10.0</v>
      </c>
      <c r="B16" s="50" t="s">
        <v>223</v>
      </c>
      <c r="C16" s="51" t="s">
        <v>80</v>
      </c>
      <c r="D16" s="49" t="s">
        <v>225</v>
      </c>
      <c r="E16" s="49" t="s">
        <v>226</v>
      </c>
      <c r="F16" s="17" t="s">
        <v>228</v>
      </c>
      <c r="G16" s="52">
        <v>45812.0</v>
      </c>
      <c r="H16" s="53"/>
      <c r="I16" s="53"/>
      <c r="J16" s="32" t="s">
        <v>234</v>
      </c>
      <c r="K16" s="32" t="s">
        <v>235</v>
      </c>
      <c r="L16" s="33" t="s">
        <v>236</v>
      </c>
      <c r="M16" s="26"/>
      <c r="N16" s="26"/>
      <c r="O16" s="72">
        <v>45723.0</v>
      </c>
      <c r="P16" s="74" t="s">
        <v>239</v>
      </c>
      <c r="Q16" s="35"/>
      <c r="R16" s="35"/>
      <c r="S16" s="35"/>
      <c r="T16" s="35"/>
      <c r="U16" s="35"/>
      <c r="V16" s="35"/>
      <c r="W16" s="35"/>
      <c r="X16" s="35"/>
      <c r="Y16" s="35"/>
      <c r="Z16" s="35"/>
      <c r="AA16" s="35"/>
      <c r="AB16" s="35"/>
      <c r="AC16" s="35"/>
      <c r="AD16" s="35"/>
      <c r="AE16" s="35"/>
      <c r="AF16" s="35"/>
    </row>
    <row r="17">
      <c r="A17" s="62">
        <v>19.0</v>
      </c>
      <c r="B17" s="50" t="s">
        <v>244</v>
      </c>
      <c r="C17" s="49" t="s">
        <v>80</v>
      </c>
      <c r="D17" s="49" t="s">
        <v>246</v>
      </c>
      <c r="E17" s="49" t="s">
        <v>247</v>
      </c>
      <c r="F17" s="17" t="s">
        <v>228</v>
      </c>
      <c r="G17" s="52">
        <v>45817.0</v>
      </c>
      <c r="H17" s="53"/>
      <c r="I17" s="53"/>
      <c r="J17" s="34" t="s">
        <v>186</v>
      </c>
      <c r="K17" s="34" t="s">
        <v>248</v>
      </c>
      <c r="L17" s="33" t="s">
        <v>236</v>
      </c>
      <c r="M17" s="26"/>
      <c r="N17" s="26"/>
      <c r="O17" s="72">
        <v>45723.0</v>
      </c>
      <c r="P17" s="75"/>
      <c r="Q17" s="35"/>
      <c r="R17" s="35"/>
      <c r="S17" s="35"/>
      <c r="T17" s="35"/>
      <c r="U17" s="35"/>
      <c r="V17" s="35"/>
      <c r="W17" s="35"/>
      <c r="X17" s="35"/>
      <c r="Y17" s="35"/>
      <c r="Z17" s="35"/>
      <c r="AA17" s="35"/>
      <c r="AB17" s="35"/>
      <c r="AC17" s="35"/>
      <c r="AD17" s="35"/>
      <c r="AE17" s="35"/>
      <c r="AF17" s="35"/>
    </row>
    <row r="18">
      <c r="A18" s="62">
        <v>20.0</v>
      </c>
      <c r="B18" s="50" t="s">
        <v>259</v>
      </c>
      <c r="C18" s="49" t="s">
        <v>80</v>
      </c>
      <c r="D18" s="49" t="s">
        <v>261</v>
      </c>
      <c r="E18" s="49" t="s">
        <v>263</v>
      </c>
      <c r="F18" s="17" t="s">
        <v>228</v>
      </c>
      <c r="G18" s="76">
        <v>45817.0</v>
      </c>
      <c r="H18" s="53"/>
      <c r="I18" s="53"/>
      <c r="J18" s="34" t="s">
        <v>186</v>
      </c>
      <c r="K18" s="34" t="s">
        <v>248</v>
      </c>
      <c r="L18" s="33" t="s">
        <v>236</v>
      </c>
      <c r="M18" s="26"/>
      <c r="N18" s="26"/>
      <c r="O18" s="72">
        <v>45723.0</v>
      </c>
      <c r="P18" s="74" t="s">
        <v>271</v>
      </c>
      <c r="Q18" s="35"/>
      <c r="R18" s="35"/>
      <c r="S18" s="35"/>
      <c r="T18" s="35"/>
      <c r="U18" s="35"/>
      <c r="V18" s="35"/>
      <c r="W18" s="35"/>
      <c r="X18" s="35"/>
      <c r="Y18" s="35"/>
      <c r="Z18" s="35"/>
      <c r="AA18" s="35"/>
      <c r="AB18" s="35"/>
      <c r="AC18" s="35"/>
      <c r="AD18" s="35"/>
      <c r="AE18" s="35"/>
      <c r="AF18" s="35"/>
    </row>
    <row r="19">
      <c r="A19" s="78"/>
      <c r="B19" s="78"/>
      <c r="C19" s="78"/>
      <c r="D19" s="78"/>
      <c r="E19" s="78"/>
      <c r="F19" s="17"/>
      <c r="G19" s="78"/>
      <c r="H19" s="78"/>
      <c r="I19" s="78"/>
      <c r="J19" s="19"/>
      <c r="K19" s="19"/>
      <c r="L19" s="14"/>
      <c r="M19" s="19"/>
      <c r="N19" s="19"/>
      <c r="O19" s="19"/>
      <c r="P19" s="79"/>
    </row>
    <row r="20">
      <c r="A20" s="80" t="s">
        <v>289</v>
      </c>
      <c r="B20" s="5"/>
      <c r="C20" s="5"/>
      <c r="D20" s="5"/>
      <c r="E20" s="5"/>
      <c r="F20" s="5"/>
      <c r="G20" s="5"/>
      <c r="H20" s="7"/>
      <c r="I20" s="78"/>
      <c r="J20" s="19"/>
      <c r="K20" s="19"/>
      <c r="L20" s="14"/>
      <c r="M20" s="19"/>
      <c r="N20" s="19"/>
      <c r="O20" s="19"/>
      <c r="P20" s="79"/>
    </row>
    <row r="21">
      <c r="A21" s="41" t="s">
        <v>47</v>
      </c>
      <c r="B21" s="42" t="s">
        <v>7</v>
      </c>
      <c r="C21" s="42" t="s">
        <v>56</v>
      </c>
      <c r="D21" s="42" t="s">
        <v>58</v>
      </c>
      <c r="E21" s="42" t="s">
        <v>30</v>
      </c>
      <c r="F21" s="42" t="s">
        <v>12</v>
      </c>
      <c r="G21" s="42" t="s">
        <v>33</v>
      </c>
      <c r="H21" s="46" t="s">
        <v>34</v>
      </c>
      <c r="I21" s="46"/>
      <c r="J21" s="42" t="s">
        <v>67</v>
      </c>
      <c r="K21" s="42" t="s">
        <v>16</v>
      </c>
      <c r="L21" s="42" t="s">
        <v>35</v>
      </c>
      <c r="M21" s="42" t="s">
        <v>18</v>
      </c>
      <c r="N21" s="42" t="s">
        <v>19</v>
      </c>
      <c r="O21" s="42" t="s">
        <v>20</v>
      </c>
      <c r="P21" s="48" t="s">
        <v>74</v>
      </c>
    </row>
    <row r="22">
      <c r="A22" s="81">
        <v>1.0</v>
      </c>
      <c r="B22" s="82" t="s">
        <v>315</v>
      </c>
      <c r="C22" s="81" t="s">
        <v>80</v>
      </c>
      <c r="D22" s="81" t="s">
        <v>316</v>
      </c>
      <c r="E22" s="81" t="s">
        <v>317</v>
      </c>
      <c r="F22" s="81" t="s">
        <v>172</v>
      </c>
      <c r="G22" s="83">
        <v>45936.0</v>
      </c>
      <c r="H22" s="81" t="s">
        <v>318</v>
      </c>
      <c r="I22" s="81"/>
      <c r="J22" s="84" t="s">
        <v>186</v>
      </c>
      <c r="K22" s="85">
        <v>45818.0</v>
      </c>
      <c r="L22" s="86" t="s">
        <v>323</v>
      </c>
      <c r="M22" s="87"/>
      <c r="N22" s="87"/>
      <c r="O22" s="88">
        <v>45967.0</v>
      </c>
      <c r="P22" s="89" t="s">
        <v>325</v>
      </c>
      <c r="Q22" s="90"/>
      <c r="R22" s="90"/>
      <c r="S22" s="90"/>
      <c r="T22" s="90"/>
      <c r="U22" s="90"/>
      <c r="V22" s="90"/>
      <c r="W22" s="90"/>
      <c r="X22" s="90"/>
      <c r="Y22" s="90"/>
      <c r="Z22" s="90"/>
      <c r="AA22" s="90"/>
      <c r="AB22" s="90"/>
      <c r="AC22" s="90"/>
      <c r="AD22" s="90"/>
      <c r="AE22" s="90"/>
      <c r="AF22" s="90"/>
    </row>
    <row r="23">
      <c r="A23" s="81">
        <v>2.0</v>
      </c>
      <c r="B23" s="82" t="s">
        <v>328</v>
      </c>
      <c r="C23" s="81" t="s">
        <v>80</v>
      </c>
      <c r="D23" s="81" t="s">
        <v>330</v>
      </c>
      <c r="E23" s="81" t="s">
        <v>331</v>
      </c>
      <c r="F23" s="81" t="s">
        <v>25</v>
      </c>
      <c r="G23" s="83">
        <v>45753.0</v>
      </c>
      <c r="H23" s="81" t="s">
        <v>333</v>
      </c>
      <c r="I23" s="81"/>
      <c r="J23" s="84" t="s">
        <v>186</v>
      </c>
      <c r="K23" s="85">
        <v>45814.0</v>
      </c>
      <c r="L23" s="86" t="s">
        <v>323</v>
      </c>
      <c r="M23" s="87"/>
      <c r="N23" s="87"/>
      <c r="O23" s="94" t="s">
        <v>337</v>
      </c>
      <c r="P23" s="89" t="s">
        <v>339</v>
      </c>
      <c r="Q23" s="90"/>
      <c r="R23" s="90"/>
      <c r="S23" s="90"/>
      <c r="T23" s="90"/>
      <c r="U23" s="90"/>
      <c r="V23" s="90"/>
      <c r="W23" s="90"/>
      <c r="X23" s="90"/>
      <c r="Y23" s="90"/>
      <c r="Z23" s="90"/>
      <c r="AA23" s="90"/>
      <c r="AB23" s="90"/>
      <c r="AC23" s="90"/>
      <c r="AD23" s="90"/>
      <c r="AE23" s="90"/>
      <c r="AF23" s="90"/>
    </row>
    <row r="24">
      <c r="A24" s="81">
        <v>3.0</v>
      </c>
      <c r="B24" s="96" t="s">
        <v>344</v>
      </c>
      <c r="C24" s="81" t="s">
        <v>80</v>
      </c>
      <c r="D24" s="81" t="s">
        <v>346</v>
      </c>
      <c r="E24" s="81" t="s">
        <v>347</v>
      </c>
      <c r="F24" s="81" t="s">
        <v>349</v>
      </c>
      <c r="G24" s="83">
        <v>45967.0</v>
      </c>
      <c r="H24" s="81" t="s">
        <v>351</v>
      </c>
      <c r="I24" s="81"/>
      <c r="J24" s="87"/>
      <c r="K24" s="87"/>
      <c r="L24" s="86" t="s">
        <v>354</v>
      </c>
      <c r="M24" s="87"/>
      <c r="N24" s="87"/>
      <c r="O24" s="88">
        <v>45936.0</v>
      </c>
      <c r="P24" s="97"/>
      <c r="Q24" s="90"/>
      <c r="R24" s="90"/>
      <c r="S24" s="90"/>
      <c r="T24" s="90"/>
      <c r="U24" s="90"/>
      <c r="V24" s="90"/>
      <c r="W24" s="90"/>
      <c r="X24" s="90"/>
      <c r="Y24" s="90"/>
      <c r="Z24" s="90"/>
      <c r="AA24" s="90"/>
      <c r="AB24" s="90"/>
      <c r="AC24" s="90"/>
      <c r="AD24" s="90"/>
      <c r="AE24" s="90"/>
      <c r="AF24" s="90"/>
    </row>
    <row r="25">
      <c r="A25" s="17">
        <v>4.0</v>
      </c>
      <c r="B25" s="98" t="s">
        <v>364</v>
      </c>
      <c r="C25" s="17" t="s">
        <v>80</v>
      </c>
      <c r="D25" s="17" t="s">
        <v>366</v>
      </c>
      <c r="E25" s="17" t="s">
        <v>367</v>
      </c>
      <c r="F25" s="17" t="s">
        <v>368</v>
      </c>
      <c r="G25" s="99">
        <v>45875.0</v>
      </c>
      <c r="H25" s="17" t="s">
        <v>370</v>
      </c>
      <c r="I25" s="17"/>
      <c r="J25" s="34" t="s">
        <v>234</v>
      </c>
      <c r="K25" s="101" t="s">
        <v>376</v>
      </c>
      <c r="L25" s="14"/>
      <c r="M25" s="19"/>
      <c r="N25" s="19"/>
      <c r="O25" s="94" t="s">
        <v>378</v>
      </c>
      <c r="P25" s="102" t="s">
        <v>379</v>
      </c>
    </row>
    <row r="26">
      <c r="A26" s="17">
        <v>5.0</v>
      </c>
      <c r="B26" s="103" t="s">
        <v>383</v>
      </c>
      <c r="C26" s="17" t="s">
        <v>80</v>
      </c>
      <c r="D26" s="17" t="s">
        <v>385</v>
      </c>
      <c r="E26" s="17" t="s">
        <v>387</v>
      </c>
      <c r="F26" s="17" t="s">
        <v>25</v>
      </c>
      <c r="G26" s="99">
        <v>45814.0</v>
      </c>
      <c r="H26" s="17" t="s">
        <v>389</v>
      </c>
      <c r="I26" s="17"/>
      <c r="J26" s="34" t="s">
        <v>234</v>
      </c>
      <c r="K26" s="71">
        <v>45814.0</v>
      </c>
      <c r="L26" s="12" t="s">
        <v>354</v>
      </c>
      <c r="M26" s="19"/>
      <c r="N26" s="19"/>
      <c r="O26" s="34" t="s">
        <v>393</v>
      </c>
      <c r="P26" s="102" t="s">
        <v>394</v>
      </c>
    </row>
    <row r="27">
      <c r="A27" s="17">
        <v>6.0</v>
      </c>
      <c r="B27" s="103" t="s">
        <v>395</v>
      </c>
      <c r="C27" s="65" t="s">
        <v>397</v>
      </c>
      <c r="D27" s="17" t="s">
        <v>399</v>
      </c>
      <c r="E27" s="17" t="s">
        <v>401</v>
      </c>
      <c r="F27" s="17" t="s">
        <v>403</v>
      </c>
      <c r="G27" s="17" t="s">
        <v>404</v>
      </c>
      <c r="H27" s="17" t="s">
        <v>404</v>
      </c>
      <c r="I27" s="17"/>
      <c r="J27" s="19"/>
      <c r="K27" s="19"/>
      <c r="L27" s="14"/>
      <c r="M27" s="19"/>
      <c r="N27" s="19"/>
      <c r="O27" s="116" t="s">
        <v>408</v>
      </c>
      <c r="P27" s="79"/>
    </row>
    <row r="28">
      <c r="A28" s="17">
        <v>7.0</v>
      </c>
      <c r="B28" s="103" t="s">
        <v>410</v>
      </c>
      <c r="C28" s="17" t="s">
        <v>80</v>
      </c>
      <c r="D28" s="17" t="s">
        <v>413</v>
      </c>
      <c r="E28" s="17" t="s">
        <v>415</v>
      </c>
      <c r="F28" s="17" t="s">
        <v>419</v>
      </c>
      <c r="G28" s="17" t="s">
        <v>404</v>
      </c>
      <c r="H28" s="17" t="s">
        <v>404</v>
      </c>
      <c r="I28" s="17"/>
      <c r="J28" s="34" t="s">
        <v>234</v>
      </c>
      <c r="K28" s="71">
        <v>45814.0</v>
      </c>
      <c r="L28" s="12" t="s">
        <v>354</v>
      </c>
      <c r="M28" s="19"/>
      <c r="N28" s="34" t="s">
        <v>425</v>
      </c>
      <c r="O28" s="34" t="s">
        <v>55</v>
      </c>
      <c r="P28" s="102" t="s">
        <v>429</v>
      </c>
    </row>
    <row r="29">
      <c r="A29" s="17">
        <v>8.0</v>
      </c>
      <c r="B29" s="103" t="s">
        <v>432</v>
      </c>
      <c r="C29" s="17" t="s">
        <v>80</v>
      </c>
      <c r="D29" s="17" t="s">
        <v>433</v>
      </c>
      <c r="E29" s="17" t="s">
        <v>434</v>
      </c>
      <c r="F29" s="17" t="s">
        <v>436</v>
      </c>
      <c r="G29" s="99">
        <v>45967.0</v>
      </c>
      <c r="H29" s="17" t="s">
        <v>351</v>
      </c>
      <c r="I29" s="17"/>
      <c r="J29" s="34" t="s">
        <v>186</v>
      </c>
      <c r="K29" s="71">
        <v>45826.0</v>
      </c>
      <c r="L29" s="14"/>
      <c r="M29" s="19"/>
      <c r="N29" s="19"/>
      <c r="O29" s="94" t="s">
        <v>446</v>
      </c>
      <c r="P29" s="102" t="s">
        <v>448</v>
      </c>
    </row>
    <row r="30">
      <c r="A30" s="17">
        <v>9.0</v>
      </c>
      <c r="B30" s="103" t="s">
        <v>450</v>
      </c>
      <c r="C30" s="17" t="s">
        <v>80</v>
      </c>
      <c r="D30" s="17" t="s">
        <v>451</v>
      </c>
      <c r="E30" s="17" t="s">
        <v>452</v>
      </c>
      <c r="F30" s="17" t="s">
        <v>25</v>
      </c>
      <c r="G30" s="99">
        <v>45875.0</v>
      </c>
      <c r="H30" s="17" t="s">
        <v>370</v>
      </c>
      <c r="I30" s="17"/>
      <c r="J30" s="34" t="s">
        <v>186</v>
      </c>
      <c r="K30" s="71">
        <v>45814.0</v>
      </c>
      <c r="L30" s="12" t="s">
        <v>455</v>
      </c>
      <c r="M30" s="19"/>
      <c r="N30" s="19"/>
      <c r="O30" s="120" t="s">
        <v>461</v>
      </c>
      <c r="P30" s="79"/>
    </row>
    <row r="31">
      <c r="A31" s="17">
        <v>10.0</v>
      </c>
      <c r="B31" s="103" t="s">
        <v>463</v>
      </c>
      <c r="C31" s="17" t="s">
        <v>80</v>
      </c>
      <c r="D31" s="17" t="s">
        <v>466</v>
      </c>
      <c r="E31" s="17" t="s">
        <v>467</v>
      </c>
      <c r="F31" s="17" t="s">
        <v>148</v>
      </c>
      <c r="G31" s="17" t="s">
        <v>469</v>
      </c>
      <c r="H31" s="121" t="s">
        <v>471</v>
      </c>
      <c r="I31" s="121"/>
      <c r="J31" s="34" t="s">
        <v>186</v>
      </c>
      <c r="K31" s="71">
        <v>45829.0</v>
      </c>
      <c r="L31" s="14"/>
      <c r="M31" s="19"/>
      <c r="N31" s="19"/>
      <c r="O31" s="94" t="s">
        <v>474</v>
      </c>
      <c r="P31" s="102" t="s">
        <v>475</v>
      </c>
    </row>
    <row r="32">
      <c r="A32" s="17">
        <v>11.0</v>
      </c>
      <c r="B32" s="103" t="s">
        <v>478</v>
      </c>
      <c r="C32" s="17" t="s">
        <v>80</v>
      </c>
      <c r="D32" s="17" t="s">
        <v>480</v>
      </c>
      <c r="E32" s="17" t="s">
        <v>482</v>
      </c>
      <c r="F32" s="17" t="s">
        <v>148</v>
      </c>
      <c r="G32" s="17" t="s">
        <v>469</v>
      </c>
      <c r="H32" s="17" t="s">
        <v>471</v>
      </c>
      <c r="I32" s="17"/>
      <c r="J32" s="34" t="s">
        <v>186</v>
      </c>
      <c r="K32" s="71">
        <v>45829.0</v>
      </c>
      <c r="L32" s="14"/>
      <c r="M32" s="19"/>
      <c r="N32" s="19"/>
      <c r="O32" s="94" t="s">
        <v>474</v>
      </c>
      <c r="P32" s="102" t="s">
        <v>488</v>
      </c>
    </row>
    <row r="33">
      <c r="A33" s="17">
        <v>12.0</v>
      </c>
      <c r="B33" s="103" t="s">
        <v>492</v>
      </c>
      <c r="C33" s="17" t="s">
        <v>80</v>
      </c>
      <c r="D33" s="17" t="s">
        <v>493</v>
      </c>
      <c r="E33" s="17" t="s">
        <v>494</v>
      </c>
      <c r="F33" s="17" t="s">
        <v>495</v>
      </c>
      <c r="G33" s="17" t="s">
        <v>469</v>
      </c>
      <c r="H33" s="17" t="s">
        <v>471</v>
      </c>
      <c r="I33" s="17"/>
      <c r="J33" s="34" t="s">
        <v>234</v>
      </c>
      <c r="K33" s="34" t="s">
        <v>235</v>
      </c>
      <c r="L33" s="14"/>
      <c r="M33" s="19"/>
      <c r="N33" s="19"/>
      <c r="O33" s="34" t="s">
        <v>461</v>
      </c>
      <c r="P33" s="79"/>
    </row>
    <row r="34">
      <c r="A34" s="81">
        <v>13.0</v>
      </c>
      <c r="B34" s="82" t="s">
        <v>503</v>
      </c>
      <c r="C34" s="81" t="s">
        <v>80</v>
      </c>
      <c r="D34" s="81" t="s">
        <v>507</v>
      </c>
      <c r="E34" s="81" t="s">
        <v>508</v>
      </c>
      <c r="F34" s="81" t="s">
        <v>510</v>
      </c>
      <c r="G34" s="81" t="s">
        <v>469</v>
      </c>
      <c r="H34" s="81" t="s">
        <v>471</v>
      </c>
      <c r="I34" s="81"/>
      <c r="J34" s="87"/>
      <c r="K34" s="87"/>
      <c r="L34" s="122"/>
      <c r="M34" s="87"/>
      <c r="N34" s="87"/>
      <c r="O34" s="94" t="s">
        <v>514</v>
      </c>
      <c r="P34" s="97"/>
      <c r="Q34" s="90"/>
      <c r="R34" s="90"/>
      <c r="S34" s="90"/>
      <c r="T34" s="90"/>
      <c r="U34" s="90"/>
      <c r="V34" s="90"/>
      <c r="W34" s="90"/>
      <c r="X34" s="90"/>
      <c r="Y34" s="90"/>
      <c r="Z34" s="90"/>
      <c r="AA34" s="90"/>
      <c r="AB34" s="90"/>
      <c r="AC34" s="90"/>
      <c r="AD34" s="90"/>
      <c r="AE34" s="90"/>
      <c r="AF34" s="90"/>
    </row>
    <row r="35">
      <c r="A35" s="81">
        <v>14.0</v>
      </c>
      <c r="B35" s="82" t="s">
        <v>521</v>
      </c>
      <c r="C35" s="81" t="s">
        <v>80</v>
      </c>
      <c r="D35" s="81" t="s">
        <v>522</v>
      </c>
      <c r="E35" s="81" t="s">
        <v>523</v>
      </c>
      <c r="F35" s="81" t="s">
        <v>25</v>
      </c>
      <c r="G35" s="81" t="s">
        <v>469</v>
      </c>
      <c r="H35" s="81" t="s">
        <v>471</v>
      </c>
      <c r="I35" s="81"/>
      <c r="J35" s="84" t="s">
        <v>186</v>
      </c>
      <c r="K35" s="85">
        <v>45814.0</v>
      </c>
      <c r="L35" s="86" t="s">
        <v>455</v>
      </c>
      <c r="M35" s="87"/>
      <c r="N35" s="87"/>
      <c r="O35" s="88">
        <v>45997.0</v>
      </c>
      <c r="P35" s="89" t="s">
        <v>531</v>
      </c>
      <c r="Q35" s="90"/>
      <c r="R35" s="90"/>
      <c r="S35" s="90"/>
      <c r="T35" s="90"/>
      <c r="U35" s="90"/>
      <c r="V35" s="90"/>
      <c r="W35" s="90"/>
      <c r="X35" s="90"/>
      <c r="Y35" s="90"/>
      <c r="Z35" s="90"/>
      <c r="AA35" s="90"/>
      <c r="AB35" s="90"/>
      <c r="AC35" s="90"/>
      <c r="AD35" s="90"/>
      <c r="AE35" s="90"/>
      <c r="AF35" s="90"/>
    </row>
    <row r="36">
      <c r="A36" s="17">
        <v>15.0</v>
      </c>
      <c r="B36" s="103" t="s">
        <v>542</v>
      </c>
      <c r="C36" s="17" t="s">
        <v>80</v>
      </c>
      <c r="D36" s="17" t="s">
        <v>543</v>
      </c>
      <c r="E36" s="17" t="s">
        <v>544</v>
      </c>
      <c r="F36" s="17" t="s">
        <v>25</v>
      </c>
      <c r="G36" s="17" t="s">
        <v>545</v>
      </c>
      <c r="H36" s="17" t="s">
        <v>547</v>
      </c>
      <c r="I36" s="17"/>
      <c r="J36" s="34" t="s">
        <v>234</v>
      </c>
      <c r="K36" s="71">
        <v>45844.0</v>
      </c>
      <c r="L36" s="12" t="s">
        <v>354</v>
      </c>
      <c r="M36" s="19"/>
      <c r="N36" s="19"/>
      <c r="O36" s="94" t="s">
        <v>378</v>
      </c>
      <c r="P36" s="102" t="s">
        <v>555</v>
      </c>
    </row>
    <row r="37">
      <c r="A37" s="17">
        <v>16.0</v>
      </c>
      <c r="B37" s="103" t="s">
        <v>557</v>
      </c>
      <c r="C37" s="17" t="s">
        <v>80</v>
      </c>
      <c r="D37" s="17" t="s">
        <v>558</v>
      </c>
      <c r="E37" s="17" t="s">
        <v>560</v>
      </c>
      <c r="F37" s="17" t="s">
        <v>561</v>
      </c>
      <c r="G37" s="17" t="s">
        <v>563</v>
      </c>
      <c r="H37" s="17" t="s">
        <v>565</v>
      </c>
      <c r="I37" s="17"/>
      <c r="J37" s="34" t="s">
        <v>186</v>
      </c>
      <c r="K37" s="71">
        <v>45817.0</v>
      </c>
      <c r="L37" s="12" t="s">
        <v>455</v>
      </c>
      <c r="M37" s="19"/>
      <c r="N37" s="19"/>
      <c r="O37" s="120" t="s">
        <v>570</v>
      </c>
      <c r="P37" s="79"/>
    </row>
    <row r="38">
      <c r="A38" s="17">
        <v>17.0</v>
      </c>
      <c r="B38" s="103" t="s">
        <v>574</v>
      </c>
      <c r="C38" s="17" t="s">
        <v>80</v>
      </c>
      <c r="D38" s="17" t="s">
        <v>576</v>
      </c>
      <c r="E38" s="17" t="s">
        <v>578</v>
      </c>
      <c r="F38" s="17" t="s">
        <v>579</v>
      </c>
      <c r="G38" s="17" t="s">
        <v>563</v>
      </c>
      <c r="H38" s="17" t="s">
        <v>565</v>
      </c>
      <c r="I38" s="17"/>
      <c r="J38" s="34" t="s">
        <v>234</v>
      </c>
      <c r="K38" s="71">
        <v>45844.0</v>
      </c>
      <c r="L38" s="14"/>
      <c r="M38" s="19"/>
      <c r="N38" s="19"/>
      <c r="O38" s="120" t="s">
        <v>570</v>
      </c>
      <c r="P38" s="79"/>
    </row>
    <row r="39">
      <c r="A39" s="17">
        <v>18.0</v>
      </c>
      <c r="B39" s="103" t="s">
        <v>588</v>
      </c>
      <c r="C39" s="17" t="s">
        <v>80</v>
      </c>
      <c r="D39" s="17" t="s">
        <v>589</v>
      </c>
      <c r="E39" s="17" t="s">
        <v>590</v>
      </c>
      <c r="F39" s="17" t="s">
        <v>592</v>
      </c>
      <c r="G39" s="17" t="s">
        <v>563</v>
      </c>
      <c r="H39" s="17" t="s">
        <v>565</v>
      </c>
      <c r="I39" s="17"/>
      <c r="J39" s="34" t="s">
        <v>186</v>
      </c>
      <c r="K39" s="71">
        <v>45815.0</v>
      </c>
      <c r="L39" s="12" t="s">
        <v>455</v>
      </c>
      <c r="M39" s="19"/>
      <c r="N39" s="19"/>
      <c r="O39" s="120" t="s">
        <v>570</v>
      </c>
      <c r="P39" s="102" t="s">
        <v>597</v>
      </c>
    </row>
    <row r="40">
      <c r="A40" s="17">
        <v>19.0</v>
      </c>
      <c r="B40" s="103" t="s">
        <v>599</v>
      </c>
      <c r="C40" s="17" t="s">
        <v>80</v>
      </c>
      <c r="D40" s="17" t="s">
        <v>602</v>
      </c>
      <c r="E40" s="17" t="s">
        <v>603</v>
      </c>
      <c r="F40" s="17" t="s">
        <v>25</v>
      </c>
      <c r="G40" s="17" t="s">
        <v>545</v>
      </c>
      <c r="H40" s="17" t="s">
        <v>547</v>
      </c>
      <c r="I40" s="17"/>
      <c r="J40" s="34" t="s">
        <v>234</v>
      </c>
      <c r="K40" s="71">
        <v>45906.0</v>
      </c>
      <c r="L40" s="14"/>
      <c r="M40" s="19"/>
      <c r="N40" s="19"/>
      <c r="O40" s="120" t="s">
        <v>461</v>
      </c>
      <c r="P40" s="102" t="s">
        <v>610</v>
      </c>
    </row>
    <row r="41">
      <c r="A41" s="17">
        <v>20.0</v>
      </c>
      <c r="B41" s="103" t="s">
        <v>612</v>
      </c>
      <c r="C41" s="17" t="s">
        <v>80</v>
      </c>
      <c r="D41" s="17" t="s">
        <v>613</v>
      </c>
      <c r="E41" s="17" t="s">
        <v>614</v>
      </c>
      <c r="F41" s="17" t="s">
        <v>25</v>
      </c>
      <c r="G41" s="17" t="s">
        <v>545</v>
      </c>
      <c r="H41" s="17" t="s">
        <v>547</v>
      </c>
      <c r="I41" s="17"/>
      <c r="J41" s="34" t="s">
        <v>186</v>
      </c>
      <c r="K41" s="71">
        <v>45815.0</v>
      </c>
      <c r="L41" s="12" t="s">
        <v>374</v>
      </c>
      <c r="M41" s="19"/>
      <c r="N41" s="19"/>
      <c r="O41" s="34" t="s">
        <v>461</v>
      </c>
      <c r="P41" s="79"/>
    </row>
    <row r="42">
      <c r="A42" s="81">
        <v>21.0</v>
      </c>
      <c r="B42" s="82" t="s">
        <v>623</v>
      </c>
      <c r="C42" s="81" t="s">
        <v>80</v>
      </c>
      <c r="D42" s="81" t="s">
        <v>624</v>
      </c>
      <c r="E42" s="81" t="s">
        <v>625</v>
      </c>
      <c r="F42" s="81" t="s">
        <v>25</v>
      </c>
      <c r="G42" s="81" t="s">
        <v>545</v>
      </c>
      <c r="H42" s="81" t="s">
        <v>547</v>
      </c>
      <c r="I42" s="81"/>
      <c r="J42" s="84" t="s">
        <v>234</v>
      </c>
      <c r="K42" s="85">
        <v>45844.0</v>
      </c>
      <c r="L42" s="86" t="s">
        <v>354</v>
      </c>
      <c r="M42" s="87"/>
      <c r="N42" s="87"/>
      <c r="O42" s="88">
        <v>45967.0</v>
      </c>
      <c r="P42" s="97"/>
      <c r="Q42" s="90"/>
      <c r="R42" s="90"/>
      <c r="S42" s="90"/>
      <c r="T42" s="90"/>
      <c r="U42" s="90"/>
      <c r="V42" s="90"/>
      <c r="W42" s="90"/>
      <c r="X42" s="90"/>
      <c r="Y42" s="90"/>
      <c r="Z42" s="90"/>
      <c r="AA42" s="90"/>
      <c r="AB42" s="90"/>
      <c r="AC42" s="90"/>
      <c r="AD42" s="90"/>
      <c r="AE42" s="90"/>
      <c r="AF42" s="90"/>
    </row>
    <row r="43">
      <c r="A43" s="17">
        <v>22.0</v>
      </c>
      <c r="B43" s="103" t="s">
        <v>636</v>
      </c>
      <c r="C43" s="17" t="s">
        <v>80</v>
      </c>
      <c r="D43" s="17" t="s">
        <v>637</v>
      </c>
      <c r="E43" s="17" t="s">
        <v>640</v>
      </c>
      <c r="F43" s="17" t="s">
        <v>25</v>
      </c>
      <c r="G43" s="17" t="s">
        <v>545</v>
      </c>
      <c r="H43" s="17" t="s">
        <v>547</v>
      </c>
      <c r="I43" s="17"/>
      <c r="J43" s="34" t="s">
        <v>186</v>
      </c>
      <c r="K43" s="71">
        <v>45817.0</v>
      </c>
      <c r="L43" s="12" t="s">
        <v>455</v>
      </c>
      <c r="M43" s="19"/>
      <c r="N43" s="19"/>
      <c r="O43" s="132">
        <v>45695.0</v>
      </c>
      <c r="P43" s="79"/>
    </row>
    <row r="44">
      <c r="A44" s="17">
        <v>23.0</v>
      </c>
      <c r="B44" s="103" t="s">
        <v>650</v>
      </c>
      <c r="C44" s="17" t="s">
        <v>651</v>
      </c>
      <c r="D44" s="17" t="s">
        <v>652</v>
      </c>
      <c r="E44" s="17" t="s">
        <v>653</v>
      </c>
      <c r="F44" s="17" t="s">
        <v>654</v>
      </c>
      <c r="G44" s="17" t="s">
        <v>545</v>
      </c>
      <c r="H44" s="17" t="s">
        <v>547</v>
      </c>
      <c r="I44" s="17"/>
      <c r="J44" s="34" t="s">
        <v>186</v>
      </c>
      <c r="K44" s="71">
        <v>45820.0</v>
      </c>
      <c r="L44" s="12" t="s">
        <v>354</v>
      </c>
      <c r="M44" s="19"/>
      <c r="N44" s="34" t="s">
        <v>659</v>
      </c>
      <c r="O44" s="132">
        <v>45695.0</v>
      </c>
      <c r="P44" s="102" t="s">
        <v>662</v>
      </c>
    </row>
    <row r="45">
      <c r="A45" s="17">
        <v>24.0</v>
      </c>
      <c r="B45" s="103" t="s">
        <v>664</v>
      </c>
      <c r="C45" s="17" t="s">
        <v>80</v>
      </c>
      <c r="D45" s="17" t="s">
        <v>665</v>
      </c>
      <c r="E45" s="17" t="s">
        <v>666</v>
      </c>
      <c r="F45" s="17" t="s">
        <v>667</v>
      </c>
      <c r="G45" s="17" t="s">
        <v>545</v>
      </c>
      <c r="H45" s="17" t="s">
        <v>547</v>
      </c>
      <c r="I45" s="17"/>
      <c r="J45" s="34" t="s">
        <v>186</v>
      </c>
      <c r="K45" s="71">
        <v>45830.0</v>
      </c>
      <c r="L45" s="14"/>
      <c r="M45" s="19"/>
      <c r="N45" s="19"/>
      <c r="O45" s="120" t="s">
        <v>92</v>
      </c>
      <c r="P45" s="102" t="s">
        <v>671</v>
      </c>
    </row>
    <row r="46">
      <c r="A46" s="81">
        <v>25.0</v>
      </c>
      <c r="B46" s="96" t="s">
        <v>675</v>
      </c>
      <c r="C46" s="81" t="s">
        <v>80</v>
      </c>
      <c r="D46" s="81" t="s">
        <v>677</v>
      </c>
      <c r="E46" s="81" t="s">
        <v>679</v>
      </c>
      <c r="F46" s="81" t="s">
        <v>680</v>
      </c>
      <c r="G46" s="83">
        <v>45936.0</v>
      </c>
      <c r="H46" s="81" t="s">
        <v>318</v>
      </c>
      <c r="I46" s="81"/>
      <c r="J46" s="87"/>
      <c r="K46" s="87"/>
      <c r="L46" s="86" t="s">
        <v>354</v>
      </c>
      <c r="M46" s="87"/>
      <c r="N46" s="87"/>
      <c r="O46" s="88">
        <v>45814.0</v>
      </c>
      <c r="P46" s="89" t="s">
        <v>684</v>
      </c>
      <c r="Q46" s="90"/>
      <c r="R46" s="90"/>
      <c r="S46" s="90"/>
      <c r="T46" s="90"/>
      <c r="U46" s="90"/>
      <c r="V46" s="90"/>
      <c r="W46" s="90"/>
      <c r="X46" s="90"/>
      <c r="Y46" s="90"/>
      <c r="Z46" s="90"/>
      <c r="AA46" s="90"/>
      <c r="AB46" s="90"/>
      <c r="AC46" s="90"/>
      <c r="AD46" s="90"/>
      <c r="AE46" s="90"/>
      <c r="AF46" s="90"/>
    </row>
    <row r="47">
      <c r="A47" s="17">
        <v>26.0</v>
      </c>
      <c r="B47" s="103" t="s">
        <v>686</v>
      </c>
      <c r="C47" s="65" t="s">
        <v>688</v>
      </c>
      <c r="D47" s="17" t="s">
        <v>691</v>
      </c>
      <c r="E47" s="17" t="s">
        <v>694</v>
      </c>
      <c r="F47" s="17" t="s">
        <v>148</v>
      </c>
      <c r="G47" s="17" t="s">
        <v>563</v>
      </c>
      <c r="H47" s="17" t="s">
        <v>565</v>
      </c>
      <c r="I47" s="17"/>
      <c r="J47" s="19"/>
      <c r="K47" s="19"/>
      <c r="L47" s="14"/>
      <c r="M47" s="19"/>
      <c r="N47" s="19"/>
      <c r="O47" s="116" t="s">
        <v>408</v>
      </c>
      <c r="P47" s="79"/>
    </row>
    <row r="48">
      <c r="A48" s="17">
        <v>27.0</v>
      </c>
      <c r="B48" s="103" t="s">
        <v>704</v>
      </c>
      <c r="C48" s="17" t="s">
        <v>80</v>
      </c>
      <c r="D48" s="17" t="s">
        <v>705</v>
      </c>
      <c r="E48" s="17" t="s">
        <v>706</v>
      </c>
      <c r="F48" s="17" t="s">
        <v>708</v>
      </c>
      <c r="G48" s="17" t="s">
        <v>563</v>
      </c>
      <c r="H48" s="17" t="s">
        <v>565</v>
      </c>
      <c r="I48" s="17"/>
      <c r="J48" s="34" t="s">
        <v>234</v>
      </c>
      <c r="K48" s="71">
        <v>45817.0</v>
      </c>
      <c r="L48" s="14"/>
      <c r="M48" s="19"/>
      <c r="N48" s="19"/>
      <c r="O48" s="94" t="s">
        <v>248</v>
      </c>
      <c r="P48" s="102" t="s">
        <v>713</v>
      </c>
    </row>
    <row r="49">
      <c r="A49" s="17">
        <v>28.0</v>
      </c>
      <c r="B49" s="103" t="s">
        <v>714</v>
      </c>
      <c r="C49" s="17" t="s">
        <v>80</v>
      </c>
      <c r="D49" s="17" t="s">
        <v>715</v>
      </c>
      <c r="E49" s="17" t="s">
        <v>717</v>
      </c>
      <c r="F49" s="17" t="s">
        <v>718</v>
      </c>
      <c r="G49" s="17" t="s">
        <v>545</v>
      </c>
      <c r="H49" s="17" t="s">
        <v>547</v>
      </c>
      <c r="I49" s="17"/>
      <c r="J49" s="34" t="s">
        <v>186</v>
      </c>
      <c r="K49" s="71">
        <v>45817.0</v>
      </c>
      <c r="L49" s="12" t="s">
        <v>455</v>
      </c>
      <c r="M49" s="19"/>
      <c r="N49" s="19"/>
      <c r="O49" s="94" t="s">
        <v>474</v>
      </c>
      <c r="P49" s="102" t="s">
        <v>722</v>
      </c>
    </row>
    <row r="50">
      <c r="A50" s="81">
        <v>29.0</v>
      </c>
      <c r="B50" s="96" t="s">
        <v>727</v>
      </c>
      <c r="C50" s="81" t="s">
        <v>80</v>
      </c>
      <c r="D50" s="81" t="s">
        <v>729</v>
      </c>
      <c r="E50" s="81" t="s">
        <v>730</v>
      </c>
      <c r="F50" s="81" t="s">
        <v>731</v>
      </c>
      <c r="G50" s="81" t="s">
        <v>563</v>
      </c>
      <c r="H50" s="81" t="s">
        <v>565</v>
      </c>
      <c r="I50" s="81"/>
      <c r="J50" s="87"/>
      <c r="K50" s="87"/>
      <c r="L50" s="86" t="s">
        <v>354</v>
      </c>
      <c r="M50" s="87"/>
      <c r="N50" s="87"/>
      <c r="O50" s="88">
        <v>45967.0</v>
      </c>
      <c r="P50" s="89" t="s">
        <v>737</v>
      </c>
      <c r="Q50" s="90"/>
      <c r="R50" s="90"/>
      <c r="S50" s="90"/>
      <c r="T50" s="90"/>
      <c r="U50" s="90"/>
      <c r="V50" s="90"/>
      <c r="W50" s="90"/>
      <c r="X50" s="90"/>
      <c r="Y50" s="90"/>
      <c r="Z50" s="90"/>
      <c r="AA50" s="90"/>
      <c r="AB50" s="90"/>
      <c r="AC50" s="90"/>
      <c r="AD50" s="90"/>
      <c r="AE50" s="90"/>
      <c r="AF50" s="90"/>
    </row>
    <row r="51">
      <c r="A51" s="81">
        <v>30.0</v>
      </c>
      <c r="B51" s="82" t="s">
        <v>740</v>
      </c>
      <c r="C51" s="81" t="s">
        <v>80</v>
      </c>
      <c r="D51" s="81" t="s">
        <v>743</v>
      </c>
      <c r="E51" s="81" t="s">
        <v>744</v>
      </c>
      <c r="F51" s="81" t="s">
        <v>745</v>
      </c>
      <c r="G51" s="81" t="s">
        <v>563</v>
      </c>
      <c r="H51" s="81" t="s">
        <v>565</v>
      </c>
      <c r="I51" s="81"/>
      <c r="J51" s="84" t="s">
        <v>234</v>
      </c>
      <c r="K51" s="85">
        <v>45817.0</v>
      </c>
      <c r="L51" s="122"/>
      <c r="M51" s="87"/>
      <c r="N51" s="87"/>
      <c r="O51" s="88">
        <v>45997.0</v>
      </c>
      <c r="P51" s="89" t="s">
        <v>748</v>
      </c>
      <c r="Q51" s="90"/>
      <c r="R51" s="90"/>
      <c r="S51" s="90"/>
      <c r="T51" s="90"/>
      <c r="U51" s="90"/>
      <c r="V51" s="90"/>
      <c r="W51" s="90"/>
      <c r="X51" s="90"/>
      <c r="Y51" s="90"/>
      <c r="Z51" s="90"/>
      <c r="AA51" s="90"/>
      <c r="AB51" s="90"/>
      <c r="AC51" s="90"/>
      <c r="AD51" s="90"/>
      <c r="AE51" s="90"/>
      <c r="AF51" s="90"/>
    </row>
    <row r="52">
      <c r="A52" s="17">
        <v>31.0</v>
      </c>
      <c r="B52" s="98" t="s">
        <v>751</v>
      </c>
      <c r="C52" s="17" t="s">
        <v>80</v>
      </c>
      <c r="D52" s="17" t="s">
        <v>752</v>
      </c>
      <c r="E52" s="17" t="s">
        <v>753</v>
      </c>
      <c r="F52" s="17" t="s">
        <v>754</v>
      </c>
      <c r="G52" s="17" t="s">
        <v>755</v>
      </c>
      <c r="H52" s="17" t="s">
        <v>756</v>
      </c>
      <c r="I52" s="17"/>
      <c r="J52" s="34" t="s">
        <v>186</v>
      </c>
      <c r="K52" s="71">
        <v>45822.0</v>
      </c>
      <c r="L52" s="14"/>
      <c r="M52" s="19"/>
      <c r="N52" s="19"/>
      <c r="O52" s="94" t="s">
        <v>378</v>
      </c>
      <c r="P52" s="102" t="s">
        <v>758</v>
      </c>
    </row>
    <row r="53">
      <c r="A53" s="17">
        <v>32.0</v>
      </c>
      <c r="B53" s="103" t="s">
        <v>761</v>
      </c>
      <c r="C53" s="17" t="s">
        <v>80</v>
      </c>
      <c r="D53" s="17" t="s">
        <v>763</v>
      </c>
      <c r="E53" s="17" t="s">
        <v>765</v>
      </c>
      <c r="F53" s="17" t="s">
        <v>160</v>
      </c>
      <c r="G53" s="17" t="s">
        <v>755</v>
      </c>
      <c r="H53" s="17" t="s">
        <v>756</v>
      </c>
      <c r="I53" s="17"/>
      <c r="J53" s="19"/>
      <c r="K53" s="19"/>
      <c r="L53" s="14"/>
      <c r="M53" s="19"/>
      <c r="N53" s="19"/>
      <c r="O53" s="34" t="s">
        <v>769</v>
      </c>
      <c r="P53" s="102" t="s">
        <v>772</v>
      </c>
    </row>
    <row r="54">
      <c r="A54" s="144"/>
      <c r="B54" s="144"/>
      <c r="C54" s="145"/>
      <c r="D54" s="145"/>
      <c r="E54" s="145"/>
      <c r="F54" s="145"/>
      <c r="G54" s="145"/>
      <c r="H54" s="145"/>
      <c r="I54" s="145"/>
      <c r="J54" s="19"/>
      <c r="K54" s="19"/>
      <c r="L54" s="14"/>
      <c r="M54" s="19"/>
      <c r="N54" s="19"/>
      <c r="O54" s="19"/>
      <c r="P54" s="19"/>
    </row>
    <row r="55">
      <c r="A55" s="80" t="s">
        <v>782</v>
      </c>
      <c r="B55" s="5"/>
      <c r="C55" s="5"/>
      <c r="D55" s="5"/>
      <c r="E55" s="5"/>
      <c r="F55" s="5"/>
      <c r="G55" s="5"/>
      <c r="H55" s="7"/>
      <c r="I55" s="78"/>
      <c r="J55" s="19"/>
      <c r="K55" s="19"/>
      <c r="L55" s="14"/>
      <c r="M55" s="19"/>
      <c r="N55" s="19"/>
      <c r="O55" s="19"/>
      <c r="P55" s="19"/>
    </row>
    <row r="56">
      <c r="A56" s="41" t="s">
        <v>47</v>
      </c>
      <c r="B56" s="42" t="s">
        <v>7</v>
      </c>
      <c r="C56" s="42" t="s">
        <v>56</v>
      </c>
      <c r="D56" s="42" t="s">
        <v>787</v>
      </c>
      <c r="E56" s="42" t="s">
        <v>30</v>
      </c>
      <c r="F56" s="42" t="s">
        <v>12</v>
      </c>
      <c r="G56" s="42" t="s">
        <v>33</v>
      </c>
      <c r="H56" s="46" t="s">
        <v>34</v>
      </c>
      <c r="I56" s="46"/>
      <c r="J56" s="42" t="s">
        <v>67</v>
      </c>
      <c r="K56" s="42" t="s">
        <v>16</v>
      </c>
      <c r="L56" s="42" t="s">
        <v>35</v>
      </c>
      <c r="M56" s="42" t="s">
        <v>18</v>
      </c>
      <c r="N56" s="42" t="s">
        <v>19</v>
      </c>
      <c r="O56" s="42" t="s">
        <v>20</v>
      </c>
      <c r="P56" s="147" t="s">
        <v>74</v>
      </c>
    </row>
    <row r="57">
      <c r="A57" s="17">
        <v>1.0</v>
      </c>
      <c r="B57" s="103" t="s">
        <v>794</v>
      </c>
      <c r="C57" s="17" t="s">
        <v>80</v>
      </c>
      <c r="D57" s="17" t="s">
        <v>795</v>
      </c>
      <c r="E57" s="17" t="s">
        <v>796</v>
      </c>
      <c r="F57" s="17" t="s">
        <v>160</v>
      </c>
      <c r="G57" s="17" t="s">
        <v>755</v>
      </c>
      <c r="H57" s="17" t="s">
        <v>756</v>
      </c>
      <c r="I57" s="17"/>
      <c r="J57" s="34" t="s">
        <v>186</v>
      </c>
      <c r="K57" s="71">
        <v>45820.0</v>
      </c>
      <c r="L57" s="14"/>
      <c r="M57" s="19"/>
      <c r="N57" s="19"/>
      <c r="O57" s="120" t="s">
        <v>769</v>
      </c>
      <c r="P57" s="34" t="s">
        <v>801</v>
      </c>
    </row>
    <row r="58">
      <c r="A58" s="17">
        <v>2.0</v>
      </c>
      <c r="B58" s="103" t="s">
        <v>802</v>
      </c>
      <c r="C58" s="17" t="s">
        <v>80</v>
      </c>
      <c r="D58" s="121" t="s">
        <v>803</v>
      </c>
      <c r="E58" s="17" t="s">
        <v>805</v>
      </c>
      <c r="F58" s="17" t="s">
        <v>806</v>
      </c>
      <c r="G58" s="17" t="s">
        <v>755</v>
      </c>
      <c r="H58" s="17" t="s">
        <v>756</v>
      </c>
      <c r="I58" s="17"/>
      <c r="J58" s="34" t="s">
        <v>234</v>
      </c>
      <c r="K58" s="34" t="s">
        <v>514</v>
      </c>
      <c r="L58" s="14"/>
      <c r="M58" s="19"/>
      <c r="N58" s="19"/>
      <c r="O58" s="94" t="s">
        <v>474</v>
      </c>
      <c r="P58" s="34" t="s">
        <v>810</v>
      </c>
    </row>
    <row r="59">
      <c r="A59" s="17">
        <v>3.0</v>
      </c>
      <c r="B59" s="103" t="s">
        <v>811</v>
      </c>
      <c r="C59" s="17" t="s">
        <v>80</v>
      </c>
      <c r="D59" s="17" t="s">
        <v>812</v>
      </c>
      <c r="E59" s="17" t="s">
        <v>814</v>
      </c>
      <c r="F59" s="17" t="s">
        <v>815</v>
      </c>
      <c r="G59" s="17" t="s">
        <v>755</v>
      </c>
      <c r="H59" s="17" t="s">
        <v>756</v>
      </c>
      <c r="I59" s="17"/>
      <c r="J59" s="34" t="s">
        <v>186</v>
      </c>
      <c r="K59" s="71">
        <v>45818.0</v>
      </c>
      <c r="L59" s="12" t="s">
        <v>455</v>
      </c>
      <c r="M59" s="19"/>
      <c r="N59" s="19"/>
      <c r="O59" s="54" t="s">
        <v>92</v>
      </c>
      <c r="P59" s="34" t="s">
        <v>819</v>
      </c>
    </row>
    <row r="60">
      <c r="A60" s="149">
        <v>4.0</v>
      </c>
      <c r="B60" s="150" t="s">
        <v>822</v>
      </c>
      <c r="C60" s="81" t="s">
        <v>80</v>
      </c>
      <c r="D60" s="81" t="s">
        <v>825</v>
      </c>
      <c r="E60" s="81" t="s">
        <v>826</v>
      </c>
      <c r="F60" s="81" t="s">
        <v>827</v>
      </c>
      <c r="G60" s="81" t="s">
        <v>755</v>
      </c>
      <c r="H60" s="81" t="s">
        <v>756</v>
      </c>
      <c r="I60" s="81"/>
      <c r="J60" s="84" t="s">
        <v>186</v>
      </c>
      <c r="K60" s="85">
        <v>45814.0</v>
      </c>
      <c r="L60" s="86" t="s">
        <v>354</v>
      </c>
      <c r="M60" s="87"/>
      <c r="N60" s="87"/>
      <c r="O60" s="88">
        <v>45967.0</v>
      </c>
      <c r="P60" s="84" t="s">
        <v>830</v>
      </c>
      <c r="Q60" s="90"/>
      <c r="R60" s="90"/>
      <c r="S60" s="90"/>
      <c r="T60" s="90"/>
      <c r="U60" s="90"/>
      <c r="V60" s="90"/>
      <c r="W60" s="90"/>
      <c r="X60" s="90"/>
      <c r="Y60" s="90"/>
      <c r="Z60" s="90"/>
      <c r="AA60" s="90"/>
      <c r="AB60" s="90"/>
      <c r="AC60" s="90"/>
      <c r="AD60" s="90"/>
      <c r="AE60" s="90"/>
      <c r="AF60" s="90"/>
    </row>
    <row r="61">
      <c r="A61" s="17">
        <v>5.0</v>
      </c>
      <c r="B61" s="98" t="s">
        <v>833</v>
      </c>
      <c r="C61" s="17" t="s">
        <v>834</v>
      </c>
      <c r="D61" s="17" t="s">
        <v>835</v>
      </c>
      <c r="E61" s="17" t="s">
        <v>837</v>
      </c>
      <c r="F61" s="17" t="s">
        <v>838</v>
      </c>
      <c r="G61" s="17" t="s">
        <v>755</v>
      </c>
      <c r="H61" s="17" t="s">
        <v>756</v>
      </c>
      <c r="I61" s="17"/>
      <c r="J61" s="34" t="s">
        <v>234</v>
      </c>
      <c r="K61" s="101" t="s">
        <v>376</v>
      </c>
      <c r="L61" s="14"/>
      <c r="M61" s="19"/>
      <c r="N61" s="19"/>
      <c r="O61" s="94" t="s">
        <v>474</v>
      </c>
      <c r="P61" s="34" t="s">
        <v>842</v>
      </c>
    </row>
    <row r="62">
      <c r="A62" s="17">
        <v>6.0</v>
      </c>
      <c r="B62" s="103" t="s">
        <v>844</v>
      </c>
      <c r="C62" s="17" t="s">
        <v>80</v>
      </c>
      <c r="D62" s="17" t="s">
        <v>848</v>
      </c>
      <c r="E62" s="17" t="s">
        <v>849</v>
      </c>
      <c r="F62" s="17" t="s">
        <v>25</v>
      </c>
      <c r="G62" s="17" t="s">
        <v>755</v>
      </c>
      <c r="H62" s="17" t="s">
        <v>756</v>
      </c>
      <c r="I62" s="17"/>
      <c r="J62" s="19"/>
      <c r="K62" s="71">
        <v>45818.0</v>
      </c>
      <c r="L62" s="12" t="s">
        <v>455</v>
      </c>
      <c r="M62" s="19"/>
      <c r="N62" s="19"/>
      <c r="O62" s="120" t="s">
        <v>769</v>
      </c>
      <c r="P62" s="34" t="s">
        <v>854</v>
      </c>
    </row>
    <row r="63">
      <c r="A63" s="17">
        <v>7.0</v>
      </c>
      <c r="B63" s="103" t="s">
        <v>855</v>
      </c>
      <c r="C63" s="17" t="s">
        <v>80</v>
      </c>
      <c r="D63" s="17" t="s">
        <v>857</v>
      </c>
      <c r="E63" s="17" t="s">
        <v>859</v>
      </c>
      <c r="F63" s="17" t="s">
        <v>25</v>
      </c>
      <c r="G63" s="17" t="s">
        <v>755</v>
      </c>
      <c r="H63" s="17" t="s">
        <v>756</v>
      </c>
      <c r="I63" s="17"/>
      <c r="J63" s="34" t="s">
        <v>234</v>
      </c>
      <c r="K63" s="34" t="s">
        <v>862</v>
      </c>
      <c r="L63" s="14"/>
      <c r="M63" s="19"/>
      <c r="N63" s="19"/>
      <c r="O63" s="34" t="s">
        <v>461</v>
      </c>
      <c r="P63" s="34" t="s">
        <v>863</v>
      </c>
    </row>
    <row r="64">
      <c r="A64" s="17">
        <v>8.0</v>
      </c>
      <c r="B64" s="103" t="s">
        <v>865</v>
      </c>
      <c r="C64" s="17" t="s">
        <v>867</v>
      </c>
      <c r="D64" s="17" t="s">
        <v>868</v>
      </c>
      <c r="E64" s="17" t="s">
        <v>869</v>
      </c>
      <c r="F64" s="17" t="s">
        <v>871</v>
      </c>
      <c r="G64" s="17" t="s">
        <v>755</v>
      </c>
      <c r="H64" s="17" t="s">
        <v>756</v>
      </c>
      <c r="I64" s="17"/>
      <c r="J64" s="34" t="s">
        <v>186</v>
      </c>
      <c r="K64" s="71">
        <v>45822.0</v>
      </c>
      <c r="L64" s="14"/>
      <c r="M64" s="19"/>
      <c r="N64" s="19"/>
      <c r="O64" s="34" t="s">
        <v>408</v>
      </c>
      <c r="P64" s="19"/>
    </row>
    <row r="65">
      <c r="A65" s="17">
        <v>9.0</v>
      </c>
      <c r="B65" s="103" t="s">
        <v>874</v>
      </c>
      <c r="C65" s="17" t="s">
        <v>80</v>
      </c>
      <c r="D65" s="17" t="s">
        <v>876</v>
      </c>
      <c r="E65" s="17" t="s">
        <v>878</v>
      </c>
      <c r="F65" s="17" t="s">
        <v>880</v>
      </c>
      <c r="G65" s="17" t="s">
        <v>881</v>
      </c>
      <c r="H65" s="17" t="s">
        <v>882</v>
      </c>
      <c r="I65" s="17"/>
      <c r="J65" s="34" t="s">
        <v>234</v>
      </c>
      <c r="K65" s="34" t="s">
        <v>337</v>
      </c>
      <c r="L65" s="14"/>
      <c r="M65" s="19"/>
      <c r="N65" s="19"/>
      <c r="O65" s="54" t="s">
        <v>883</v>
      </c>
      <c r="P65" s="102" t="s">
        <v>885</v>
      </c>
    </row>
    <row r="66">
      <c r="A66" s="17">
        <v>10.0</v>
      </c>
      <c r="B66" s="103" t="s">
        <v>887</v>
      </c>
      <c r="C66" s="17" t="s">
        <v>80</v>
      </c>
      <c r="D66" s="17" t="s">
        <v>890</v>
      </c>
      <c r="E66" s="17" t="s">
        <v>891</v>
      </c>
      <c r="F66" s="17" t="s">
        <v>25</v>
      </c>
      <c r="G66" s="17" t="s">
        <v>892</v>
      </c>
      <c r="H66" s="17" t="s">
        <v>893</v>
      </c>
      <c r="I66" s="17"/>
      <c r="J66" s="34" t="s">
        <v>186</v>
      </c>
      <c r="K66" s="71">
        <v>45819.0</v>
      </c>
      <c r="L66" s="14"/>
      <c r="M66" s="19"/>
      <c r="N66" s="19"/>
      <c r="O66" s="120" t="s">
        <v>769</v>
      </c>
      <c r="P66" s="102" t="s">
        <v>898</v>
      </c>
    </row>
    <row r="67">
      <c r="A67" s="17">
        <v>11.0</v>
      </c>
      <c r="B67" s="103" t="s">
        <v>899</v>
      </c>
      <c r="C67" s="17" t="s">
        <v>80</v>
      </c>
      <c r="D67" s="17" t="s">
        <v>900</v>
      </c>
      <c r="E67" s="17" t="s">
        <v>901</v>
      </c>
      <c r="F67" s="17" t="s">
        <v>903</v>
      </c>
      <c r="G67" s="17" t="s">
        <v>892</v>
      </c>
      <c r="H67" s="17" t="s">
        <v>893</v>
      </c>
      <c r="I67" s="17"/>
      <c r="J67" s="34" t="s">
        <v>186</v>
      </c>
      <c r="K67" s="71">
        <v>45831.0</v>
      </c>
      <c r="L67" s="14"/>
      <c r="M67" s="19"/>
      <c r="N67" s="19"/>
      <c r="O67" s="54" t="s">
        <v>55</v>
      </c>
      <c r="P67" s="34" t="s">
        <v>904</v>
      </c>
    </row>
    <row r="68">
      <c r="A68" s="17">
        <v>12.0</v>
      </c>
      <c r="B68" s="103" t="s">
        <v>905</v>
      </c>
      <c r="C68" s="17" t="s">
        <v>80</v>
      </c>
      <c r="D68" s="17" t="s">
        <v>906</v>
      </c>
      <c r="E68" s="17" t="s">
        <v>907</v>
      </c>
      <c r="F68" s="17" t="s">
        <v>903</v>
      </c>
      <c r="G68" s="17" t="s">
        <v>892</v>
      </c>
      <c r="H68" s="17" t="s">
        <v>893</v>
      </c>
      <c r="I68" s="17"/>
      <c r="J68" s="34" t="s">
        <v>186</v>
      </c>
      <c r="K68" s="71">
        <v>45831.0</v>
      </c>
      <c r="L68" s="14"/>
      <c r="M68" s="19"/>
      <c r="N68" s="19"/>
      <c r="O68" s="54" t="s">
        <v>55</v>
      </c>
      <c r="P68" s="19"/>
    </row>
    <row r="69">
      <c r="A69" s="17">
        <v>13.0</v>
      </c>
      <c r="B69" s="103" t="s">
        <v>908</v>
      </c>
      <c r="C69" s="17" t="s">
        <v>80</v>
      </c>
      <c r="D69" s="17" t="s">
        <v>909</v>
      </c>
      <c r="E69" s="17" t="s">
        <v>910</v>
      </c>
      <c r="F69" s="17" t="s">
        <v>911</v>
      </c>
      <c r="G69" s="17" t="s">
        <v>393</v>
      </c>
      <c r="H69" s="17" t="s">
        <v>912</v>
      </c>
      <c r="I69" s="17"/>
      <c r="J69" s="34" t="s">
        <v>186</v>
      </c>
      <c r="K69" s="71">
        <v>45820.0</v>
      </c>
      <c r="L69" s="12" t="s">
        <v>455</v>
      </c>
      <c r="M69" s="19"/>
      <c r="N69" s="19"/>
      <c r="O69" s="34" t="s">
        <v>570</v>
      </c>
      <c r="P69" s="34" t="s">
        <v>913</v>
      </c>
    </row>
    <row r="70">
      <c r="A70" s="17">
        <v>14.0</v>
      </c>
      <c r="B70" s="103" t="s">
        <v>914</v>
      </c>
      <c r="C70" s="17" t="s">
        <v>80</v>
      </c>
      <c r="D70" s="17" t="s">
        <v>915</v>
      </c>
      <c r="E70" s="17" t="s">
        <v>916</v>
      </c>
      <c r="F70" s="17" t="s">
        <v>228</v>
      </c>
      <c r="G70" s="17" t="s">
        <v>570</v>
      </c>
      <c r="H70" s="17" t="s">
        <v>917</v>
      </c>
      <c r="I70" s="17"/>
      <c r="J70" s="34" t="s">
        <v>186</v>
      </c>
      <c r="K70" s="71">
        <v>45819.0</v>
      </c>
      <c r="L70" s="14"/>
      <c r="M70" s="19"/>
      <c r="N70" s="34" t="s">
        <v>918</v>
      </c>
      <c r="O70" s="94" t="s">
        <v>446</v>
      </c>
      <c r="P70" s="34" t="s">
        <v>919</v>
      </c>
    </row>
    <row r="71">
      <c r="A71" s="17">
        <v>15.0</v>
      </c>
      <c r="B71" s="103" t="s">
        <v>920</v>
      </c>
      <c r="C71" s="17" t="s">
        <v>688</v>
      </c>
      <c r="D71" s="17" t="s">
        <v>921</v>
      </c>
      <c r="E71" s="17" t="s">
        <v>922</v>
      </c>
      <c r="F71" s="17" t="s">
        <v>148</v>
      </c>
      <c r="G71" s="17" t="s">
        <v>461</v>
      </c>
      <c r="H71" s="17" t="s">
        <v>923</v>
      </c>
      <c r="I71" s="17"/>
      <c r="J71" s="34" t="s">
        <v>236</v>
      </c>
      <c r="K71" s="71">
        <v>45819.0</v>
      </c>
      <c r="L71" s="14"/>
      <c r="M71" s="19"/>
      <c r="N71" s="19"/>
      <c r="O71" s="116" t="s">
        <v>924</v>
      </c>
      <c r="P71" s="19"/>
    </row>
    <row r="72">
      <c r="A72" s="17">
        <v>16.0</v>
      </c>
      <c r="B72" s="98" t="s">
        <v>925</v>
      </c>
      <c r="C72" s="17" t="s">
        <v>80</v>
      </c>
      <c r="D72" s="17" t="s">
        <v>926</v>
      </c>
      <c r="E72" s="17" t="s">
        <v>927</v>
      </c>
      <c r="F72" s="17" t="s">
        <v>928</v>
      </c>
      <c r="G72" s="17" t="s">
        <v>892</v>
      </c>
      <c r="H72" s="17" t="s">
        <v>893</v>
      </c>
      <c r="I72" s="17"/>
      <c r="J72" s="34" t="s">
        <v>186</v>
      </c>
      <c r="K72" s="71">
        <v>45819.0</v>
      </c>
      <c r="L72" s="14"/>
      <c r="M72" s="19"/>
      <c r="N72" s="19"/>
      <c r="O72" s="94" t="s">
        <v>769</v>
      </c>
      <c r="P72" s="34" t="s">
        <v>929</v>
      </c>
    </row>
    <row r="73">
      <c r="A73" s="17">
        <v>17.0</v>
      </c>
      <c r="B73" s="103" t="s">
        <v>930</v>
      </c>
      <c r="C73" s="17" t="s">
        <v>867</v>
      </c>
      <c r="D73" s="17" t="s">
        <v>931</v>
      </c>
      <c r="E73" s="17" t="s">
        <v>932</v>
      </c>
      <c r="F73" s="17" t="s">
        <v>933</v>
      </c>
      <c r="G73" s="17" t="s">
        <v>934</v>
      </c>
      <c r="H73" s="17" t="s">
        <v>935</v>
      </c>
      <c r="I73" s="17"/>
      <c r="J73" s="34" t="s">
        <v>186</v>
      </c>
      <c r="K73" s="71">
        <v>45827.0</v>
      </c>
      <c r="L73" s="14"/>
      <c r="M73" s="19"/>
      <c r="N73" s="19"/>
      <c r="O73" s="120" t="s">
        <v>461</v>
      </c>
      <c r="P73" s="34" t="s">
        <v>936</v>
      </c>
    </row>
    <row r="74">
      <c r="A74" s="17">
        <v>18.0</v>
      </c>
      <c r="B74" s="103" t="s">
        <v>937</v>
      </c>
      <c r="C74" s="17" t="s">
        <v>938</v>
      </c>
      <c r="D74" s="17" t="s">
        <v>939</v>
      </c>
      <c r="E74" s="17" t="s">
        <v>940</v>
      </c>
      <c r="F74" s="17" t="s">
        <v>243</v>
      </c>
      <c r="G74" s="17" t="s">
        <v>941</v>
      </c>
      <c r="H74" s="17" t="s">
        <v>942</v>
      </c>
      <c r="I74" s="17"/>
      <c r="J74" s="34" t="s">
        <v>186</v>
      </c>
      <c r="K74" s="71">
        <v>45831.0</v>
      </c>
      <c r="L74" s="14"/>
      <c r="M74" s="19"/>
      <c r="N74" s="19"/>
      <c r="O74" s="120" t="s">
        <v>943</v>
      </c>
      <c r="P74" s="19"/>
    </row>
    <row r="75">
      <c r="A75" s="17">
        <v>19.0</v>
      </c>
      <c r="B75" s="103" t="s">
        <v>944</v>
      </c>
      <c r="C75" s="17" t="s">
        <v>938</v>
      </c>
      <c r="D75" s="17" t="s">
        <v>945</v>
      </c>
      <c r="E75" s="17" t="s">
        <v>946</v>
      </c>
      <c r="F75" s="17" t="s">
        <v>243</v>
      </c>
      <c r="G75" s="17" t="s">
        <v>941</v>
      </c>
      <c r="H75" s="17" t="s">
        <v>942</v>
      </c>
      <c r="I75" s="17"/>
      <c r="J75" s="34" t="s">
        <v>186</v>
      </c>
      <c r="K75" s="71">
        <v>45831.0</v>
      </c>
      <c r="L75" s="14"/>
      <c r="M75" s="19"/>
      <c r="N75" s="19"/>
      <c r="O75" s="120" t="s">
        <v>943</v>
      </c>
      <c r="P75" s="19"/>
    </row>
    <row r="76">
      <c r="A76" s="17">
        <v>20.0</v>
      </c>
      <c r="B76" s="103" t="s">
        <v>947</v>
      </c>
      <c r="C76" s="17" t="s">
        <v>80</v>
      </c>
      <c r="D76" s="17" t="s">
        <v>948</v>
      </c>
      <c r="E76" s="17" t="s">
        <v>949</v>
      </c>
      <c r="F76" s="17" t="s">
        <v>950</v>
      </c>
      <c r="G76" s="17" t="s">
        <v>934</v>
      </c>
      <c r="H76" s="17" t="s">
        <v>935</v>
      </c>
      <c r="I76" s="17"/>
      <c r="J76" s="34" t="s">
        <v>234</v>
      </c>
      <c r="K76" s="34" t="s">
        <v>337</v>
      </c>
      <c r="L76" s="14"/>
      <c r="M76" s="19"/>
      <c r="N76" s="19"/>
      <c r="O76" s="34" t="s">
        <v>924</v>
      </c>
      <c r="P76" s="34" t="s">
        <v>951</v>
      </c>
    </row>
    <row r="77">
      <c r="A77" s="17">
        <v>21.0</v>
      </c>
      <c r="B77" s="103" t="s">
        <v>952</v>
      </c>
      <c r="C77" s="17" t="s">
        <v>80</v>
      </c>
      <c r="D77" s="17" t="s">
        <v>953</v>
      </c>
      <c r="E77" s="121" t="s">
        <v>954</v>
      </c>
      <c r="F77" s="17" t="s">
        <v>955</v>
      </c>
      <c r="G77" s="17" t="s">
        <v>941</v>
      </c>
      <c r="H77" s="17" t="s">
        <v>942</v>
      </c>
      <c r="I77" s="17"/>
      <c r="J77" s="34" t="s">
        <v>234</v>
      </c>
      <c r="K77" s="34" t="s">
        <v>956</v>
      </c>
      <c r="L77" s="14"/>
      <c r="M77" s="19"/>
      <c r="N77" s="19"/>
      <c r="O77" s="116" t="s">
        <v>194</v>
      </c>
      <c r="P77" s="19"/>
    </row>
    <row r="78">
      <c r="A78" s="17">
        <v>22.0</v>
      </c>
      <c r="B78" s="103" t="s">
        <v>38</v>
      </c>
      <c r="C78" s="17" t="s">
        <v>80</v>
      </c>
      <c r="D78" s="17" t="s">
        <v>42</v>
      </c>
      <c r="E78" s="17" t="s">
        <v>957</v>
      </c>
      <c r="F78" s="17" t="s">
        <v>958</v>
      </c>
      <c r="G78" s="17" t="s">
        <v>883</v>
      </c>
      <c r="H78" s="17" t="s">
        <v>959</v>
      </c>
      <c r="I78" s="17"/>
      <c r="J78" s="34" t="s">
        <v>234</v>
      </c>
      <c r="K78" s="71">
        <v>45967.0</v>
      </c>
      <c r="L78" s="14"/>
      <c r="M78" s="19"/>
      <c r="N78" s="19"/>
      <c r="O78" s="151">
        <v>45827.0</v>
      </c>
      <c r="P78" s="19"/>
    </row>
    <row r="79">
      <c r="A79" s="17">
        <v>23.0</v>
      </c>
      <c r="B79" s="152" t="s">
        <v>48</v>
      </c>
      <c r="C79" s="17" t="s">
        <v>80</v>
      </c>
      <c r="D79" s="17" t="s">
        <v>49</v>
      </c>
      <c r="E79" s="17" t="s">
        <v>960</v>
      </c>
      <c r="F79" s="17" t="s">
        <v>958</v>
      </c>
      <c r="G79" s="17" t="s">
        <v>883</v>
      </c>
      <c r="H79" s="17" t="s">
        <v>959</v>
      </c>
      <c r="I79" s="17"/>
      <c r="J79" s="34" t="s">
        <v>234</v>
      </c>
      <c r="K79" s="71">
        <v>45967.0</v>
      </c>
      <c r="L79" s="14"/>
      <c r="M79" s="19"/>
      <c r="N79" s="19"/>
      <c r="O79" s="151">
        <v>45827.0</v>
      </c>
      <c r="P79" s="19"/>
    </row>
    <row r="80">
      <c r="A80" s="17">
        <v>24.0</v>
      </c>
      <c r="B80" s="152" t="s">
        <v>57</v>
      </c>
      <c r="C80" s="17" t="s">
        <v>80</v>
      </c>
      <c r="D80" s="17" t="s">
        <v>59</v>
      </c>
      <c r="E80" s="17" t="s">
        <v>961</v>
      </c>
      <c r="F80" s="17" t="s">
        <v>958</v>
      </c>
      <c r="G80" s="17" t="s">
        <v>883</v>
      </c>
      <c r="H80" s="17" t="s">
        <v>959</v>
      </c>
      <c r="I80" s="17"/>
      <c r="J80" s="34" t="s">
        <v>234</v>
      </c>
      <c r="K80" s="71">
        <v>45967.0</v>
      </c>
      <c r="L80" s="14"/>
      <c r="M80" s="19"/>
      <c r="N80" s="19"/>
      <c r="O80" s="151">
        <v>45827.0</v>
      </c>
      <c r="P80" s="19"/>
    </row>
    <row r="81">
      <c r="A81" s="17">
        <v>25.0</v>
      </c>
      <c r="B81" s="152" t="s">
        <v>63</v>
      </c>
      <c r="C81" s="17" t="s">
        <v>80</v>
      </c>
      <c r="D81" s="17" t="s">
        <v>64</v>
      </c>
      <c r="E81" s="17" t="s">
        <v>962</v>
      </c>
      <c r="F81" s="17" t="s">
        <v>958</v>
      </c>
      <c r="G81" s="17" t="s">
        <v>883</v>
      </c>
      <c r="H81" s="17" t="s">
        <v>959</v>
      </c>
      <c r="I81" s="17"/>
      <c r="J81" s="34" t="s">
        <v>234</v>
      </c>
      <c r="K81" s="71">
        <v>45967.0</v>
      </c>
      <c r="L81" s="14"/>
      <c r="M81" s="19"/>
      <c r="N81" s="19"/>
      <c r="O81" s="151">
        <v>45827.0</v>
      </c>
      <c r="P81" s="19"/>
    </row>
    <row r="82">
      <c r="A82" s="17">
        <v>26.0</v>
      </c>
      <c r="B82" s="152" t="s">
        <v>72</v>
      </c>
      <c r="C82" s="17" t="s">
        <v>80</v>
      </c>
      <c r="D82" s="17" t="s">
        <v>73</v>
      </c>
      <c r="E82" s="17" t="s">
        <v>963</v>
      </c>
      <c r="F82" s="17" t="s">
        <v>958</v>
      </c>
      <c r="G82" s="17" t="s">
        <v>883</v>
      </c>
      <c r="H82" s="17" t="s">
        <v>959</v>
      </c>
      <c r="I82" s="17"/>
      <c r="J82" s="34" t="s">
        <v>234</v>
      </c>
      <c r="K82" s="71">
        <v>45997.0</v>
      </c>
      <c r="L82" s="14"/>
      <c r="M82" s="19"/>
      <c r="N82" s="19"/>
      <c r="O82" s="151">
        <v>45827.0</v>
      </c>
      <c r="P82" s="19"/>
    </row>
    <row r="83">
      <c r="A83" s="17">
        <v>27.0</v>
      </c>
      <c r="B83" s="152" t="s">
        <v>76</v>
      </c>
      <c r="C83" s="17" t="s">
        <v>80</v>
      </c>
      <c r="D83" s="17" t="s">
        <v>79</v>
      </c>
      <c r="E83" s="17" t="s">
        <v>964</v>
      </c>
      <c r="F83" s="17" t="s">
        <v>958</v>
      </c>
      <c r="G83" s="17" t="s">
        <v>883</v>
      </c>
      <c r="H83" s="17" t="s">
        <v>959</v>
      </c>
      <c r="I83" s="17"/>
      <c r="J83" s="34" t="s">
        <v>234</v>
      </c>
      <c r="K83" s="71">
        <v>45997.0</v>
      </c>
      <c r="L83" s="14"/>
      <c r="M83" s="19"/>
      <c r="N83" s="19"/>
      <c r="O83" s="151">
        <v>45827.0</v>
      </c>
      <c r="P83" s="19"/>
    </row>
    <row r="84">
      <c r="A84" s="17">
        <v>28.0</v>
      </c>
      <c r="B84" s="152" t="s">
        <v>88</v>
      </c>
      <c r="C84" s="17" t="s">
        <v>80</v>
      </c>
      <c r="D84" s="17" t="s">
        <v>90</v>
      </c>
      <c r="E84" s="17" t="s">
        <v>965</v>
      </c>
      <c r="F84" s="17" t="s">
        <v>958</v>
      </c>
      <c r="G84" s="17" t="s">
        <v>883</v>
      </c>
      <c r="H84" s="17" t="s">
        <v>959</v>
      </c>
      <c r="I84" s="17"/>
      <c r="J84" s="34" t="s">
        <v>234</v>
      </c>
      <c r="K84" s="71">
        <v>45997.0</v>
      </c>
      <c r="L84" s="14"/>
      <c r="M84" s="19"/>
      <c r="N84" s="19"/>
      <c r="O84" s="151">
        <v>45827.0</v>
      </c>
      <c r="P84" s="19"/>
    </row>
    <row r="85">
      <c r="A85" s="17">
        <v>29.0</v>
      </c>
      <c r="B85" s="152" t="s">
        <v>101</v>
      </c>
      <c r="C85" s="17" t="s">
        <v>80</v>
      </c>
      <c r="D85" s="17" t="s">
        <v>102</v>
      </c>
      <c r="E85" s="17" t="s">
        <v>966</v>
      </c>
      <c r="F85" s="17" t="s">
        <v>958</v>
      </c>
      <c r="G85" s="17" t="s">
        <v>883</v>
      </c>
      <c r="H85" s="17" t="s">
        <v>959</v>
      </c>
      <c r="I85" s="17"/>
      <c r="J85" s="34" t="s">
        <v>234</v>
      </c>
      <c r="K85" s="71">
        <v>45967.0</v>
      </c>
      <c r="L85" s="14"/>
      <c r="M85" s="19"/>
      <c r="N85" s="19"/>
      <c r="O85" s="151">
        <v>45827.0</v>
      </c>
      <c r="P85" s="19"/>
    </row>
    <row r="86">
      <c r="A86" s="17">
        <v>30.0</v>
      </c>
      <c r="B86" s="152" t="s">
        <v>107</v>
      </c>
      <c r="C86" s="17" t="s">
        <v>80</v>
      </c>
      <c r="D86" s="17" t="s">
        <v>111</v>
      </c>
      <c r="E86" s="17" t="s">
        <v>967</v>
      </c>
      <c r="F86" s="17" t="s">
        <v>958</v>
      </c>
      <c r="G86" s="17" t="s">
        <v>883</v>
      </c>
      <c r="H86" s="17" t="s">
        <v>959</v>
      </c>
      <c r="I86" s="17"/>
      <c r="J86" s="34" t="s">
        <v>234</v>
      </c>
      <c r="K86" s="71">
        <v>45967.0</v>
      </c>
      <c r="L86" s="14"/>
      <c r="M86" s="19"/>
      <c r="N86" s="19"/>
      <c r="O86" s="151">
        <v>45827.0</v>
      </c>
      <c r="P86" s="19"/>
    </row>
    <row r="87">
      <c r="A87" s="17">
        <v>31.0</v>
      </c>
      <c r="B87" s="152" t="s">
        <v>116</v>
      </c>
      <c r="C87" s="17" t="s">
        <v>80</v>
      </c>
      <c r="D87" s="17" t="s">
        <v>118</v>
      </c>
      <c r="E87" s="17" t="s">
        <v>968</v>
      </c>
      <c r="F87" s="17" t="s">
        <v>958</v>
      </c>
      <c r="G87" s="17" t="s">
        <v>883</v>
      </c>
      <c r="H87" s="17" t="s">
        <v>959</v>
      </c>
      <c r="I87" s="17"/>
      <c r="J87" s="34" t="s">
        <v>234</v>
      </c>
      <c r="K87" s="71">
        <v>45967.0</v>
      </c>
      <c r="L87" s="14"/>
      <c r="M87" s="19"/>
      <c r="N87" s="19"/>
      <c r="O87" s="151">
        <v>45827.0</v>
      </c>
      <c r="P87" s="19"/>
    </row>
    <row r="88">
      <c r="A88" s="17">
        <v>32.0</v>
      </c>
      <c r="B88" s="152" t="s">
        <v>125</v>
      </c>
      <c r="C88" s="17" t="s">
        <v>80</v>
      </c>
      <c r="D88" s="17" t="s">
        <v>126</v>
      </c>
      <c r="E88" s="17" t="s">
        <v>969</v>
      </c>
      <c r="F88" s="17" t="s">
        <v>958</v>
      </c>
      <c r="G88" s="17" t="s">
        <v>883</v>
      </c>
      <c r="H88" s="17" t="s">
        <v>959</v>
      </c>
      <c r="I88" s="17"/>
      <c r="J88" s="34" t="s">
        <v>234</v>
      </c>
      <c r="K88" s="71">
        <v>45967.0</v>
      </c>
      <c r="L88" s="14"/>
      <c r="M88" s="19"/>
      <c r="N88" s="19"/>
      <c r="O88" s="151">
        <v>45827.0</v>
      </c>
      <c r="P88" s="19"/>
    </row>
    <row r="89">
      <c r="A89" s="144"/>
      <c r="B89" s="144"/>
      <c r="C89" s="145"/>
      <c r="D89" s="145"/>
      <c r="E89" s="145"/>
      <c r="F89" s="145"/>
      <c r="G89" s="145"/>
      <c r="H89" s="145"/>
      <c r="I89" s="145"/>
      <c r="J89" s="19"/>
      <c r="K89" s="19"/>
      <c r="L89" s="14"/>
      <c r="M89" s="19"/>
      <c r="N89" s="19"/>
      <c r="O89" s="151">
        <v>45827.0</v>
      </c>
      <c r="P89" s="19"/>
    </row>
    <row r="90">
      <c r="A90" s="80" t="s">
        <v>970</v>
      </c>
      <c r="B90" s="5"/>
      <c r="C90" s="5"/>
      <c r="D90" s="5"/>
      <c r="E90" s="5"/>
      <c r="F90" s="5"/>
      <c r="G90" s="5"/>
      <c r="H90" s="7"/>
      <c r="I90" s="78"/>
      <c r="J90" s="19"/>
      <c r="K90" s="19"/>
      <c r="L90" s="14"/>
      <c r="M90" s="19"/>
      <c r="N90" s="19"/>
      <c r="O90" s="19"/>
      <c r="P90" s="19"/>
    </row>
    <row r="91">
      <c r="A91" s="41" t="s">
        <v>47</v>
      </c>
      <c r="B91" s="42" t="s">
        <v>7</v>
      </c>
      <c r="C91" s="42" t="s">
        <v>56</v>
      </c>
      <c r="D91" s="42" t="s">
        <v>787</v>
      </c>
      <c r="E91" s="42" t="s">
        <v>30</v>
      </c>
      <c r="F91" s="42" t="s">
        <v>12</v>
      </c>
      <c r="G91" s="42" t="s">
        <v>33</v>
      </c>
      <c r="H91" s="46" t="s">
        <v>34</v>
      </c>
      <c r="I91" s="46"/>
      <c r="J91" s="42" t="s">
        <v>67</v>
      </c>
      <c r="K91" s="42" t="s">
        <v>16</v>
      </c>
      <c r="L91" s="42" t="s">
        <v>35</v>
      </c>
      <c r="M91" s="42" t="s">
        <v>18</v>
      </c>
      <c r="N91" s="42" t="s">
        <v>19</v>
      </c>
      <c r="O91" s="42" t="s">
        <v>20</v>
      </c>
      <c r="P91" s="42" t="s">
        <v>21</v>
      </c>
    </row>
    <row r="92">
      <c r="A92" s="17">
        <v>1.0</v>
      </c>
      <c r="B92" s="103" t="s">
        <v>971</v>
      </c>
      <c r="C92" s="17" t="s">
        <v>80</v>
      </c>
      <c r="D92" s="17" t="s">
        <v>972</v>
      </c>
      <c r="E92" s="121" t="s">
        <v>973</v>
      </c>
      <c r="F92" s="17" t="s">
        <v>256</v>
      </c>
      <c r="G92" s="17" t="s">
        <v>570</v>
      </c>
      <c r="H92" s="17" t="s">
        <v>917</v>
      </c>
      <c r="I92" s="17"/>
      <c r="J92" s="34" t="s">
        <v>186</v>
      </c>
      <c r="K92" s="34" t="s">
        <v>956</v>
      </c>
      <c r="L92" s="33" t="s">
        <v>236</v>
      </c>
      <c r="M92" s="19"/>
      <c r="N92" s="19"/>
      <c r="O92" s="72">
        <v>45723.0</v>
      </c>
      <c r="P92" s="34" t="s">
        <v>974</v>
      </c>
    </row>
    <row r="93">
      <c r="A93" s="17">
        <v>2.0</v>
      </c>
      <c r="B93" s="103" t="s">
        <v>975</v>
      </c>
      <c r="C93" s="17" t="s">
        <v>80</v>
      </c>
      <c r="D93" s="17" t="s">
        <v>976</v>
      </c>
      <c r="E93" s="17" t="s">
        <v>977</v>
      </c>
      <c r="F93" s="17" t="s">
        <v>256</v>
      </c>
      <c r="G93" s="17" t="s">
        <v>570</v>
      </c>
      <c r="H93" s="17" t="s">
        <v>917</v>
      </c>
      <c r="I93" s="17"/>
      <c r="J93" s="34" t="s">
        <v>186</v>
      </c>
      <c r="K93" s="34" t="s">
        <v>956</v>
      </c>
      <c r="L93" s="33" t="s">
        <v>236</v>
      </c>
      <c r="M93" s="19"/>
      <c r="N93" s="19"/>
      <c r="O93" s="72">
        <v>45723.0</v>
      </c>
      <c r="P93" s="34" t="s">
        <v>978</v>
      </c>
    </row>
    <row r="94">
      <c r="A94" s="81">
        <v>3.0</v>
      </c>
      <c r="B94" s="155" t="s">
        <v>979</v>
      </c>
      <c r="C94" s="81" t="s">
        <v>80</v>
      </c>
      <c r="D94" s="81" t="s">
        <v>980</v>
      </c>
      <c r="E94" s="81" t="s">
        <v>981</v>
      </c>
      <c r="F94" s="81" t="s">
        <v>207</v>
      </c>
      <c r="G94" s="81" t="s">
        <v>404</v>
      </c>
      <c r="H94" s="81" t="s">
        <v>404</v>
      </c>
      <c r="I94" s="81"/>
      <c r="J94" s="87"/>
      <c r="K94" s="87"/>
      <c r="L94" s="86" t="s">
        <v>354</v>
      </c>
      <c r="M94" s="87"/>
      <c r="N94" s="87"/>
      <c r="O94" s="88">
        <v>45967.0</v>
      </c>
      <c r="P94" s="89" t="s">
        <v>982</v>
      </c>
      <c r="Q94" s="90"/>
      <c r="R94" s="90"/>
      <c r="S94" s="90"/>
      <c r="T94" s="90"/>
      <c r="U94" s="90"/>
      <c r="V94" s="90"/>
      <c r="W94" s="90"/>
      <c r="X94" s="90"/>
      <c r="Y94" s="90"/>
      <c r="Z94" s="90"/>
      <c r="AA94" s="90"/>
      <c r="AB94" s="90"/>
      <c r="AC94" s="90"/>
      <c r="AD94" s="90"/>
      <c r="AE94" s="90"/>
      <c r="AF94" s="90"/>
    </row>
    <row r="95">
      <c r="A95" s="81">
        <v>4.0</v>
      </c>
      <c r="B95" s="155" t="s">
        <v>983</v>
      </c>
      <c r="C95" s="81" t="s">
        <v>80</v>
      </c>
      <c r="D95" s="81" t="s">
        <v>984</v>
      </c>
      <c r="E95" s="81" t="s">
        <v>985</v>
      </c>
      <c r="F95" s="81" t="s">
        <v>207</v>
      </c>
      <c r="G95" s="81" t="s">
        <v>404</v>
      </c>
      <c r="H95" s="81" t="s">
        <v>404</v>
      </c>
      <c r="I95" s="81"/>
      <c r="J95" s="87"/>
      <c r="K95" s="87"/>
      <c r="L95" s="86" t="s">
        <v>354</v>
      </c>
      <c r="M95" s="87"/>
      <c r="N95" s="87"/>
      <c r="O95" s="88">
        <v>45936.0</v>
      </c>
      <c r="P95" s="87"/>
      <c r="Q95" s="90"/>
      <c r="R95" s="90"/>
      <c r="S95" s="90"/>
      <c r="T95" s="90"/>
      <c r="U95" s="90"/>
      <c r="V95" s="90"/>
      <c r="W95" s="90"/>
      <c r="X95" s="90"/>
      <c r="Y95" s="90"/>
      <c r="Z95" s="90"/>
      <c r="AA95" s="90"/>
      <c r="AB95" s="90"/>
      <c r="AC95" s="90"/>
      <c r="AD95" s="90"/>
      <c r="AE95" s="90"/>
      <c r="AF95" s="90"/>
    </row>
    <row r="96">
      <c r="A96" s="17">
        <v>5.0</v>
      </c>
      <c r="B96" s="103" t="s">
        <v>986</v>
      </c>
      <c r="C96" s="17" t="s">
        <v>80</v>
      </c>
      <c r="D96" s="17" t="s">
        <v>987</v>
      </c>
      <c r="E96" s="17" t="s">
        <v>988</v>
      </c>
      <c r="F96" s="17" t="s">
        <v>310</v>
      </c>
      <c r="G96" s="17" t="s">
        <v>461</v>
      </c>
      <c r="H96" s="17" t="s">
        <v>923</v>
      </c>
      <c r="I96" s="17"/>
      <c r="J96" s="34" t="s">
        <v>234</v>
      </c>
      <c r="K96" s="34" t="s">
        <v>862</v>
      </c>
      <c r="L96" s="14"/>
      <c r="M96" s="19"/>
      <c r="N96" s="19"/>
      <c r="O96" s="94" t="s">
        <v>461</v>
      </c>
      <c r="P96" s="19"/>
    </row>
    <row r="97">
      <c r="A97" s="17">
        <v>6.0</v>
      </c>
      <c r="B97" s="103" t="s">
        <v>989</v>
      </c>
      <c r="C97" s="17" t="s">
        <v>80</v>
      </c>
      <c r="D97" s="17" t="s">
        <v>990</v>
      </c>
      <c r="E97" s="17" t="s">
        <v>991</v>
      </c>
      <c r="F97" s="17" t="s">
        <v>207</v>
      </c>
      <c r="G97" s="17" t="s">
        <v>934</v>
      </c>
      <c r="H97" s="17" t="s">
        <v>935</v>
      </c>
      <c r="I97" s="17"/>
      <c r="J97" s="34" t="s">
        <v>186</v>
      </c>
      <c r="K97" s="71">
        <v>45821.0</v>
      </c>
      <c r="L97" s="14"/>
      <c r="M97" s="19"/>
      <c r="N97" s="19"/>
      <c r="O97" s="94" t="s">
        <v>883</v>
      </c>
      <c r="P97" s="19"/>
    </row>
    <row r="98">
      <c r="A98" s="17">
        <v>7.0</v>
      </c>
      <c r="B98" s="103" t="s">
        <v>992</v>
      </c>
      <c r="C98" s="17" t="s">
        <v>80</v>
      </c>
      <c r="D98" s="17" t="s">
        <v>993</v>
      </c>
      <c r="E98" s="121" t="s">
        <v>994</v>
      </c>
      <c r="F98" s="17" t="s">
        <v>995</v>
      </c>
      <c r="G98" s="17" t="s">
        <v>461</v>
      </c>
      <c r="H98" s="17" t="s">
        <v>923</v>
      </c>
      <c r="I98" s="17"/>
      <c r="J98" s="19"/>
      <c r="K98" s="19"/>
      <c r="L98" s="14"/>
      <c r="M98" s="19"/>
      <c r="N98" s="19"/>
      <c r="O98" s="94" t="s">
        <v>996</v>
      </c>
      <c r="P98" s="37" t="s">
        <v>997</v>
      </c>
    </row>
    <row r="99">
      <c r="A99" s="17">
        <v>8.0</v>
      </c>
      <c r="B99" s="98" t="s">
        <v>998</v>
      </c>
      <c r="C99" s="17" t="s">
        <v>999</v>
      </c>
      <c r="D99" s="17" t="s">
        <v>1000</v>
      </c>
      <c r="E99" s="17" t="s">
        <v>1001</v>
      </c>
      <c r="F99" s="17" t="s">
        <v>1002</v>
      </c>
      <c r="G99" s="17" t="s">
        <v>934</v>
      </c>
      <c r="H99" s="17" t="s">
        <v>935</v>
      </c>
      <c r="I99" s="17"/>
      <c r="J99" s="34" t="s">
        <v>186</v>
      </c>
      <c r="K99" s="71">
        <v>45822.0</v>
      </c>
      <c r="L99" s="14"/>
      <c r="M99" s="19"/>
      <c r="N99" s="19"/>
      <c r="O99" s="116" t="s">
        <v>924</v>
      </c>
      <c r="P99" s="19"/>
    </row>
    <row r="100">
      <c r="A100" s="17">
        <v>9.0</v>
      </c>
      <c r="B100" s="103" t="s">
        <v>1003</v>
      </c>
      <c r="C100" s="17" t="s">
        <v>80</v>
      </c>
      <c r="D100" s="17" t="s">
        <v>1004</v>
      </c>
      <c r="E100" s="17" t="s">
        <v>1005</v>
      </c>
      <c r="F100" s="17" t="s">
        <v>1006</v>
      </c>
      <c r="G100" s="17" t="s">
        <v>474</v>
      </c>
      <c r="H100" s="17" t="s">
        <v>1007</v>
      </c>
      <c r="I100" s="17"/>
      <c r="J100" s="34" t="s">
        <v>186</v>
      </c>
      <c r="K100" s="71">
        <v>45831.0</v>
      </c>
      <c r="L100" s="14"/>
      <c r="M100" s="19"/>
      <c r="N100" s="19"/>
      <c r="O100" s="132">
        <v>45695.0</v>
      </c>
      <c r="P100" s="19"/>
    </row>
    <row r="101">
      <c r="A101" s="17">
        <v>9.0</v>
      </c>
      <c r="B101" s="103" t="s">
        <v>1008</v>
      </c>
      <c r="C101" s="17" t="s">
        <v>80</v>
      </c>
      <c r="D101" s="17" t="s">
        <v>1009</v>
      </c>
      <c r="E101" s="17" t="s">
        <v>1010</v>
      </c>
      <c r="F101" s="17" t="s">
        <v>1006</v>
      </c>
      <c r="G101" s="17" t="s">
        <v>474</v>
      </c>
      <c r="H101" s="17" t="s">
        <v>1007</v>
      </c>
      <c r="I101" s="17"/>
      <c r="J101" s="34" t="s">
        <v>186</v>
      </c>
      <c r="K101" s="71">
        <v>45831.0</v>
      </c>
      <c r="L101" s="14"/>
      <c r="M101" s="19"/>
      <c r="N101" s="19"/>
      <c r="O101" s="132">
        <v>45695.0</v>
      </c>
      <c r="P101" s="19"/>
    </row>
    <row r="102">
      <c r="A102" s="17">
        <v>11.0</v>
      </c>
      <c r="B102" s="152" t="s">
        <v>140</v>
      </c>
      <c r="C102" s="17" t="s">
        <v>80</v>
      </c>
      <c r="D102" s="17" t="s">
        <v>142</v>
      </c>
      <c r="E102" s="17" t="s">
        <v>1011</v>
      </c>
      <c r="F102" s="17" t="s">
        <v>958</v>
      </c>
      <c r="G102" s="17" t="s">
        <v>883</v>
      </c>
      <c r="H102" s="17" t="s">
        <v>959</v>
      </c>
      <c r="I102" s="17"/>
      <c r="J102" s="34" t="s">
        <v>234</v>
      </c>
      <c r="K102" s="71">
        <v>45967.0</v>
      </c>
      <c r="L102" s="14"/>
      <c r="M102" s="19"/>
      <c r="N102" s="19"/>
      <c r="O102" s="151">
        <v>45827.0</v>
      </c>
      <c r="P102" s="19"/>
    </row>
    <row r="103">
      <c r="A103" s="17">
        <v>12.0</v>
      </c>
      <c r="B103" s="152" t="s">
        <v>150</v>
      </c>
      <c r="C103" s="17" t="s">
        <v>80</v>
      </c>
      <c r="D103" s="17" t="s">
        <v>151</v>
      </c>
      <c r="E103" s="17" t="s">
        <v>1012</v>
      </c>
      <c r="F103" s="17" t="s">
        <v>958</v>
      </c>
      <c r="G103" s="17" t="s">
        <v>883</v>
      </c>
      <c r="H103" s="17" t="s">
        <v>959</v>
      </c>
      <c r="I103" s="17"/>
      <c r="J103" s="34" t="s">
        <v>234</v>
      </c>
      <c r="K103" s="71">
        <v>45997.0</v>
      </c>
      <c r="L103" s="14"/>
      <c r="M103" s="19"/>
      <c r="N103" s="19"/>
      <c r="O103" s="151">
        <v>45827.0</v>
      </c>
      <c r="P103" s="19"/>
    </row>
    <row r="104">
      <c r="A104" s="17">
        <v>13.0</v>
      </c>
      <c r="B104" s="152" t="s">
        <v>155</v>
      </c>
      <c r="C104" s="17" t="s">
        <v>80</v>
      </c>
      <c r="D104" s="17" t="s">
        <v>156</v>
      </c>
      <c r="E104" s="17" t="s">
        <v>1013</v>
      </c>
      <c r="F104" s="17" t="s">
        <v>958</v>
      </c>
      <c r="G104" s="17" t="s">
        <v>883</v>
      </c>
      <c r="H104" s="17" t="s">
        <v>959</v>
      </c>
      <c r="I104" s="17"/>
      <c r="J104" s="34" t="s">
        <v>234</v>
      </c>
      <c r="K104" s="71">
        <v>45997.0</v>
      </c>
      <c r="L104" s="14"/>
      <c r="M104" s="19"/>
      <c r="N104" s="19"/>
      <c r="O104" s="151">
        <v>45827.0</v>
      </c>
      <c r="P104" s="19"/>
    </row>
    <row r="105">
      <c r="A105" s="17">
        <v>14.0</v>
      </c>
      <c r="B105" s="152" t="s">
        <v>161</v>
      </c>
      <c r="C105" s="17" t="s">
        <v>80</v>
      </c>
      <c r="D105" s="17" t="s">
        <v>163</v>
      </c>
      <c r="E105" s="17" t="s">
        <v>1014</v>
      </c>
      <c r="F105" s="17" t="s">
        <v>958</v>
      </c>
      <c r="G105" s="17" t="s">
        <v>883</v>
      </c>
      <c r="H105" s="17" t="s">
        <v>959</v>
      </c>
      <c r="I105" s="17"/>
      <c r="J105" s="34" t="s">
        <v>234</v>
      </c>
      <c r="K105" s="71">
        <v>45997.0</v>
      </c>
      <c r="L105" s="14"/>
      <c r="M105" s="19"/>
      <c r="N105" s="19"/>
      <c r="O105" s="151">
        <v>45827.0</v>
      </c>
      <c r="P105" s="19"/>
    </row>
    <row r="106">
      <c r="A106" s="17">
        <v>15.0</v>
      </c>
      <c r="B106" s="152" t="s">
        <v>166</v>
      </c>
      <c r="C106" s="17" t="s">
        <v>80</v>
      </c>
      <c r="D106" s="17" t="s">
        <v>167</v>
      </c>
      <c r="E106" s="17" t="s">
        <v>1015</v>
      </c>
      <c r="F106" s="17" t="s">
        <v>958</v>
      </c>
      <c r="G106" s="17" t="s">
        <v>883</v>
      </c>
      <c r="H106" s="17" t="s">
        <v>959</v>
      </c>
      <c r="I106" s="17"/>
      <c r="J106" s="34" t="s">
        <v>234</v>
      </c>
      <c r="K106" s="71">
        <v>45997.0</v>
      </c>
      <c r="L106" s="14"/>
      <c r="M106" s="19"/>
      <c r="N106" s="19"/>
      <c r="O106" s="151">
        <v>45827.0</v>
      </c>
      <c r="P106" s="19"/>
    </row>
    <row r="107">
      <c r="A107" s="17">
        <v>16.0</v>
      </c>
      <c r="B107" s="152" t="s">
        <v>174</v>
      </c>
      <c r="C107" s="17" t="s">
        <v>80</v>
      </c>
      <c r="D107" s="17" t="s">
        <v>175</v>
      </c>
      <c r="E107" s="17" t="s">
        <v>1016</v>
      </c>
      <c r="F107" s="17" t="s">
        <v>958</v>
      </c>
      <c r="G107" s="17" t="s">
        <v>883</v>
      </c>
      <c r="H107" s="17" t="s">
        <v>959</v>
      </c>
      <c r="I107" s="17"/>
      <c r="J107" s="34" t="s">
        <v>234</v>
      </c>
      <c r="K107" s="71">
        <v>45997.0</v>
      </c>
      <c r="L107" s="14"/>
      <c r="M107" s="19"/>
      <c r="N107" s="19"/>
      <c r="O107" s="151">
        <v>45827.0</v>
      </c>
      <c r="P107" s="19"/>
    </row>
    <row r="108">
      <c r="A108" s="17">
        <v>17.0</v>
      </c>
      <c r="B108" s="152" t="s">
        <v>182</v>
      </c>
      <c r="C108" s="17" t="s">
        <v>80</v>
      </c>
      <c r="D108" s="17" t="s">
        <v>184</v>
      </c>
      <c r="E108" s="17" t="s">
        <v>1017</v>
      </c>
      <c r="F108" s="17" t="s">
        <v>958</v>
      </c>
      <c r="G108" s="17" t="s">
        <v>883</v>
      </c>
      <c r="H108" s="17" t="s">
        <v>959</v>
      </c>
      <c r="I108" s="17"/>
      <c r="J108" s="34" t="s">
        <v>234</v>
      </c>
      <c r="K108" s="71">
        <v>45997.0</v>
      </c>
      <c r="L108" s="14"/>
      <c r="M108" s="19"/>
      <c r="N108" s="19"/>
      <c r="O108" s="151">
        <v>45827.0</v>
      </c>
      <c r="P108" s="19"/>
    </row>
    <row r="109">
      <c r="A109" s="17">
        <v>18.0</v>
      </c>
      <c r="B109" s="152" t="s">
        <v>187</v>
      </c>
      <c r="C109" s="17" t="s">
        <v>80</v>
      </c>
      <c r="D109" s="17" t="s">
        <v>191</v>
      </c>
      <c r="E109" s="17" t="s">
        <v>1018</v>
      </c>
      <c r="F109" s="17" t="s">
        <v>958</v>
      </c>
      <c r="G109" s="17" t="s">
        <v>883</v>
      </c>
      <c r="H109" s="17" t="s">
        <v>959</v>
      </c>
      <c r="I109" s="17"/>
      <c r="J109" s="34" t="s">
        <v>234</v>
      </c>
      <c r="K109" s="71">
        <v>45997.0</v>
      </c>
      <c r="L109" s="14"/>
      <c r="M109" s="19"/>
      <c r="N109" s="19"/>
      <c r="O109" s="151">
        <v>45827.0</v>
      </c>
      <c r="P109" s="19"/>
    </row>
    <row r="110">
      <c r="A110" s="17">
        <v>19.0</v>
      </c>
      <c r="B110" s="152" t="s">
        <v>196</v>
      </c>
      <c r="C110" s="17" t="s">
        <v>80</v>
      </c>
      <c r="D110" s="17" t="s">
        <v>197</v>
      </c>
      <c r="E110" s="17" t="s">
        <v>1019</v>
      </c>
      <c r="F110" s="17" t="s">
        <v>958</v>
      </c>
      <c r="G110" s="17" t="s">
        <v>883</v>
      </c>
      <c r="H110" s="17" t="s">
        <v>959</v>
      </c>
      <c r="I110" s="17"/>
      <c r="J110" s="34" t="s">
        <v>1020</v>
      </c>
      <c r="K110" s="19"/>
      <c r="L110" s="12" t="s">
        <v>234</v>
      </c>
      <c r="M110" s="19"/>
      <c r="N110" s="19"/>
      <c r="O110" s="151">
        <v>45827.0</v>
      </c>
      <c r="P110" s="19"/>
    </row>
    <row r="111">
      <c r="A111" s="17">
        <v>20.0</v>
      </c>
      <c r="B111" s="152" t="s">
        <v>200</v>
      </c>
      <c r="C111" s="17" t="s">
        <v>80</v>
      </c>
      <c r="D111" s="17" t="s">
        <v>202</v>
      </c>
      <c r="E111" s="17" t="s">
        <v>1021</v>
      </c>
      <c r="F111" s="17" t="s">
        <v>958</v>
      </c>
      <c r="G111" s="17" t="s">
        <v>883</v>
      </c>
      <c r="H111" s="17" t="s">
        <v>959</v>
      </c>
      <c r="I111" s="17"/>
      <c r="J111" s="34" t="s">
        <v>1020</v>
      </c>
      <c r="K111" s="19"/>
      <c r="L111" s="12" t="s">
        <v>234</v>
      </c>
      <c r="M111" s="19"/>
      <c r="N111" s="19"/>
      <c r="O111" s="151">
        <v>45827.0</v>
      </c>
      <c r="P111" s="19"/>
    </row>
    <row r="112">
      <c r="A112" s="17">
        <v>21.0</v>
      </c>
      <c r="B112" s="152" t="s">
        <v>213</v>
      </c>
      <c r="C112" s="17" t="s">
        <v>80</v>
      </c>
      <c r="D112" s="17" t="s">
        <v>215</v>
      </c>
      <c r="E112" s="17" t="s">
        <v>1022</v>
      </c>
      <c r="F112" s="17" t="s">
        <v>958</v>
      </c>
      <c r="G112" s="17" t="s">
        <v>883</v>
      </c>
      <c r="H112" s="17" t="s">
        <v>959</v>
      </c>
      <c r="I112" s="17"/>
      <c r="J112" s="34" t="s">
        <v>1020</v>
      </c>
      <c r="K112" s="19"/>
      <c r="L112" s="12" t="s">
        <v>234</v>
      </c>
      <c r="M112" s="19"/>
      <c r="N112" s="19"/>
      <c r="O112" s="151">
        <v>45827.0</v>
      </c>
      <c r="P112" s="19"/>
    </row>
    <row r="113">
      <c r="A113" s="17">
        <v>22.0</v>
      </c>
      <c r="B113" s="152" t="s">
        <v>219</v>
      </c>
      <c r="C113" s="17" t="s">
        <v>80</v>
      </c>
      <c r="D113" s="17" t="s">
        <v>220</v>
      </c>
      <c r="E113" s="17" t="s">
        <v>1023</v>
      </c>
      <c r="F113" s="17" t="s">
        <v>958</v>
      </c>
      <c r="G113" s="17" t="s">
        <v>883</v>
      </c>
      <c r="H113" s="17" t="s">
        <v>959</v>
      </c>
      <c r="I113" s="17"/>
      <c r="J113" s="34" t="s">
        <v>1020</v>
      </c>
      <c r="K113" s="19"/>
      <c r="L113" s="12" t="s">
        <v>234</v>
      </c>
      <c r="M113" s="19"/>
      <c r="N113" s="19"/>
      <c r="O113" s="151">
        <v>45827.0</v>
      </c>
      <c r="P113" s="19"/>
    </row>
    <row r="114">
      <c r="A114" s="17">
        <v>23.0</v>
      </c>
      <c r="B114" s="152" t="s">
        <v>224</v>
      </c>
      <c r="C114" s="17" t="s">
        <v>80</v>
      </c>
      <c r="D114" s="17" t="s">
        <v>227</v>
      </c>
      <c r="E114" s="17" t="s">
        <v>1024</v>
      </c>
      <c r="F114" s="17" t="s">
        <v>958</v>
      </c>
      <c r="G114" s="17" t="s">
        <v>883</v>
      </c>
      <c r="H114" s="17" t="s">
        <v>959</v>
      </c>
      <c r="I114" s="17"/>
      <c r="J114" s="34" t="s">
        <v>1020</v>
      </c>
      <c r="K114" s="19"/>
      <c r="L114" s="12" t="s">
        <v>234</v>
      </c>
      <c r="M114" s="19"/>
      <c r="N114" s="19"/>
      <c r="O114" s="151">
        <v>45827.0</v>
      </c>
      <c r="P114" s="19"/>
    </row>
    <row r="115">
      <c r="A115" s="144"/>
      <c r="B115" s="103" t="s">
        <v>1025</v>
      </c>
      <c r="C115" s="145"/>
      <c r="D115" s="145"/>
      <c r="E115" s="145"/>
      <c r="F115" s="145"/>
      <c r="G115" s="145"/>
      <c r="H115" s="145"/>
      <c r="I115" s="145"/>
      <c r="J115" s="19"/>
      <c r="K115" s="19"/>
      <c r="L115" s="14"/>
      <c r="M115" s="19"/>
      <c r="N115" s="19"/>
      <c r="O115" s="19"/>
      <c r="P115" s="19"/>
    </row>
    <row r="116">
      <c r="A116" s="144"/>
      <c r="B116" s="144"/>
      <c r="C116" s="145"/>
      <c r="D116" s="145"/>
      <c r="E116" s="145"/>
      <c r="F116" s="145"/>
      <c r="G116" s="145"/>
      <c r="H116" s="145"/>
      <c r="I116" s="145"/>
      <c r="J116" s="19"/>
      <c r="K116" s="19"/>
      <c r="L116" s="14"/>
      <c r="M116" s="19"/>
      <c r="N116" s="19"/>
      <c r="O116" s="19"/>
      <c r="P116" s="19"/>
    </row>
    <row r="117">
      <c r="A117" s="80" t="s">
        <v>1026</v>
      </c>
      <c r="B117" s="5"/>
      <c r="C117" s="5"/>
      <c r="D117" s="5"/>
      <c r="E117" s="5"/>
      <c r="F117" s="5"/>
      <c r="G117" s="5"/>
      <c r="H117" s="7"/>
      <c r="I117" s="78"/>
      <c r="J117" s="19"/>
      <c r="K117" s="19"/>
      <c r="L117" s="14"/>
      <c r="M117" s="19"/>
      <c r="N117" s="19"/>
      <c r="O117" s="19"/>
      <c r="P117" s="19"/>
    </row>
    <row r="118">
      <c r="A118" s="41" t="s">
        <v>47</v>
      </c>
      <c r="B118" s="42" t="s">
        <v>7</v>
      </c>
      <c r="C118" s="42" t="s">
        <v>56</v>
      </c>
      <c r="D118" s="42" t="s">
        <v>787</v>
      </c>
      <c r="E118" s="42" t="s">
        <v>30</v>
      </c>
      <c r="F118" s="42" t="s">
        <v>12</v>
      </c>
      <c r="G118" s="42" t="s">
        <v>33</v>
      </c>
      <c r="H118" s="46" t="s">
        <v>34</v>
      </c>
      <c r="I118" s="46"/>
      <c r="J118" s="42" t="s">
        <v>67</v>
      </c>
      <c r="K118" s="42" t="s">
        <v>16</v>
      </c>
      <c r="L118" s="42" t="s">
        <v>35</v>
      </c>
      <c r="M118" s="42" t="s">
        <v>18</v>
      </c>
      <c r="N118" s="42" t="s">
        <v>19</v>
      </c>
      <c r="O118" s="42" t="s">
        <v>20</v>
      </c>
      <c r="P118" s="42" t="s">
        <v>21</v>
      </c>
    </row>
    <row r="119">
      <c r="A119" s="17">
        <v>1.0</v>
      </c>
      <c r="B119" s="103" t="s">
        <v>1027</v>
      </c>
      <c r="C119" s="17" t="s">
        <v>1028</v>
      </c>
      <c r="D119" s="17" t="s">
        <v>1029</v>
      </c>
      <c r="E119" s="121" t="s">
        <v>1030</v>
      </c>
      <c r="F119" s="17" t="s">
        <v>404</v>
      </c>
      <c r="G119" s="17" t="s">
        <v>404</v>
      </c>
      <c r="H119" s="17" t="s">
        <v>404</v>
      </c>
      <c r="I119" s="17"/>
      <c r="J119" s="19"/>
      <c r="K119" s="19"/>
      <c r="L119" s="14"/>
      <c r="M119" s="19"/>
      <c r="N119" s="19"/>
      <c r="O119" s="94" t="s">
        <v>337</v>
      </c>
      <c r="P119" s="19"/>
    </row>
    <row r="120">
      <c r="A120" s="17">
        <v>2.0</v>
      </c>
      <c r="B120" s="103" t="s">
        <v>1031</v>
      </c>
      <c r="C120" s="17" t="s">
        <v>80</v>
      </c>
      <c r="D120" s="17" t="s">
        <v>1032</v>
      </c>
      <c r="E120" s="17" t="s">
        <v>1033</v>
      </c>
      <c r="F120" s="17" t="s">
        <v>404</v>
      </c>
      <c r="G120" s="17" t="s">
        <v>941</v>
      </c>
      <c r="H120" s="17" t="s">
        <v>942</v>
      </c>
      <c r="I120" s="17"/>
      <c r="J120" s="19"/>
      <c r="K120" s="19"/>
      <c r="L120" s="14"/>
      <c r="M120" s="19"/>
      <c r="N120" s="19"/>
      <c r="O120" s="94" t="s">
        <v>514</v>
      </c>
      <c r="P120" s="19"/>
    </row>
    <row r="121">
      <c r="A121" s="17">
        <v>3.0</v>
      </c>
      <c r="B121" s="152" t="s">
        <v>1034</v>
      </c>
      <c r="C121" s="17" t="s">
        <v>80</v>
      </c>
      <c r="D121" s="17" t="s">
        <v>1035</v>
      </c>
      <c r="E121" s="17" t="s">
        <v>1036</v>
      </c>
      <c r="F121" s="17" t="s">
        <v>404</v>
      </c>
      <c r="G121" s="17" t="s">
        <v>941</v>
      </c>
      <c r="H121" s="17" t="s">
        <v>942</v>
      </c>
      <c r="I121" s="17"/>
      <c r="J121" s="19"/>
      <c r="K121" s="19"/>
      <c r="L121" s="14"/>
      <c r="M121" s="19"/>
      <c r="N121" s="19"/>
      <c r="O121" s="94" t="s">
        <v>514</v>
      </c>
      <c r="P121" s="19"/>
    </row>
    <row r="122">
      <c r="A122" s="17">
        <v>4.0</v>
      </c>
      <c r="B122" s="103" t="s">
        <v>1037</v>
      </c>
      <c r="C122" s="17" t="s">
        <v>80</v>
      </c>
      <c r="D122" s="17" t="s">
        <v>1038</v>
      </c>
      <c r="E122" s="17" t="s">
        <v>1039</v>
      </c>
      <c r="F122" s="17" t="s">
        <v>228</v>
      </c>
      <c r="G122" s="17" t="s">
        <v>941</v>
      </c>
      <c r="H122" s="17" t="s">
        <v>942</v>
      </c>
      <c r="I122" s="17"/>
      <c r="J122" s="34" t="s">
        <v>234</v>
      </c>
      <c r="K122" s="19"/>
      <c r="L122" s="33" t="s">
        <v>236</v>
      </c>
      <c r="M122" s="19"/>
      <c r="N122" s="19"/>
      <c r="O122" s="156">
        <v>45907.0</v>
      </c>
      <c r="P122" s="157" t="s">
        <v>94</v>
      </c>
    </row>
    <row r="123" ht="15.75" customHeight="1">
      <c r="A123" s="17">
        <v>5.0</v>
      </c>
      <c r="B123" s="103" t="s">
        <v>1040</v>
      </c>
      <c r="C123" s="17" t="s">
        <v>80</v>
      </c>
      <c r="D123" s="17" t="s">
        <v>1041</v>
      </c>
      <c r="E123" s="17" t="s">
        <v>1042</v>
      </c>
      <c r="F123" s="17" t="s">
        <v>25</v>
      </c>
      <c r="G123" s="17" t="s">
        <v>393</v>
      </c>
      <c r="H123" s="17" t="s">
        <v>912</v>
      </c>
      <c r="I123" s="17"/>
      <c r="J123" s="34" t="s">
        <v>186</v>
      </c>
      <c r="K123" s="71">
        <v>45821.0</v>
      </c>
      <c r="L123" s="14"/>
      <c r="M123" s="19"/>
      <c r="N123" s="19"/>
      <c r="O123" s="116" t="s">
        <v>943</v>
      </c>
      <c r="P123" s="19"/>
    </row>
    <row r="124">
      <c r="A124" s="17">
        <v>6.0</v>
      </c>
      <c r="B124" s="103" t="s">
        <v>1043</v>
      </c>
      <c r="C124" s="17" t="s">
        <v>80</v>
      </c>
      <c r="D124" s="17" t="s">
        <v>1044</v>
      </c>
      <c r="E124" s="17" t="s">
        <v>1045</v>
      </c>
      <c r="F124" s="17" t="s">
        <v>25</v>
      </c>
      <c r="G124" s="17" t="s">
        <v>934</v>
      </c>
      <c r="H124" s="17" t="s">
        <v>935</v>
      </c>
      <c r="I124" s="17"/>
      <c r="J124" s="34" t="s">
        <v>234</v>
      </c>
      <c r="K124" s="34" t="s">
        <v>1046</v>
      </c>
      <c r="L124" s="14"/>
      <c r="M124" s="19"/>
      <c r="N124" s="19"/>
      <c r="O124" s="34" t="s">
        <v>943</v>
      </c>
      <c r="P124" s="19"/>
    </row>
    <row r="125">
      <c r="A125" s="17">
        <v>7.0</v>
      </c>
      <c r="B125" s="103" t="s">
        <v>1047</v>
      </c>
      <c r="C125" s="17" t="s">
        <v>80</v>
      </c>
      <c r="D125" s="17" t="s">
        <v>1048</v>
      </c>
      <c r="E125" s="17" t="s">
        <v>1049</v>
      </c>
      <c r="F125" s="17" t="s">
        <v>25</v>
      </c>
      <c r="G125" s="17" t="s">
        <v>393</v>
      </c>
      <c r="H125" s="17" t="s">
        <v>912</v>
      </c>
      <c r="I125" s="17"/>
      <c r="J125" s="34" t="s">
        <v>186</v>
      </c>
      <c r="K125" s="71">
        <v>45834.0</v>
      </c>
      <c r="L125" s="14"/>
      <c r="M125" s="19"/>
      <c r="N125" s="19"/>
      <c r="O125" s="132">
        <v>45695.0</v>
      </c>
      <c r="P125" s="19"/>
    </row>
    <row r="126">
      <c r="A126" s="17">
        <v>8.0</v>
      </c>
      <c r="B126" s="103" t="s">
        <v>1050</v>
      </c>
      <c r="C126" s="17"/>
      <c r="D126" s="17" t="s">
        <v>1051</v>
      </c>
      <c r="E126" s="17" t="s">
        <v>1052</v>
      </c>
      <c r="F126" s="17" t="s">
        <v>137</v>
      </c>
      <c r="G126" s="17" t="s">
        <v>474</v>
      </c>
      <c r="H126" s="17" t="s">
        <v>1007</v>
      </c>
      <c r="I126" s="17"/>
      <c r="J126" s="34" t="s">
        <v>234</v>
      </c>
      <c r="K126" s="34" t="s">
        <v>1053</v>
      </c>
      <c r="L126" s="14"/>
      <c r="M126" s="19"/>
      <c r="N126" s="19"/>
      <c r="O126" s="34" t="s">
        <v>92</v>
      </c>
      <c r="P126" s="19"/>
    </row>
    <row r="127">
      <c r="A127" s="17">
        <v>9.0</v>
      </c>
      <c r="B127" s="103" t="s">
        <v>1054</v>
      </c>
      <c r="C127" s="17" t="s">
        <v>80</v>
      </c>
      <c r="D127" s="17" t="s">
        <v>1055</v>
      </c>
      <c r="E127" s="17" t="s">
        <v>1056</v>
      </c>
      <c r="F127" s="17" t="s">
        <v>137</v>
      </c>
      <c r="G127" s="17" t="s">
        <v>941</v>
      </c>
      <c r="H127" s="17" t="s">
        <v>942</v>
      </c>
      <c r="I127" s="17"/>
      <c r="J127" s="34" t="s">
        <v>186</v>
      </c>
      <c r="K127" s="71">
        <v>45821.0</v>
      </c>
      <c r="L127" s="14"/>
      <c r="M127" s="19"/>
      <c r="N127" s="19"/>
      <c r="O127" s="120" t="s">
        <v>570</v>
      </c>
      <c r="P127" s="19"/>
    </row>
    <row r="128">
      <c r="A128" s="17">
        <v>10.0</v>
      </c>
      <c r="B128" s="103" t="s">
        <v>1057</v>
      </c>
      <c r="C128" s="17" t="s">
        <v>1058</v>
      </c>
      <c r="D128" s="17" t="s">
        <v>1059</v>
      </c>
      <c r="E128" s="17" t="s">
        <v>1060</v>
      </c>
      <c r="F128" s="17" t="s">
        <v>535</v>
      </c>
      <c r="G128" s="17" t="s">
        <v>461</v>
      </c>
      <c r="H128" s="17" t="s">
        <v>923</v>
      </c>
      <c r="I128" s="17"/>
      <c r="J128" s="34" t="s">
        <v>186</v>
      </c>
      <c r="K128" s="71">
        <v>45831.0</v>
      </c>
      <c r="L128" s="14"/>
      <c r="M128" s="19"/>
      <c r="N128" s="19"/>
      <c r="O128" s="116" t="s">
        <v>943</v>
      </c>
      <c r="P128" s="19"/>
    </row>
    <row r="129">
      <c r="A129" s="17">
        <v>11.0</v>
      </c>
      <c r="B129" s="152" t="s">
        <v>249</v>
      </c>
      <c r="C129" s="17" t="s">
        <v>80</v>
      </c>
      <c r="D129" s="17" t="s">
        <v>251</v>
      </c>
      <c r="E129" s="17" t="s">
        <v>1061</v>
      </c>
      <c r="F129" s="17" t="s">
        <v>958</v>
      </c>
      <c r="G129" s="17" t="s">
        <v>883</v>
      </c>
      <c r="H129" s="17" t="s">
        <v>959</v>
      </c>
      <c r="I129" s="17"/>
      <c r="J129" s="34" t="s">
        <v>234</v>
      </c>
      <c r="K129" s="71">
        <v>45997.0</v>
      </c>
      <c r="L129" s="14"/>
      <c r="M129" s="19"/>
      <c r="N129" s="19"/>
      <c r="O129" s="151">
        <v>45827.0</v>
      </c>
      <c r="P129" s="19"/>
    </row>
    <row r="130">
      <c r="A130" s="17">
        <v>12.0</v>
      </c>
      <c r="B130" s="152" t="s">
        <v>257</v>
      </c>
      <c r="C130" s="17" t="s">
        <v>80</v>
      </c>
      <c r="D130" s="17" t="s">
        <v>258</v>
      </c>
      <c r="E130" s="17" t="s">
        <v>1062</v>
      </c>
      <c r="F130" s="17" t="s">
        <v>958</v>
      </c>
      <c r="G130" s="17" t="s">
        <v>883</v>
      </c>
      <c r="H130" s="17" t="s">
        <v>959</v>
      </c>
      <c r="I130" s="17"/>
      <c r="J130" s="34" t="s">
        <v>1020</v>
      </c>
      <c r="K130" s="19"/>
      <c r="L130" s="12" t="s">
        <v>234</v>
      </c>
      <c r="M130" s="19"/>
      <c r="N130" s="19"/>
      <c r="O130" s="151">
        <v>45827.0</v>
      </c>
      <c r="P130" s="19"/>
    </row>
    <row r="131">
      <c r="A131" s="17">
        <v>13.0</v>
      </c>
      <c r="B131" s="152" t="s">
        <v>265</v>
      </c>
      <c r="C131" s="17" t="s">
        <v>80</v>
      </c>
      <c r="D131" s="17" t="s">
        <v>267</v>
      </c>
      <c r="E131" s="17" t="s">
        <v>1063</v>
      </c>
      <c r="F131" s="17" t="s">
        <v>958</v>
      </c>
      <c r="G131" s="17" t="s">
        <v>883</v>
      </c>
      <c r="H131" s="17" t="s">
        <v>959</v>
      </c>
      <c r="I131" s="17"/>
      <c r="J131" s="34" t="s">
        <v>1020</v>
      </c>
      <c r="K131" s="19"/>
      <c r="L131" s="12" t="s">
        <v>234</v>
      </c>
      <c r="M131" s="19"/>
      <c r="N131" s="19"/>
      <c r="O131" s="151">
        <v>45827.0</v>
      </c>
      <c r="P131" s="19"/>
    </row>
    <row r="132">
      <c r="A132" s="17">
        <v>14.0</v>
      </c>
      <c r="B132" s="152" t="s">
        <v>273</v>
      </c>
      <c r="C132" s="17" t="s">
        <v>80</v>
      </c>
      <c r="D132" s="17" t="s">
        <v>275</v>
      </c>
      <c r="E132" s="17" t="s">
        <v>1064</v>
      </c>
      <c r="F132" s="17" t="s">
        <v>958</v>
      </c>
      <c r="G132" s="17" t="s">
        <v>883</v>
      </c>
      <c r="H132" s="17" t="s">
        <v>959</v>
      </c>
      <c r="I132" s="17"/>
      <c r="J132" s="34" t="s">
        <v>234</v>
      </c>
      <c r="K132" s="71">
        <v>45997.0</v>
      </c>
      <c r="L132" s="14"/>
      <c r="M132" s="19"/>
      <c r="N132" s="19"/>
      <c r="O132" s="151">
        <v>45827.0</v>
      </c>
      <c r="P132" s="19"/>
    </row>
    <row r="133">
      <c r="A133" s="17">
        <v>15.0</v>
      </c>
      <c r="B133" s="152" t="s">
        <v>279</v>
      </c>
      <c r="C133" s="17" t="s">
        <v>80</v>
      </c>
      <c r="D133" s="17" t="s">
        <v>280</v>
      </c>
      <c r="E133" s="17" t="s">
        <v>1065</v>
      </c>
      <c r="F133" s="17" t="s">
        <v>958</v>
      </c>
      <c r="G133" s="17" t="s">
        <v>883</v>
      </c>
      <c r="H133" s="17" t="s">
        <v>959</v>
      </c>
      <c r="I133" s="17"/>
      <c r="J133" s="34" t="s">
        <v>1020</v>
      </c>
      <c r="K133" s="19"/>
      <c r="L133" s="12" t="s">
        <v>234</v>
      </c>
      <c r="M133" s="19"/>
      <c r="N133" s="19"/>
      <c r="O133" s="151">
        <v>45827.0</v>
      </c>
      <c r="P133" s="19"/>
    </row>
    <row r="134">
      <c r="A134" s="121">
        <v>16.0</v>
      </c>
      <c r="B134" s="152" t="s">
        <v>284</v>
      </c>
      <c r="C134" s="17" t="s">
        <v>80</v>
      </c>
      <c r="D134" s="17" t="s">
        <v>285</v>
      </c>
      <c r="E134" s="17" t="s">
        <v>1066</v>
      </c>
      <c r="F134" s="17" t="s">
        <v>958</v>
      </c>
      <c r="G134" s="17" t="s">
        <v>883</v>
      </c>
      <c r="H134" s="17" t="s">
        <v>959</v>
      </c>
      <c r="I134" s="17"/>
      <c r="J134" s="34" t="s">
        <v>1020</v>
      </c>
      <c r="K134" s="19"/>
      <c r="L134" s="12" t="s">
        <v>234</v>
      </c>
      <c r="M134" s="19"/>
      <c r="N134" s="19"/>
      <c r="O134" s="151">
        <v>45827.0</v>
      </c>
      <c r="P134" s="19"/>
    </row>
    <row r="135">
      <c r="A135" s="121">
        <v>17.0</v>
      </c>
      <c r="B135" s="152" t="s">
        <v>291</v>
      </c>
      <c r="C135" s="17" t="s">
        <v>80</v>
      </c>
      <c r="D135" s="17" t="s">
        <v>293</v>
      </c>
      <c r="E135" s="17" t="s">
        <v>1067</v>
      </c>
      <c r="F135" s="17" t="s">
        <v>958</v>
      </c>
      <c r="G135" s="17" t="s">
        <v>883</v>
      </c>
      <c r="H135" s="17" t="s">
        <v>959</v>
      </c>
      <c r="I135" s="17"/>
      <c r="J135" s="34" t="s">
        <v>1020</v>
      </c>
      <c r="K135" s="19"/>
      <c r="L135" s="12" t="s">
        <v>234</v>
      </c>
      <c r="M135" s="19"/>
      <c r="N135" s="19"/>
      <c r="O135" s="151">
        <v>45827.0</v>
      </c>
      <c r="P135" s="19"/>
    </row>
    <row r="136">
      <c r="A136" s="121">
        <v>18.0</v>
      </c>
      <c r="B136" s="152" t="s">
        <v>301</v>
      </c>
      <c r="C136" s="17" t="s">
        <v>80</v>
      </c>
      <c r="D136" s="17" t="s">
        <v>302</v>
      </c>
      <c r="E136" s="17" t="s">
        <v>1068</v>
      </c>
      <c r="F136" s="17" t="s">
        <v>958</v>
      </c>
      <c r="G136" s="17" t="s">
        <v>883</v>
      </c>
      <c r="H136" s="17" t="s">
        <v>959</v>
      </c>
      <c r="I136" s="17"/>
      <c r="J136" s="34" t="s">
        <v>1020</v>
      </c>
      <c r="K136" s="19"/>
      <c r="L136" s="12" t="s">
        <v>234</v>
      </c>
      <c r="M136" s="19"/>
      <c r="N136" s="19"/>
      <c r="O136" s="151">
        <v>45827.0</v>
      </c>
      <c r="P136" s="19"/>
    </row>
    <row r="137">
      <c r="A137" s="121">
        <v>19.0</v>
      </c>
      <c r="B137" s="152" t="s">
        <v>304</v>
      </c>
      <c r="C137" s="17" t="s">
        <v>80</v>
      </c>
      <c r="D137" s="17" t="s">
        <v>306</v>
      </c>
      <c r="E137" s="17" t="s">
        <v>1069</v>
      </c>
      <c r="F137" s="17" t="s">
        <v>958</v>
      </c>
      <c r="G137" s="17" t="s">
        <v>883</v>
      </c>
      <c r="H137" s="17" t="s">
        <v>959</v>
      </c>
      <c r="I137" s="17"/>
      <c r="J137" s="34" t="s">
        <v>1020</v>
      </c>
      <c r="K137" s="19"/>
      <c r="L137" s="12" t="s">
        <v>234</v>
      </c>
      <c r="M137" s="19"/>
      <c r="N137" s="19"/>
      <c r="O137" s="151">
        <v>45827.0</v>
      </c>
      <c r="P137" s="19"/>
    </row>
    <row r="138">
      <c r="A138" s="121">
        <v>20.0</v>
      </c>
      <c r="B138" s="152" t="s">
        <v>311</v>
      </c>
      <c r="C138" s="17" t="s">
        <v>80</v>
      </c>
      <c r="D138" s="17" t="s">
        <v>313</v>
      </c>
      <c r="E138" s="17" t="s">
        <v>1070</v>
      </c>
      <c r="F138" s="17" t="s">
        <v>958</v>
      </c>
      <c r="G138" s="17" t="s">
        <v>883</v>
      </c>
      <c r="H138" s="17" t="s">
        <v>959</v>
      </c>
      <c r="I138" s="17"/>
      <c r="J138" s="34" t="s">
        <v>1020</v>
      </c>
      <c r="K138" s="19"/>
      <c r="L138" s="12" t="s">
        <v>234</v>
      </c>
      <c r="M138" s="19"/>
      <c r="N138" s="19"/>
      <c r="O138" s="151">
        <v>45827.0</v>
      </c>
      <c r="P138" s="19"/>
    </row>
    <row r="139">
      <c r="A139" s="19"/>
      <c r="B139" s="19"/>
      <c r="C139" s="14"/>
      <c r="D139" s="14"/>
      <c r="E139" s="14"/>
      <c r="F139" s="14"/>
      <c r="G139" s="14"/>
      <c r="H139" s="14"/>
      <c r="I139" s="14"/>
      <c r="J139" s="19"/>
      <c r="K139" s="19"/>
      <c r="L139" s="14"/>
      <c r="M139" s="19"/>
      <c r="N139" s="19"/>
      <c r="O139" s="19"/>
      <c r="P139" s="19"/>
    </row>
    <row r="140">
      <c r="A140" s="158" t="s">
        <v>1071</v>
      </c>
      <c r="B140" s="5"/>
      <c r="C140" s="5"/>
      <c r="D140" s="5"/>
      <c r="E140" s="5"/>
      <c r="F140" s="5"/>
      <c r="G140" s="5"/>
      <c r="H140" s="7"/>
      <c r="I140" s="159"/>
      <c r="J140" s="19"/>
      <c r="K140" s="19"/>
      <c r="L140" s="14"/>
      <c r="M140" s="19"/>
      <c r="N140" s="19"/>
      <c r="O140" s="19"/>
      <c r="P140" s="19"/>
    </row>
    <row r="141">
      <c r="A141" s="41" t="s">
        <v>47</v>
      </c>
      <c r="B141" s="42" t="s">
        <v>7</v>
      </c>
      <c r="C141" s="42" t="s">
        <v>56</v>
      </c>
      <c r="D141" s="42" t="s">
        <v>58</v>
      </c>
      <c r="E141" s="42" t="s">
        <v>30</v>
      </c>
      <c r="F141" s="42" t="s">
        <v>12</v>
      </c>
      <c r="G141" s="42" t="s">
        <v>33</v>
      </c>
      <c r="H141" s="160" t="s">
        <v>34</v>
      </c>
      <c r="I141" s="160"/>
      <c r="J141" s="42" t="s">
        <v>67</v>
      </c>
      <c r="K141" s="42" t="s">
        <v>16</v>
      </c>
      <c r="L141" s="42" t="s">
        <v>35</v>
      </c>
      <c r="M141" s="42" t="s">
        <v>18</v>
      </c>
      <c r="N141" s="42" t="s">
        <v>19</v>
      </c>
      <c r="O141" s="42" t="s">
        <v>20</v>
      </c>
      <c r="P141" s="42" t="s">
        <v>21</v>
      </c>
    </row>
    <row r="142">
      <c r="A142" s="17">
        <v>1.0</v>
      </c>
      <c r="B142" s="161" t="s">
        <v>132</v>
      </c>
      <c r="C142" s="64" t="s">
        <v>80</v>
      </c>
      <c r="D142" s="64" t="s">
        <v>1072</v>
      </c>
      <c r="E142" s="64" t="s">
        <v>135</v>
      </c>
      <c r="F142" s="65" t="s">
        <v>137</v>
      </c>
      <c r="G142" s="69" t="s">
        <v>1073</v>
      </c>
      <c r="H142" s="17">
        <v>21.0</v>
      </c>
      <c r="I142" s="17"/>
      <c r="J142" s="12" t="s">
        <v>186</v>
      </c>
      <c r="K142" s="34" t="s">
        <v>235</v>
      </c>
      <c r="L142" s="14"/>
      <c r="M142" s="19"/>
      <c r="N142" s="19"/>
      <c r="O142" s="132">
        <v>45754.0</v>
      </c>
      <c r="P142" s="19"/>
    </row>
    <row r="143">
      <c r="A143" s="121">
        <v>2.0</v>
      </c>
      <c r="B143" s="161" t="s">
        <v>146</v>
      </c>
      <c r="C143" s="162" t="s">
        <v>688</v>
      </c>
      <c r="D143" s="64" t="s">
        <v>1074</v>
      </c>
      <c r="E143" s="64" t="s">
        <v>147</v>
      </c>
      <c r="F143" s="65" t="s">
        <v>148</v>
      </c>
      <c r="G143" s="163">
        <v>45754.0</v>
      </c>
      <c r="H143" s="17">
        <v>25.0</v>
      </c>
      <c r="I143" s="17"/>
      <c r="J143" s="34" t="s">
        <v>236</v>
      </c>
      <c r="K143" s="34" t="s">
        <v>883</v>
      </c>
      <c r="L143" s="14"/>
      <c r="M143" s="19"/>
      <c r="N143" s="19"/>
      <c r="O143" s="116" t="s">
        <v>943</v>
      </c>
      <c r="P143" s="19"/>
    </row>
    <row r="144">
      <c r="A144" s="17">
        <v>3.0</v>
      </c>
      <c r="B144" s="161" t="s">
        <v>158</v>
      </c>
      <c r="C144" s="64" t="s">
        <v>80</v>
      </c>
      <c r="D144" s="64" t="s">
        <v>1075</v>
      </c>
      <c r="E144" s="64" t="s">
        <v>159</v>
      </c>
      <c r="F144" s="65" t="s">
        <v>160</v>
      </c>
      <c r="G144" s="69" t="s">
        <v>1073</v>
      </c>
      <c r="H144" s="17">
        <v>21.0</v>
      </c>
      <c r="I144" s="17"/>
      <c r="J144" s="34" t="s">
        <v>234</v>
      </c>
      <c r="K144" s="12" t="s">
        <v>956</v>
      </c>
      <c r="L144" s="33" t="s">
        <v>236</v>
      </c>
      <c r="M144" s="19"/>
      <c r="N144" s="19"/>
      <c r="O144" s="88">
        <v>45784.0</v>
      </c>
      <c r="P144" s="19"/>
    </row>
    <row r="145">
      <c r="A145" s="17">
        <v>4.0</v>
      </c>
      <c r="B145" s="161" t="s">
        <v>169</v>
      </c>
      <c r="C145" s="64" t="s">
        <v>80</v>
      </c>
      <c r="D145" s="64" t="s">
        <v>1076</v>
      </c>
      <c r="E145" s="64" t="s">
        <v>170</v>
      </c>
      <c r="F145" s="65" t="s">
        <v>172</v>
      </c>
      <c r="G145" s="163">
        <v>45664.0</v>
      </c>
      <c r="H145" s="17">
        <v>22.0</v>
      </c>
      <c r="I145" s="17"/>
      <c r="J145" s="34" t="s">
        <v>234</v>
      </c>
      <c r="K145" s="12" t="s">
        <v>956</v>
      </c>
      <c r="L145" s="14"/>
      <c r="M145" s="19"/>
      <c r="N145" s="19"/>
      <c r="O145" s="72">
        <v>45723.0</v>
      </c>
      <c r="P145" s="19"/>
    </row>
    <row r="146">
      <c r="A146" s="17">
        <v>5.0</v>
      </c>
      <c r="B146" s="161" t="s">
        <v>1077</v>
      </c>
      <c r="C146" s="162" t="s">
        <v>1078</v>
      </c>
      <c r="D146" s="64" t="s">
        <v>1079</v>
      </c>
      <c r="E146" s="64" t="s">
        <v>179</v>
      </c>
      <c r="F146" s="65" t="s">
        <v>180</v>
      </c>
      <c r="G146" s="163">
        <v>45722.0</v>
      </c>
      <c r="H146" s="17">
        <v>-6.0</v>
      </c>
      <c r="I146" s="17"/>
      <c r="J146" s="34" t="s">
        <v>234</v>
      </c>
      <c r="K146" s="12" t="s">
        <v>769</v>
      </c>
      <c r="L146" s="33" t="s">
        <v>236</v>
      </c>
      <c r="M146" s="19"/>
      <c r="N146" s="19"/>
      <c r="O146" s="132">
        <v>45695.0</v>
      </c>
      <c r="P146" s="19"/>
    </row>
    <row r="147">
      <c r="A147" s="17">
        <v>6.0</v>
      </c>
      <c r="B147" s="161" t="s">
        <v>188</v>
      </c>
      <c r="C147" s="64" t="s">
        <v>80</v>
      </c>
      <c r="D147" s="64" t="s">
        <v>1080</v>
      </c>
      <c r="E147" s="64" t="s">
        <v>190</v>
      </c>
      <c r="F147" s="65" t="s">
        <v>193</v>
      </c>
      <c r="G147" s="69" t="s">
        <v>1073</v>
      </c>
      <c r="H147" s="17">
        <v>21.0</v>
      </c>
      <c r="I147" s="17"/>
      <c r="J147" s="34" t="s">
        <v>234</v>
      </c>
      <c r="K147" s="164">
        <v>45695.0</v>
      </c>
      <c r="L147" s="14"/>
      <c r="M147" s="19"/>
      <c r="N147" s="19"/>
      <c r="O147" s="88">
        <v>45876.0</v>
      </c>
      <c r="P147" s="157" t="s">
        <v>94</v>
      </c>
    </row>
    <row r="148">
      <c r="A148" s="17">
        <v>7.0</v>
      </c>
      <c r="B148" s="161" t="s">
        <v>22</v>
      </c>
      <c r="C148" s="64" t="s">
        <v>80</v>
      </c>
      <c r="D148" s="64" t="s">
        <v>1081</v>
      </c>
      <c r="E148" s="64" t="s">
        <v>24</v>
      </c>
      <c r="F148" s="65" t="s">
        <v>25</v>
      </c>
      <c r="G148" s="69" t="s">
        <v>1082</v>
      </c>
      <c r="H148" s="17">
        <v>10.0</v>
      </c>
      <c r="I148" s="17"/>
      <c r="J148" s="12" t="s">
        <v>186</v>
      </c>
      <c r="K148" s="12" t="s">
        <v>337</v>
      </c>
      <c r="L148" s="14"/>
      <c r="M148" s="19"/>
      <c r="N148" s="19"/>
      <c r="O148" s="34" t="s">
        <v>1083</v>
      </c>
      <c r="P148" s="157" t="s">
        <v>94</v>
      </c>
    </row>
    <row r="149">
      <c r="A149" s="17">
        <v>8.0</v>
      </c>
      <c r="B149" s="161" t="s">
        <v>1084</v>
      </c>
      <c r="C149" s="64" t="s">
        <v>80</v>
      </c>
      <c r="D149" s="64" t="s">
        <v>1085</v>
      </c>
      <c r="E149" s="64" t="s">
        <v>1086</v>
      </c>
      <c r="F149" s="65" t="s">
        <v>25</v>
      </c>
      <c r="G149" s="69" t="s">
        <v>1082</v>
      </c>
      <c r="H149" s="17">
        <v>10.0</v>
      </c>
      <c r="I149" s="17"/>
      <c r="J149" s="12" t="s">
        <v>186</v>
      </c>
      <c r="K149" s="12" t="s">
        <v>337</v>
      </c>
      <c r="L149" s="14"/>
      <c r="M149" s="19"/>
      <c r="N149" s="19"/>
      <c r="O149" s="120" t="s">
        <v>461</v>
      </c>
      <c r="P149" s="157" t="s">
        <v>94</v>
      </c>
    </row>
    <row r="150">
      <c r="A150" s="17">
        <v>9.0</v>
      </c>
      <c r="B150" s="161" t="s">
        <v>203</v>
      </c>
      <c r="C150" s="64" t="s">
        <v>80</v>
      </c>
      <c r="D150" s="64" t="s">
        <v>1087</v>
      </c>
      <c r="E150" s="64" t="s">
        <v>205</v>
      </c>
      <c r="F150" s="65" t="s">
        <v>207</v>
      </c>
      <c r="G150" s="69" t="s">
        <v>1088</v>
      </c>
      <c r="H150" s="17">
        <v>14.0</v>
      </c>
      <c r="I150" s="17"/>
      <c r="J150" s="12" t="s">
        <v>186</v>
      </c>
      <c r="K150" s="12" t="s">
        <v>514</v>
      </c>
      <c r="L150" s="14"/>
      <c r="M150" s="19"/>
      <c r="N150" s="19"/>
      <c r="O150" s="54" t="s">
        <v>883</v>
      </c>
      <c r="P150" s="157" t="s">
        <v>94</v>
      </c>
    </row>
    <row r="151">
      <c r="A151" s="17">
        <v>10.0</v>
      </c>
      <c r="B151" s="161" t="s">
        <v>217</v>
      </c>
      <c r="C151" s="64" t="s">
        <v>80</v>
      </c>
      <c r="D151" s="64" t="s">
        <v>1089</v>
      </c>
      <c r="E151" s="64" t="s">
        <v>218</v>
      </c>
      <c r="F151" s="65" t="s">
        <v>207</v>
      </c>
      <c r="G151" s="69" t="s">
        <v>1090</v>
      </c>
      <c r="H151" s="17">
        <v>16.0</v>
      </c>
      <c r="I151" s="17"/>
      <c r="J151" s="12" t="s">
        <v>186</v>
      </c>
      <c r="K151" s="12" t="s">
        <v>337</v>
      </c>
      <c r="L151" s="14"/>
      <c r="M151" s="19"/>
      <c r="N151" s="19"/>
      <c r="O151" s="94" t="s">
        <v>1091</v>
      </c>
      <c r="P151" s="157" t="s">
        <v>94</v>
      </c>
    </row>
    <row r="152">
      <c r="A152" s="17">
        <v>11.0</v>
      </c>
      <c r="B152" s="161" t="s">
        <v>39</v>
      </c>
      <c r="C152" s="64" t="s">
        <v>80</v>
      </c>
      <c r="D152" s="64" t="s">
        <v>1092</v>
      </c>
      <c r="E152" s="64" t="s">
        <v>41</v>
      </c>
      <c r="F152" s="65" t="s">
        <v>25</v>
      </c>
      <c r="G152" s="163">
        <v>45814.0</v>
      </c>
      <c r="H152" s="17">
        <v>-3.0</v>
      </c>
      <c r="I152" s="17"/>
      <c r="J152" s="12" t="s">
        <v>186</v>
      </c>
      <c r="K152" s="12" t="s">
        <v>514</v>
      </c>
      <c r="L152" s="14"/>
      <c r="M152" s="19"/>
      <c r="N152" s="19"/>
      <c r="O152" s="132">
        <v>45695.0</v>
      </c>
      <c r="P152" s="157" t="s">
        <v>94</v>
      </c>
    </row>
    <row r="153">
      <c r="A153" s="17">
        <v>12.0</v>
      </c>
      <c r="B153" s="161" t="s">
        <v>230</v>
      </c>
      <c r="C153" s="162" t="s">
        <v>1078</v>
      </c>
      <c r="D153" s="64" t="s">
        <v>1093</v>
      </c>
      <c r="E153" s="64" t="s">
        <v>231</v>
      </c>
      <c r="F153" s="65" t="s">
        <v>232</v>
      </c>
      <c r="G153" s="69" t="s">
        <v>1094</v>
      </c>
      <c r="H153" s="17">
        <v>18.0</v>
      </c>
      <c r="I153" s="17"/>
      <c r="J153" s="34" t="s">
        <v>234</v>
      </c>
      <c r="K153" s="12" t="s">
        <v>446</v>
      </c>
      <c r="L153" s="14"/>
      <c r="M153" s="19"/>
      <c r="N153" s="19"/>
      <c r="O153" s="132">
        <v>45754.0</v>
      </c>
      <c r="P153" s="157" t="s">
        <v>94</v>
      </c>
    </row>
    <row r="154">
      <c r="A154" s="17">
        <v>13.0</v>
      </c>
      <c r="B154" s="161" t="s">
        <v>52</v>
      </c>
      <c r="C154" s="64" t="s">
        <v>80</v>
      </c>
      <c r="D154" s="64" t="s">
        <v>1095</v>
      </c>
      <c r="E154" s="64" t="s">
        <v>53</v>
      </c>
      <c r="F154" s="65" t="s">
        <v>25</v>
      </c>
      <c r="G154" s="69" t="s">
        <v>1090</v>
      </c>
      <c r="H154" s="17">
        <v>16.0</v>
      </c>
      <c r="I154" s="17"/>
      <c r="J154" s="34" t="s">
        <v>234</v>
      </c>
      <c r="K154" s="12" t="s">
        <v>1046</v>
      </c>
      <c r="L154" s="14"/>
      <c r="M154" s="19"/>
      <c r="N154" s="19"/>
      <c r="O154" s="120" t="s">
        <v>474</v>
      </c>
      <c r="P154" s="157" t="s">
        <v>94</v>
      </c>
    </row>
    <row r="155">
      <c r="A155" s="17"/>
      <c r="B155" s="161"/>
      <c r="C155" s="64"/>
      <c r="D155" s="64"/>
      <c r="E155" s="64"/>
      <c r="F155" s="65"/>
      <c r="G155" s="69"/>
      <c r="H155" s="17"/>
      <c r="I155" s="17"/>
      <c r="J155" s="19"/>
      <c r="K155" s="12"/>
      <c r="L155" s="14"/>
      <c r="M155" s="19"/>
      <c r="N155" s="19"/>
      <c r="O155" s="116"/>
      <c r="P155" s="157"/>
    </row>
    <row r="156">
      <c r="A156" s="121">
        <v>15.0</v>
      </c>
      <c r="B156" s="161" t="s">
        <v>336</v>
      </c>
      <c r="C156" s="64" t="s">
        <v>80</v>
      </c>
      <c r="D156" s="64" t="s">
        <v>338</v>
      </c>
      <c r="E156" s="64" t="s">
        <v>343</v>
      </c>
      <c r="F156" s="65" t="s">
        <v>958</v>
      </c>
      <c r="G156" s="165"/>
      <c r="H156" s="145"/>
      <c r="I156" s="145"/>
      <c r="J156" s="12" t="s">
        <v>186</v>
      </c>
      <c r="K156" s="12" t="s">
        <v>862</v>
      </c>
      <c r="L156" s="14"/>
      <c r="M156" s="19"/>
      <c r="N156" s="19"/>
      <c r="O156" s="151">
        <v>45829.0</v>
      </c>
      <c r="P156" s="157" t="s">
        <v>94</v>
      </c>
    </row>
    <row r="157">
      <c r="A157" s="17">
        <v>16.0</v>
      </c>
      <c r="B157" s="161" t="s">
        <v>348</v>
      </c>
      <c r="C157" s="64" t="s">
        <v>80</v>
      </c>
      <c r="D157" s="64" t="s">
        <v>350</v>
      </c>
      <c r="E157" s="64" t="s">
        <v>352</v>
      </c>
      <c r="F157" s="65" t="s">
        <v>958</v>
      </c>
      <c r="G157" s="165"/>
      <c r="H157" s="145"/>
      <c r="I157" s="145"/>
      <c r="J157" s="12" t="s">
        <v>186</v>
      </c>
      <c r="K157" s="12" t="s">
        <v>862</v>
      </c>
      <c r="L157" s="14"/>
      <c r="M157" s="19"/>
      <c r="N157" s="19"/>
      <c r="O157" s="19"/>
      <c r="P157" s="157" t="s">
        <v>94</v>
      </c>
    </row>
    <row r="158">
      <c r="A158" s="17">
        <v>17.0</v>
      </c>
      <c r="B158" s="161" t="s">
        <v>357</v>
      </c>
      <c r="C158" s="64" t="s">
        <v>80</v>
      </c>
      <c r="D158" s="64" t="s">
        <v>359</v>
      </c>
      <c r="E158" s="64" t="s">
        <v>360</v>
      </c>
      <c r="F158" s="65" t="s">
        <v>958</v>
      </c>
      <c r="G158" s="165"/>
      <c r="H158" s="145"/>
      <c r="I158" s="145"/>
      <c r="J158" s="12" t="s">
        <v>186</v>
      </c>
      <c r="K158" s="12" t="s">
        <v>862</v>
      </c>
      <c r="L158" s="14"/>
      <c r="M158" s="19"/>
      <c r="N158" s="19"/>
      <c r="O158" s="19"/>
      <c r="P158" s="157" t="s">
        <v>94</v>
      </c>
    </row>
    <row r="159">
      <c r="A159" s="17">
        <v>18.0</v>
      </c>
      <c r="B159" s="161" t="s">
        <v>369</v>
      </c>
      <c r="C159" s="64" t="s">
        <v>80</v>
      </c>
      <c r="D159" s="64" t="s">
        <v>372</v>
      </c>
      <c r="E159" s="64" t="s">
        <v>373</v>
      </c>
      <c r="F159" s="65" t="s">
        <v>958</v>
      </c>
      <c r="G159" s="165"/>
      <c r="H159" s="145"/>
      <c r="I159" s="145"/>
      <c r="J159" s="12" t="s">
        <v>186</v>
      </c>
      <c r="K159" s="12" t="s">
        <v>862</v>
      </c>
      <c r="L159" s="14"/>
      <c r="M159" s="19"/>
      <c r="N159" s="19"/>
      <c r="O159" s="19"/>
      <c r="P159" s="157" t="s">
        <v>94</v>
      </c>
    </row>
    <row r="160">
      <c r="A160" s="17">
        <v>19.0</v>
      </c>
      <c r="B160" s="161" t="s">
        <v>381</v>
      </c>
      <c r="C160" s="64" t="s">
        <v>80</v>
      </c>
      <c r="D160" s="64" t="s">
        <v>382</v>
      </c>
      <c r="E160" s="64" t="s">
        <v>384</v>
      </c>
      <c r="F160" s="65" t="s">
        <v>958</v>
      </c>
      <c r="G160" s="165"/>
      <c r="H160" s="145"/>
      <c r="I160" s="145"/>
      <c r="J160" s="19"/>
      <c r="K160" s="14"/>
      <c r="L160" s="14"/>
      <c r="M160" s="19"/>
      <c r="N160" s="19"/>
      <c r="O160" s="19"/>
      <c r="P160" s="157" t="s">
        <v>94</v>
      </c>
    </row>
    <row r="161">
      <c r="A161" s="17">
        <v>20.0</v>
      </c>
      <c r="B161" s="161" t="s">
        <v>240</v>
      </c>
      <c r="C161" s="162" t="s">
        <v>938</v>
      </c>
      <c r="D161" s="64" t="s">
        <v>1096</v>
      </c>
      <c r="E161" s="64" t="s">
        <v>242</v>
      </c>
      <c r="F161" s="65" t="s">
        <v>243</v>
      </c>
      <c r="G161" s="69" t="s">
        <v>1097</v>
      </c>
      <c r="H161" s="17">
        <v>17.0</v>
      </c>
      <c r="I161" s="17"/>
      <c r="J161" s="32" t="s">
        <v>236</v>
      </c>
      <c r="K161" s="14"/>
      <c r="L161" s="14"/>
      <c r="M161" s="19"/>
      <c r="N161" s="19"/>
      <c r="O161" s="132">
        <v>45845.0</v>
      </c>
      <c r="P161" s="157" t="s">
        <v>94</v>
      </c>
    </row>
    <row r="162">
      <c r="A162" s="17">
        <v>21.0</v>
      </c>
      <c r="B162" s="161" t="s">
        <v>254</v>
      </c>
      <c r="C162" s="64" t="s">
        <v>80</v>
      </c>
      <c r="D162" s="64" t="s">
        <v>1098</v>
      </c>
      <c r="E162" s="64" t="s">
        <v>255</v>
      </c>
      <c r="F162" s="65" t="s">
        <v>256</v>
      </c>
      <c r="G162" s="69" t="s">
        <v>1097</v>
      </c>
      <c r="H162" s="17">
        <v>17.0</v>
      </c>
      <c r="I162" s="17"/>
      <c r="J162" s="34" t="s">
        <v>234</v>
      </c>
      <c r="K162" s="12" t="s">
        <v>1099</v>
      </c>
      <c r="L162" s="14"/>
      <c r="M162" s="19"/>
      <c r="N162" s="19"/>
      <c r="O162" s="166">
        <v>45784.0</v>
      </c>
      <c r="P162" s="157" t="s">
        <v>94</v>
      </c>
    </row>
    <row r="163">
      <c r="A163" s="17">
        <v>22.0</v>
      </c>
      <c r="B163" s="161" t="s">
        <v>83</v>
      </c>
      <c r="C163" s="64" t="s">
        <v>80</v>
      </c>
      <c r="D163" s="64" t="s">
        <v>1100</v>
      </c>
      <c r="E163" s="64" t="s">
        <v>85</v>
      </c>
      <c r="F163" s="65" t="s">
        <v>25</v>
      </c>
      <c r="G163" s="69" t="s">
        <v>1090</v>
      </c>
      <c r="H163" s="17">
        <v>16.0</v>
      </c>
      <c r="I163" s="17"/>
      <c r="J163" s="34" t="s">
        <v>234</v>
      </c>
      <c r="K163" s="12" t="s">
        <v>446</v>
      </c>
      <c r="L163" s="14"/>
      <c r="M163" s="19"/>
      <c r="N163" s="19"/>
      <c r="O163" s="132">
        <v>45695.0</v>
      </c>
      <c r="P163" s="19"/>
    </row>
    <row r="164">
      <c r="A164" s="17">
        <v>23.0</v>
      </c>
      <c r="B164" s="161" t="s">
        <v>95</v>
      </c>
      <c r="C164" s="64" t="s">
        <v>80</v>
      </c>
      <c r="D164" s="64" t="s">
        <v>1101</v>
      </c>
      <c r="E164" s="64" t="s">
        <v>96</v>
      </c>
      <c r="F164" s="65" t="s">
        <v>25</v>
      </c>
      <c r="G164" s="69" t="s">
        <v>1102</v>
      </c>
      <c r="H164" s="17">
        <v>19.0</v>
      </c>
      <c r="I164" s="17"/>
      <c r="J164" s="34" t="s">
        <v>234</v>
      </c>
      <c r="K164" s="12" t="s">
        <v>446</v>
      </c>
      <c r="L164" s="14"/>
      <c r="M164" s="19"/>
      <c r="N164" s="19"/>
      <c r="O164" s="88">
        <v>45876.0</v>
      </c>
      <c r="P164" s="157" t="s">
        <v>94</v>
      </c>
    </row>
    <row r="165">
      <c r="A165" s="17">
        <v>24.0</v>
      </c>
      <c r="B165" s="161" t="s">
        <v>105</v>
      </c>
      <c r="C165" s="64" t="s">
        <v>80</v>
      </c>
      <c r="D165" s="64" t="s">
        <v>1103</v>
      </c>
      <c r="E165" s="64" t="s">
        <v>106</v>
      </c>
      <c r="F165" s="65" t="s">
        <v>25</v>
      </c>
      <c r="G165" s="69" t="s">
        <v>1104</v>
      </c>
      <c r="H165" s="17">
        <v>6.0</v>
      </c>
      <c r="I165" s="17"/>
      <c r="J165" s="34" t="s">
        <v>234</v>
      </c>
      <c r="K165" s="12" t="s">
        <v>1105</v>
      </c>
      <c r="L165" s="14"/>
      <c r="M165" s="19"/>
      <c r="N165" s="19"/>
      <c r="O165" s="88">
        <v>45876.0</v>
      </c>
      <c r="P165" s="157" t="s">
        <v>94</v>
      </c>
    </row>
    <row r="166">
      <c r="A166" s="17">
        <v>25.0</v>
      </c>
      <c r="B166" s="161" t="s">
        <v>266</v>
      </c>
      <c r="C166" s="64" t="s">
        <v>80</v>
      </c>
      <c r="D166" s="64" t="s">
        <v>1106</v>
      </c>
      <c r="E166" s="64" t="s">
        <v>268</v>
      </c>
      <c r="F166" s="65" t="s">
        <v>270</v>
      </c>
      <c r="G166" s="69" t="s">
        <v>1094</v>
      </c>
      <c r="H166" s="17">
        <v>18.0</v>
      </c>
      <c r="I166" s="17"/>
      <c r="J166" s="34" t="s">
        <v>234</v>
      </c>
      <c r="K166" s="12" t="s">
        <v>1107</v>
      </c>
      <c r="L166" s="14"/>
      <c r="M166" s="19"/>
      <c r="N166" s="19"/>
      <c r="O166" s="88">
        <v>45876.0</v>
      </c>
      <c r="P166" s="157" t="s">
        <v>94</v>
      </c>
    </row>
    <row r="167">
      <c r="A167" s="17">
        <v>26.0</v>
      </c>
      <c r="B167" s="167" t="s">
        <v>1108</v>
      </c>
      <c r="C167" s="64" t="s">
        <v>80</v>
      </c>
      <c r="D167" s="64" t="s">
        <v>1109</v>
      </c>
      <c r="E167" s="64" t="s">
        <v>278</v>
      </c>
      <c r="F167" s="65" t="s">
        <v>228</v>
      </c>
      <c r="G167" s="69" t="s">
        <v>1102</v>
      </c>
      <c r="H167" s="17">
        <v>19.0</v>
      </c>
      <c r="I167" s="17"/>
      <c r="J167" s="12" t="s">
        <v>186</v>
      </c>
      <c r="K167" s="12" t="s">
        <v>769</v>
      </c>
      <c r="L167" s="33" t="s">
        <v>236</v>
      </c>
      <c r="M167" s="19"/>
      <c r="N167" s="19"/>
      <c r="O167" s="168">
        <v>45723.0</v>
      </c>
      <c r="P167" s="157" t="s">
        <v>94</v>
      </c>
    </row>
    <row r="168">
      <c r="A168" s="121">
        <v>27.0</v>
      </c>
      <c r="B168" s="167" t="s">
        <v>1110</v>
      </c>
      <c r="C168" s="64" t="s">
        <v>80</v>
      </c>
      <c r="D168" s="64" t="s">
        <v>1111</v>
      </c>
      <c r="E168" s="64" t="s">
        <v>297</v>
      </c>
      <c r="F168" s="65" t="s">
        <v>228</v>
      </c>
      <c r="G168" s="69" t="s">
        <v>1102</v>
      </c>
      <c r="H168" s="17">
        <v>19.0</v>
      </c>
      <c r="I168" s="17"/>
      <c r="J168" s="12" t="s">
        <v>186</v>
      </c>
      <c r="K168" s="12" t="s">
        <v>769</v>
      </c>
      <c r="L168" s="33" t="s">
        <v>236</v>
      </c>
      <c r="M168" s="19"/>
      <c r="N168" s="19"/>
      <c r="O168" s="169">
        <v>45723.0</v>
      </c>
      <c r="P168" s="157" t="s">
        <v>94</v>
      </c>
    </row>
    <row r="169">
      <c r="A169" s="17">
        <v>28.0</v>
      </c>
      <c r="B169" s="161" t="s">
        <v>308</v>
      </c>
      <c r="C169" s="64" t="s">
        <v>80</v>
      </c>
      <c r="D169" s="64" t="s">
        <v>1112</v>
      </c>
      <c r="E169" s="64" t="s">
        <v>309</v>
      </c>
      <c r="F169" s="65" t="s">
        <v>310</v>
      </c>
      <c r="G169" s="69" t="s">
        <v>1102</v>
      </c>
      <c r="H169" s="17">
        <v>19.0</v>
      </c>
      <c r="I169" s="17"/>
      <c r="J169" s="12" t="s">
        <v>186</v>
      </c>
      <c r="K169" s="12" t="s">
        <v>1046</v>
      </c>
      <c r="L169" s="14"/>
      <c r="M169" s="19"/>
      <c r="N169" s="19"/>
      <c r="O169" s="88">
        <v>45784.0</v>
      </c>
      <c r="P169" s="157" t="s">
        <v>94</v>
      </c>
    </row>
    <row r="170">
      <c r="A170" s="17">
        <v>30.0</v>
      </c>
      <c r="B170" s="161" t="s">
        <v>120</v>
      </c>
      <c r="C170" s="64" t="s">
        <v>80</v>
      </c>
      <c r="D170" s="64" t="s">
        <v>1113</v>
      </c>
      <c r="E170" s="64" t="s">
        <v>121</v>
      </c>
      <c r="F170" s="65" t="s">
        <v>25</v>
      </c>
      <c r="G170" s="69" t="s">
        <v>1102</v>
      </c>
      <c r="H170" s="17">
        <v>19.0</v>
      </c>
      <c r="I170" s="17"/>
      <c r="J170" s="34" t="s">
        <v>234</v>
      </c>
      <c r="K170" s="12" t="s">
        <v>1114</v>
      </c>
      <c r="L170" s="14"/>
      <c r="M170" s="19"/>
      <c r="N170" s="19"/>
      <c r="O170" s="132">
        <v>45695.0</v>
      </c>
      <c r="P170" s="157" t="s">
        <v>94</v>
      </c>
    </row>
    <row r="171">
      <c r="A171" s="17">
        <v>31.0</v>
      </c>
      <c r="B171" s="161" t="s">
        <v>1115</v>
      </c>
      <c r="C171" s="64" t="s">
        <v>80</v>
      </c>
      <c r="D171" s="64" t="s">
        <v>1116</v>
      </c>
      <c r="E171" s="64" t="s">
        <v>1117</v>
      </c>
      <c r="F171" s="65" t="s">
        <v>207</v>
      </c>
      <c r="G171" s="69" t="s">
        <v>1102</v>
      </c>
      <c r="H171" s="17">
        <v>19.0</v>
      </c>
      <c r="I171" s="17"/>
      <c r="J171" s="19"/>
      <c r="K171" s="14"/>
      <c r="L171" s="14"/>
      <c r="M171" s="19"/>
      <c r="N171" s="19"/>
      <c r="O171" s="94" t="s">
        <v>393</v>
      </c>
      <c r="P171" s="157" t="s">
        <v>94</v>
      </c>
    </row>
    <row r="172">
      <c r="A172" s="17">
        <v>32.0</v>
      </c>
      <c r="B172" s="161" t="s">
        <v>1118</v>
      </c>
      <c r="C172" s="64" t="s">
        <v>80</v>
      </c>
      <c r="D172" s="64" t="s">
        <v>1119</v>
      </c>
      <c r="E172" s="64" t="s">
        <v>1120</v>
      </c>
      <c r="F172" s="65" t="s">
        <v>207</v>
      </c>
      <c r="G172" s="69" t="s">
        <v>1102</v>
      </c>
      <c r="H172" s="17">
        <v>19.0</v>
      </c>
      <c r="I172" s="17"/>
      <c r="J172" s="19"/>
      <c r="K172" s="14"/>
      <c r="L172" s="14"/>
      <c r="M172" s="19"/>
      <c r="N172" s="19"/>
      <c r="O172" s="34" t="s">
        <v>1121</v>
      </c>
      <c r="P172" s="157" t="s">
        <v>94</v>
      </c>
    </row>
    <row r="173">
      <c r="A173" s="170">
        <v>33.0</v>
      </c>
      <c r="B173" s="171" t="s">
        <v>1122</v>
      </c>
      <c r="C173" s="172" t="s">
        <v>80</v>
      </c>
      <c r="D173" s="172" t="s">
        <v>1123</v>
      </c>
      <c r="E173" s="172" t="s">
        <v>1124</v>
      </c>
      <c r="F173" s="173" t="s">
        <v>207</v>
      </c>
      <c r="G173" s="174" t="s">
        <v>1102</v>
      </c>
      <c r="H173" s="170">
        <v>19.0</v>
      </c>
      <c r="I173" s="170"/>
      <c r="J173" s="19"/>
      <c r="K173" s="14"/>
      <c r="L173" s="14"/>
      <c r="M173" s="19"/>
      <c r="N173" s="19"/>
      <c r="O173" s="120" t="s">
        <v>393</v>
      </c>
      <c r="P173" s="157" t="s">
        <v>94</v>
      </c>
    </row>
    <row r="174">
      <c r="A174" s="175">
        <v>34.0</v>
      </c>
      <c r="B174" s="176" t="s">
        <v>319</v>
      </c>
      <c r="C174" s="177" t="s">
        <v>938</v>
      </c>
      <c r="D174" s="178" t="s">
        <v>1125</v>
      </c>
      <c r="E174" s="178" t="s">
        <v>321</v>
      </c>
      <c r="F174" s="179" t="s">
        <v>243</v>
      </c>
      <c r="G174" s="180" t="s">
        <v>1126</v>
      </c>
      <c r="H174" s="175">
        <v>20.0</v>
      </c>
      <c r="I174" s="175"/>
      <c r="J174" s="181" t="s">
        <v>186</v>
      </c>
      <c r="K174" s="181" t="s">
        <v>956</v>
      </c>
      <c r="L174" s="182" t="s">
        <v>236</v>
      </c>
      <c r="M174" s="183"/>
      <c r="N174" s="183"/>
      <c r="O174" s="184" t="s">
        <v>1127</v>
      </c>
      <c r="P174" s="185" t="s">
        <v>94</v>
      </c>
      <c r="Q174" s="186"/>
      <c r="R174" s="186"/>
      <c r="S174" s="186"/>
      <c r="T174" s="186"/>
      <c r="U174" s="186"/>
      <c r="V174" s="186"/>
      <c r="W174" s="186"/>
      <c r="X174" s="186"/>
      <c r="Y174" s="186"/>
      <c r="Z174" s="186"/>
      <c r="AA174" s="186"/>
      <c r="AB174" s="186"/>
      <c r="AC174" s="186"/>
      <c r="AD174" s="186"/>
      <c r="AE174" s="186"/>
      <c r="AF174" s="186"/>
    </row>
    <row r="175">
      <c r="A175" s="175">
        <v>35.0</v>
      </c>
      <c r="B175" s="176" t="s">
        <v>327</v>
      </c>
      <c r="C175" s="177" t="s">
        <v>938</v>
      </c>
      <c r="D175" s="178" t="s">
        <v>1128</v>
      </c>
      <c r="E175" s="178" t="s">
        <v>329</v>
      </c>
      <c r="F175" s="179" t="s">
        <v>243</v>
      </c>
      <c r="G175" s="180" t="s">
        <v>1126</v>
      </c>
      <c r="H175" s="175">
        <v>20.0</v>
      </c>
      <c r="I175" s="175"/>
      <c r="J175" s="181" t="s">
        <v>186</v>
      </c>
      <c r="K175" s="181" t="s">
        <v>956</v>
      </c>
      <c r="L175" s="182" t="s">
        <v>236</v>
      </c>
      <c r="M175" s="183"/>
      <c r="N175" s="183"/>
      <c r="O175" s="184" t="s">
        <v>1129</v>
      </c>
      <c r="P175" s="185" t="s">
        <v>94</v>
      </c>
      <c r="Q175" s="186"/>
      <c r="R175" s="186"/>
      <c r="S175" s="186"/>
      <c r="T175" s="186"/>
      <c r="U175" s="186"/>
      <c r="V175" s="186"/>
      <c r="W175" s="186"/>
      <c r="X175" s="186"/>
      <c r="Y175" s="186"/>
      <c r="Z175" s="186"/>
      <c r="AA175" s="186"/>
      <c r="AB175" s="186"/>
      <c r="AC175" s="186"/>
      <c r="AD175" s="186"/>
      <c r="AE175" s="186"/>
      <c r="AF175" s="186"/>
    </row>
    <row r="176">
      <c r="A176" s="175">
        <v>36.0</v>
      </c>
      <c r="B176" s="176" t="s">
        <v>341</v>
      </c>
      <c r="C176" s="178" t="s">
        <v>80</v>
      </c>
      <c r="D176" s="178" t="s">
        <v>1130</v>
      </c>
      <c r="E176" s="178" t="s">
        <v>342</v>
      </c>
      <c r="F176" s="179" t="s">
        <v>243</v>
      </c>
      <c r="G176" s="180" t="s">
        <v>1126</v>
      </c>
      <c r="H176" s="175">
        <v>20.0</v>
      </c>
      <c r="I176" s="175"/>
      <c r="J176" s="181" t="s">
        <v>186</v>
      </c>
      <c r="K176" s="181" t="s">
        <v>956</v>
      </c>
      <c r="L176" s="182" t="s">
        <v>236</v>
      </c>
      <c r="M176" s="183"/>
      <c r="N176" s="183"/>
      <c r="O176" s="184" t="s">
        <v>1131</v>
      </c>
      <c r="P176" s="185" t="s">
        <v>94</v>
      </c>
      <c r="Q176" s="186"/>
      <c r="R176" s="186"/>
      <c r="S176" s="186"/>
      <c r="T176" s="186"/>
      <c r="U176" s="186"/>
      <c r="V176" s="186"/>
      <c r="W176" s="186"/>
      <c r="X176" s="186"/>
      <c r="Y176" s="186"/>
      <c r="Z176" s="186"/>
      <c r="AA176" s="186"/>
      <c r="AB176" s="186"/>
      <c r="AC176" s="186"/>
      <c r="AD176" s="186"/>
      <c r="AE176" s="186"/>
      <c r="AF176" s="186"/>
    </row>
    <row r="177">
      <c r="A177" s="187">
        <v>37.0</v>
      </c>
      <c r="B177" s="188" t="s">
        <v>353</v>
      </c>
      <c r="C177" s="189" t="s">
        <v>80</v>
      </c>
      <c r="D177" s="189" t="s">
        <v>1132</v>
      </c>
      <c r="E177" s="189" t="s">
        <v>355</v>
      </c>
      <c r="F177" s="190" t="s">
        <v>356</v>
      </c>
      <c r="G177" s="191" t="s">
        <v>1073</v>
      </c>
      <c r="H177" s="187">
        <v>21.0</v>
      </c>
      <c r="I177" s="187"/>
      <c r="J177" s="1" t="s">
        <v>186</v>
      </c>
      <c r="K177" s="192">
        <v>45834.0</v>
      </c>
      <c r="L177" s="6"/>
      <c r="M177" s="193"/>
      <c r="N177" s="193"/>
      <c r="O177" s="194">
        <v>45695.0</v>
      </c>
      <c r="P177" s="193"/>
      <c r="Q177" s="195"/>
      <c r="R177" s="195"/>
      <c r="S177" s="195"/>
      <c r="T177" s="195"/>
      <c r="U177" s="195"/>
      <c r="V177" s="195"/>
      <c r="W177" s="195"/>
      <c r="X177" s="195"/>
      <c r="Y177" s="195"/>
      <c r="Z177" s="195"/>
      <c r="AA177" s="195"/>
      <c r="AB177" s="195"/>
      <c r="AC177" s="195"/>
      <c r="AD177" s="195"/>
      <c r="AE177" s="195"/>
      <c r="AF177" s="195"/>
    </row>
    <row r="178">
      <c r="A178" s="19"/>
      <c r="B178" s="19"/>
      <c r="C178" s="14"/>
      <c r="D178" s="14"/>
      <c r="E178" s="14"/>
      <c r="F178" s="14"/>
      <c r="G178" s="14"/>
      <c r="H178" s="14"/>
      <c r="I178" s="14"/>
      <c r="J178" s="19"/>
      <c r="K178" s="19"/>
      <c r="L178" s="14"/>
      <c r="M178" s="19"/>
      <c r="N178" s="19"/>
      <c r="O178" s="19"/>
      <c r="P178" s="19"/>
    </row>
    <row r="179">
      <c r="A179" s="196" t="s">
        <v>1133</v>
      </c>
      <c r="B179" s="5"/>
      <c r="C179" s="5"/>
      <c r="D179" s="5"/>
      <c r="E179" s="5"/>
      <c r="F179" s="5"/>
      <c r="G179" s="7"/>
      <c r="H179" s="14"/>
      <c r="I179" s="14"/>
      <c r="J179" s="19"/>
      <c r="K179" s="19"/>
      <c r="L179" s="14"/>
      <c r="M179" s="19"/>
      <c r="N179" s="19"/>
      <c r="O179" s="19"/>
      <c r="P179" s="19"/>
    </row>
    <row r="180">
      <c r="A180" s="197" t="s">
        <v>47</v>
      </c>
      <c r="B180" s="111" t="s">
        <v>7</v>
      </c>
      <c r="C180" s="14"/>
      <c r="D180" s="111" t="s">
        <v>58</v>
      </c>
      <c r="E180" s="111" t="s">
        <v>30</v>
      </c>
      <c r="F180" s="111" t="s">
        <v>12</v>
      </c>
      <c r="G180" s="111" t="s">
        <v>33</v>
      </c>
      <c r="H180" s="113" t="s">
        <v>34</v>
      </c>
      <c r="I180" s="113"/>
      <c r="J180" s="42" t="s">
        <v>67</v>
      </c>
      <c r="K180" s="42" t="s">
        <v>16</v>
      </c>
      <c r="L180" s="42" t="s">
        <v>35</v>
      </c>
      <c r="M180" s="42" t="s">
        <v>18</v>
      </c>
      <c r="N180" s="42" t="s">
        <v>19</v>
      </c>
      <c r="O180" s="42" t="s">
        <v>20</v>
      </c>
      <c r="P180" s="42" t="s">
        <v>21</v>
      </c>
    </row>
    <row r="181">
      <c r="A181" s="198">
        <v>1.0</v>
      </c>
      <c r="B181" s="199" t="s">
        <v>1134</v>
      </c>
      <c r="C181" s="200" t="s">
        <v>1135</v>
      </c>
      <c r="D181" s="201" t="s">
        <v>1136</v>
      </c>
      <c r="E181" s="201" t="s">
        <v>1137</v>
      </c>
      <c r="F181" s="198" t="s">
        <v>1138</v>
      </c>
      <c r="G181" s="202" t="s">
        <v>45</v>
      </c>
      <c r="H181" s="198">
        <v>-18.0</v>
      </c>
      <c r="I181" s="198"/>
      <c r="J181" s="203"/>
      <c r="K181" s="203"/>
      <c r="L181" s="204"/>
      <c r="M181" s="203"/>
      <c r="N181" s="203"/>
      <c r="O181" s="120" t="s">
        <v>862</v>
      </c>
      <c r="P181" s="203"/>
      <c r="Q181" s="205"/>
      <c r="R181" s="205"/>
      <c r="S181" s="205"/>
      <c r="T181" s="205"/>
      <c r="U181" s="205"/>
      <c r="V181" s="205"/>
      <c r="W181" s="205"/>
      <c r="X181" s="205"/>
      <c r="Y181" s="205"/>
      <c r="Z181" s="205"/>
      <c r="AA181" s="205"/>
      <c r="AB181" s="205"/>
      <c r="AC181" s="205"/>
      <c r="AD181" s="205"/>
      <c r="AE181" s="205"/>
      <c r="AF181" s="205"/>
    </row>
    <row r="182">
      <c r="A182" s="121">
        <v>2.0</v>
      </c>
      <c r="B182" s="206" t="s">
        <v>386</v>
      </c>
      <c r="C182" s="207" t="s">
        <v>80</v>
      </c>
      <c r="D182" s="207" t="s">
        <v>1139</v>
      </c>
      <c r="E182" s="207" t="s">
        <v>388</v>
      </c>
      <c r="F182" s="121" t="s">
        <v>25</v>
      </c>
      <c r="G182" s="208">
        <v>45694.0</v>
      </c>
      <c r="H182" s="121">
        <v>-12.0</v>
      </c>
      <c r="I182" s="121"/>
      <c r="J182" s="12" t="s">
        <v>186</v>
      </c>
      <c r="K182" s="148">
        <v>45829.0</v>
      </c>
      <c r="L182" s="14"/>
      <c r="M182" s="19"/>
      <c r="N182" s="19"/>
      <c r="O182" s="120" t="s">
        <v>769</v>
      </c>
      <c r="P182" s="19"/>
    </row>
    <row r="183">
      <c r="A183" s="121">
        <v>3.0</v>
      </c>
      <c r="B183" s="206" t="s">
        <v>396</v>
      </c>
      <c r="C183" s="207" t="s">
        <v>80</v>
      </c>
      <c r="D183" s="207" t="s">
        <v>1140</v>
      </c>
      <c r="E183" s="207" t="s">
        <v>398</v>
      </c>
      <c r="F183" s="121" t="s">
        <v>400</v>
      </c>
      <c r="G183" s="209"/>
      <c r="H183" s="209"/>
      <c r="I183" s="209"/>
      <c r="J183" s="34" t="s">
        <v>234</v>
      </c>
      <c r="K183" s="12" t="s">
        <v>1141</v>
      </c>
      <c r="L183" s="14"/>
      <c r="M183" s="19"/>
      <c r="N183" s="19"/>
      <c r="O183" s="94" t="s">
        <v>1142</v>
      </c>
      <c r="P183" s="37" t="s">
        <v>997</v>
      </c>
    </row>
    <row r="184">
      <c r="A184" s="121">
        <v>4.0</v>
      </c>
      <c r="B184" s="206" t="s">
        <v>422</v>
      </c>
      <c r="C184" s="210" t="s">
        <v>938</v>
      </c>
      <c r="D184" s="207" t="s">
        <v>1143</v>
      </c>
      <c r="E184" s="207" t="s">
        <v>423</v>
      </c>
      <c r="F184" s="121" t="s">
        <v>243</v>
      </c>
      <c r="G184" s="208">
        <v>45815.0</v>
      </c>
      <c r="H184" s="121">
        <v>22.0</v>
      </c>
      <c r="I184" s="121"/>
      <c r="J184" s="12" t="s">
        <v>186</v>
      </c>
      <c r="K184" s="12" t="s">
        <v>1099</v>
      </c>
      <c r="L184" s="14"/>
      <c r="M184" s="19"/>
      <c r="N184" s="19"/>
      <c r="O184" s="148">
        <v>45845.0</v>
      </c>
      <c r="P184" s="157" t="s">
        <v>94</v>
      </c>
    </row>
    <row r="185">
      <c r="A185" s="121">
        <v>5.0</v>
      </c>
      <c r="B185" s="206" t="s">
        <v>442</v>
      </c>
      <c r="C185" s="210" t="s">
        <v>938</v>
      </c>
      <c r="D185" s="207" t="s">
        <v>1144</v>
      </c>
      <c r="E185" s="207" t="s">
        <v>443</v>
      </c>
      <c r="F185" s="121" t="s">
        <v>243</v>
      </c>
      <c r="G185" s="208">
        <v>45815.0</v>
      </c>
      <c r="H185" s="121">
        <v>22.0</v>
      </c>
      <c r="I185" s="121"/>
      <c r="J185" s="12" t="s">
        <v>186</v>
      </c>
      <c r="K185" s="12" t="s">
        <v>1099</v>
      </c>
      <c r="L185" s="14"/>
      <c r="M185" s="19"/>
      <c r="N185" s="19"/>
      <c r="O185" s="148">
        <v>45845.0</v>
      </c>
      <c r="P185" s="157" t="s">
        <v>94</v>
      </c>
    </row>
    <row r="186">
      <c r="A186" s="121">
        <v>6.0</v>
      </c>
      <c r="B186" s="206" t="s">
        <v>458</v>
      </c>
      <c r="C186" s="210" t="s">
        <v>938</v>
      </c>
      <c r="D186" s="207" t="s">
        <v>1145</v>
      </c>
      <c r="E186" s="207" t="s">
        <v>459</v>
      </c>
      <c r="F186" s="121" t="s">
        <v>460</v>
      </c>
      <c r="G186" s="208">
        <v>45754.0</v>
      </c>
      <c r="H186" s="121">
        <v>20.0</v>
      </c>
      <c r="I186" s="121"/>
      <c r="J186" s="12" t="s">
        <v>186</v>
      </c>
      <c r="K186" s="12" t="s">
        <v>1099</v>
      </c>
      <c r="L186" s="14"/>
      <c r="M186" s="19"/>
      <c r="N186" s="19"/>
      <c r="O186" s="148">
        <v>46333.0</v>
      </c>
      <c r="P186" s="157" t="s">
        <v>94</v>
      </c>
    </row>
    <row r="187">
      <c r="A187" s="121">
        <v>7.0</v>
      </c>
      <c r="B187" s="206" t="s">
        <v>472</v>
      </c>
      <c r="C187" s="210" t="s">
        <v>938</v>
      </c>
      <c r="D187" s="207" t="s">
        <v>1146</v>
      </c>
      <c r="E187" s="207" t="s">
        <v>473</v>
      </c>
      <c r="F187" s="121" t="s">
        <v>460</v>
      </c>
      <c r="G187" s="208">
        <v>45754.0</v>
      </c>
      <c r="H187" s="121">
        <v>20.0</v>
      </c>
      <c r="I187" s="121"/>
      <c r="J187" s="12" t="s">
        <v>186</v>
      </c>
      <c r="K187" s="12" t="s">
        <v>1099</v>
      </c>
      <c r="L187" s="14"/>
      <c r="M187" s="19"/>
      <c r="N187" s="19"/>
      <c r="O187" s="148">
        <v>46333.0</v>
      </c>
      <c r="P187" s="157" t="s">
        <v>94</v>
      </c>
    </row>
    <row r="188">
      <c r="A188" s="121">
        <v>8.0</v>
      </c>
      <c r="B188" s="206" t="s">
        <v>484</v>
      </c>
      <c r="C188" s="207" t="s">
        <v>80</v>
      </c>
      <c r="D188" s="207" t="s">
        <v>1147</v>
      </c>
      <c r="E188" s="207" t="s">
        <v>485</v>
      </c>
      <c r="F188" s="121" t="s">
        <v>487</v>
      </c>
      <c r="G188" s="208">
        <v>45815.0</v>
      </c>
      <c r="H188" s="121">
        <v>22.0</v>
      </c>
      <c r="I188" s="121"/>
      <c r="J188" s="34" t="s">
        <v>234</v>
      </c>
      <c r="K188" s="12" t="s">
        <v>769</v>
      </c>
      <c r="L188" s="14"/>
      <c r="M188" s="19"/>
      <c r="N188" s="19"/>
      <c r="O188" s="156">
        <v>45907.0</v>
      </c>
      <c r="P188" s="157" t="s">
        <v>94</v>
      </c>
    </row>
    <row r="189">
      <c r="A189" s="121">
        <v>9.0</v>
      </c>
      <c r="B189" s="211" t="s">
        <v>1148</v>
      </c>
      <c r="C189" s="207" t="s">
        <v>80</v>
      </c>
      <c r="D189" s="207" t="s">
        <v>1149</v>
      </c>
      <c r="E189" s="207" t="s">
        <v>502</v>
      </c>
      <c r="F189" s="121" t="s">
        <v>504</v>
      </c>
      <c r="G189" s="208">
        <v>45845.0</v>
      </c>
      <c r="H189" s="121">
        <v>23.0</v>
      </c>
      <c r="I189" s="121"/>
      <c r="J189" s="34" t="s">
        <v>234</v>
      </c>
      <c r="K189" s="12" t="s">
        <v>1141</v>
      </c>
      <c r="L189" s="14"/>
      <c r="M189" s="19"/>
      <c r="N189" s="19"/>
      <c r="O189" s="132">
        <v>45695.0</v>
      </c>
      <c r="P189" s="157" t="s">
        <v>94</v>
      </c>
    </row>
    <row r="190">
      <c r="A190" s="121">
        <v>10.0</v>
      </c>
      <c r="B190" s="211" t="s">
        <v>1150</v>
      </c>
      <c r="C190" s="207" t="s">
        <v>80</v>
      </c>
      <c r="D190" s="207" t="s">
        <v>1151</v>
      </c>
      <c r="E190" s="207" t="s">
        <v>518</v>
      </c>
      <c r="F190" s="121" t="s">
        <v>504</v>
      </c>
      <c r="G190" s="208">
        <v>45845.0</v>
      </c>
      <c r="H190" s="121">
        <v>23.0</v>
      </c>
      <c r="I190" s="121"/>
      <c r="J190" s="34" t="s">
        <v>234</v>
      </c>
      <c r="K190" s="12" t="s">
        <v>1141</v>
      </c>
      <c r="L190" s="14"/>
      <c r="M190" s="19"/>
      <c r="N190" s="19"/>
      <c r="O190" s="132">
        <v>45695.0</v>
      </c>
      <c r="P190" s="157" t="s">
        <v>94</v>
      </c>
    </row>
    <row r="191">
      <c r="A191" s="121">
        <v>11.0</v>
      </c>
      <c r="B191" s="206" t="s">
        <v>532</v>
      </c>
      <c r="C191" s="207" t="s">
        <v>80</v>
      </c>
      <c r="D191" s="207" t="s">
        <v>1152</v>
      </c>
      <c r="E191" s="207" t="s">
        <v>533</v>
      </c>
      <c r="F191" s="121" t="s">
        <v>535</v>
      </c>
      <c r="G191" s="208">
        <v>45876.0</v>
      </c>
      <c r="H191" s="121">
        <v>24.0</v>
      </c>
      <c r="I191" s="121"/>
      <c r="J191" s="12" t="s">
        <v>186</v>
      </c>
      <c r="K191" s="12" t="s">
        <v>1141</v>
      </c>
      <c r="L191" s="14"/>
      <c r="M191" s="19"/>
      <c r="N191" s="19"/>
      <c r="O191" s="94" t="s">
        <v>1153</v>
      </c>
      <c r="P191" s="157" t="s">
        <v>94</v>
      </c>
    </row>
    <row r="192">
      <c r="A192" s="121">
        <v>12.0</v>
      </c>
      <c r="B192" s="206" t="s">
        <v>551</v>
      </c>
      <c r="C192" s="207" t="s">
        <v>80</v>
      </c>
      <c r="D192" s="207" t="s">
        <v>1154</v>
      </c>
      <c r="E192" s="207" t="s">
        <v>552</v>
      </c>
      <c r="F192" s="121" t="s">
        <v>535</v>
      </c>
      <c r="G192" s="208">
        <v>45876.0</v>
      </c>
      <c r="H192" s="121">
        <v>24.0</v>
      </c>
      <c r="I192" s="121"/>
      <c r="J192" s="12" t="s">
        <v>186</v>
      </c>
      <c r="K192" s="12" t="s">
        <v>1141</v>
      </c>
      <c r="L192" s="14"/>
      <c r="M192" s="19"/>
      <c r="N192" s="19"/>
      <c r="O192" s="94" t="s">
        <v>1153</v>
      </c>
      <c r="P192" s="157" t="s">
        <v>94</v>
      </c>
    </row>
    <row r="193">
      <c r="A193" s="198">
        <v>13.0</v>
      </c>
      <c r="B193" s="199" t="s">
        <v>1155</v>
      </c>
      <c r="C193" s="201" t="s">
        <v>80</v>
      </c>
      <c r="D193" s="201" t="s">
        <v>1156</v>
      </c>
      <c r="E193" s="201" t="s">
        <v>1157</v>
      </c>
      <c r="F193" s="198" t="s">
        <v>1158</v>
      </c>
      <c r="G193" s="198" t="s">
        <v>1159</v>
      </c>
      <c r="H193" s="198">
        <v>34.0</v>
      </c>
      <c r="I193" s="198"/>
      <c r="J193" s="203"/>
      <c r="K193" s="204"/>
      <c r="L193" s="204"/>
      <c r="M193" s="203"/>
      <c r="N193" s="203"/>
      <c r="O193" s="120" t="s">
        <v>337</v>
      </c>
      <c r="P193" s="157" t="s">
        <v>94</v>
      </c>
      <c r="Q193" s="205"/>
      <c r="R193" s="205"/>
      <c r="S193" s="205"/>
      <c r="T193" s="205"/>
      <c r="U193" s="205"/>
      <c r="V193" s="205"/>
      <c r="W193" s="205"/>
      <c r="X193" s="205"/>
      <c r="Y193" s="205"/>
      <c r="Z193" s="205"/>
      <c r="AA193" s="205"/>
      <c r="AB193" s="205"/>
      <c r="AC193" s="205"/>
      <c r="AD193" s="205"/>
      <c r="AE193" s="205"/>
      <c r="AF193" s="205"/>
    </row>
    <row r="194">
      <c r="A194" s="121">
        <v>14.0</v>
      </c>
      <c r="B194" s="212" t="s">
        <v>567</v>
      </c>
      <c r="C194" s="207" t="s">
        <v>80</v>
      </c>
      <c r="D194" s="207" t="s">
        <v>1160</v>
      </c>
      <c r="E194" s="213" t="s">
        <v>569</v>
      </c>
      <c r="F194" s="121" t="s">
        <v>571</v>
      </c>
      <c r="G194" s="208">
        <v>45754.0</v>
      </c>
      <c r="H194" s="121">
        <v>20.0</v>
      </c>
      <c r="I194" s="121"/>
      <c r="J194" s="12" t="s">
        <v>186</v>
      </c>
      <c r="K194" s="23">
        <v>45827.0</v>
      </c>
      <c r="L194" s="14"/>
      <c r="M194" s="19"/>
      <c r="N194" s="19"/>
      <c r="O194" s="116" t="s">
        <v>194</v>
      </c>
      <c r="P194" s="157" t="s">
        <v>94</v>
      </c>
    </row>
    <row r="195">
      <c r="A195" s="121">
        <v>15.0</v>
      </c>
      <c r="B195" s="206" t="s">
        <v>583</v>
      </c>
      <c r="C195" s="207" t="s">
        <v>80</v>
      </c>
      <c r="D195" s="207" t="s">
        <v>1161</v>
      </c>
      <c r="E195" s="207" t="s">
        <v>584</v>
      </c>
      <c r="F195" s="121" t="s">
        <v>586</v>
      </c>
      <c r="G195" s="208">
        <v>45906.0</v>
      </c>
      <c r="H195" s="121">
        <v>-5.0</v>
      </c>
      <c r="I195" s="121"/>
      <c r="J195" s="12" t="s">
        <v>186</v>
      </c>
      <c r="K195" s="12" t="s">
        <v>1141</v>
      </c>
      <c r="L195" s="14"/>
      <c r="M195" s="19"/>
      <c r="N195" s="19"/>
      <c r="O195" s="148">
        <v>45695.0</v>
      </c>
      <c r="P195" s="157" t="s">
        <v>94</v>
      </c>
    </row>
    <row r="196">
      <c r="A196" s="121">
        <v>16.0</v>
      </c>
      <c r="B196" s="206" t="s">
        <v>600</v>
      </c>
      <c r="C196" s="207" t="s">
        <v>80</v>
      </c>
      <c r="D196" s="207" t="s">
        <v>1162</v>
      </c>
      <c r="E196" s="207" t="s">
        <v>601</v>
      </c>
      <c r="F196" s="121" t="s">
        <v>586</v>
      </c>
      <c r="G196" s="121" t="s">
        <v>1073</v>
      </c>
      <c r="H196" s="121">
        <v>16.0</v>
      </c>
      <c r="I196" s="121"/>
      <c r="J196" s="12" t="s">
        <v>186</v>
      </c>
      <c r="K196" s="12" t="s">
        <v>1141</v>
      </c>
      <c r="L196" s="14"/>
      <c r="M196" s="19"/>
      <c r="N196" s="19"/>
      <c r="O196" s="148">
        <v>45695.0</v>
      </c>
      <c r="P196" s="157" t="s">
        <v>94</v>
      </c>
    </row>
    <row r="197">
      <c r="A197" s="121">
        <v>17.0</v>
      </c>
      <c r="B197" s="206" t="s">
        <v>616</v>
      </c>
      <c r="C197" s="207" t="s">
        <v>80</v>
      </c>
      <c r="D197" s="207" t="s">
        <v>1163</v>
      </c>
      <c r="E197" s="207" t="s">
        <v>618</v>
      </c>
      <c r="F197" s="121" t="s">
        <v>619</v>
      </c>
      <c r="G197" s="121" t="s">
        <v>1073</v>
      </c>
      <c r="H197" s="121">
        <v>16.0</v>
      </c>
      <c r="I197" s="121"/>
      <c r="J197" s="12" t="s">
        <v>186</v>
      </c>
      <c r="K197" s="164">
        <v>45833.0</v>
      </c>
      <c r="L197" s="14"/>
      <c r="M197" s="19"/>
      <c r="N197" s="19"/>
      <c r="O197" s="148">
        <v>45664.0</v>
      </c>
      <c r="P197" s="157" t="s">
        <v>94</v>
      </c>
    </row>
    <row r="198">
      <c r="A198" s="121">
        <v>18.0</v>
      </c>
      <c r="B198" s="206" t="s">
        <v>630</v>
      </c>
      <c r="C198" s="207" t="s">
        <v>80</v>
      </c>
      <c r="D198" s="207" t="s">
        <v>1164</v>
      </c>
      <c r="E198" s="207" t="s">
        <v>632</v>
      </c>
      <c r="F198" s="121" t="s">
        <v>619</v>
      </c>
      <c r="G198" s="121" t="s">
        <v>1073</v>
      </c>
      <c r="H198" s="121">
        <v>16.0</v>
      </c>
      <c r="I198" s="121"/>
      <c r="J198" s="12" t="s">
        <v>186</v>
      </c>
      <c r="K198" s="164">
        <v>45833.0</v>
      </c>
      <c r="L198" s="14"/>
      <c r="M198" s="19"/>
      <c r="N198" s="19"/>
      <c r="O198" s="148">
        <v>45664.0</v>
      </c>
      <c r="P198" s="157" t="s">
        <v>94</v>
      </c>
    </row>
    <row r="199">
      <c r="A199" s="121">
        <v>19.0</v>
      </c>
      <c r="B199" s="206" t="s">
        <v>642</v>
      </c>
      <c r="C199" s="207" t="s">
        <v>80</v>
      </c>
      <c r="D199" s="207" t="s">
        <v>1165</v>
      </c>
      <c r="E199" s="207" t="s">
        <v>643</v>
      </c>
      <c r="F199" s="121" t="s">
        <v>644</v>
      </c>
      <c r="G199" s="208">
        <v>45664.0</v>
      </c>
      <c r="H199" s="121">
        <v>17.0</v>
      </c>
      <c r="I199" s="121"/>
      <c r="J199" s="12" t="s">
        <v>186</v>
      </c>
      <c r="K199" s="12" t="s">
        <v>1166</v>
      </c>
      <c r="L199" s="14"/>
      <c r="M199" s="19"/>
      <c r="N199" s="19"/>
      <c r="O199" s="148">
        <v>46333.0</v>
      </c>
      <c r="P199" s="157" t="s">
        <v>94</v>
      </c>
    </row>
    <row r="200">
      <c r="A200" s="121">
        <v>20.0</v>
      </c>
      <c r="B200" s="206" t="s">
        <v>657</v>
      </c>
      <c r="C200" s="207" t="s">
        <v>80</v>
      </c>
      <c r="D200" s="207" t="s">
        <v>1167</v>
      </c>
      <c r="E200" s="207" t="s">
        <v>660</v>
      </c>
      <c r="F200" s="121" t="s">
        <v>644</v>
      </c>
      <c r="G200" s="208">
        <v>45664.0</v>
      </c>
      <c r="H200" s="121">
        <v>17.0</v>
      </c>
      <c r="I200" s="121"/>
      <c r="J200" s="12" t="s">
        <v>186</v>
      </c>
      <c r="K200" s="12" t="s">
        <v>1166</v>
      </c>
      <c r="L200" s="14"/>
      <c r="M200" s="19"/>
      <c r="N200" s="19"/>
      <c r="O200" s="148">
        <v>46333.0</v>
      </c>
      <c r="P200" s="157" t="s">
        <v>94</v>
      </c>
    </row>
    <row r="201">
      <c r="A201" s="143"/>
      <c r="B201" s="206" t="s">
        <v>673</v>
      </c>
      <c r="C201" s="207" t="s">
        <v>80</v>
      </c>
      <c r="D201" s="207" t="s">
        <v>1168</v>
      </c>
      <c r="E201" s="207" t="s">
        <v>674</v>
      </c>
      <c r="F201" s="121" t="s">
        <v>644</v>
      </c>
      <c r="G201" s="208">
        <v>45664.0</v>
      </c>
      <c r="H201" s="121">
        <v>17.0</v>
      </c>
      <c r="I201" s="121"/>
      <c r="J201" s="12" t="s">
        <v>186</v>
      </c>
      <c r="K201" s="12" t="s">
        <v>1166</v>
      </c>
      <c r="L201" s="14"/>
      <c r="M201" s="19"/>
      <c r="N201" s="19"/>
      <c r="O201" s="148">
        <v>46333.0</v>
      </c>
      <c r="P201" s="157" t="s">
        <v>94</v>
      </c>
    </row>
    <row r="202">
      <c r="A202" s="121">
        <v>22.0</v>
      </c>
      <c r="B202" s="206" t="s">
        <v>687</v>
      </c>
      <c r="C202" s="207" t="s">
        <v>80</v>
      </c>
      <c r="D202" s="207" t="s">
        <v>1169</v>
      </c>
      <c r="E202" s="207" t="s">
        <v>689</v>
      </c>
      <c r="F202" s="121" t="s">
        <v>693</v>
      </c>
      <c r="G202" s="208">
        <v>45664.0</v>
      </c>
      <c r="H202" s="121">
        <v>17.0</v>
      </c>
      <c r="I202" s="121"/>
      <c r="J202" s="34" t="s">
        <v>234</v>
      </c>
      <c r="K202" s="12" t="s">
        <v>514</v>
      </c>
      <c r="L202" s="14"/>
      <c r="M202" s="19"/>
      <c r="N202" s="19"/>
      <c r="O202" s="148">
        <v>46333.0</v>
      </c>
      <c r="P202" s="19"/>
    </row>
    <row r="203">
      <c r="A203" s="19"/>
      <c r="B203" s="19"/>
      <c r="C203" s="14"/>
      <c r="D203" s="14"/>
      <c r="E203" s="14"/>
      <c r="F203" s="14"/>
      <c r="G203" s="14"/>
      <c r="H203" s="14"/>
      <c r="I203" s="14"/>
      <c r="J203" s="19"/>
      <c r="K203" s="14"/>
      <c r="L203" s="14"/>
      <c r="M203" s="19"/>
      <c r="N203" s="19"/>
      <c r="O203" s="19"/>
      <c r="P203" s="19"/>
    </row>
    <row r="204">
      <c r="A204" s="19"/>
      <c r="B204" s="19"/>
      <c r="C204" s="14"/>
      <c r="D204" s="14"/>
      <c r="E204" s="14"/>
      <c r="F204" s="14"/>
      <c r="G204" s="14"/>
      <c r="H204" s="14"/>
      <c r="I204" s="14"/>
      <c r="J204" s="19"/>
      <c r="K204" s="19"/>
      <c r="L204" s="14"/>
      <c r="M204" s="19"/>
      <c r="N204" s="19"/>
      <c r="O204" s="19"/>
      <c r="P204" s="19"/>
    </row>
    <row r="205">
      <c r="A205" s="19"/>
      <c r="B205" s="19"/>
      <c r="C205" s="14"/>
      <c r="D205" s="14"/>
      <c r="E205" s="14"/>
      <c r="F205" s="14"/>
      <c r="G205" s="14"/>
      <c r="H205" s="14"/>
      <c r="I205" s="14"/>
      <c r="J205" s="19"/>
      <c r="K205" s="19"/>
      <c r="L205" s="14"/>
      <c r="M205" s="19"/>
      <c r="N205" s="19"/>
      <c r="O205" s="19"/>
      <c r="P205" s="19"/>
    </row>
    <row r="206">
      <c r="A206" s="196" t="s">
        <v>1170</v>
      </c>
      <c r="B206" s="5"/>
      <c r="C206" s="5"/>
      <c r="D206" s="5"/>
      <c r="E206" s="5"/>
      <c r="F206" s="5"/>
      <c r="G206" s="5"/>
      <c r="H206" s="5"/>
      <c r="I206" s="5"/>
      <c r="J206" s="5"/>
      <c r="K206" s="5"/>
      <c r="L206" s="5"/>
      <c r="M206" s="5"/>
      <c r="N206" s="5"/>
      <c r="O206" s="7"/>
      <c r="P206" s="19"/>
    </row>
    <row r="207">
      <c r="A207" s="197" t="s">
        <v>47</v>
      </c>
      <c r="B207" s="111" t="s">
        <v>7</v>
      </c>
      <c r="C207" s="111" t="s">
        <v>56</v>
      </c>
      <c r="D207" s="111" t="s">
        <v>58</v>
      </c>
      <c r="E207" s="111" t="s">
        <v>30</v>
      </c>
      <c r="F207" s="111" t="s">
        <v>12</v>
      </c>
      <c r="G207" s="111" t="s">
        <v>33</v>
      </c>
      <c r="H207" s="113" t="s">
        <v>34</v>
      </c>
      <c r="I207" s="113"/>
      <c r="J207" s="42" t="s">
        <v>67</v>
      </c>
      <c r="K207" s="42" t="s">
        <v>16</v>
      </c>
      <c r="L207" s="42" t="s">
        <v>35</v>
      </c>
      <c r="M207" s="42" t="s">
        <v>18</v>
      </c>
      <c r="N207" s="42" t="s">
        <v>19</v>
      </c>
      <c r="O207" s="42" t="s">
        <v>20</v>
      </c>
      <c r="P207" s="42" t="s">
        <v>21</v>
      </c>
    </row>
    <row r="208">
      <c r="A208" s="121">
        <v>1.0</v>
      </c>
      <c r="B208" s="214" t="s">
        <v>1171</v>
      </c>
      <c r="C208" s="121" t="s">
        <v>80</v>
      </c>
      <c r="D208" s="121" t="s">
        <v>1172</v>
      </c>
      <c r="E208" s="121" t="s">
        <v>1173</v>
      </c>
      <c r="F208" s="121" t="s">
        <v>1174</v>
      </c>
      <c r="G208" s="208">
        <v>45998.0</v>
      </c>
      <c r="H208" s="121">
        <v>18.0</v>
      </c>
      <c r="I208" s="121"/>
      <c r="J208" s="34" t="s">
        <v>234</v>
      </c>
      <c r="K208" s="12" t="s">
        <v>1166</v>
      </c>
      <c r="L208" s="33" t="s">
        <v>236</v>
      </c>
      <c r="M208" s="19"/>
      <c r="N208" s="19"/>
      <c r="O208" s="94" t="s">
        <v>1083</v>
      </c>
      <c r="P208" s="157" t="s">
        <v>94</v>
      </c>
    </row>
    <row r="209">
      <c r="A209" s="215">
        <v>2.0</v>
      </c>
      <c r="B209" s="216" t="s">
        <v>1175</v>
      </c>
      <c r="C209" s="215" t="s">
        <v>80</v>
      </c>
      <c r="D209" s="215" t="s">
        <v>1176</v>
      </c>
      <c r="E209" s="215" t="s">
        <v>1177</v>
      </c>
      <c r="F209" s="215" t="s">
        <v>1178</v>
      </c>
      <c r="G209" s="217">
        <v>45998.0</v>
      </c>
      <c r="H209" s="215">
        <v>18.0</v>
      </c>
      <c r="I209" s="215"/>
      <c r="J209" s="184" t="s">
        <v>234</v>
      </c>
      <c r="K209" s="181" t="s">
        <v>1166</v>
      </c>
      <c r="L209" s="218"/>
      <c r="M209" s="183"/>
      <c r="N209" s="183"/>
      <c r="O209" s="219" t="s">
        <v>1179</v>
      </c>
      <c r="P209" s="185" t="s">
        <v>94</v>
      </c>
      <c r="Q209" s="186"/>
      <c r="R209" s="186"/>
      <c r="S209" s="186"/>
      <c r="T209" s="186"/>
      <c r="U209" s="186"/>
      <c r="V209" s="186"/>
      <c r="W209" s="186"/>
      <c r="X209" s="186"/>
      <c r="Y209" s="186"/>
      <c r="Z209" s="186"/>
      <c r="AA209" s="186"/>
      <c r="AB209" s="186"/>
      <c r="AC209" s="186"/>
      <c r="AD209" s="186"/>
      <c r="AE209" s="186"/>
      <c r="AF209" s="186"/>
    </row>
    <row r="210">
      <c r="A210" s="215">
        <v>3.0</v>
      </c>
      <c r="B210" s="216" t="s">
        <v>1180</v>
      </c>
      <c r="C210" s="215" t="s">
        <v>80</v>
      </c>
      <c r="D210" s="215" t="s">
        <v>1181</v>
      </c>
      <c r="E210" s="215" t="s">
        <v>1182</v>
      </c>
      <c r="F210" s="215" t="s">
        <v>1025</v>
      </c>
      <c r="G210" s="217">
        <v>45998.0</v>
      </c>
      <c r="H210" s="215">
        <v>18.0</v>
      </c>
      <c r="I210" s="215"/>
      <c r="J210" s="181" t="s">
        <v>186</v>
      </c>
      <c r="K210" s="220">
        <v>45907.0</v>
      </c>
      <c r="L210" s="218"/>
      <c r="M210" s="183"/>
      <c r="N210" s="183"/>
      <c r="O210" s="219" t="s">
        <v>1183</v>
      </c>
      <c r="P210" s="185" t="s">
        <v>94</v>
      </c>
      <c r="Q210" s="186"/>
      <c r="R210" s="186"/>
      <c r="S210" s="186"/>
      <c r="T210" s="186"/>
      <c r="U210" s="186"/>
      <c r="V210" s="186"/>
      <c r="W210" s="186"/>
      <c r="X210" s="186"/>
      <c r="Y210" s="186"/>
      <c r="Z210" s="186"/>
      <c r="AA210" s="186"/>
      <c r="AB210" s="186"/>
      <c r="AC210" s="186"/>
      <c r="AD210" s="186"/>
      <c r="AE210" s="186"/>
      <c r="AF210" s="186"/>
    </row>
    <row r="211">
      <c r="A211" s="215">
        <v>4.0</v>
      </c>
      <c r="B211" s="216" t="s">
        <v>1184</v>
      </c>
      <c r="C211" s="215" t="s">
        <v>1185</v>
      </c>
      <c r="D211" s="215" t="s">
        <v>1186</v>
      </c>
      <c r="E211" s="215" t="s">
        <v>1187</v>
      </c>
      <c r="F211" s="215" t="s">
        <v>180</v>
      </c>
      <c r="G211" s="217">
        <v>45998.0</v>
      </c>
      <c r="H211" s="215">
        <v>18.0</v>
      </c>
      <c r="I211" s="215"/>
      <c r="J211" s="184" t="s">
        <v>234</v>
      </c>
      <c r="K211" s="181" t="s">
        <v>1107</v>
      </c>
      <c r="L211" s="218"/>
      <c r="M211" s="183"/>
      <c r="N211" s="183"/>
      <c r="O211" s="221" t="s">
        <v>1188</v>
      </c>
      <c r="P211" s="185" t="s">
        <v>94</v>
      </c>
      <c r="Q211" s="186"/>
      <c r="R211" s="186"/>
      <c r="S211" s="186"/>
      <c r="T211" s="186"/>
      <c r="U211" s="186"/>
      <c r="V211" s="186"/>
      <c r="W211" s="186"/>
      <c r="X211" s="186"/>
      <c r="Y211" s="186"/>
      <c r="Z211" s="186"/>
      <c r="AA211" s="186"/>
      <c r="AB211" s="186"/>
      <c r="AC211" s="186"/>
      <c r="AD211" s="186"/>
      <c r="AE211" s="186"/>
      <c r="AF211" s="186"/>
    </row>
    <row r="212">
      <c r="A212" s="215">
        <v>5.0</v>
      </c>
      <c r="B212" s="216" t="s">
        <v>1189</v>
      </c>
      <c r="C212" s="215" t="s">
        <v>80</v>
      </c>
      <c r="D212" s="215" t="s">
        <v>1190</v>
      </c>
      <c r="E212" s="215" t="s">
        <v>1191</v>
      </c>
      <c r="F212" s="215" t="s">
        <v>228</v>
      </c>
      <c r="G212" s="215" t="s">
        <v>1192</v>
      </c>
      <c r="H212" s="215">
        <v>19.0</v>
      </c>
      <c r="I212" s="215"/>
      <c r="J212" s="181" t="s">
        <v>186</v>
      </c>
      <c r="K212" s="220">
        <v>45664.0</v>
      </c>
      <c r="L212" s="218"/>
      <c r="M212" s="183"/>
      <c r="N212" s="183"/>
      <c r="O212" s="222" t="s">
        <v>1183</v>
      </c>
      <c r="P212" s="185" t="s">
        <v>94</v>
      </c>
      <c r="Q212" s="186"/>
      <c r="R212" s="186"/>
      <c r="S212" s="186"/>
      <c r="T212" s="186"/>
      <c r="U212" s="186"/>
      <c r="V212" s="186"/>
      <c r="W212" s="186"/>
      <c r="X212" s="186"/>
      <c r="Y212" s="186"/>
      <c r="Z212" s="186"/>
      <c r="AA212" s="186"/>
      <c r="AB212" s="186"/>
      <c r="AC212" s="186"/>
      <c r="AD212" s="186"/>
      <c r="AE212" s="186"/>
      <c r="AF212" s="186"/>
    </row>
    <row r="213">
      <c r="A213" s="215">
        <v>6.0</v>
      </c>
      <c r="B213" s="216" t="s">
        <v>1193</v>
      </c>
      <c r="C213" s="215" t="s">
        <v>80</v>
      </c>
      <c r="D213" s="215" t="s">
        <v>1194</v>
      </c>
      <c r="E213" s="215" t="s">
        <v>1195</v>
      </c>
      <c r="F213" s="215" t="s">
        <v>228</v>
      </c>
      <c r="G213" s="215" t="s">
        <v>1192</v>
      </c>
      <c r="H213" s="215">
        <v>19.0</v>
      </c>
      <c r="I213" s="215"/>
      <c r="J213" s="181" t="s">
        <v>186</v>
      </c>
      <c r="K213" s="220">
        <v>45664.0</v>
      </c>
      <c r="L213" s="218"/>
      <c r="M213" s="183"/>
      <c r="N213" s="183"/>
      <c r="O213" s="222" t="s">
        <v>1183</v>
      </c>
      <c r="P213" s="185" t="s">
        <v>94</v>
      </c>
      <c r="Q213" s="186"/>
      <c r="R213" s="186"/>
      <c r="S213" s="186"/>
      <c r="T213" s="186"/>
      <c r="U213" s="186"/>
      <c r="V213" s="186"/>
      <c r="W213" s="186"/>
      <c r="X213" s="186"/>
      <c r="Y213" s="186"/>
      <c r="Z213" s="186"/>
      <c r="AA213" s="186"/>
      <c r="AB213" s="186"/>
      <c r="AC213" s="186"/>
      <c r="AD213" s="186"/>
      <c r="AE213" s="186"/>
      <c r="AF213" s="186"/>
    </row>
    <row r="214">
      <c r="A214" s="215">
        <v>7.0</v>
      </c>
      <c r="B214" s="216" t="s">
        <v>1196</v>
      </c>
      <c r="C214" s="215" t="s">
        <v>80</v>
      </c>
      <c r="D214" s="215" t="s">
        <v>1197</v>
      </c>
      <c r="E214" s="215" t="s">
        <v>1198</v>
      </c>
      <c r="F214" s="215" t="s">
        <v>1199</v>
      </c>
      <c r="G214" s="215" t="s">
        <v>1192</v>
      </c>
      <c r="H214" s="215">
        <v>19.0</v>
      </c>
      <c r="I214" s="215"/>
      <c r="J214" s="184" t="s">
        <v>234</v>
      </c>
      <c r="K214" s="220">
        <v>45839.0</v>
      </c>
      <c r="L214" s="218"/>
      <c r="M214" s="183"/>
      <c r="N214" s="183"/>
      <c r="O214" s="223">
        <v>45968.0</v>
      </c>
      <c r="P214" s="185" t="s">
        <v>94</v>
      </c>
      <c r="Q214" s="186"/>
      <c r="R214" s="186"/>
      <c r="S214" s="186"/>
      <c r="T214" s="186"/>
      <c r="U214" s="186"/>
      <c r="V214" s="186"/>
      <c r="W214" s="186"/>
      <c r="X214" s="186"/>
      <c r="Y214" s="186"/>
      <c r="Z214" s="186"/>
      <c r="AA214" s="186"/>
      <c r="AB214" s="186"/>
      <c r="AC214" s="186"/>
      <c r="AD214" s="186"/>
      <c r="AE214" s="186"/>
      <c r="AF214" s="186"/>
    </row>
    <row r="215">
      <c r="A215" s="215">
        <v>8.0</v>
      </c>
      <c r="B215" s="216" t="s">
        <v>1200</v>
      </c>
      <c r="C215" s="215" t="s">
        <v>80</v>
      </c>
      <c r="D215" s="215" t="s">
        <v>1201</v>
      </c>
      <c r="E215" s="215" t="s">
        <v>1202</v>
      </c>
      <c r="F215" s="215" t="s">
        <v>1203</v>
      </c>
      <c r="G215" s="217">
        <v>45845.0</v>
      </c>
      <c r="H215" s="215">
        <v>13.0</v>
      </c>
      <c r="I215" s="215"/>
      <c r="J215" s="184" t="s">
        <v>234</v>
      </c>
      <c r="K215" s="220">
        <v>45839.0</v>
      </c>
      <c r="L215" s="218"/>
      <c r="M215" s="183"/>
      <c r="N215" s="183"/>
      <c r="O215" s="223">
        <v>45968.0</v>
      </c>
      <c r="P215" s="185" t="s">
        <v>94</v>
      </c>
      <c r="Q215" s="186"/>
      <c r="R215" s="186"/>
      <c r="S215" s="186"/>
      <c r="T215" s="186"/>
      <c r="U215" s="186"/>
      <c r="V215" s="186"/>
      <c r="W215" s="186"/>
      <c r="X215" s="186"/>
      <c r="Y215" s="186"/>
      <c r="Z215" s="186"/>
      <c r="AA215" s="186"/>
      <c r="AB215" s="186"/>
      <c r="AC215" s="186"/>
      <c r="AD215" s="186"/>
      <c r="AE215" s="186"/>
      <c r="AF215" s="186"/>
    </row>
    <row r="216">
      <c r="A216" s="215">
        <v>9.0</v>
      </c>
      <c r="B216" s="216" t="s">
        <v>1204</v>
      </c>
      <c r="C216" s="215" t="s">
        <v>80</v>
      </c>
      <c r="D216" s="215" t="s">
        <v>1205</v>
      </c>
      <c r="E216" s="215" t="s">
        <v>1206</v>
      </c>
      <c r="F216" s="215" t="s">
        <v>207</v>
      </c>
      <c r="G216" s="217">
        <v>45937.0</v>
      </c>
      <c r="H216" s="215">
        <v>16.0</v>
      </c>
      <c r="I216" s="215"/>
      <c r="J216" s="183"/>
      <c r="K216" s="218"/>
      <c r="L216" s="218"/>
      <c r="M216" s="183"/>
      <c r="N216" s="183"/>
      <c r="O216" s="224">
        <v>45754.0</v>
      </c>
      <c r="P216" s="185" t="s">
        <v>94</v>
      </c>
      <c r="Q216" s="186"/>
      <c r="R216" s="186"/>
      <c r="S216" s="186"/>
      <c r="T216" s="186"/>
      <c r="U216" s="186"/>
      <c r="V216" s="186"/>
      <c r="W216" s="186"/>
      <c r="X216" s="186"/>
      <c r="Y216" s="186"/>
      <c r="Z216" s="186"/>
      <c r="AA216" s="186"/>
      <c r="AB216" s="186"/>
      <c r="AC216" s="186"/>
      <c r="AD216" s="186"/>
      <c r="AE216" s="186"/>
      <c r="AF216" s="186"/>
    </row>
    <row r="217">
      <c r="A217" s="215">
        <v>10.0</v>
      </c>
      <c r="B217" s="216" t="s">
        <v>1207</v>
      </c>
      <c r="C217" s="215" t="s">
        <v>80</v>
      </c>
      <c r="D217" s="215" t="s">
        <v>1208</v>
      </c>
      <c r="E217" s="215" t="s">
        <v>1209</v>
      </c>
      <c r="F217" s="215" t="s">
        <v>349</v>
      </c>
      <c r="G217" s="217">
        <v>45998.0</v>
      </c>
      <c r="H217" s="215">
        <v>18.0</v>
      </c>
      <c r="I217" s="215"/>
      <c r="J217" s="183"/>
      <c r="K217" s="218"/>
      <c r="L217" s="218"/>
      <c r="M217" s="183"/>
      <c r="N217" s="183"/>
      <c r="O217" s="184" t="s">
        <v>924</v>
      </c>
      <c r="P217" s="185" t="s">
        <v>94</v>
      </c>
      <c r="Q217" s="186"/>
      <c r="R217" s="186"/>
      <c r="S217" s="186"/>
      <c r="T217" s="186"/>
      <c r="U217" s="186"/>
      <c r="V217" s="186"/>
      <c r="W217" s="186"/>
      <c r="X217" s="186"/>
      <c r="Y217" s="186"/>
      <c r="Z217" s="186"/>
      <c r="AA217" s="186"/>
      <c r="AB217" s="186"/>
      <c r="AC217" s="186"/>
      <c r="AD217" s="186"/>
      <c r="AE217" s="186"/>
      <c r="AF217" s="186"/>
    </row>
    <row r="218">
      <c r="A218" s="215">
        <v>11.0</v>
      </c>
      <c r="B218" s="216" t="s">
        <v>1210</v>
      </c>
      <c r="C218" s="215" t="s">
        <v>80</v>
      </c>
      <c r="D218" s="215" t="s">
        <v>1211</v>
      </c>
      <c r="E218" s="215" t="s">
        <v>1212</v>
      </c>
      <c r="F218" s="215" t="s">
        <v>25</v>
      </c>
      <c r="G218" s="215" t="s">
        <v>1192</v>
      </c>
      <c r="H218" s="215">
        <v>19.0</v>
      </c>
      <c r="I218" s="215"/>
      <c r="J218" s="184" t="s">
        <v>234</v>
      </c>
      <c r="K218" s="181" t="s">
        <v>1166</v>
      </c>
      <c r="L218" s="218"/>
      <c r="M218" s="183"/>
      <c r="N218" s="183"/>
      <c r="O218" s="225" t="s">
        <v>1213</v>
      </c>
      <c r="P218" s="185" t="s">
        <v>94</v>
      </c>
      <c r="Q218" s="186"/>
      <c r="R218" s="186"/>
      <c r="S218" s="186"/>
      <c r="T218" s="186"/>
      <c r="U218" s="186"/>
      <c r="V218" s="186"/>
      <c r="W218" s="186"/>
      <c r="X218" s="186"/>
      <c r="Y218" s="186"/>
      <c r="Z218" s="186"/>
      <c r="AA218" s="186"/>
      <c r="AB218" s="186"/>
      <c r="AC218" s="186"/>
      <c r="AD218" s="186"/>
      <c r="AE218" s="186"/>
      <c r="AF218" s="186"/>
    </row>
    <row r="219">
      <c r="A219" s="215">
        <v>12.0</v>
      </c>
      <c r="B219" s="216" t="s">
        <v>1214</v>
      </c>
      <c r="C219" s="215" t="s">
        <v>1215</v>
      </c>
      <c r="D219" s="215" t="s">
        <v>1216</v>
      </c>
      <c r="E219" s="215" t="s">
        <v>1217</v>
      </c>
      <c r="F219" s="215" t="s">
        <v>1218</v>
      </c>
      <c r="G219" s="226"/>
      <c r="H219" s="215"/>
      <c r="I219" s="215"/>
      <c r="J219" s="183"/>
      <c r="K219" s="218"/>
      <c r="L219" s="218"/>
      <c r="M219" s="183"/>
      <c r="N219" s="183"/>
      <c r="O219" s="183"/>
      <c r="P219" s="227" t="s">
        <v>997</v>
      </c>
      <c r="Q219" s="186"/>
      <c r="R219" s="186"/>
      <c r="S219" s="186"/>
      <c r="T219" s="186"/>
      <c r="U219" s="186"/>
      <c r="V219" s="186"/>
      <c r="W219" s="186"/>
      <c r="X219" s="186"/>
      <c r="Y219" s="186"/>
      <c r="Z219" s="186"/>
      <c r="AA219" s="186"/>
      <c r="AB219" s="186"/>
      <c r="AC219" s="186"/>
      <c r="AD219" s="186"/>
      <c r="AE219" s="186"/>
      <c r="AF219" s="186"/>
    </row>
    <row r="220">
      <c r="A220" s="215">
        <v>13.0</v>
      </c>
      <c r="B220" s="216" t="s">
        <v>1219</v>
      </c>
      <c r="C220" s="215" t="s">
        <v>938</v>
      </c>
      <c r="D220" s="215" t="s">
        <v>1220</v>
      </c>
      <c r="E220" s="215" t="s">
        <v>1221</v>
      </c>
      <c r="F220" s="215" t="s">
        <v>243</v>
      </c>
      <c r="G220" s="215" t="s">
        <v>1222</v>
      </c>
      <c r="H220" s="215">
        <v>20.0</v>
      </c>
      <c r="I220" s="215"/>
      <c r="J220" s="181" t="s">
        <v>186</v>
      </c>
      <c r="K220" s="220">
        <v>45664.0</v>
      </c>
      <c r="L220" s="218"/>
      <c r="M220" s="183"/>
      <c r="N220" s="183"/>
      <c r="O220" s="223">
        <v>46333.0</v>
      </c>
      <c r="P220" s="185" t="s">
        <v>94</v>
      </c>
      <c r="Q220" s="186"/>
      <c r="R220" s="186"/>
      <c r="S220" s="186"/>
      <c r="T220" s="186"/>
      <c r="U220" s="186"/>
      <c r="V220" s="186"/>
      <c r="W220" s="186"/>
      <c r="X220" s="186"/>
      <c r="Y220" s="186"/>
      <c r="Z220" s="186"/>
      <c r="AA220" s="186"/>
      <c r="AB220" s="186"/>
      <c r="AC220" s="186"/>
      <c r="AD220" s="186"/>
      <c r="AE220" s="186"/>
      <c r="AF220" s="186"/>
    </row>
    <row r="221">
      <c r="A221" s="215">
        <v>14.0</v>
      </c>
      <c r="B221" s="216" t="s">
        <v>1223</v>
      </c>
      <c r="C221" s="215" t="s">
        <v>938</v>
      </c>
      <c r="D221" s="215" t="s">
        <v>1224</v>
      </c>
      <c r="E221" s="215" t="s">
        <v>1225</v>
      </c>
      <c r="F221" s="215" t="s">
        <v>243</v>
      </c>
      <c r="G221" s="215" t="s">
        <v>1222</v>
      </c>
      <c r="H221" s="215">
        <v>20.0</v>
      </c>
      <c r="I221" s="215"/>
      <c r="J221" s="181" t="s">
        <v>186</v>
      </c>
      <c r="K221" s="220">
        <v>45664.0</v>
      </c>
      <c r="L221" s="218"/>
      <c r="M221" s="183"/>
      <c r="N221" s="183"/>
      <c r="O221" s="223">
        <v>46333.0</v>
      </c>
      <c r="P221" s="185" t="s">
        <v>94</v>
      </c>
      <c r="Q221" s="186"/>
      <c r="R221" s="186"/>
      <c r="S221" s="186"/>
      <c r="T221" s="186"/>
      <c r="U221" s="186"/>
      <c r="V221" s="186"/>
      <c r="W221" s="186"/>
      <c r="X221" s="186"/>
      <c r="Y221" s="186"/>
      <c r="Z221" s="186"/>
      <c r="AA221" s="186"/>
      <c r="AB221" s="186"/>
      <c r="AC221" s="186"/>
      <c r="AD221" s="186"/>
      <c r="AE221" s="186"/>
      <c r="AF221" s="186"/>
    </row>
    <row r="222">
      <c r="A222" s="215">
        <v>15.0</v>
      </c>
      <c r="B222" s="216" t="s">
        <v>1226</v>
      </c>
      <c r="C222" s="215" t="s">
        <v>1185</v>
      </c>
      <c r="D222" s="215" t="s">
        <v>1227</v>
      </c>
      <c r="E222" s="215" t="s">
        <v>1228</v>
      </c>
      <c r="F222" s="215" t="s">
        <v>1229</v>
      </c>
      <c r="G222" s="215" t="s">
        <v>1192</v>
      </c>
      <c r="H222" s="215">
        <v>19.0</v>
      </c>
      <c r="I222" s="215"/>
      <c r="J222" s="184" t="s">
        <v>1230</v>
      </c>
      <c r="K222" s="220">
        <v>45840.0</v>
      </c>
      <c r="L222" s="218"/>
      <c r="M222" s="183"/>
      <c r="N222" s="183"/>
      <c r="O222" s="223">
        <v>46363.0</v>
      </c>
      <c r="P222" s="185" t="s">
        <v>94</v>
      </c>
      <c r="Q222" s="186"/>
      <c r="R222" s="186"/>
      <c r="S222" s="186"/>
      <c r="T222" s="186"/>
      <c r="U222" s="186"/>
      <c r="V222" s="186"/>
      <c r="W222" s="186"/>
      <c r="X222" s="186"/>
      <c r="Y222" s="186"/>
      <c r="Z222" s="186"/>
      <c r="AA222" s="186"/>
      <c r="AB222" s="186"/>
      <c r="AC222" s="186"/>
      <c r="AD222" s="186"/>
      <c r="AE222" s="186"/>
      <c r="AF222" s="186"/>
    </row>
    <row r="223">
      <c r="A223" s="215">
        <v>16.0</v>
      </c>
      <c r="B223" s="216" t="s">
        <v>1231</v>
      </c>
      <c r="C223" s="215" t="s">
        <v>80</v>
      </c>
      <c r="D223" s="215" t="s">
        <v>1232</v>
      </c>
      <c r="E223" s="215" t="s">
        <v>1233</v>
      </c>
      <c r="F223" s="215" t="s">
        <v>1234</v>
      </c>
      <c r="G223" s="217">
        <v>45784.0</v>
      </c>
      <c r="H223" s="215">
        <v>11.0</v>
      </c>
      <c r="I223" s="215"/>
      <c r="J223" s="181" t="s">
        <v>186</v>
      </c>
      <c r="K223" s="220">
        <v>45664.0</v>
      </c>
      <c r="L223" s="218"/>
      <c r="M223" s="183"/>
      <c r="N223" s="183"/>
      <c r="O223" s="225" t="s">
        <v>1213</v>
      </c>
      <c r="P223" s="185" t="s">
        <v>94</v>
      </c>
      <c r="Q223" s="186"/>
      <c r="R223" s="186"/>
      <c r="S223" s="186"/>
      <c r="T223" s="186"/>
      <c r="U223" s="186"/>
      <c r="V223" s="186"/>
      <c r="W223" s="186"/>
      <c r="X223" s="186"/>
      <c r="Y223" s="186"/>
      <c r="Z223" s="186"/>
      <c r="AA223" s="186"/>
      <c r="AB223" s="186"/>
      <c r="AC223" s="186"/>
      <c r="AD223" s="186"/>
      <c r="AE223" s="186"/>
      <c r="AF223" s="186"/>
    </row>
    <row r="224">
      <c r="A224" s="215">
        <v>17.0</v>
      </c>
      <c r="B224" s="216" t="s">
        <v>1235</v>
      </c>
      <c r="C224" s="215" t="s">
        <v>80</v>
      </c>
      <c r="D224" s="215" t="s">
        <v>1236</v>
      </c>
      <c r="E224" s="215" t="s">
        <v>1237</v>
      </c>
      <c r="F224" s="215" t="s">
        <v>1234</v>
      </c>
      <c r="G224" s="217">
        <v>45784.0</v>
      </c>
      <c r="H224" s="215">
        <v>11.0</v>
      </c>
      <c r="I224" s="215"/>
      <c r="J224" s="181" t="s">
        <v>186</v>
      </c>
      <c r="K224" s="220">
        <v>45664.0</v>
      </c>
      <c r="L224" s="218"/>
      <c r="M224" s="183"/>
      <c r="N224" s="183"/>
      <c r="O224" s="225" t="s">
        <v>1213</v>
      </c>
      <c r="P224" s="185" t="s">
        <v>94</v>
      </c>
      <c r="Q224" s="186"/>
      <c r="R224" s="186"/>
      <c r="S224" s="186"/>
      <c r="T224" s="186"/>
      <c r="U224" s="186"/>
      <c r="V224" s="186"/>
      <c r="W224" s="186"/>
      <c r="X224" s="186"/>
      <c r="Y224" s="186"/>
      <c r="Z224" s="186"/>
      <c r="AA224" s="186"/>
      <c r="AB224" s="186"/>
      <c r="AC224" s="186"/>
      <c r="AD224" s="186"/>
      <c r="AE224" s="186"/>
      <c r="AF224" s="186"/>
    </row>
    <row r="225">
      <c r="A225" s="215">
        <v>18.0</v>
      </c>
      <c r="B225" s="216" t="s">
        <v>1238</v>
      </c>
      <c r="C225" s="215" t="s">
        <v>688</v>
      </c>
      <c r="D225" s="215" t="s">
        <v>1239</v>
      </c>
      <c r="E225" s="215" t="s">
        <v>1240</v>
      </c>
      <c r="F225" s="215" t="s">
        <v>148</v>
      </c>
      <c r="G225" s="217">
        <v>45937.0</v>
      </c>
      <c r="H225" s="215">
        <v>16.0</v>
      </c>
      <c r="I225" s="215"/>
      <c r="J225" s="184" t="s">
        <v>100</v>
      </c>
      <c r="K225" s="218"/>
      <c r="L225" s="218"/>
      <c r="M225" s="183"/>
      <c r="N225" s="183"/>
      <c r="O225" s="223">
        <v>45998.0</v>
      </c>
      <c r="P225" s="185" t="s">
        <v>94</v>
      </c>
      <c r="Q225" s="186"/>
      <c r="R225" s="186"/>
      <c r="S225" s="186"/>
      <c r="T225" s="186"/>
      <c r="U225" s="186"/>
      <c r="V225" s="186"/>
      <c r="W225" s="186"/>
      <c r="X225" s="186"/>
      <c r="Y225" s="186"/>
      <c r="Z225" s="186"/>
      <c r="AA225" s="186"/>
      <c r="AB225" s="186"/>
      <c r="AC225" s="186"/>
      <c r="AD225" s="186"/>
      <c r="AE225" s="186"/>
      <c r="AF225" s="186"/>
    </row>
    <row r="226">
      <c r="A226" s="215">
        <v>19.0</v>
      </c>
      <c r="B226" s="216" t="s">
        <v>1241</v>
      </c>
      <c r="C226" s="215" t="s">
        <v>80</v>
      </c>
      <c r="D226" s="215" t="s">
        <v>1242</v>
      </c>
      <c r="E226" s="215" t="s">
        <v>1243</v>
      </c>
      <c r="F226" s="215" t="s">
        <v>1244</v>
      </c>
      <c r="G226" s="217">
        <v>45937.0</v>
      </c>
      <c r="H226" s="215">
        <v>16.0</v>
      </c>
      <c r="I226" s="215"/>
      <c r="J226" s="181" t="s">
        <v>186</v>
      </c>
      <c r="K226" s="220">
        <v>45723.0</v>
      </c>
      <c r="L226" s="218"/>
      <c r="M226" s="183"/>
      <c r="N226" s="183"/>
      <c r="O226" s="225" t="s">
        <v>1213</v>
      </c>
      <c r="P226" s="185" t="s">
        <v>94</v>
      </c>
      <c r="Q226" s="186"/>
      <c r="R226" s="186"/>
      <c r="S226" s="186"/>
      <c r="T226" s="186"/>
      <c r="U226" s="186"/>
      <c r="V226" s="186"/>
      <c r="W226" s="186"/>
      <c r="X226" s="186"/>
      <c r="Y226" s="186"/>
      <c r="Z226" s="186"/>
      <c r="AA226" s="186"/>
      <c r="AB226" s="186"/>
      <c r="AC226" s="186"/>
      <c r="AD226" s="186"/>
      <c r="AE226" s="186"/>
      <c r="AF226" s="186"/>
    </row>
    <row r="227">
      <c r="A227" s="215">
        <v>20.0</v>
      </c>
      <c r="B227" s="216" t="s">
        <v>1245</v>
      </c>
      <c r="C227" s="215" t="s">
        <v>1246</v>
      </c>
      <c r="D227" s="215" t="s">
        <v>1247</v>
      </c>
      <c r="E227" s="215" t="s">
        <v>1248</v>
      </c>
      <c r="F227" s="215" t="s">
        <v>1249</v>
      </c>
      <c r="G227" s="215" t="s">
        <v>1250</v>
      </c>
      <c r="H227" s="215">
        <v>2.0</v>
      </c>
      <c r="I227" s="215"/>
      <c r="J227" s="184" t="s">
        <v>1251</v>
      </c>
      <c r="K227" s="218"/>
      <c r="L227" s="218"/>
      <c r="M227" s="183"/>
      <c r="N227" s="183"/>
      <c r="O227" s="225" t="s">
        <v>1252</v>
      </c>
      <c r="P227" s="228" t="s">
        <v>94</v>
      </c>
      <c r="Q227" s="186"/>
      <c r="R227" s="186"/>
      <c r="S227" s="186"/>
      <c r="T227" s="186"/>
      <c r="U227" s="186"/>
      <c r="V227" s="186"/>
      <c r="W227" s="186"/>
      <c r="X227" s="186"/>
      <c r="Y227" s="186"/>
      <c r="Z227" s="186"/>
      <c r="AA227" s="186"/>
      <c r="AB227" s="186"/>
      <c r="AC227" s="186"/>
      <c r="AD227" s="186"/>
      <c r="AE227" s="186"/>
      <c r="AF227" s="186"/>
    </row>
    <row r="228">
      <c r="A228" s="215">
        <v>21.0</v>
      </c>
      <c r="B228" s="216" t="s">
        <v>1253</v>
      </c>
      <c r="C228" s="215" t="s">
        <v>80</v>
      </c>
      <c r="D228" s="215" t="s">
        <v>1254</v>
      </c>
      <c r="E228" s="215" t="s">
        <v>1255</v>
      </c>
      <c r="F228" s="215" t="s">
        <v>1256</v>
      </c>
      <c r="G228" s="217">
        <v>45968.0</v>
      </c>
      <c r="H228" s="215">
        <v>17.0</v>
      </c>
      <c r="I228" s="215"/>
      <c r="J228" s="181" t="s">
        <v>186</v>
      </c>
      <c r="K228" s="220">
        <v>45838.0</v>
      </c>
      <c r="L228" s="218"/>
      <c r="M228" s="183"/>
      <c r="N228" s="183"/>
      <c r="O228" s="225" t="s">
        <v>1142</v>
      </c>
      <c r="P228" s="185" t="s">
        <v>94</v>
      </c>
      <c r="Q228" s="186"/>
      <c r="R228" s="186"/>
      <c r="S228" s="186"/>
      <c r="T228" s="186"/>
      <c r="U228" s="186"/>
      <c r="V228" s="186"/>
      <c r="W228" s="186"/>
      <c r="X228" s="186"/>
      <c r="Y228" s="186"/>
      <c r="Z228" s="186"/>
      <c r="AA228" s="186"/>
      <c r="AB228" s="186"/>
      <c r="AC228" s="186"/>
      <c r="AD228" s="186"/>
      <c r="AE228" s="186"/>
      <c r="AF228" s="186"/>
    </row>
    <row r="229">
      <c r="A229" s="215">
        <v>22.0</v>
      </c>
      <c r="B229" s="216" t="s">
        <v>1257</v>
      </c>
      <c r="C229" s="215" t="s">
        <v>80</v>
      </c>
      <c r="D229" s="215" t="s">
        <v>1258</v>
      </c>
      <c r="E229" s="215" t="s">
        <v>1259</v>
      </c>
      <c r="F229" s="215" t="s">
        <v>1256</v>
      </c>
      <c r="G229" s="217">
        <v>45968.0</v>
      </c>
      <c r="H229" s="215">
        <v>17.0</v>
      </c>
      <c r="I229" s="215"/>
      <c r="J229" s="181" t="s">
        <v>186</v>
      </c>
      <c r="K229" s="220">
        <v>45838.0</v>
      </c>
      <c r="L229" s="218"/>
      <c r="M229" s="183"/>
      <c r="N229" s="183"/>
      <c r="O229" s="225" t="s">
        <v>1142</v>
      </c>
      <c r="P229" s="185" t="s">
        <v>94</v>
      </c>
      <c r="Q229" s="186"/>
      <c r="R229" s="186"/>
      <c r="S229" s="186"/>
      <c r="T229" s="186"/>
      <c r="U229" s="186"/>
      <c r="V229" s="186"/>
      <c r="W229" s="186"/>
      <c r="X229" s="186"/>
      <c r="Y229" s="186"/>
      <c r="Z229" s="186"/>
      <c r="AA229" s="186"/>
      <c r="AB229" s="186"/>
      <c r="AC229" s="186"/>
      <c r="AD229" s="186"/>
      <c r="AE229" s="186"/>
      <c r="AF229" s="186"/>
    </row>
    <row r="230">
      <c r="A230" s="215">
        <v>23.0</v>
      </c>
      <c r="B230" s="216" t="s">
        <v>1260</v>
      </c>
      <c r="C230" s="215" t="s">
        <v>80</v>
      </c>
      <c r="D230" s="215" t="s">
        <v>1261</v>
      </c>
      <c r="E230" s="215" t="s">
        <v>1262</v>
      </c>
      <c r="F230" s="215" t="s">
        <v>1263</v>
      </c>
      <c r="G230" s="217">
        <v>45968.0</v>
      </c>
      <c r="H230" s="215">
        <v>17.0</v>
      </c>
      <c r="I230" s="215"/>
      <c r="J230" s="181" t="s">
        <v>186</v>
      </c>
      <c r="K230" s="229">
        <v>45937.0</v>
      </c>
      <c r="L230" s="218"/>
      <c r="M230" s="183"/>
      <c r="N230" s="183"/>
      <c r="O230" s="184" t="s">
        <v>1188</v>
      </c>
      <c r="P230" s="185" t="s">
        <v>94</v>
      </c>
      <c r="Q230" s="186"/>
      <c r="R230" s="186"/>
      <c r="S230" s="186"/>
      <c r="T230" s="186"/>
      <c r="U230" s="186"/>
      <c r="V230" s="186"/>
      <c r="W230" s="186"/>
      <c r="X230" s="186"/>
      <c r="Y230" s="186"/>
      <c r="Z230" s="186"/>
      <c r="AA230" s="186"/>
      <c r="AB230" s="186"/>
      <c r="AC230" s="186"/>
      <c r="AD230" s="186"/>
      <c r="AE230" s="186"/>
      <c r="AF230" s="186"/>
    </row>
    <row r="231">
      <c r="A231" s="215">
        <v>24.0</v>
      </c>
      <c r="B231" s="216" t="s">
        <v>1264</v>
      </c>
      <c r="C231" s="215" t="s">
        <v>1185</v>
      </c>
      <c r="D231" s="215" t="s">
        <v>1265</v>
      </c>
      <c r="E231" s="215" t="s">
        <v>1266</v>
      </c>
      <c r="F231" s="215" t="s">
        <v>1267</v>
      </c>
      <c r="G231" s="215" t="s">
        <v>1192</v>
      </c>
      <c r="H231" s="215">
        <v>19.0</v>
      </c>
      <c r="I231" s="215"/>
      <c r="J231" s="181" t="s">
        <v>186</v>
      </c>
      <c r="K231" s="220">
        <v>45695.0</v>
      </c>
      <c r="L231" s="218"/>
      <c r="M231" s="183"/>
      <c r="N231" s="183"/>
      <c r="O231" s="225" t="s">
        <v>1127</v>
      </c>
      <c r="P231" s="185" t="s">
        <v>94</v>
      </c>
      <c r="Q231" s="186"/>
      <c r="R231" s="186"/>
      <c r="S231" s="186"/>
      <c r="T231" s="186"/>
      <c r="U231" s="186"/>
      <c r="V231" s="186"/>
      <c r="W231" s="186"/>
      <c r="X231" s="186"/>
      <c r="Y231" s="186"/>
      <c r="Z231" s="186"/>
      <c r="AA231" s="186"/>
      <c r="AB231" s="186"/>
      <c r="AC231" s="186"/>
      <c r="AD231" s="186"/>
      <c r="AE231" s="186"/>
      <c r="AF231" s="186"/>
    </row>
    <row r="232">
      <c r="A232" s="215" t="s">
        <v>1</v>
      </c>
      <c r="B232" s="216" t="s">
        <v>1268</v>
      </c>
      <c r="C232" s="215" t="s">
        <v>80</v>
      </c>
      <c r="D232" s="215" t="s">
        <v>1269</v>
      </c>
      <c r="E232" s="215" t="s">
        <v>1270</v>
      </c>
      <c r="F232" s="215" t="s">
        <v>1229</v>
      </c>
      <c r="G232" s="215" t="s">
        <v>1192</v>
      </c>
      <c r="H232" s="215">
        <v>19.0</v>
      </c>
      <c r="I232" s="215"/>
      <c r="J232" s="181" t="s">
        <v>186</v>
      </c>
      <c r="K232" s="220">
        <v>45723.0</v>
      </c>
      <c r="L232" s="218"/>
      <c r="M232" s="183"/>
      <c r="N232" s="183"/>
      <c r="O232" s="219" t="s">
        <v>1183</v>
      </c>
      <c r="P232" s="185" t="s">
        <v>94</v>
      </c>
      <c r="Q232" s="186"/>
      <c r="R232" s="186"/>
      <c r="S232" s="186"/>
      <c r="T232" s="186"/>
      <c r="U232" s="186"/>
      <c r="V232" s="186"/>
      <c r="W232" s="186"/>
      <c r="X232" s="186"/>
      <c r="Y232" s="186"/>
      <c r="Z232" s="186"/>
      <c r="AA232" s="186"/>
      <c r="AB232" s="186"/>
      <c r="AC232" s="186"/>
      <c r="AD232" s="186"/>
      <c r="AE232" s="186"/>
      <c r="AF232" s="186"/>
    </row>
    <row r="233">
      <c r="A233" s="215">
        <v>26.0</v>
      </c>
      <c r="B233" s="216" t="s">
        <v>1271</v>
      </c>
      <c r="C233" s="215" t="s">
        <v>80</v>
      </c>
      <c r="D233" s="215" t="s">
        <v>1272</v>
      </c>
      <c r="E233" s="215" t="s">
        <v>1273</v>
      </c>
      <c r="F233" s="215" t="s">
        <v>160</v>
      </c>
      <c r="G233" s="215" t="s">
        <v>1192</v>
      </c>
      <c r="H233" s="215">
        <v>19.0</v>
      </c>
      <c r="I233" s="215"/>
      <c r="J233" s="181" t="s">
        <v>186</v>
      </c>
      <c r="K233" s="220">
        <v>45695.0</v>
      </c>
      <c r="L233" s="218"/>
      <c r="M233" s="183"/>
      <c r="N233" s="183"/>
      <c r="O233" s="223">
        <v>46333.0</v>
      </c>
      <c r="P233" s="185" t="s">
        <v>94</v>
      </c>
      <c r="Q233" s="186"/>
      <c r="R233" s="186"/>
      <c r="S233" s="186"/>
      <c r="T233" s="186"/>
      <c r="U233" s="186"/>
      <c r="V233" s="186"/>
      <c r="W233" s="186"/>
      <c r="X233" s="186"/>
      <c r="Y233" s="186"/>
      <c r="Z233" s="186"/>
      <c r="AA233" s="186"/>
      <c r="AB233" s="186"/>
      <c r="AC233" s="186"/>
      <c r="AD233" s="186"/>
      <c r="AE233" s="186"/>
      <c r="AF233" s="186"/>
    </row>
    <row r="234">
      <c r="A234" s="215">
        <v>27.0</v>
      </c>
      <c r="B234" s="216" t="s">
        <v>1274</v>
      </c>
      <c r="C234" s="215" t="s">
        <v>80</v>
      </c>
      <c r="D234" s="215" t="s">
        <v>1275</v>
      </c>
      <c r="E234" s="215" t="s">
        <v>1276</v>
      </c>
      <c r="F234" s="215" t="s">
        <v>1277</v>
      </c>
      <c r="G234" s="215" t="s">
        <v>1222</v>
      </c>
      <c r="H234" s="215">
        <v>20.0</v>
      </c>
      <c r="I234" s="215"/>
      <c r="J234" s="181" t="s">
        <v>186</v>
      </c>
      <c r="K234" s="220">
        <v>45838.0</v>
      </c>
      <c r="L234" s="218"/>
      <c r="M234" s="183"/>
      <c r="N234" s="183"/>
      <c r="O234" s="230" t="s">
        <v>1127</v>
      </c>
      <c r="P234" s="185" t="s">
        <v>94</v>
      </c>
      <c r="Q234" s="186"/>
      <c r="R234" s="186"/>
      <c r="S234" s="186"/>
      <c r="T234" s="186"/>
      <c r="U234" s="186"/>
      <c r="V234" s="186"/>
      <c r="W234" s="186"/>
      <c r="X234" s="186"/>
      <c r="Y234" s="186"/>
      <c r="Z234" s="186"/>
      <c r="AA234" s="186"/>
      <c r="AB234" s="186"/>
      <c r="AC234" s="186"/>
      <c r="AD234" s="186"/>
      <c r="AE234" s="186"/>
      <c r="AF234" s="186"/>
    </row>
    <row r="235">
      <c r="A235" s="215">
        <v>28.0</v>
      </c>
      <c r="B235" s="216" t="s">
        <v>1278</v>
      </c>
      <c r="C235" s="215" t="s">
        <v>80</v>
      </c>
      <c r="D235" s="215" t="s">
        <v>1279</v>
      </c>
      <c r="E235" s="215" t="s">
        <v>1280</v>
      </c>
      <c r="F235" s="215" t="s">
        <v>1277</v>
      </c>
      <c r="G235" s="215" t="s">
        <v>1222</v>
      </c>
      <c r="H235" s="215">
        <v>20.0</v>
      </c>
      <c r="I235" s="215"/>
      <c r="J235" s="181" t="s">
        <v>186</v>
      </c>
      <c r="K235" s="220">
        <v>45838.0</v>
      </c>
      <c r="L235" s="218"/>
      <c r="M235" s="183"/>
      <c r="N235" s="183"/>
      <c r="O235" s="230" t="s">
        <v>1127</v>
      </c>
      <c r="P235" s="185" t="s">
        <v>94</v>
      </c>
      <c r="Q235" s="186"/>
      <c r="R235" s="186"/>
      <c r="S235" s="186"/>
      <c r="T235" s="186"/>
      <c r="U235" s="186"/>
      <c r="V235" s="186"/>
      <c r="W235" s="186"/>
      <c r="X235" s="186"/>
      <c r="Y235" s="186"/>
      <c r="Z235" s="186"/>
      <c r="AA235" s="186"/>
      <c r="AB235" s="186"/>
      <c r="AC235" s="186"/>
      <c r="AD235" s="186"/>
      <c r="AE235" s="186"/>
      <c r="AF235" s="186"/>
    </row>
    <row r="236">
      <c r="A236" s="215">
        <v>29.0</v>
      </c>
      <c r="B236" s="216" t="s">
        <v>1281</v>
      </c>
      <c r="C236" s="215" t="s">
        <v>80</v>
      </c>
      <c r="D236" s="215" t="s">
        <v>1282</v>
      </c>
      <c r="E236" s="215" t="s">
        <v>1283</v>
      </c>
      <c r="F236" s="215" t="s">
        <v>25</v>
      </c>
      <c r="G236" s="215" t="s">
        <v>1284</v>
      </c>
      <c r="H236" s="215">
        <v>22.0</v>
      </c>
      <c r="I236" s="215"/>
      <c r="J236" s="184" t="s">
        <v>234</v>
      </c>
      <c r="K236" s="181" t="s">
        <v>1107</v>
      </c>
      <c r="L236" s="218"/>
      <c r="M236" s="183"/>
      <c r="N236" s="183"/>
      <c r="O236" s="184" t="s">
        <v>1285</v>
      </c>
      <c r="P236" s="185" t="s">
        <v>94</v>
      </c>
      <c r="Q236" s="186"/>
      <c r="R236" s="186"/>
      <c r="S236" s="186"/>
      <c r="T236" s="186"/>
      <c r="U236" s="186"/>
      <c r="V236" s="186"/>
      <c r="W236" s="186"/>
      <c r="X236" s="186"/>
      <c r="Y236" s="186"/>
      <c r="Z236" s="186"/>
      <c r="AA236" s="186"/>
      <c r="AB236" s="186"/>
      <c r="AC236" s="186"/>
      <c r="AD236" s="186"/>
      <c r="AE236" s="186"/>
      <c r="AF236" s="186"/>
    </row>
    <row r="237">
      <c r="A237" s="121">
        <v>30.0</v>
      </c>
      <c r="B237" s="214" t="s">
        <v>1286</v>
      </c>
      <c r="C237" s="121" t="s">
        <v>80</v>
      </c>
      <c r="D237" s="121" t="s">
        <v>1287</v>
      </c>
      <c r="E237" s="121" t="s">
        <v>1288</v>
      </c>
      <c r="F237" s="121" t="s">
        <v>1289</v>
      </c>
      <c r="G237" s="121" t="s">
        <v>1192</v>
      </c>
      <c r="H237" s="121">
        <v>19.0</v>
      </c>
      <c r="I237" s="121"/>
      <c r="J237" s="12" t="s">
        <v>186</v>
      </c>
      <c r="K237" s="164">
        <v>45876.0</v>
      </c>
      <c r="L237" s="14"/>
      <c r="M237" s="19"/>
      <c r="N237" s="19"/>
      <c r="O237" s="34" t="s">
        <v>1290</v>
      </c>
      <c r="P237" s="157" t="s">
        <v>94</v>
      </c>
    </row>
    <row r="238">
      <c r="A238" s="121">
        <v>31.0</v>
      </c>
      <c r="B238" s="214" t="s">
        <v>1291</v>
      </c>
      <c r="C238" s="121" t="s">
        <v>80</v>
      </c>
      <c r="D238" s="121" t="s">
        <v>1292</v>
      </c>
      <c r="E238" s="121" t="s">
        <v>1293</v>
      </c>
      <c r="F238" s="121" t="s">
        <v>1294</v>
      </c>
      <c r="G238" s="121" t="s">
        <v>1284</v>
      </c>
      <c r="H238" s="121">
        <v>22.0</v>
      </c>
      <c r="I238" s="121"/>
      <c r="J238" s="12" t="s">
        <v>186</v>
      </c>
      <c r="K238" s="164">
        <v>45695.0</v>
      </c>
      <c r="L238" s="14"/>
      <c r="M238" s="19"/>
      <c r="N238" s="19"/>
      <c r="O238" s="148">
        <v>46333.0</v>
      </c>
      <c r="P238" s="157" t="s">
        <v>94</v>
      </c>
    </row>
    <row r="239">
      <c r="A239" s="121"/>
      <c r="B239" s="214"/>
      <c r="C239" s="121"/>
      <c r="D239" s="121"/>
      <c r="E239" s="121"/>
      <c r="F239" s="121"/>
      <c r="G239" s="121"/>
      <c r="H239" s="121"/>
      <c r="I239" s="121"/>
      <c r="J239" s="19"/>
      <c r="K239" s="19"/>
      <c r="L239" s="14"/>
      <c r="M239" s="19"/>
      <c r="N239" s="19"/>
      <c r="O239" s="19"/>
      <c r="P239" s="19"/>
    </row>
    <row r="240">
      <c r="A240" s="19"/>
      <c r="B240" s="19"/>
      <c r="C240" s="14"/>
      <c r="D240" s="14"/>
      <c r="E240" s="14"/>
      <c r="F240" s="14"/>
      <c r="G240" s="14"/>
      <c r="H240" s="14"/>
      <c r="I240" s="14"/>
      <c r="J240" s="19"/>
      <c r="K240" s="19"/>
      <c r="L240" s="14"/>
      <c r="M240" s="19"/>
      <c r="N240" s="19"/>
      <c r="O240" s="19"/>
      <c r="P240" s="19"/>
    </row>
    <row r="241">
      <c r="A241" s="196" t="s">
        <v>1295</v>
      </c>
      <c r="B241" s="5"/>
      <c r="C241" s="5"/>
      <c r="D241" s="5"/>
      <c r="E241" s="5"/>
      <c r="F241" s="5"/>
      <c r="G241" s="5"/>
      <c r="H241" s="5"/>
      <c r="I241" s="5"/>
      <c r="J241" s="5"/>
      <c r="K241" s="5"/>
      <c r="L241" s="5"/>
      <c r="M241" s="5"/>
      <c r="N241" s="5"/>
      <c r="O241" s="7"/>
      <c r="P241" s="19"/>
    </row>
    <row r="242">
      <c r="A242" s="197" t="s">
        <v>47</v>
      </c>
      <c r="B242" s="111" t="s">
        <v>7</v>
      </c>
      <c r="C242" s="111" t="s">
        <v>56</v>
      </c>
      <c r="D242" s="111" t="s">
        <v>58</v>
      </c>
      <c r="E242" s="111" t="s">
        <v>30</v>
      </c>
      <c r="F242" s="111" t="s">
        <v>12</v>
      </c>
      <c r="G242" s="111" t="s">
        <v>33</v>
      </c>
      <c r="H242" s="113" t="s">
        <v>34</v>
      </c>
      <c r="I242" s="113"/>
      <c r="J242" s="111" t="s">
        <v>14</v>
      </c>
      <c r="K242" s="42" t="s">
        <v>16</v>
      </c>
      <c r="L242" s="42" t="s">
        <v>35</v>
      </c>
      <c r="M242" s="42" t="s">
        <v>18</v>
      </c>
      <c r="N242" s="42" t="s">
        <v>19</v>
      </c>
      <c r="O242" s="42" t="s">
        <v>20</v>
      </c>
      <c r="P242" s="42" t="s">
        <v>21</v>
      </c>
    </row>
    <row r="243">
      <c r="A243" s="162">
        <v>1.0</v>
      </c>
      <c r="B243" s="231" t="s">
        <v>1296</v>
      </c>
      <c r="C243" s="162" t="s">
        <v>80</v>
      </c>
      <c r="D243" s="162" t="s">
        <v>1297</v>
      </c>
      <c r="E243" s="162" t="s">
        <v>1298</v>
      </c>
      <c r="F243" s="162" t="s">
        <v>1299</v>
      </c>
      <c r="G243" s="64" t="s">
        <v>1300</v>
      </c>
      <c r="H243" s="121">
        <v>14.0</v>
      </c>
      <c r="I243" s="121"/>
      <c r="J243" s="121" t="s">
        <v>186</v>
      </c>
      <c r="K243" s="71">
        <v>45754.0</v>
      </c>
      <c r="L243" s="14"/>
      <c r="M243" s="19"/>
      <c r="N243" s="19"/>
      <c r="O243" s="94" t="s">
        <v>1142</v>
      </c>
      <c r="P243" s="157" t="s">
        <v>94</v>
      </c>
    </row>
    <row r="244">
      <c r="A244" s="162">
        <v>2.0</v>
      </c>
      <c r="B244" s="231" t="s">
        <v>1301</v>
      </c>
      <c r="C244" s="162" t="s">
        <v>80</v>
      </c>
      <c r="D244" s="162" t="s">
        <v>1302</v>
      </c>
      <c r="E244" s="162" t="s">
        <v>1303</v>
      </c>
      <c r="F244" s="162" t="s">
        <v>1299</v>
      </c>
      <c r="G244" s="232">
        <v>45876.0</v>
      </c>
      <c r="H244" s="121">
        <v>5.0</v>
      </c>
      <c r="I244" s="121"/>
      <c r="J244" s="121" t="s">
        <v>186</v>
      </c>
      <c r="K244" s="71">
        <v>45754.0</v>
      </c>
      <c r="L244" s="14"/>
      <c r="M244" s="19"/>
      <c r="N244" s="19"/>
      <c r="O244" s="94" t="s">
        <v>1142</v>
      </c>
      <c r="P244" s="157" t="s">
        <v>94</v>
      </c>
    </row>
    <row r="245">
      <c r="A245" s="162">
        <v>3.0</v>
      </c>
      <c r="B245" s="231" t="s">
        <v>1304</v>
      </c>
      <c r="C245" s="162" t="s">
        <v>80</v>
      </c>
      <c r="D245" s="162" t="s">
        <v>1305</v>
      </c>
      <c r="E245" s="162" t="s">
        <v>1306</v>
      </c>
      <c r="F245" s="162" t="s">
        <v>1307</v>
      </c>
      <c r="G245" s="64" t="s">
        <v>1308</v>
      </c>
      <c r="H245" s="121">
        <v>12.0</v>
      </c>
      <c r="I245" s="121"/>
      <c r="J245" s="121" t="s">
        <v>186</v>
      </c>
      <c r="K245" s="233">
        <v>45845.0</v>
      </c>
      <c r="L245" s="14"/>
      <c r="M245" s="19"/>
      <c r="N245" s="19"/>
      <c r="O245" s="94" t="s">
        <v>1127</v>
      </c>
      <c r="P245" s="157" t="s">
        <v>94</v>
      </c>
    </row>
    <row r="246">
      <c r="A246" s="162">
        <v>4.0</v>
      </c>
      <c r="B246" s="231" t="s">
        <v>1309</v>
      </c>
      <c r="C246" s="162" t="s">
        <v>80</v>
      </c>
      <c r="D246" s="162" t="s">
        <v>1310</v>
      </c>
      <c r="E246" s="162" t="s">
        <v>1311</v>
      </c>
      <c r="F246" s="162" t="s">
        <v>1312</v>
      </c>
      <c r="G246" s="64" t="s">
        <v>1300</v>
      </c>
      <c r="H246" s="121">
        <v>14.0</v>
      </c>
      <c r="I246" s="121"/>
      <c r="J246" s="121" t="s">
        <v>186</v>
      </c>
      <c r="K246" s="233">
        <v>45845.0</v>
      </c>
      <c r="L246" s="14"/>
      <c r="M246" s="19"/>
      <c r="N246" s="19"/>
      <c r="O246" s="34" t="s">
        <v>1179</v>
      </c>
      <c r="P246" s="157" t="s">
        <v>94</v>
      </c>
    </row>
    <row r="247">
      <c r="A247" s="177">
        <v>5.0</v>
      </c>
      <c r="B247" s="234" t="s">
        <v>1313</v>
      </c>
      <c r="C247" s="177" t="s">
        <v>1058</v>
      </c>
      <c r="D247" s="177" t="s">
        <v>1314</v>
      </c>
      <c r="E247" s="177" t="s">
        <v>1315</v>
      </c>
      <c r="F247" s="177" t="s">
        <v>1316</v>
      </c>
      <c r="G247" s="178" t="s">
        <v>1300</v>
      </c>
      <c r="H247" s="215">
        <v>14.0</v>
      </c>
      <c r="I247" s="215"/>
      <c r="J247" s="215" t="s">
        <v>186</v>
      </c>
      <c r="K247" s="229">
        <v>45937.0</v>
      </c>
      <c r="L247" s="218"/>
      <c r="M247" s="183"/>
      <c r="N247" s="183"/>
      <c r="O247" s="219" t="s">
        <v>1183</v>
      </c>
      <c r="P247" s="185" t="s">
        <v>94</v>
      </c>
      <c r="Q247" s="186"/>
      <c r="R247" s="186"/>
      <c r="S247" s="186"/>
      <c r="T247" s="186"/>
      <c r="U247" s="186"/>
      <c r="V247" s="186"/>
      <c r="W247" s="186"/>
      <c r="X247" s="186"/>
      <c r="Y247" s="186"/>
      <c r="Z247" s="186"/>
      <c r="AA247" s="186"/>
      <c r="AB247" s="186"/>
      <c r="AC247" s="186"/>
      <c r="AD247" s="186"/>
      <c r="AE247" s="186"/>
      <c r="AF247" s="186"/>
    </row>
    <row r="248">
      <c r="A248" s="177">
        <v>6.0</v>
      </c>
      <c r="B248" s="234" t="s">
        <v>1317</v>
      </c>
      <c r="C248" s="177" t="s">
        <v>1318</v>
      </c>
      <c r="D248" s="177" t="s">
        <v>1319</v>
      </c>
      <c r="E248" s="177" t="s">
        <v>1320</v>
      </c>
      <c r="F248" s="177" t="s">
        <v>1321</v>
      </c>
      <c r="G248" s="178" t="s">
        <v>1159</v>
      </c>
      <c r="H248" s="215">
        <v>15.0</v>
      </c>
      <c r="I248" s="215"/>
      <c r="J248" s="215" t="s">
        <v>186</v>
      </c>
      <c r="K248" s="220">
        <v>45784.0</v>
      </c>
      <c r="L248" s="218"/>
      <c r="M248" s="183"/>
      <c r="N248" s="183"/>
      <c r="O248" s="184" t="s">
        <v>1285</v>
      </c>
      <c r="P248" s="228" t="s">
        <v>94</v>
      </c>
      <c r="Q248" s="186"/>
      <c r="R248" s="186"/>
      <c r="S248" s="186"/>
      <c r="T248" s="186"/>
      <c r="U248" s="186"/>
      <c r="V248" s="186"/>
      <c r="W248" s="186"/>
      <c r="X248" s="186"/>
      <c r="Y248" s="186"/>
      <c r="Z248" s="186"/>
      <c r="AA248" s="186"/>
      <c r="AB248" s="186"/>
      <c r="AC248" s="186"/>
      <c r="AD248" s="186"/>
      <c r="AE248" s="186"/>
      <c r="AF248" s="186"/>
    </row>
    <row r="249">
      <c r="A249" s="177">
        <v>7.0</v>
      </c>
      <c r="B249" s="234" t="s">
        <v>1322</v>
      </c>
      <c r="C249" s="177" t="s">
        <v>80</v>
      </c>
      <c r="D249" s="177" t="s">
        <v>1323</v>
      </c>
      <c r="E249" s="177" t="s">
        <v>430</v>
      </c>
      <c r="F249" s="177" t="s">
        <v>270</v>
      </c>
      <c r="G249" s="178" t="s">
        <v>1159</v>
      </c>
      <c r="H249" s="215">
        <v>15.0</v>
      </c>
      <c r="I249" s="215"/>
      <c r="J249" s="215" t="s">
        <v>186</v>
      </c>
      <c r="K249" s="181" t="s">
        <v>1324</v>
      </c>
      <c r="L249" s="218"/>
      <c r="M249" s="183"/>
      <c r="N249" s="183"/>
      <c r="O249" s="184" t="s">
        <v>1325</v>
      </c>
      <c r="P249" s="228" t="s">
        <v>94</v>
      </c>
      <c r="Q249" s="186"/>
      <c r="R249" s="186"/>
      <c r="S249" s="186"/>
      <c r="T249" s="186"/>
      <c r="U249" s="186"/>
      <c r="V249" s="186"/>
      <c r="W249" s="186"/>
      <c r="X249" s="186"/>
      <c r="Y249" s="186"/>
      <c r="Z249" s="186"/>
      <c r="AA249" s="186"/>
      <c r="AB249" s="186"/>
      <c r="AC249" s="186"/>
      <c r="AD249" s="186"/>
      <c r="AE249" s="186"/>
      <c r="AF249" s="186"/>
    </row>
    <row r="250">
      <c r="A250" s="177">
        <v>8.0</v>
      </c>
      <c r="B250" s="234" t="s">
        <v>1326</v>
      </c>
      <c r="C250" s="177" t="s">
        <v>80</v>
      </c>
      <c r="D250" s="177" t="s">
        <v>1327</v>
      </c>
      <c r="E250" s="177" t="s">
        <v>445</v>
      </c>
      <c r="F250" s="177" t="s">
        <v>270</v>
      </c>
      <c r="G250" s="178" t="s">
        <v>1159</v>
      </c>
      <c r="H250" s="215">
        <v>15.0</v>
      </c>
      <c r="I250" s="215"/>
      <c r="J250" s="215" t="s">
        <v>186</v>
      </c>
      <c r="K250" s="181" t="s">
        <v>1324</v>
      </c>
      <c r="L250" s="218"/>
      <c r="M250" s="183"/>
      <c r="N250" s="183"/>
      <c r="O250" s="184" t="s">
        <v>1325</v>
      </c>
      <c r="P250" s="235" t="s">
        <v>94</v>
      </c>
      <c r="Q250" s="186"/>
      <c r="R250" s="186"/>
      <c r="S250" s="186"/>
      <c r="T250" s="186"/>
      <c r="U250" s="186"/>
      <c r="V250" s="186"/>
      <c r="W250" s="186"/>
      <c r="X250" s="186"/>
      <c r="Y250" s="186"/>
      <c r="Z250" s="186"/>
      <c r="AA250" s="186"/>
      <c r="AB250" s="186"/>
      <c r="AC250" s="186"/>
      <c r="AD250" s="186"/>
      <c r="AE250" s="186"/>
      <c r="AF250" s="186"/>
    </row>
    <row r="251">
      <c r="A251" s="177">
        <v>9.0</v>
      </c>
      <c r="B251" s="234" t="s">
        <v>1328</v>
      </c>
      <c r="C251" s="177" t="s">
        <v>80</v>
      </c>
      <c r="D251" s="177" t="s">
        <v>1329</v>
      </c>
      <c r="E251" s="177" t="s">
        <v>1330</v>
      </c>
      <c r="F251" s="177" t="s">
        <v>1331</v>
      </c>
      <c r="G251" s="178" t="s">
        <v>1332</v>
      </c>
      <c r="H251" s="215">
        <v>16.0</v>
      </c>
      <c r="I251" s="215"/>
      <c r="J251" s="215" t="s">
        <v>186</v>
      </c>
      <c r="K251" s="181" t="s">
        <v>1324</v>
      </c>
      <c r="L251" s="218"/>
      <c r="M251" s="183"/>
      <c r="N251" s="183"/>
      <c r="O251" s="184" t="s">
        <v>1325</v>
      </c>
      <c r="P251" s="228" t="s">
        <v>94</v>
      </c>
      <c r="Q251" s="186"/>
      <c r="R251" s="186"/>
      <c r="S251" s="186"/>
      <c r="T251" s="186"/>
      <c r="U251" s="186"/>
      <c r="V251" s="186"/>
      <c r="W251" s="186"/>
      <c r="X251" s="186"/>
      <c r="Y251" s="186"/>
      <c r="Z251" s="186"/>
      <c r="AA251" s="186"/>
      <c r="AB251" s="186"/>
      <c r="AC251" s="186"/>
      <c r="AD251" s="186"/>
      <c r="AE251" s="186"/>
      <c r="AF251" s="186"/>
    </row>
    <row r="252">
      <c r="A252" s="177">
        <v>10.0</v>
      </c>
      <c r="B252" s="234" t="s">
        <v>1333</v>
      </c>
      <c r="C252" s="177" t="s">
        <v>80</v>
      </c>
      <c r="D252" s="177" t="s">
        <v>1334</v>
      </c>
      <c r="E252" s="177" t="s">
        <v>1335</v>
      </c>
      <c r="F252" s="177" t="s">
        <v>1331</v>
      </c>
      <c r="G252" s="178" t="s">
        <v>1332</v>
      </c>
      <c r="H252" s="215">
        <v>16.0</v>
      </c>
      <c r="I252" s="215"/>
      <c r="J252" s="215" t="s">
        <v>186</v>
      </c>
      <c r="K252" s="181" t="s">
        <v>1324</v>
      </c>
      <c r="L252" s="218"/>
      <c r="M252" s="183"/>
      <c r="N252" s="183"/>
      <c r="O252" s="184" t="s">
        <v>1325</v>
      </c>
      <c r="P252" s="228" t="s">
        <v>94</v>
      </c>
      <c r="Q252" s="186"/>
      <c r="R252" s="186"/>
      <c r="S252" s="186"/>
      <c r="T252" s="186"/>
      <c r="U252" s="186"/>
      <c r="V252" s="186"/>
      <c r="W252" s="186"/>
      <c r="X252" s="186"/>
      <c r="Y252" s="186"/>
      <c r="Z252" s="186"/>
      <c r="AA252" s="186"/>
      <c r="AB252" s="186"/>
      <c r="AC252" s="186"/>
      <c r="AD252" s="186"/>
      <c r="AE252" s="186"/>
      <c r="AF252" s="186"/>
    </row>
    <row r="253">
      <c r="A253" s="177">
        <v>11.0</v>
      </c>
      <c r="B253" s="234" t="s">
        <v>1336</v>
      </c>
      <c r="C253" s="177" t="s">
        <v>80</v>
      </c>
      <c r="D253" s="177" t="s">
        <v>1337</v>
      </c>
      <c r="E253" s="177" t="s">
        <v>1338</v>
      </c>
      <c r="F253" s="177" t="s">
        <v>1339</v>
      </c>
      <c r="G253" s="178" t="s">
        <v>1332</v>
      </c>
      <c r="H253" s="215">
        <v>16.0</v>
      </c>
      <c r="I253" s="215"/>
      <c r="J253" s="181" t="s">
        <v>186</v>
      </c>
      <c r="K253" s="229">
        <v>45876.0</v>
      </c>
      <c r="L253" s="218"/>
      <c r="M253" s="183"/>
      <c r="N253" s="183"/>
      <c r="O253" s="219" t="s">
        <v>1183</v>
      </c>
      <c r="P253" s="185" t="s">
        <v>94</v>
      </c>
      <c r="Q253" s="186"/>
      <c r="R253" s="186"/>
      <c r="S253" s="186"/>
      <c r="T253" s="186"/>
      <c r="U253" s="186"/>
      <c r="V253" s="186"/>
      <c r="W253" s="186"/>
      <c r="X253" s="186"/>
      <c r="Y253" s="186"/>
      <c r="Z253" s="186"/>
      <c r="AA253" s="186"/>
      <c r="AB253" s="186"/>
      <c r="AC253" s="186"/>
      <c r="AD253" s="186"/>
      <c r="AE253" s="186"/>
      <c r="AF253" s="186"/>
    </row>
    <row r="254">
      <c r="A254" s="177">
        <v>12.0</v>
      </c>
      <c r="B254" s="234" t="s">
        <v>1340</v>
      </c>
      <c r="C254" s="177" t="s">
        <v>80</v>
      </c>
      <c r="D254" s="177" t="s">
        <v>1341</v>
      </c>
      <c r="E254" s="177" t="s">
        <v>1342</v>
      </c>
      <c r="F254" s="177" t="s">
        <v>1339</v>
      </c>
      <c r="G254" s="178" t="s">
        <v>1332</v>
      </c>
      <c r="H254" s="215">
        <v>16.0</v>
      </c>
      <c r="I254" s="215"/>
      <c r="J254" s="181" t="s">
        <v>186</v>
      </c>
      <c r="K254" s="229">
        <v>45876.0</v>
      </c>
      <c r="L254" s="218"/>
      <c r="M254" s="183"/>
      <c r="N254" s="183"/>
      <c r="O254" s="219" t="s">
        <v>1183</v>
      </c>
      <c r="P254" s="185" t="s">
        <v>94</v>
      </c>
      <c r="Q254" s="186"/>
      <c r="R254" s="186"/>
      <c r="S254" s="186"/>
      <c r="T254" s="186"/>
      <c r="U254" s="186"/>
      <c r="V254" s="186"/>
      <c r="W254" s="186"/>
      <c r="X254" s="186"/>
      <c r="Y254" s="186"/>
      <c r="Z254" s="186"/>
      <c r="AA254" s="186"/>
      <c r="AB254" s="186"/>
      <c r="AC254" s="186"/>
      <c r="AD254" s="186"/>
      <c r="AE254" s="186"/>
      <c r="AF254" s="186"/>
    </row>
    <row r="255">
      <c r="A255" s="177">
        <v>13.0</v>
      </c>
      <c r="B255" s="234" t="s">
        <v>1343</v>
      </c>
      <c r="C255" s="177" t="s">
        <v>938</v>
      </c>
      <c r="D255" s="177" t="s">
        <v>1344</v>
      </c>
      <c r="E255" s="177" t="s">
        <v>1345</v>
      </c>
      <c r="F255" s="177" t="s">
        <v>243</v>
      </c>
      <c r="G255" s="178" t="s">
        <v>1346</v>
      </c>
      <c r="H255" s="215">
        <v>17.0</v>
      </c>
      <c r="I255" s="215"/>
      <c r="J255" s="181" t="s">
        <v>186</v>
      </c>
      <c r="K255" s="181" t="s">
        <v>1347</v>
      </c>
      <c r="L255" s="218"/>
      <c r="M255" s="183"/>
      <c r="N255" s="183"/>
      <c r="O255" s="184" t="s">
        <v>1348</v>
      </c>
      <c r="P255" s="185" t="s">
        <v>94</v>
      </c>
      <c r="Q255" s="186"/>
      <c r="R255" s="186"/>
      <c r="S255" s="186"/>
      <c r="T255" s="186"/>
      <c r="U255" s="186"/>
      <c r="V255" s="186"/>
      <c r="W255" s="186"/>
      <c r="X255" s="186"/>
      <c r="Y255" s="186"/>
      <c r="Z255" s="186"/>
      <c r="AA255" s="186"/>
      <c r="AB255" s="186"/>
      <c r="AC255" s="186"/>
      <c r="AD255" s="186"/>
      <c r="AE255" s="186"/>
      <c r="AF255" s="186"/>
    </row>
    <row r="256">
      <c r="A256" s="177">
        <v>14.0</v>
      </c>
      <c r="B256" s="234" t="s">
        <v>1349</v>
      </c>
      <c r="C256" s="177" t="s">
        <v>938</v>
      </c>
      <c r="D256" s="177" t="s">
        <v>1350</v>
      </c>
      <c r="E256" s="177" t="s">
        <v>1351</v>
      </c>
      <c r="F256" s="177" t="s">
        <v>243</v>
      </c>
      <c r="G256" s="178" t="s">
        <v>1346</v>
      </c>
      <c r="H256" s="215">
        <v>17.0</v>
      </c>
      <c r="I256" s="215"/>
      <c r="J256" s="181" t="s">
        <v>186</v>
      </c>
      <c r="K256" s="181" t="s">
        <v>1347</v>
      </c>
      <c r="L256" s="218"/>
      <c r="M256" s="183"/>
      <c r="N256" s="183"/>
      <c r="O256" s="184" t="s">
        <v>1348</v>
      </c>
      <c r="P256" s="185" t="s">
        <v>94</v>
      </c>
      <c r="Q256" s="186"/>
      <c r="R256" s="186"/>
      <c r="S256" s="186"/>
      <c r="T256" s="186"/>
      <c r="U256" s="186"/>
      <c r="V256" s="186"/>
      <c r="W256" s="186"/>
      <c r="X256" s="186"/>
      <c r="Y256" s="186"/>
      <c r="Z256" s="186"/>
      <c r="AA256" s="186"/>
      <c r="AB256" s="186"/>
      <c r="AC256" s="186"/>
      <c r="AD256" s="186"/>
      <c r="AE256" s="186"/>
      <c r="AF256" s="186"/>
    </row>
    <row r="257">
      <c r="A257" s="177">
        <v>15.0</v>
      </c>
      <c r="B257" s="234" t="s">
        <v>1352</v>
      </c>
      <c r="C257" s="177" t="s">
        <v>80</v>
      </c>
      <c r="D257" s="177" t="s">
        <v>1353</v>
      </c>
      <c r="E257" s="177" t="s">
        <v>1354</v>
      </c>
      <c r="F257" s="177" t="s">
        <v>172</v>
      </c>
      <c r="G257" s="178" t="s">
        <v>1159</v>
      </c>
      <c r="H257" s="215">
        <v>15.0</v>
      </c>
      <c r="I257" s="215"/>
      <c r="J257" s="181" t="s">
        <v>186</v>
      </c>
      <c r="K257" s="220">
        <v>45784.0</v>
      </c>
      <c r="L257" s="218"/>
      <c r="M257" s="183"/>
      <c r="N257" s="183"/>
      <c r="O257" s="219" t="s">
        <v>1183</v>
      </c>
      <c r="P257" s="185" t="s">
        <v>94</v>
      </c>
      <c r="Q257" s="186"/>
      <c r="R257" s="186"/>
      <c r="S257" s="186"/>
      <c r="T257" s="186"/>
      <c r="U257" s="186"/>
      <c r="V257" s="186"/>
      <c r="W257" s="186"/>
      <c r="X257" s="186"/>
      <c r="Y257" s="186"/>
      <c r="Z257" s="186"/>
      <c r="AA257" s="186"/>
      <c r="AB257" s="186"/>
      <c r="AC257" s="186"/>
      <c r="AD257" s="186"/>
      <c r="AE257" s="186"/>
      <c r="AF257" s="186"/>
    </row>
    <row r="258">
      <c r="A258" s="162">
        <v>16.0</v>
      </c>
      <c r="B258" s="162" t="s">
        <v>1355</v>
      </c>
      <c r="C258" s="162" t="s">
        <v>80</v>
      </c>
      <c r="D258" s="162" t="s">
        <v>1356</v>
      </c>
      <c r="E258" s="162" t="s">
        <v>1357</v>
      </c>
      <c r="F258" s="162" t="s">
        <v>1299</v>
      </c>
      <c r="G258" s="232">
        <v>45815.0</v>
      </c>
      <c r="H258" s="121">
        <v>3.0</v>
      </c>
      <c r="I258" s="121"/>
      <c r="J258" s="121"/>
      <c r="K258" s="19"/>
      <c r="L258" s="14"/>
      <c r="M258" s="19"/>
      <c r="N258" s="19"/>
      <c r="O258" s="132">
        <v>45754.0</v>
      </c>
      <c r="P258" s="157" t="s">
        <v>94</v>
      </c>
    </row>
    <row r="259">
      <c r="A259" s="19"/>
      <c r="B259" s="19"/>
      <c r="C259" s="14"/>
      <c r="D259" s="14"/>
      <c r="E259" s="14"/>
      <c r="F259" s="14"/>
      <c r="G259" s="14"/>
      <c r="H259" s="14"/>
      <c r="I259" s="14"/>
      <c r="J259" s="19"/>
      <c r="K259" s="19"/>
      <c r="L259" s="14"/>
      <c r="M259" s="19"/>
      <c r="N259" s="19"/>
      <c r="O259" s="19"/>
      <c r="P259" s="19"/>
    </row>
    <row r="260">
      <c r="A260" s="19"/>
      <c r="B260" s="19"/>
      <c r="C260" s="14"/>
      <c r="D260" s="14"/>
      <c r="E260" s="14"/>
      <c r="F260" s="14"/>
      <c r="G260" s="14"/>
      <c r="H260" s="14"/>
      <c r="I260" s="14"/>
      <c r="J260" s="19"/>
      <c r="K260" s="19"/>
      <c r="L260" s="14"/>
      <c r="M260" s="19"/>
      <c r="N260" s="19"/>
      <c r="O260" s="19"/>
      <c r="P260" s="19"/>
    </row>
    <row r="261">
      <c r="A261" s="196" t="s">
        <v>1358</v>
      </c>
      <c r="B261" s="5"/>
      <c r="C261" s="5"/>
      <c r="D261" s="5"/>
      <c r="E261" s="5"/>
      <c r="F261" s="5"/>
      <c r="G261" s="5"/>
      <c r="H261" s="5"/>
      <c r="I261" s="5"/>
      <c r="J261" s="5"/>
      <c r="K261" s="5"/>
      <c r="L261" s="5"/>
      <c r="M261" s="5"/>
      <c r="N261" s="5"/>
      <c r="O261" s="7"/>
      <c r="P261" s="19"/>
    </row>
    <row r="262">
      <c r="A262" s="236" t="s">
        <v>47</v>
      </c>
      <c r="B262" s="111" t="s">
        <v>7</v>
      </c>
      <c r="C262" s="111" t="s">
        <v>56</v>
      </c>
      <c r="D262" s="111" t="s">
        <v>58</v>
      </c>
      <c r="E262" s="111" t="s">
        <v>30</v>
      </c>
      <c r="F262" s="111" t="s">
        <v>12</v>
      </c>
      <c r="G262" s="111" t="s">
        <v>33</v>
      </c>
      <c r="H262" s="113" t="s">
        <v>34</v>
      </c>
      <c r="I262" s="113"/>
      <c r="J262" s="111" t="s">
        <v>14</v>
      </c>
      <c r="K262" s="42" t="s">
        <v>16</v>
      </c>
      <c r="L262" s="42" t="s">
        <v>35</v>
      </c>
      <c r="M262" s="42" t="s">
        <v>18</v>
      </c>
      <c r="N262" s="42" t="s">
        <v>19</v>
      </c>
      <c r="O262" s="42" t="s">
        <v>20</v>
      </c>
      <c r="P262" s="42" t="s">
        <v>21</v>
      </c>
    </row>
    <row r="263">
      <c r="A263" s="178">
        <v>1.0</v>
      </c>
      <c r="B263" s="237" t="s">
        <v>1359</v>
      </c>
      <c r="C263" s="178" t="s">
        <v>80</v>
      </c>
      <c r="D263" s="238" t="s">
        <v>1360</v>
      </c>
      <c r="E263" s="238" t="s">
        <v>1361</v>
      </c>
      <c r="F263" s="238" t="s">
        <v>1362</v>
      </c>
      <c r="G263" s="178" t="s">
        <v>1363</v>
      </c>
      <c r="H263" s="215">
        <v>13.0</v>
      </c>
      <c r="I263" s="215"/>
      <c r="J263" s="215" t="s">
        <v>186</v>
      </c>
      <c r="K263" s="229">
        <v>45907.0</v>
      </c>
      <c r="L263" s="218"/>
      <c r="M263" s="183"/>
      <c r="N263" s="183"/>
      <c r="O263" s="184" t="s">
        <v>1285</v>
      </c>
      <c r="P263" s="185" t="s">
        <v>94</v>
      </c>
      <c r="Q263" s="186"/>
      <c r="R263" s="186"/>
      <c r="S263" s="186"/>
      <c r="T263" s="186"/>
      <c r="U263" s="186"/>
      <c r="V263" s="186"/>
      <c r="W263" s="186"/>
      <c r="X263" s="186"/>
      <c r="Y263" s="186"/>
      <c r="Z263" s="186"/>
      <c r="AA263" s="186"/>
      <c r="AB263" s="186"/>
      <c r="AC263" s="186"/>
      <c r="AD263" s="186"/>
      <c r="AE263" s="186"/>
      <c r="AF263" s="186"/>
    </row>
    <row r="264">
      <c r="A264" s="178">
        <v>2.0</v>
      </c>
      <c r="B264" s="237" t="s">
        <v>1364</v>
      </c>
      <c r="C264" s="178" t="s">
        <v>80</v>
      </c>
      <c r="D264" s="238" t="s">
        <v>1365</v>
      </c>
      <c r="E264" s="238" t="s">
        <v>1366</v>
      </c>
      <c r="F264" s="238" t="s">
        <v>1362</v>
      </c>
      <c r="G264" s="178" t="s">
        <v>1363</v>
      </c>
      <c r="H264" s="215">
        <v>13.0</v>
      </c>
      <c r="I264" s="215"/>
      <c r="J264" s="215" t="s">
        <v>186</v>
      </c>
      <c r="K264" s="229">
        <v>45907.0</v>
      </c>
      <c r="L264" s="218"/>
      <c r="M264" s="183"/>
      <c r="N264" s="183"/>
      <c r="O264" s="184" t="s">
        <v>1285</v>
      </c>
      <c r="P264" s="185" t="s">
        <v>94</v>
      </c>
      <c r="Q264" s="186"/>
      <c r="R264" s="186"/>
      <c r="S264" s="186"/>
      <c r="T264" s="186"/>
      <c r="U264" s="186"/>
      <c r="V264" s="186"/>
      <c r="W264" s="186"/>
      <c r="X264" s="186"/>
      <c r="Y264" s="186"/>
      <c r="Z264" s="186"/>
      <c r="AA264" s="186"/>
      <c r="AB264" s="186"/>
      <c r="AC264" s="186"/>
      <c r="AD264" s="186"/>
      <c r="AE264" s="186"/>
      <c r="AF264" s="186"/>
    </row>
    <row r="265">
      <c r="A265" s="178">
        <v>3.0</v>
      </c>
      <c r="B265" s="237" t="s">
        <v>1367</v>
      </c>
      <c r="C265" s="238" t="s">
        <v>1058</v>
      </c>
      <c r="D265" s="238" t="s">
        <v>1368</v>
      </c>
      <c r="E265" s="238" t="s">
        <v>1369</v>
      </c>
      <c r="F265" s="238" t="s">
        <v>1370</v>
      </c>
      <c r="G265" s="178" t="s">
        <v>1363</v>
      </c>
      <c r="H265" s="215">
        <v>13.0</v>
      </c>
      <c r="I265" s="215"/>
      <c r="J265" s="215" t="s">
        <v>186</v>
      </c>
      <c r="K265" s="181" t="s">
        <v>1371</v>
      </c>
      <c r="L265" s="218"/>
      <c r="M265" s="183"/>
      <c r="N265" s="183"/>
      <c r="O265" s="223">
        <v>45816.0</v>
      </c>
      <c r="P265" s="185" t="s">
        <v>94</v>
      </c>
      <c r="Q265" s="186"/>
      <c r="R265" s="186"/>
      <c r="S265" s="186"/>
      <c r="T265" s="186"/>
      <c r="U265" s="186"/>
      <c r="V265" s="186"/>
      <c r="W265" s="186"/>
      <c r="X265" s="186"/>
      <c r="Y265" s="186"/>
      <c r="Z265" s="186"/>
      <c r="AA265" s="186"/>
      <c r="AB265" s="186"/>
      <c r="AC265" s="186"/>
      <c r="AD265" s="186"/>
      <c r="AE265" s="186"/>
      <c r="AF265" s="186"/>
    </row>
    <row r="266">
      <c r="A266" s="178">
        <v>4.0</v>
      </c>
      <c r="B266" s="237" t="s">
        <v>1372</v>
      </c>
      <c r="C266" s="238" t="s">
        <v>1058</v>
      </c>
      <c r="D266" s="238" t="s">
        <v>1373</v>
      </c>
      <c r="E266" s="238" t="s">
        <v>1374</v>
      </c>
      <c r="F266" s="238" t="s">
        <v>1370</v>
      </c>
      <c r="G266" s="178" t="s">
        <v>1363</v>
      </c>
      <c r="H266" s="215">
        <v>13.0</v>
      </c>
      <c r="I266" s="215"/>
      <c r="J266" s="215" t="s">
        <v>186</v>
      </c>
      <c r="K266" s="181" t="s">
        <v>1371</v>
      </c>
      <c r="L266" s="218"/>
      <c r="M266" s="183"/>
      <c r="N266" s="183"/>
      <c r="O266" s="223">
        <v>45816.0</v>
      </c>
      <c r="P266" s="185" t="s">
        <v>94</v>
      </c>
      <c r="Q266" s="186"/>
      <c r="R266" s="186"/>
      <c r="S266" s="186"/>
      <c r="T266" s="186"/>
      <c r="U266" s="186"/>
      <c r="V266" s="186"/>
      <c r="W266" s="186"/>
      <c r="X266" s="186"/>
      <c r="Y266" s="186"/>
      <c r="Z266" s="186"/>
      <c r="AA266" s="186"/>
      <c r="AB266" s="186"/>
      <c r="AC266" s="186"/>
      <c r="AD266" s="186"/>
      <c r="AE266" s="186"/>
      <c r="AF266" s="186"/>
    </row>
    <row r="267">
      <c r="A267" s="178">
        <v>5.0</v>
      </c>
      <c r="B267" s="237" t="s">
        <v>1375</v>
      </c>
      <c r="C267" s="178" t="s">
        <v>80</v>
      </c>
      <c r="D267" s="238" t="s">
        <v>1376</v>
      </c>
      <c r="E267" s="238" t="s">
        <v>1377</v>
      </c>
      <c r="F267" s="238" t="s">
        <v>1378</v>
      </c>
      <c r="G267" s="178" t="s">
        <v>1363</v>
      </c>
      <c r="H267" s="215">
        <v>13.0</v>
      </c>
      <c r="I267" s="215"/>
      <c r="J267" s="215" t="s">
        <v>186</v>
      </c>
      <c r="K267" s="229">
        <v>45937.0</v>
      </c>
      <c r="L267" s="218"/>
      <c r="M267" s="183"/>
      <c r="N267" s="183"/>
      <c r="O267" s="184" t="s">
        <v>1379</v>
      </c>
      <c r="P267" s="185" t="s">
        <v>94</v>
      </c>
      <c r="Q267" s="186"/>
      <c r="R267" s="186"/>
      <c r="S267" s="186"/>
      <c r="T267" s="186"/>
      <c r="U267" s="186"/>
      <c r="V267" s="186"/>
      <c r="W267" s="186"/>
      <c r="X267" s="186"/>
      <c r="Y267" s="186"/>
      <c r="Z267" s="186"/>
      <c r="AA267" s="186"/>
      <c r="AB267" s="186"/>
      <c r="AC267" s="186"/>
      <c r="AD267" s="186"/>
      <c r="AE267" s="186"/>
      <c r="AF267" s="186"/>
    </row>
    <row r="268">
      <c r="A268" s="178">
        <v>6.0</v>
      </c>
      <c r="B268" s="237" t="s">
        <v>1380</v>
      </c>
      <c r="C268" s="178" t="s">
        <v>80</v>
      </c>
      <c r="D268" s="238" t="s">
        <v>1381</v>
      </c>
      <c r="E268" s="238" t="s">
        <v>1382</v>
      </c>
      <c r="F268" s="238" t="s">
        <v>1256</v>
      </c>
      <c r="G268" s="178" t="s">
        <v>1383</v>
      </c>
      <c r="H268" s="215">
        <v>11.0</v>
      </c>
      <c r="I268" s="215"/>
      <c r="J268" s="215" t="s">
        <v>186</v>
      </c>
      <c r="K268" s="229">
        <v>45876.0</v>
      </c>
      <c r="L268" s="218"/>
      <c r="M268" s="183"/>
      <c r="N268" s="183"/>
      <c r="O268" s="221" t="s">
        <v>1083</v>
      </c>
      <c r="P268" s="185" t="s">
        <v>94</v>
      </c>
      <c r="Q268" s="186"/>
      <c r="R268" s="186"/>
      <c r="S268" s="186"/>
      <c r="T268" s="186"/>
      <c r="U268" s="186"/>
      <c r="V268" s="186"/>
      <c r="W268" s="186"/>
      <c r="X268" s="186"/>
      <c r="Y268" s="186"/>
      <c r="Z268" s="186"/>
      <c r="AA268" s="186"/>
      <c r="AB268" s="186"/>
      <c r="AC268" s="186"/>
      <c r="AD268" s="186"/>
      <c r="AE268" s="186"/>
      <c r="AF268" s="186"/>
    </row>
    <row r="269">
      <c r="A269" s="178">
        <v>7.0</v>
      </c>
      <c r="B269" s="237" t="s">
        <v>1384</v>
      </c>
      <c r="C269" s="178" t="s">
        <v>80</v>
      </c>
      <c r="D269" s="238" t="s">
        <v>1385</v>
      </c>
      <c r="E269" s="238" t="s">
        <v>1386</v>
      </c>
      <c r="F269" s="238" t="s">
        <v>1387</v>
      </c>
      <c r="G269" s="178" t="s">
        <v>1300</v>
      </c>
      <c r="H269" s="215">
        <v>14.0</v>
      </c>
      <c r="I269" s="215"/>
      <c r="J269" s="215" t="s">
        <v>1251</v>
      </c>
      <c r="K269" s="181" t="s">
        <v>1371</v>
      </c>
      <c r="L269" s="218"/>
      <c r="M269" s="183"/>
      <c r="N269" s="183"/>
      <c r="O269" s="184" t="s">
        <v>1285</v>
      </c>
      <c r="P269" s="185" t="s">
        <v>94</v>
      </c>
      <c r="Q269" s="186"/>
      <c r="R269" s="186"/>
      <c r="S269" s="186"/>
      <c r="T269" s="186"/>
      <c r="U269" s="186"/>
      <c r="V269" s="186"/>
      <c r="W269" s="186"/>
      <c r="X269" s="186"/>
      <c r="Y269" s="186"/>
      <c r="Z269" s="186"/>
      <c r="AA269" s="186"/>
      <c r="AB269" s="186"/>
      <c r="AC269" s="186"/>
      <c r="AD269" s="186"/>
      <c r="AE269" s="186"/>
      <c r="AF269" s="186"/>
    </row>
    <row r="270">
      <c r="A270" s="178">
        <v>8.0</v>
      </c>
      <c r="B270" s="237" t="s">
        <v>1388</v>
      </c>
      <c r="C270" s="178" t="s">
        <v>80</v>
      </c>
      <c r="D270" s="238" t="s">
        <v>1389</v>
      </c>
      <c r="E270" s="238" t="s">
        <v>1390</v>
      </c>
      <c r="F270" s="238" t="s">
        <v>1391</v>
      </c>
      <c r="G270" s="178" t="s">
        <v>1300</v>
      </c>
      <c r="H270" s="215">
        <v>14.0</v>
      </c>
      <c r="I270" s="215"/>
      <c r="J270" s="215" t="s">
        <v>186</v>
      </c>
      <c r="K270" s="229">
        <v>45845.0</v>
      </c>
      <c r="L270" s="218"/>
      <c r="M270" s="183"/>
      <c r="N270" s="183"/>
      <c r="O270" s="225" t="s">
        <v>1392</v>
      </c>
      <c r="P270" s="185" t="s">
        <v>94</v>
      </c>
      <c r="Q270" s="186"/>
      <c r="R270" s="186"/>
      <c r="S270" s="186"/>
      <c r="T270" s="186"/>
      <c r="U270" s="186"/>
      <c r="V270" s="186"/>
      <c r="W270" s="186"/>
      <c r="X270" s="186"/>
      <c r="Y270" s="186"/>
      <c r="Z270" s="186"/>
      <c r="AA270" s="186"/>
      <c r="AB270" s="186"/>
      <c r="AC270" s="186"/>
      <c r="AD270" s="186"/>
      <c r="AE270" s="186"/>
      <c r="AF270" s="186"/>
    </row>
    <row r="271">
      <c r="A271" s="178">
        <v>9.0</v>
      </c>
      <c r="B271" s="237" t="s">
        <v>1393</v>
      </c>
      <c r="C271" s="238" t="s">
        <v>938</v>
      </c>
      <c r="D271" s="238" t="s">
        <v>1394</v>
      </c>
      <c r="E271" s="238" t="s">
        <v>1395</v>
      </c>
      <c r="F271" s="238" t="s">
        <v>243</v>
      </c>
      <c r="G271" s="178" t="s">
        <v>1396</v>
      </c>
      <c r="H271" s="215">
        <v>18.0</v>
      </c>
      <c r="I271" s="215"/>
      <c r="J271" s="215" t="s">
        <v>186</v>
      </c>
      <c r="K271" s="229">
        <v>45968.0</v>
      </c>
      <c r="L271" s="218"/>
      <c r="M271" s="183"/>
      <c r="N271" s="183"/>
      <c r="O271" s="219" t="s">
        <v>1183</v>
      </c>
      <c r="P271" s="185" t="s">
        <v>94</v>
      </c>
      <c r="Q271" s="186"/>
      <c r="R271" s="186"/>
      <c r="S271" s="186"/>
      <c r="T271" s="186"/>
      <c r="U271" s="186"/>
      <c r="V271" s="186"/>
      <c r="W271" s="186"/>
      <c r="X271" s="186"/>
      <c r="Y271" s="186"/>
      <c r="Z271" s="186"/>
      <c r="AA271" s="186"/>
      <c r="AB271" s="186"/>
      <c r="AC271" s="186"/>
      <c r="AD271" s="186"/>
      <c r="AE271" s="186"/>
      <c r="AF271" s="186"/>
    </row>
    <row r="272">
      <c r="A272" s="178">
        <v>10.0</v>
      </c>
      <c r="B272" s="237" t="s">
        <v>1397</v>
      </c>
      <c r="C272" s="238" t="s">
        <v>938</v>
      </c>
      <c r="D272" s="238" t="s">
        <v>1398</v>
      </c>
      <c r="E272" s="238" t="s">
        <v>1399</v>
      </c>
      <c r="F272" s="238" t="s">
        <v>243</v>
      </c>
      <c r="G272" s="178" t="s">
        <v>1396</v>
      </c>
      <c r="H272" s="215">
        <v>18.0</v>
      </c>
      <c r="I272" s="215"/>
      <c r="J272" s="215" t="s">
        <v>186</v>
      </c>
      <c r="K272" s="229">
        <v>45968.0</v>
      </c>
      <c r="L272" s="218"/>
      <c r="M272" s="183"/>
      <c r="N272" s="183"/>
      <c r="O272" s="219" t="s">
        <v>1183</v>
      </c>
      <c r="P272" s="185" t="s">
        <v>94</v>
      </c>
      <c r="Q272" s="186"/>
      <c r="R272" s="186"/>
      <c r="S272" s="186"/>
      <c r="T272" s="186"/>
      <c r="U272" s="186"/>
      <c r="V272" s="186"/>
      <c r="W272" s="186"/>
      <c r="X272" s="186"/>
      <c r="Y272" s="186"/>
      <c r="Z272" s="186"/>
      <c r="AA272" s="186"/>
      <c r="AB272" s="186"/>
      <c r="AC272" s="186"/>
      <c r="AD272" s="186"/>
      <c r="AE272" s="186"/>
      <c r="AF272" s="186"/>
    </row>
    <row r="273">
      <c r="A273" s="178">
        <v>11.0</v>
      </c>
      <c r="B273" s="237" t="s">
        <v>1400</v>
      </c>
      <c r="C273" s="178" t="s">
        <v>80</v>
      </c>
      <c r="D273" s="238" t="s">
        <v>1401</v>
      </c>
      <c r="E273" s="238" t="s">
        <v>1402</v>
      </c>
      <c r="F273" s="238" t="s">
        <v>535</v>
      </c>
      <c r="G273" s="178" t="s">
        <v>1403</v>
      </c>
      <c r="H273" s="215">
        <v>19.0</v>
      </c>
      <c r="I273" s="215"/>
      <c r="J273" s="215" t="s">
        <v>186</v>
      </c>
      <c r="K273" s="184" t="s">
        <v>1404</v>
      </c>
      <c r="L273" s="218"/>
      <c r="M273" s="183"/>
      <c r="N273" s="183"/>
      <c r="O273" s="184" t="s">
        <v>1325</v>
      </c>
      <c r="P273" s="185" t="s">
        <v>94</v>
      </c>
      <c r="Q273" s="186"/>
      <c r="R273" s="186"/>
      <c r="S273" s="186"/>
      <c r="T273" s="186"/>
      <c r="U273" s="186"/>
      <c r="V273" s="186"/>
      <c r="W273" s="186"/>
      <c r="X273" s="186"/>
      <c r="Y273" s="186"/>
      <c r="Z273" s="186"/>
      <c r="AA273" s="186"/>
      <c r="AB273" s="186"/>
      <c r="AC273" s="186"/>
      <c r="AD273" s="186"/>
      <c r="AE273" s="186"/>
      <c r="AF273" s="186"/>
    </row>
    <row r="274">
      <c r="A274" s="178">
        <v>12.0</v>
      </c>
      <c r="B274" s="237" t="s">
        <v>1405</v>
      </c>
      <c r="C274" s="178" t="s">
        <v>80</v>
      </c>
      <c r="D274" s="238" t="s">
        <v>1406</v>
      </c>
      <c r="E274" s="238" t="s">
        <v>1407</v>
      </c>
      <c r="F274" s="238" t="s">
        <v>535</v>
      </c>
      <c r="G274" s="178" t="s">
        <v>1403</v>
      </c>
      <c r="H274" s="215">
        <v>19.0</v>
      </c>
      <c r="I274" s="215"/>
      <c r="J274" s="215" t="s">
        <v>186</v>
      </c>
      <c r="K274" s="184" t="s">
        <v>1404</v>
      </c>
      <c r="L274" s="218"/>
      <c r="M274" s="183"/>
      <c r="N274" s="183"/>
      <c r="O274" s="184" t="s">
        <v>1325</v>
      </c>
      <c r="P274" s="185" t="s">
        <v>94</v>
      </c>
      <c r="Q274" s="186"/>
      <c r="R274" s="186"/>
      <c r="S274" s="186"/>
      <c r="T274" s="186"/>
      <c r="U274" s="186"/>
      <c r="V274" s="186"/>
      <c r="W274" s="186"/>
      <c r="X274" s="186"/>
      <c r="Y274" s="186"/>
      <c r="Z274" s="186"/>
      <c r="AA274" s="186"/>
      <c r="AB274" s="186"/>
      <c r="AC274" s="186"/>
      <c r="AD274" s="186"/>
      <c r="AE274" s="186"/>
      <c r="AF274" s="186"/>
    </row>
    <row r="275">
      <c r="A275" s="178">
        <v>13.0</v>
      </c>
      <c r="B275" s="237" t="s">
        <v>1408</v>
      </c>
      <c r="C275" s="178" t="s">
        <v>80</v>
      </c>
      <c r="D275" s="238" t="s">
        <v>1409</v>
      </c>
      <c r="E275" s="238" t="s">
        <v>1410</v>
      </c>
      <c r="F275" s="238" t="s">
        <v>228</v>
      </c>
      <c r="G275" s="178" t="s">
        <v>1411</v>
      </c>
      <c r="H275" s="215">
        <v>20.0</v>
      </c>
      <c r="I275" s="215"/>
      <c r="J275" s="215" t="s">
        <v>186</v>
      </c>
      <c r="K275" s="229">
        <v>45845.0</v>
      </c>
      <c r="L275" s="218"/>
      <c r="M275" s="183"/>
      <c r="N275" s="183"/>
      <c r="O275" s="222" t="s">
        <v>1183</v>
      </c>
      <c r="P275" s="185" t="s">
        <v>94</v>
      </c>
      <c r="Q275" s="186"/>
      <c r="R275" s="186"/>
      <c r="S275" s="186"/>
      <c r="T275" s="186"/>
      <c r="U275" s="186"/>
      <c r="V275" s="186"/>
      <c r="W275" s="186"/>
      <c r="X275" s="186"/>
      <c r="Y275" s="186"/>
      <c r="Z275" s="186"/>
      <c r="AA275" s="186"/>
      <c r="AB275" s="186"/>
      <c r="AC275" s="186"/>
      <c r="AD275" s="186"/>
      <c r="AE275" s="186"/>
      <c r="AF275" s="186"/>
    </row>
    <row r="276">
      <c r="A276" s="178">
        <v>14.0</v>
      </c>
      <c r="B276" s="237" t="s">
        <v>1412</v>
      </c>
      <c r="C276" s="178" t="s">
        <v>80</v>
      </c>
      <c r="D276" s="238" t="s">
        <v>1413</v>
      </c>
      <c r="E276" s="238" t="s">
        <v>1414</v>
      </c>
      <c r="F276" s="238" t="s">
        <v>1415</v>
      </c>
      <c r="G276" s="239">
        <v>45815.0</v>
      </c>
      <c r="H276" s="215">
        <v>18.0</v>
      </c>
      <c r="I276" s="215"/>
      <c r="J276" s="215"/>
      <c r="K276" s="218"/>
      <c r="L276" s="218"/>
      <c r="M276" s="183"/>
      <c r="N276" s="183"/>
      <c r="O276" s="224">
        <v>45845.0</v>
      </c>
      <c r="P276" s="185" t="s">
        <v>94</v>
      </c>
      <c r="Q276" s="186"/>
      <c r="R276" s="186"/>
      <c r="S276" s="186"/>
      <c r="T276" s="186"/>
      <c r="U276" s="186"/>
      <c r="V276" s="186"/>
      <c r="W276" s="186"/>
      <c r="X276" s="186"/>
      <c r="Y276" s="186"/>
      <c r="Z276" s="186"/>
      <c r="AA276" s="186"/>
      <c r="AB276" s="186"/>
      <c r="AC276" s="186"/>
      <c r="AD276" s="186"/>
      <c r="AE276" s="186"/>
      <c r="AF276" s="186"/>
    </row>
    <row r="277">
      <c r="A277" s="178">
        <v>15.0</v>
      </c>
      <c r="B277" s="237" t="s">
        <v>1416</v>
      </c>
      <c r="C277" s="178" t="s">
        <v>80</v>
      </c>
      <c r="D277" s="238" t="s">
        <v>1417</v>
      </c>
      <c r="E277" s="238" t="s">
        <v>1418</v>
      </c>
      <c r="F277" s="238" t="s">
        <v>137</v>
      </c>
      <c r="G277" s="178" t="s">
        <v>1411</v>
      </c>
      <c r="H277" s="215">
        <v>20.0</v>
      </c>
      <c r="I277" s="215"/>
      <c r="J277" s="215" t="s">
        <v>186</v>
      </c>
      <c r="K277" s="229">
        <v>45907.0</v>
      </c>
      <c r="L277" s="218"/>
      <c r="M277" s="183"/>
      <c r="N277" s="183"/>
      <c r="O277" s="225" t="s">
        <v>1392</v>
      </c>
      <c r="P277" s="185" t="s">
        <v>94</v>
      </c>
      <c r="Q277" s="186"/>
      <c r="R277" s="186"/>
      <c r="S277" s="186"/>
      <c r="T277" s="186"/>
      <c r="U277" s="186"/>
      <c r="V277" s="186"/>
      <c r="W277" s="186"/>
      <c r="X277" s="186"/>
      <c r="Y277" s="186"/>
      <c r="Z277" s="186"/>
      <c r="AA277" s="186"/>
      <c r="AB277" s="186"/>
      <c r="AC277" s="186"/>
      <c r="AD277" s="186"/>
      <c r="AE277" s="186"/>
      <c r="AF277" s="186"/>
    </row>
    <row r="278">
      <c r="A278" s="178">
        <v>16.0</v>
      </c>
      <c r="B278" s="237" t="s">
        <v>1419</v>
      </c>
      <c r="C278" s="178" t="s">
        <v>80</v>
      </c>
      <c r="D278" s="238" t="s">
        <v>1420</v>
      </c>
      <c r="E278" s="238" t="s">
        <v>1421</v>
      </c>
      <c r="F278" s="238" t="s">
        <v>1422</v>
      </c>
      <c r="G278" s="178" t="s">
        <v>1411</v>
      </c>
      <c r="H278" s="215">
        <v>20.0</v>
      </c>
      <c r="I278" s="215"/>
      <c r="J278" s="215" t="s">
        <v>186</v>
      </c>
      <c r="K278" s="184" t="s">
        <v>1423</v>
      </c>
      <c r="L278" s="218"/>
      <c r="M278" s="183"/>
      <c r="N278" s="183"/>
      <c r="O278" s="184" t="s">
        <v>1424</v>
      </c>
      <c r="P278" s="185" t="s">
        <v>94</v>
      </c>
      <c r="Q278" s="186"/>
      <c r="R278" s="186"/>
      <c r="S278" s="186"/>
      <c r="T278" s="186"/>
      <c r="U278" s="186"/>
      <c r="V278" s="186"/>
      <c r="W278" s="186"/>
      <c r="X278" s="186"/>
      <c r="Y278" s="186"/>
      <c r="Z278" s="186"/>
      <c r="AA278" s="186"/>
      <c r="AB278" s="186"/>
      <c r="AC278" s="186"/>
      <c r="AD278" s="186"/>
      <c r="AE278" s="186"/>
      <c r="AF278" s="186"/>
    </row>
    <row r="279">
      <c r="A279" s="19"/>
      <c r="B279" s="19"/>
      <c r="C279" s="14"/>
      <c r="D279" s="240"/>
      <c r="E279" s="14"/>
      <c r="F279" s="240"/>
      <c r="G279" s="14"/>
      <c r="H279" s="14"/>
      <c r="I279" s="14"/>
      <c r="J279" s="19"/>
      <c r="K279" s="19"/>
      <c r="L279" s="14"/>
      <c r="M279" s="19"/>
      <c r="N279" s="19"/>
      <c r="O279" s="19"/>
      <c r="P279" s="19"/>
    </row>
    <row r="280">
      <c r="A280" s="19"/>
      <c r="B280" s="19"/>
      <c r="C280" s="14"/>
      <c r="D280" s="14"/>
      <c r="E280" s="14"/>
      <c r="F280" s="14"/>
      <c r="G280" s="14"/>
      <c r="H280" s="14"/>
      <c r="I280" s="14"/>
      <c r="J280" s="19"/>
      <c r="K280" s="19"/>
      <c r="L280" s="14"/>
      <c r="M280" s="19"/>
      <c r="N280" s="19"/>
      <c r="O280" s="19"/>
      <c r="P280" s="19"/>
    </row>
    <row r="281">
      <c r="A281" s="196" t="s">
        <v>1425</v>
      </c>
      <c r="B281" s="5"/>
      <c r="C281" s="5"/>
      <c r="D281" s="5"/>
      <c r="E281" s="5"/>
      <c r="F281" s="5"/>
      <c r="G281" s="5"/>
      <c r="H281" s="5"/>
      <c r="I281" s="5"/>
      <c r="J281" s="5"/>
      <c r="K281" s="5"/>
      <c r="L281" s="5"/>
      <c r="M281" s="5"/>
      <c r="N281" s="5"/>
      <c r="O281" s="7"/>
      <c r="P281" s="19"/>
    </row>
    <row r="282">
      <c r="A282" s="197" t="s">
        <v>47</v>
      </c>
      <c r="B282" s="111" t="s">
        <v>7</v>
      </c>
      <c r="C282" s="111" t="s">
        <v>56</v>
      </c>
      <c r="D282" s="111" t="s">
        <v>58</v>
      </c>
      <c r="E282" s="111" t="s">
        <v>30</v>
      </c>
      <c r="F282" s="111" t="s">
        <v>12</v>
      </c>
      <c r="G282" s="111" t="s">
        <v>33</v>
      </c>
      <c r="H282" s="113" t="s">
        <v>34</v>
      </c>
      <c r="I282" s="113"/>
      <c r="J282" s="111" t="s">
        <v>14</v>
      </c>
      <c r="K282" s="42" t="s">
        <v>16</v>
      </c>
      <c r="L282" s="42" t="s">
        <v>35</v>
      </c>
      <c r="M282" s="42" t="s">
        <v>18</v>
      </c>
      <c r="N282" s="42" t="s">
        <v>19</v>
      </c>
      <c r="O282" s="42" t="s">
        <v>20</v>
      </c>
      <c r="P282" s="42" t="s">
        <v>21</v>
      </c>
    </row>
    <row r="283">
      <c r="A283" s="12">
        <v>1.0</v>
      </c>
      <c r="B283" s="241" t="s">
        <v>1426</v>
      </c>
      <c r="C283" s="242" t="s">
        <v>80</v>
      </c>
      <c r="D283" s="243" t="s">
        <v>1427</v>
      </c>
      <c r="E283" s="244" t="s">
        <v>1428</v>
      </c>
      <c r="F283" s="242" t="s">
        <v>1429</v>
      </c>
      <c r="G283" s="242" t="s">
        <v>1430</v>
      </c>
      <c r="H283" s="242">
        <v>13.0</v>
      </c>
      <c r="I283" s="242"/>
      <c r="J283" s="121" t="s">
        <v>186</v>
      </c>
      <c r="K283" s="34" t="s">
        <v>1431</v>
      </c>
      <c r="L283" s="12" t="s">
        <v>236</v>
      </c>
      <c r="M283" s="19"/>
      <c r="N283" s="19"/>
      <c r="O283" s="34" t="s">
        <v>1348</v>
      </c>
      <c r="P283" s="245" t="s">
        <v>1432</v>
      </c>
    </row>
    <row r="284">
      <c r="A284" s="12">
        <v>2.0</v>
      </c>
      <c r="B284" s="241" t="s">
        <v>1433</v>
      </c>
      <c r="C284" s="242" t="s">
        <v>80</v>
      </c>
      <c r="D284" s="243" t="s">
        <v>1434</v>
      </c>
      <c r="E284" s="244" t="s">
        <v>1435</v>
      </c>
      <c r="F284" s="242" t="s">
        <v>1429</v>
      </c>
      <c r="G284" s="242" t="s">
        <v>1430</v>
      </c>
      <c r="H284" s="242">
        <v>13.0</v>
      </c>
      <c r="I284" s="242"/>
      <c r="J284" s="121" t="s">
        <v>186</v>
      </c>
      <c r="K284" s="34" t="s">
        <v>1431</v>
      </c>
      <c r="L284" s="12" t="s">
        <v>236</v>
      </c>
      <c r="M284" s="19"/>
      <c r="N284" s="19"/>
      <c r="O284" s="34" t="s">
        <v>1348</v>
      </c>
      <c r="P284" s="245" t="s">
        <v>1432</v>
      </c>
    </row>
    <row r="285">
      <c r="A285" s="12">
        <v>3.0</v>
      </c>
      <c r="B285" s="241" t="s">
        <v>1436</v>
      </c>
      <c r="C285" s="242" t="s">
        <v>80</v>
      </c>
      <c r="D285" s="243" t="s">
        <v>1437</v>
      </c>
      <c r="E285" s="244" t="s">
        <v>1438</v>
      </c>
      <c r="F285" s="242" t="s">
        <v>1439</v>
      </c>
      <c r="G285" s="242" t="s">
        <v>1430</v>
      </c>
      <c r="H285" s="242">
        <v>13.0</v>
      </c>
      <c r="I285" s="242"/>
      <c r="J285" s="121" t="s">
        <v>186</v>
      </c>
      <c r="K285" s="34" t="s">
        <v>1440</v>
      </c>
      <c r="L285" s="12" t="s">
        <v>236</v>
      </c>
      <c r="M285" s="19"/>
      <c r="N285" s="19"/>
      <c r="O285" s="34" t="s">
        <v>1348</v>
      </c>
      <c r="P285" s="245" t="s">
        <v>1432</v>
      </c>
    </row>
    <row r="286">
      <c r="A286" s="12">
        <v>4.0</v>
      </c>
      <c r="B286" s="241" t="s">
        <v>1441</v>
      </c>
      <c r="C286" s="242" t="s">
        <v>80</v>
      </c>
      <c r="D286" s="243" t="s">
        <v>1442</v>
      </c>
      <c r="E286" s="244" t="s">
        <v>1443</v>
      </c>
      <c r="F286" s="242" t="s">
        <v>1439</v>
      </c>
      <c r="G286" s="242" t="s">
        <v>1430</v>
      </c>
      <c r="H286" s="242">
        <v>13.0</v>
      </c>
      <c r="I286" s="242"/>
      <c r="J286" s="121" t="s">
        <v>186</v>
      </c>
      <c r="K286" s="34" t="s">
        <v>1444</v>
      </c>
      <c r="L286" s="12" t="s">
        <v>236</v>
      </c>
      <c r="M286" s="19"/>
      <c r="N286" s="19"/>
      <c r="O286" s="34" t="s">
        <v>1348</v>
      </c>
      <c r="P286" s="245" t="s">
        <v>1432</v>
      </c>
    </row>
    <row r="287">
      <c r="A287" s="12">
        <v>5.0</v>
      </c>
      <c r="B287" s="241" t="s">
        <v>1445</v>
      </c>
      <c r="C287" s="242" t="s">
        <v>80</v>
      </c>
      <c r="D287" s="243" t="s">
        <v>1446</v>
      </c>
      <c r="E287" s="242" t="s">
        <v>1447</v>
      </c>
      <c r="F287" s="242" t="s">
        <v>193</v>
      </c>
      <c r="G287" s="242" t="s">
        <v>1448</v>
      </c>
      <c r="H287" s="242">
        <v>14.0</v>
      </c>
      <c r="I287" s="242"/>
      <c r="J287" s="121" t="s">
        <v>186</v>
      </c>
      <c r="K287" s="34" t="s">
        <v>1324</v>
      </c>
      <c r="L287" s="12" t="s">
        <v>1449</v>
      </c>
      <c r="M287" s="19"/>
      <c r="N287" s="19"/>
      <c r="O287" s="34" t="s">
        <v>1450</v>
      </c>
      <c r="P287" s="245" t="s">
        <v>1432</v>
      </c>
    </row>
    <row r="288">
      <c r="A288" s="12">
        <v>6.0</v>
      </c>
      <c r="B288" s="241" t="s">
        <v>1451</v>
      </c>
      <c r="C288" s="242" t="s">
        <v>80</v>
      </c>
      <c r="D288" s="243" t="s">
        <v>1452</v>
      </c>
      <c r="E288" s="242" t="s">
        <v>1453</v>
      </c>
      <c r="F288" s="242" t="s">
        <v>1454</v>
      </c>
      <c r="G288" s="242" t="s">
        <v>1448</v>
      </c>
      <c r="H288" s="242">
        <v>14.0</v>
      </c>
      <c r="I288" s="242"/>
      <c r="J288" s="121" t="s">
        <v>186</v>
      </c>
      <c r="K288" s="34" t="s">
        <v>1455</v>
      </c>
      <c r="L288" s="12" t="s">
        <v>1456</v>
      </c>
      <c r="M288" s="19"/>
      <c r="N288" s="19"/>
      <c r="O288" s="34" t="s">
        <v>1348</v>
      </c>
      <c r="P288" s="245" t="s">
        <v>1432</v>
      </c>
    </row>
    <row r="289">
      <c r="A289" s="12">
        <v>7.0</v>
      </c>
      <c r="B289" s="241" t="s">
        <v>1457</v>
      </c>
      <c r="C289" s="242" t="s">
        <v>80</v>
      </c>
      <c r="D289" s="243" t="s">
        <v>1458</v>
      </c>
      <c r="E289" s="242" t="s">
        <v>1459</v>
      </c>
      <c r="F289" s="242" t="s">
        <v>172</v>
      </c>
      <c r="G289" s="242" t="s">
        <v>1448</v>
      </c>
      <c r="H289" s="242">
        <v>14.0</v>
      </c>
      <c r="I289" s="242"/>
      <c r="J289" s="34" t="s">
        <v>1460</v>
      </c>
      <c r="K289" s="181" t="s">
        <v>1371</v>
      </c>
      <c r="L289" s="12" t="s">
        <v>455</v>
      </c>
      <c r="M289" s="19"/>
      <c r="N289" s="19"/>
      <c r="O289" s="34" t="s">
        <v>1379</v>
      </c>
      <c r="P289" s="245" t="s">
        <v>1432</v>
      </c>
    </row>
    <row r="290">
      <c r="A290" s="12">
        <v>8.0</v>
      </c>
      <c r="B290" s="241" t="s">
        <v>1461</v>
      </c>
      <c r="C290" s="242" t="s">
        <v>80</v>
      </c>
      <c r="D290" s="243" t="s">
        <v>1462</v>
      </c>
      <c r="E290" s="242" t="s">
        <v>1463</v>
      </c>
      <c r="F290" s="242" t="s">
        <v>356</v>
      </c>
      <c r="G290" s="242" t="s">
        <v>1448</v>
      </c>
      <c r="H290" s="242">
        <v>14.0</v>
      </c>
      <c r="I290" s="242"/>
      <c r="J290" s="34" t="s">
        <v>1460</v>
      </c>
      <c r="K290" s="181"/>
      <c r="L290" s="12" t="s">
        <v>1464</v>
      </c>
      <c r="M290" s="19"/>
      <c r="N290" s="19"/>
      <c r="O290" s="34" t="s">
        <v>1285</v>
      </c>
      <c r="P290" s="246" t="s">
        <v>94</v>
      </c>
    </row>
    <row r="291">
      <c r="A291" s="12">
        <v>9.0</v>
      </c>
      <c r="B291" s="241" t="s">
        <v>1465</v>
      </c>
      <c r="C291" s="242" t="s">
        <v>80</v>
      </c>
      <c r="D291" s="243" t="s">
        <v>1466</v>
      </c>
      <c r="E291" s="242" t="s">
        <v>1467</v>
      </c>
      <c r="F291" s="242" t="s">
        <v>356</v>
      </c>
      <c r="G291" s="242" t="s">
        <v>1448</v>
      </c>
      <c r="H291" s="242">
        <v>14.0</v>
      </c>
      <c r="I291" s="242"/>
      <c r="J291" s="34" t="s">
        <v>1460</v>
      </c>
      <c r="K291" s="181" t="s">
        <v>1468</v>
      </c>
      <c r="L291" s="12" t="s">
        <v>1469</v>
      </c>
      <c r="M291" s="19"/>
      <c r="N291" s="19"/>
      <c r="O291" s="34" t="s">
        <v>1379</v>
      </c>
      <c r="P291" s="246" t="s">
        <v>94</v>
      </c>
    </row>
    <row r="292">
      <c r="A292" s="12">
        <v>10.0</v>
      </c>
      <c r="B292" s="247" t="s">
        <v>1470</v>
      </c>
      <c r="C292" s="248" t="s">
        <v>80</v>
      </c>
      <c r="D292" s="243" t="s">
        <v>1471</v>
      </c>
      <c r="E292" s="248" t="s">
        <v>1472</v>
      </c>
      <c r="F292" s="248" t="s">
        <v>356</v>
      </c>
      <c r="G292" s="248" t="s">
        <v>1448</v>
      </c>
      <c r="H292" s="248">
        <v>14.0</v>
      </c>
      <c r="I292" s="248"/>
      <c r="J292" s="34" t="s">
        <v>186</v>
      </c>
      <c r="K292" s="34" t="s">
        <v>1473</v>
      </c>
      <c r="L292" s="12" t="s">
        <v>1449</v>
      </c>
      <c r="M292" s="19"/>
      <c r="N292" s="19"/>
      <c r="O292" s="34" t="s">
        <v>1474</v>
      </c>
      <c r="P292" s="246" t="s">
        <v>94</v>
      </c>
    </row>
    <row r="293">
      <c r="A293" s="12">
        <v>11.0</v>
      </c>
      <c r="B293" s="247" t="s">
        <v>1475</v>
      </c>
      <c r="C293" s="248" t="s">
        <v>80</v>
      </c>
      <c r="D293" s="243" t="s">
        <v>1476</v>
      </c>
      <c r="E293" s="248" t="s">
        <v>1477</v>
      </c>
      <c r="F293" s="248" t="s">
        <v>356</v>
      </c>
      <c r="G293" s="248" t="s">
        <v>1448</v>
      </c>
      <c r="H293" s="248">
        <v>14.0</v>
      </c>
      <c r="I293" s="248"/>
      <c r="J293" s="34" t="s">
        <v>1460</v>
      </c>
      <c r="K293" s="181" t="s">
        <v>1468</v>
      </c>
      <c r="L293" s="12" t="s">
        <v>1478</v>
      </c>
      <c r="M293" s="19"/>
      <c r="N293" s="19"/>
      <c r="O293" s="34" t="s">
        <v>1325</v>
      </c>
      <c r="P293" s="246" t="s">
        <v>94</v>
      </c>
    </row>
    <row r="294">
      <c r="A294" s="12">
        <v>12.0</v>
      </c>
      <c r="B294" s="241" t="s">
        <v>1479</v>
      </c>
      <c r="C294" s="242" t="s">
        <v>80</v>
      </c>
      <c r="D294" s="243" t="s">
        <v>1480</v>
      </c>
      <c r="E294" s="242" t="s">
        <v>1481</v>
      </c>
      <c r="F294" s="242" t="s">
        <v>1482</v>
      </c>
      <c r="G294" s="242" t="s">
        <v>1448</v>
      </c>
      <c r="H294" s="242">
        <v>14.0</v>
      </c>
      <c r="I294" s="242"/>
      <c r="J294" s="34" t="s">
        <v>186</v>
      </c>
      <c r="K294" s="34" t="s">
        <v>1483</v>
      </c>
      <c r="L294" s="12" t="s">
        <v>455</v>
      </c>
      <c r="M294" s="19"/>
      <c r="N294" s="19"/>
      <c r="O294" s="34" t="s">
        <v>1450</v>
      </c>
      <c r="P294" s="246" t="s">
        <v>94</v>
      </c>
    </row>
    <row r="295">
      <c r="A295" s="12">
        <v>13.0</v>
      </c>
      <c r="B295" s="241" t="s">
        <v>1484</v>
      </c>
      <c r="C295" s="242" t="s">
        <v>80</v>
      </c>
      <c r="D295" s="243" t="s">
        <v>1485</v>
      </c>
      <c r="E295" s="242" t="s">
        <v>1486</v>
      </c>
      <c r="F295" s="242" t="s">
        <v>1487</v>
      </c>
      <c r="G295" s="242" t="s">
        <v>1448</v>
      </c>
      <c r="H295" s="242">
        <v>14.0</v>
      </c>
      <c r="I295" s="242"/>
      <c r="J295" s="34" t="s">
        <v>186</v>
      </c>
      <c r="K295" s="34" t="s">
        <v>1483</v>
      </c>
      <c r="L295" s="12" t="s">
        <v>1449</v>
      </c>
      <c r="M295" s="19"/>
      <c r="N295" s="19"/>
      <c r="O295" s="34" t="s">
        <v>1348</v>
      </c>
      <c r="P295" s="246" t="s">
        <v>94</v>
      </c>
    </row>
    <row r="296">
      <c r="A296" s="12">
        <v>14.0</v>
      </c>
      <c r="B296" s="241" t="s">
        <v>1488</v>
      </c>
      <c r="C296" s="242" t="s">
        <v>80</v>
      </c>
      <c r="D296" s="243" t="s">
        <v>1489</v>
      </c>
      <c r="E296" s="242" t="s">
        <v>1490</v>
      </c>
      <c r="F296" s="242" t="s">
        <v>25</v>
      </c>
      <c r="G296" s="242" t="s">
        <v>1491</v>
      </c>
      <c r="H296" s="242">
        <v>20.0</v>
      </c>
      <c r="I296" s="242"/>
      <c r="J296" s="34" t="s">
        <v>186</v>
      </c>
      <c r="K296" s="34" t="s">
        <v>1404</v>
      </c>
      <c r="L296" s="12" t="s">
        <v>1449</v>
      </c>
      <c r="M296" s="19"/>
      <c r="N296" s="19"/>
      <c r="O296" s="249">
        <v>45785.0</v>
      </c>
      <c r="P296" s="246" t="s">
        <v>94</v>
      </c>
    </row>
    <row r="297">
      <c r="A297" s="12">
        <v>15.0</v>
      </c>
      <c r="B297" s="241" t="s">
        <v>1492</v>
      </c>
      <c r="C297" s="242" t="s">
        <v>80</v>
      </c>
      <c r="D297" s="243" t="s">
        <v>1493</v>
      </c>
      <c r="E297" s="242" t="s">
        <v>1494</v>
      </c>
      <c r="F297" s="242" t="s">
        <v>25</v>
      </c>
      <c r="G297" s="242" t="s">
        <v>1495</v>
      </c>
      <c r="H297" s="242">
        <v>19.0</v>
      </c>
      <c r="I297" s="242"/>
      <c r="J297" s="34" t="s">
        <v>1496</v>
      </c>
      <c r="K297" s="34" t="s">
        <v>1497</v>
      </c>
      <c r="L297" s="12" t="s">
        <v>455</v>
      </c>
      <c r="M297" s="19"/>
      <c r="N297" s="19"/>
      <c r="O297" s="250" t="s">
        <v>1450</v>
      </c>
      <c r="P297" s="246" t="s">
        <v>94</v>
      </c>
    </row>
    <row r="298">
      <c r="A298" s="12">
        <v>16.0</v>
      </c>
      <c r="B298" s="241" t="s">
        <v>1498</v>
      </c>
      <c r="C298" s="242" t="s">
        <v>80</v>
      </c>
      <c r="D298" s="243" t="s">
        <v>1499</v>
      </c>
      <c r="E298" s="242" t="s">
        <v>1500</v>
      </c>
      <c r="F298" s="242" t="s">
        <v>137</v>
      </c>
      <c r="G298" s="242" t="s">
        <v>1501</v>
      </c>
      <c r="H298" s="242">
        <v>15.0</v>
      </c>
      <c r="I298" s="242"/>
      <c r="J298" s="34" t="s">
        <v>186</v>
      </c>
      <c r="K298" s="34" t="s">
        <v>1431</v>
      </c>
      <c r="L298" s="12" t="s">
        <v>1502</v>
      </c>
      <c r="M298" s="19"/>
      <c r="N298" s="19"/>
      <c r="O298" s="250" t="s">
        <v>31</v>
      </c>
      <c r="P298" s="246" t="s">
        <v>94</v>
      </c>
    </row>
    <row r="299">
      <c r="A299" s="12">
        <v>17.0</v>
      </c>
      <c r="B299" s="241" t="s">
        <v>1503</v>
      </c>
      <c r="C299" s="242" t="s">
        <v>80</v>
      </c>
      <c r="D299" s="243" t="s">
        <v>1504</v>
      </c>
      <c r="E299" s="242" t="s">
        <v>1505</v>
      </c>
      <c r="F299" s="242" t="s">
        <v>1506</v>
      </c>
      <c r="G299" s="242" t="s">
        <v>1507</v>
      </c>
      <c r="H299" s="242">
        <v>16.0</v>
      </c>
      <c r="I299" s="242"/>
      <c r="J299" s="34" t="s">
        <v>1508</v>
      </c>
      <c r="K299" s="19"/>
      <c r="L299" s="12" t="s">
        <v>1449</v>
      </c>
      <c r="M299" s="19"/>
      <c r="N299" s="19"/>
      <c r="O299" s="250" t="s">
        <v>1325</v>
      </c>
      <c r="P299" s="246" t="s">
        <v>94</v>
      </c>
    </row>
    <row r="300">
      <c r="A300" s="12">
        <v>18.0</v>
      </c>
      <c r="B300" s="241" t="s">
        <v>1509</v>
      </c>
      <c r="C300" s="242" t="s">
        <v>397</v>
      </c>
      <c r="D300" s="243" t="s">
        <v>1510</v>
      </c>
      <c r="E300" s="242" t="s">
        <v>1511</v>
      </c>
      <c r="F300" s="242" t="s">
        <v>1512</v>
      </c>
      <c r="G300" s="242" t="s">
        <v>1507</v>
      </c>
      <c r="H300" s="242">
        <v>16.0</v>
      </c>
      <c r="I300" s="242"/>
      <c r="J300" s="12" t="s">
        <v>236</v>
      </c>
      <c r="K300" s="19"/>
      <c r="L300" s="12" t="s">
        <v>1456</v>
      </c>
      <c r="M300" s="19"/>
      <c r="N300" s="19"/>
      <c r="O300" s="250" t="s">
        <v>31</v>
      </c>
      <c r="P300" s="37" t="s">
        <v>997</v>
      </c>
    </row>
    <row r="301">
      <c r="A301" s="12">
        <v>19.0</v>
      </c>
      <c r="B301" s="241" t="s">
        <v>1513</v>
      </c>
      <c r="C301" s="242" t="s">
        <v>688</v>
      </c>
      <c r="D301" s="243" t="s">
        <v>1514</v>
      </c>
      <c r="E301" s="242" t="s">
        <v>1515</v>
      </c>
      <c r="F301" s="242" t="s">
        <v>1512</v>
      </c>
      <c r="G301" s="242" t="s">
        <v>1507</v>
      </c>
      <c r="H301" s="242">
        <v>16.0</v>
      </c>
      <c r="I301" s="242"/>
      <c r="J301" s="12" t="s">
        <v>236</v>
      </c>
      <c r="K301" s="19"/>
      <c r="L301" s="12" t="s">
        <v>1456</v>
      </c>
      <c r="M301" s="19"/>
      <c r="N301" s="19"/>
      <c r="O301" s="250" t="s">
        <v>31</v>
      </c>
      <c r="P301" s="37" t="s">
        <v>997</v>
      </c>
    </row>
    <row r="302">
      <c r="A302" s="12">
        <v>20.0</v>
      </c>
      <c r="B302" s="241" t="s">
        <v>1516</v>
      </c>
      <c r="C302" s="242" t="s">
        <v>80</v>
      </c>
      <c r="D302" s="243" t="s">
        <v>1517</v>
      </c>
      <c r="E302" s="242" t="s">
        <v>1518</v>
      </c>
      <c r="F302" s="242" t="s">
        <v>1519</v>
      </c>
      <c r="G302" s="242" t="s">
        <v>1491</v>
      </c>
      <c r="H302" s="242">
        <v>17.0</v>
      </c>
      <c r="I302" s="242"/>
      <c r="J302" s="86" t="s">
        <v>186</v>
      </c>
      <c r="K302" s="34" t="s">
        <v>1431</v>
      </c>
      <c r="L302" s="12" t="s">
        <v>236</v>
      </c>
      <c r="M302" s="19"/>
      <c r="N302" s="19"/>
      <c r="O302" s="249">
        <v>45665.0</v>
      </c>
      <c r="P302" s="245" t="s">
        <v>94</v>
      </c>
    </row>
    <row r="303">
      <c r="A303" s="12">
        <v>21.0</v>
      </c>
      <c r="B303" s="241" t="s">
        <v>1520</v>
      </c>
      <c r="C303" s="242" t="s">
        <v>80</v>
      </c>
      <c r="D303" s="243" t="s">
        <v>1521</v>
      </c>
      <c r="E303" s="251" t="s">
        <v>1522</v>
      </c>
      <c r="F303" s="242" t="s">
        <v>1523</v>
      </c>
      <c r="G303" s="252">
        <v>45665.0</v>
      </c>
      <c r="H303" s="242">
        <v>25.0</v>
      </c>
      <c r="I303" s="242"/>
      <c r="J303" s="86" t="s">
        <v>186</v>
      </c>
      <c r="K303" s="34" t="s">
        <v>1440</v>
      </c>
      <c r="L303" s="12" t="s">
        <v>236</v>
      </c>
      <c r="M303" s="19"/>
      <c r="N303" s="19"/>
      <c r="O303" s="250" t="s">
        <v>1524</v>
      </c>
      <c r="P303" s="245" t="s">
        <v>94</v>
      </c>
    </row>
    <row r="304">
      <c r="A304" s="12">
        <v>22.0</v>
      </c>
      <c r="B304" s="247" t="s">
        <v>1525</v>
      </c>
      <c r="C304" s="248" t="s">
        <v>80</v>
      </c>
      <c r="D304" s="248" t="s">
        <v>80</v>
      </c>
      <c r="E304" s="242" t="s">
        <v>1526</v>
      </c>
      <c r="F304" s="242" t="s">
        <v>718</v>
      </c>
      <c r="G304" s="242" t="s">
        <v>1501</v>
      </c>
      <c r="H304" s="242">
        <v>15.0</v>
      </c>
      <c r="I304" s="242"/>
      <c r="J304" s="86" t="s">
        <v>186</v>
      </c>
      <c r="K304" s="86" t="s">
        <v>1527</v>
      </c>
      <c r="L304" s="12" t="s">
        <v>236</v>
      </c>
      <c r="M304" s="87"/>
      <c r="N304" s="87"/>
      <c r="O304" s="250" t="s">
        <v>1524</v>
      </c>
      <c r="P304" s="245" t="s">
        <v>94</v>
      </c>
      <c r="Q304" s="90"/>
      <c r="R304" s="90"/>
      <c r="S304" s="90"/>
      <c r="T304" s="90"/>
      <c r="U304" s="90"/>
      <c r="V304" s="90"/>
      <c r="W304" s="90"/>
      <c r="X304" s="90"/>
      <c r="Y304" s="90"/>
      <c r="Z304" s="90"/>
      <c r="AA304" s="90"/>
      <c r="AB304" s="90"/>
      <c r="AC304" s="90"/>
      <c r="AD304" s="90"/>
      <c r="AE304" s="90"/>
      <c r="AF304" s="90"/>
    </row>
    <row r="305">
      <c r="A305" s="12">
        <v>23.0</v>
      </c>
      <c r="B305" s="241" t="s">
        <v>1528</v>
      </c>
      <c r="C305" s="242" t="s">
        <v>80</v>
      </c>
      <c r="D305" s="243" t="s">
        <v>1529</v>
      </c>
      <c r="E305" s="242" t="s">
        <v>1530</v>
      </c>
      <c r="F305" s="242" t="s">
        <v>172</v>
      </c>
      <c r="G305" s="242" t="s">
        <v>1491</v>
      </c>
      <c r="H305" s="242">
        <v>17.0</v>
      </c>
      <c r="I305" s="242"/>
      <c r="J305" s="34" t="s">
        <v>51</v>
      </c>
      <c r="K305" s="34" t="s">
        <v>1440</v>
      </c>
      <c r="L305" s="12" t="s">
        <v>455</v>
      </c>
      <c r="M305" s="19"/>
      <c r="N305" s="19"/>
      <c r="O305" s="250" t="s">
        <v>1325</v>
      </c>
      <c r="P305" s="37" t="s">
        <v>997</v>
      </c>
    </row>
    <row r="306">
      <c r="A306" s="12">
        <v>24.0</v>
      </c>
      <c r="B306" s="247" t="s">
        <v>1531</v>
      </c>
      <c r="C306" s="248" t="s">
        <v>80</v>
      </c>
      <c r="D306" s="243" t="s">
        <v>1532</v>
      </c>
      <c r="E306" s="242" t="s">
        <v>1533</v>
      </c>
      <c r="F306" s="242" t="s">
        <v>1534</v>
      </c>
      <c r="G306" s="242" t="s">
        <v>1535</v>
      </c>
      <c r="H306" s="242">
        <v>18.0</v>
      </c>
      <c r="I306" s="242"/>
      <c r="J306" s="12" t="s">
        <v>236</v>
      </c>
      <c r="K306" s="87"/>
      <c r="L306" s="12" t="s">
        <v>236</v>
      </c>
      <c r="M306" s="87"/>
      <c r="N306" s="87"/>
      <c r="O306" s="250" t="s">
        <v>1183</v>
      </c>
      <c r="P306" s="253" t="s">
        <v>94</v>
      </c>
      <c r="Q306" s="90"/>
      <c r="R306" s="90"/>
      <c r="S306" s="90"/>
      <c r="T306" s="90"/>
      <c r="U306" s="90"/>
      <c r="V306" s="90"/>
      <c r="W306" s="90"/>
      <c r="X306" s="90"/>
      <c r="Y306" s="90"/>
      <c r="Z306" s="90"/>
      <c r="AA306" s="90"/>
      <c r="AB306" s="90"/>
      <c r="AC306" s="90"/>
      <c r="AD306" s="90"/>
      <c r="AE306" s="90"/>
      <c r="AF306" s="90"/>
    </row>
    <row r="307">
      <c r="A307" s="12">
        <v>25.0</v>
      </c>
      <c r="B307" s="241" t="s">
        <v>1536</v>
      </c>
      <c r="C307" s="242" t="s">
        <v>80</v>
      </c>
      <c r="D307" s="243" t="s">
        <v>1537</v>
      </c>
      <c r="E307" s="242" t="s">
        <v>1538</v>
      </c>
      <c r="F307" s="242" t="s">
        <v>25</v>
      </c>
      <c r="G307" s="242" t="s">
        <v>1539</v>
      </c>
      <c r="H307" s="242">
        <v>23.0</v>
      </c>
      <c r="I307" s="242"/>
      <c r="J307" s="12" t="s">
        <v>51</v>
      </c>
      <c r="K307" s="34" t="s">
        <v>1440</v>
      </c>
      <c r="L307" s="12" t="s">
        <v>1540</v>
      </c>
      <c r="M307" s="19"/>
      <c r="N307" s="19"/>
      <c r="O307" s="250" t="s">
        <v>1424</v>
      </c>
      <c r="P307" s="253" t="s">
        <v>94</v>
      </c>
    </row>
    <row r="308">
      <c r="A308" s="12">
        <v>26.0</v>
      </c>
      <c r="B308" s="241" t="s">
        <v>1541</v>
      </c>
      <c r="C308" s="242" t="s">
        <v>80</v>
      </c>
      <c r="D308" s="243" t="s">
        <v>1542</v>
      </c>
      <c r="E308" s="242" t="s">
        <v>1543</v>
      </c>
      <c r="F308" s="242" t="s">
        <v>25</v>
      </c>
      <c r="G308" s="242" t="s">
        <v>1539</v>
      </c>
      <c r="H308" s="242">
        <v>23.0</v>
      </c>
      <c r="I308" s="242"/>
      <c r="J308" s="34" t="s">
        <v>1460</v>
      </c>
      <c r="K308" s="34" t="s">
        <v>1285</v>
      </c>
      <c r="L308" s="12" t="s">
        <v>455</v>
      </c>
      <c r="M308" s="19"/>
      <c r="N308" s="19"/>
      <c r="O308" s="250" t="s">
        <v>1424</v>
      </c>
      <c r="P308" s="253" t="s">
        <v>94</v>
      </c>
    </row>
    <row r="309">
      <c r="A309" s="12">
        <v>27.0</v>
      </c>
      <c r="B309" s="241" t="s">
        <v>1544</v>
      </c>
      <c r="C309" s="242" t="s">
        <v>80</v>
      </c>
      <c r="D309" s="243" t="s">
        <v>1545</v>
      </c>
      <c r="E309" s="242" t="s">
        <v>1546</v>
      </c>
      <c r="F309" s="242" t="s">
        <v>25</v>
      </c>
      <c r="G309" s="242" t="s">
        <v>1547</v>
      </c>
      <c r="H309" s="140"/>
      <c r="I309" s="140"/>
      <c r="J309" s="34" t="s">
        <v>186</v>
      </c>
      <c r="K309" s="34" t="s">
        <v>1285</v>
      </c>
      <c r="L309" s="12" t="s">
        <v>1540</v>
      </c>
      <c r="M309" s="19"/>
      <c r="N309" s="19"/>
      <c r="O309" s="249">
        <v>45785.0</v>
      </c>
      <c r="P309" s="245" t="s">
        <v>1432</v>
      </c>
    </row>
    <row r="310">
      <c r="A310" s="12">
        <v>28.0</v>
      </c>
      <c r="B310" s="241" t="s">
        <v>1548</v>
      </c>
      <c r="C310" s="242" t="s">
        <v>1078</v>
      </c>
      <c r="D310" s="243" t="s">
        <v>1549</v>
      </c>
      <c r="E310" s="242" t="s">
        <v>1550</v>
      </c>
      <c r="F310" s="242" t="s">
        <v>1391</v>
      </c>
      <c r="G310" s="242" t="s">
        <v>1551</v>
      </c>
      <c r="H310" s="242">
        <v>21.0</v>
      </c>
      <c r="I310" s="242"/>
      <c r="J310" s="34" t="s">
        <v>186</v>
      </c>
      <c r="K310" s="34" t="s">
        <v>1552</v>
      </c>
      <c r="L310" s="12" t="s">
        <v>1456</v>
      </c>
      <c r="M310" s="19"/>
      <c r="N310" s="19"/>
      <c r="O310" s="34" t="s">
        <v>1553</v>
      </c>
      <c r="P310" s="245" t="s">
        <v>1432</v>
      </c>
    </row>
    <row r="311">
      <c r="A311" s="12">
        <v>29.0</v>
      </c>
      <c r="B311" s="241" t="s">
        <v>1554</v>
      </c>
      <c r="C311" s="242" t="s">
        <v>80</v>
      </c>
      <c r="D311" s="243" t="s">
        <v>1555</v>
      </c>
      <c r="E311" s="242" t="s">
        <v>1556</v>
      </c>
      <c r="F311" s="242" t="s">
        <v>1557</v>
      </c>
      <c r="G311" s="242" t="s">
        <v>1535</v>
      </c>
      <c r="H311" s="242">
        <v>18.0</v>
      </c>
      <c r="I311" s="242"/>
      <c r="J311" s="34" t="s">
        <v>1460</v>
      </c>
      <c r="K311" s="34" t="s">
        <v>1558</v>
      </c>
      <c r="L311" s="12" t="s">
        <v>1559</v>
      </c>
      <c r="M311" s="19"/>
      <c r="N311" s="19"/>
      <c r="O311" s="148">
        <v>45877.0</v>
      </c>
      <c r="P311" s="245" t="s">
        <v>94</v>
      </c>
    </row>
    <row r="312">
      <c r="A312" s="12">
        <v>30.0</v>
      </c>
      <c r="B312" s="241" t="s">
        <v>1560</v>
      </c>
      <c r="C312" s="242" t="s">
        <v>1078</v>
      </c>
      <c r="D312" s="243" t="s">
        <v>1561</v>
      </c>
      <c r="E312" s="242" t="s">
        <v>1562</v>
      </c>
      <c r="F312" s="242" t="s">
        <v>1563</v>
      </c>
      <c r="G312" s="242" t="s">
        <v>1535</v>
      </c>
      <c r="H312" s="242">
        <v>18.0</v>
      </c>
      <c r="I312" s="242"/>
      <c r="J312" s="34" t="s">
        <v>1564</v>
      </c>
      <c r="K312" s="34" t="s">
        <v>1558</v>
      </c>
      <c r="L312" s="12" t="s">
        <v>455</v>
      </c>
      <c r="M312" s="19"/>
      <c r="N312" s="19"/>
      <c r="O312" s="148">
        <v>45999.0</v>
      </c>
      <c r="P312" s="245" t="s">
        <v>94</v>
      </c>
    </row>
    <row r="313" ht="21.0" customHeight="1">
      <c r="A313" s="12">
        <v>31.0</v>
      </c>
      <c r="B313" s="241" t="s">
        <v>1565</v>
      </c>
      <c r="C313" s="242" t="s">
        <v>651</v>
      </c>
      <c r="D313" s="243" t="s">
        <v>1566</v>
      </c>
      <c r="E313" s="244" t="s">
        <v>1567</v>
      </c>
      <c r="F313" s="242" t="s">
        <v>1439</v>
      </c>
      <c r="G313" s="242" t="s">
        <v>1495</v>
      </c>
      <c r="H313" s="242">
        <v>1.0</v>
      </c>
      <c r="I313" s="242"/>
      <c r="J313" s="34" t="s">
        <v>186</v>
      </c>
      <c r="K313" s="34" t="s">
        <v>1568</v>
      </c>
      <c r="L313" s="12" t="s">
        <v>455</v>
      </c>
      <c r="M313" s="19"/>
      <c r="N313" s="19"/>
      <c r="O313" s="34" t="s">
        <v>1524</v>
      </c>
      <c r="P313" s="245" t="s">
        <v>94</v>
      </c>
    </row>
    <row r="314">
      <c r="A314" s="12">
        <v>32.0</v>
      </c>
      <c r="B314" s="241" t="s">
        <v>1569</v>
      </c>
      <c r="C314" s="242" t="s">
        <v>651</v>
      </c>
      <c r="D314" s="243" t="s">
        <v>1570</v>
      </c>
      <c r="E314" s="244" t="s">
        <v>1571</v>
      </c>
      <c r="F314" s="242" t="s">
        <v>1439</v>
      </c>
      <c r="G314" s="242" t="s">
        <v>1495</v>
      </c>
      <c r="H314" s="242">
        <v>19.0</v>
      </c>
      <c r="I314" s="242"/>
      <c r="J314" s="34" t="s">
        <v>186</v>
      </c>
      <c r="K314" s="34" t="s">
        <v>1568</v>
      </c>
      <c r="L314" s="12" t="s">
        <v>455</v>
      </c>
      <c r="M314" s="19"/>
      <c r="N314" s="19"/>
      <c r="O314" s="34" t="s">
        <v>1524</v>
      </c>
      <c r="P314" s="245" t="s">
        <v>94</v>
      </c>
    </row>
    <row r="315">
      <c r="A315" s="12">
        <v>33.0</v>
      </c>
      <c r="B315" s="241" t="s">
        <v>1572</v>
      </c>
      <c r="C315" s="242" t="s">
        <v>80</v>
      </c>
      <c r="D315" s="243" t="s">
        <v>1573</v>
      </c>
      <c r="E315" s="242" t="s">
        <v>1574</v>
      </c>
      <c r="F315" s="242" t="s">
        <v>172</v>
      </c>
      <c r="G315" s="242" t="s">
        <v>1495</v>
      </c>
      <c r="H315" s="242">
        <v>19.0</v>
      </c>
      <c r="I315" s="242"/>
      <c r="J315" s="34" t="s">
        <v>51</v>
      </c>
      <c r="K315" s="34" t="s">
        <v>1575</v>
      </c>
      <c r="L315" s="12" t="s">
        <v>455</v>
      </c>
      <c r="M315" s="19"/>
      <c r="N315" s="19"/>
      <c r="O315" s="34" t="s">
        <v>1348</v>
      </c>
      <c r="P315" s="245" t="s">
        <v>94</v>
      </c>
    </row>
    <row r="316">
      <c r="A316" s="12">
        <v>34.0</v>
      </c>
      <c r="B316" s="241" t="s">
        <v>1576</v>
      </c>
      <c r="C316" s="242" t="s">
        <v>80</v>
      </c>
      <c r="D316" s="243" t="s">
        <v>1577</v>
      </c>
      <c r="E316" s="242" t="s">
        <v>1578</v>
      </c>
      <c r="F316" s="242" t="s">
        <v>172</v>
      </c>
      <c r="G316" s="242" t="s">
        <v>1495</v>
      </c>
      <c r="H316" s="242">
        <v>19.0</v>
      </c>
      <c r="I316" s="242"/>
      <c r="J316" s="34" t="s">
        <v>51</v>
      </c>
      <c r="K316" s="34" t="s">
        <v>1440</v>
      </c>
      <c r="L316" s="12" t="s">
        <v>455</v>
      </c>
      <c r="M316" s="19"/>
      <c r="N316" s="19"/>
      <c r="O316" s="34" t="s">
        <v>1325</v>
      </c>
      <c r="P316" s="37" t="s">
        <v>997</v>
      </c>
    </row>
    <row r="317">
      <c r="A317" s="12">
        <v>35.0</v>
      </c>
      <c r="B317" s="241" t="s">
        <v>1579</v>
      </c>
      <c r="C317" s="242" t="s">
        <v>80</v>
      </c>
      <c r="D317" s="243" t="s">
        <v>1580</v>
      </c>
      <c r="E317" s="242" t="s">
        <v>1581</v>
      </c>
      <c r="F317" s="242" t="s">
        <v>1582</v>
      </c>
      <c r="G317" s="242" t="s">
        <v>1495</v>
      </c>
      <c r="H317" s="242">
        <v>19.0</v>
      </c>
      <c r="I317" s="242"/>
      <c r="J317" s="34" t="s">
        <v>51</v>
      </c>
      <c r="K317" s="34" t="s">
        <v>1568</v>
      </c>
      <c r="L317" s="12" t="s">
        <v>1464</v>
      </c>
      <c r="M317" s="19"/>
      <c r="N317" s="19"/>
      <c r="O317" s="34" t="s">
        <v>71</v>
      </c>
      <c r="P317" s="245" t="s">
        <v>94</v>
      </c>
    </row>
    <row r="318">
      <c r="A318" s="12">
        <v>36.0</v>
      </c>
      <c r="B318" s="241" t="s">
        <v>1583</v>
      </c>
      <c r="C318" s="242" t="s">
        <v>80</v>
      </c>
      <c r="D318" s="243" t="s">
        <v>1584</v>
      </c>
      <c r="E318" s="242" t="s">
        <v>1585</v>
      </c>
      <c r="F318" s="242" t="s">
        <v>148</v>
      </c>
      <c r="G318" s="242" t="s">
        <v>1547</v>
      </c>
      <c r="H318" s="242">
        <v>20.0</v>
      </c>
      <c r="I318" s="242"/>
      <c r="J318" s="84" t="s">
        <v>186</v>
      </c>
      <c r="K318" s="34" t="s">
        <v>1586</v>
      </c>
      <c r="L318" s="12" t="s">
        <v>236</v>
      </c>
      <c r="M318" s="19"/>
      <c r="N318" s="19"/>
      <c r="O318" s="148">
        <v>45908.0</v>
      </c>
      <c r="P318" s="245" t="s">
        <v>94</v>
      </c>
    </row>
    <row r="319" ht="16.5" customHeight="1">
      <c r="A319" s="12">
        <v>37.0</v>
      </c>
      <c r="B319" s="247" t="s">
        <v>1587</v>
      </c>
      <c r="C319" s="248" t="s">
        <v>938</v>
      </c>
      <c r="D319" s="243" t="s">
        <v>1588</v>
      </c>
      <c r="E319" s="248" t="s">
        <v>1589</v>
      </c>
      <c r="F319" s="248" t="s">
        <v>243</v>
      </c>
      <c r="G319" s="254">
        <v>45968.0</v>
      </c>
      <c r="H319" s="248">
        <v>4.0</v>
      </c>
      <c r="I319" s="248"/>
      <c r="J319" s="84" t="s">
        <v>186</v>
      </c>
      <c r="K319" s="84" t="s">
        <v>1590</v>
      </c>
      <c r="L319" s="12" t="s">
        <v>236</v>
      </c>
      <c r="M319" s="87"/>
      <c r="N319" s="87"/>
      <c r="O319" s="84" t="s">
        <v>31</v>
      </c>
      <c r="P319" s="245" t="s">
        <v>1432</v>
      </c>
      <c r="Q319" s="90"/>
      <c r="R319" s="90"/>
      <c r="S319" s="90"/>
      <c r="T319" s="90"/>
      <c r="U319" s="90"/>
      <c r="V319" s="90"/>
      <c r="W319" s="90"/>
      <c r="X319" s="90"/>
      <c r="Y319" s="90"/>
      <c r="Z319" s="90"/>
      <c r="AA319" s="90"/>
      <c r="AB319" s="90"/>
      <c r="AC319" s="90"/>
      <c r="AD319" s="90"/>
      <c r="AE319" s="90"/>
      <c r="AF319" s="90"/>
    </row>
    <row r="320">
      <c r="A320" s="12">
        <v>38.0</v>
      </c>
      <c r="B320" s="241" t="s">
        <v>1591</v>
      </c>
      <c r="C320" s="242" t="s">
        <v>938</v>
      </c>
      <c r="D320" s="243" t="s">
        <v>1592</v>
      </c>
      <c r="E320" s="244" t="s">
        <v>1593</v>
      </c>
      <c r="F320" s="242" t="s">
        <v>243</v>
      </c>
      <c r="G320" s="242" t="s">
        <v>1495</v>
      </c>
      <c r="H320" s="242">
        <v>19.0</v>
      </c>
      <c r="I320" s="242"/>
      <c r="J320" s="84" t="s">
        <v>186</v>
      </c>
      <c r="K320" s="34" t="s">
        <v>1594</v>
      </c>
      <c r="L320" s="12" t="s">
        <v>236</v>
      </c>
      <c r="M320" s="19"/>
      <c r="N320" s="19"/>
      <c r="O320" s="34" t="s">
        <v>1595</v>
      </c>
      <c r="P320" s="245" t="s">
        <v>94</v>
      </c>
    </row>
    <row r="321">
      <c r="A321" s="12">
        <v>39.0</v>
      </c>
      <c r="B321" s="241" t="s">
        <v>1596</v>
      </c>
      <c r="C321" s="242" t="s">
        <v>938</v>
      </c>
      <c r="D321" s="243" t="s">
        <v>1597</v>
      </c>
      <c r="E321" s="244" t="s">
        <v>1598</v>
      </c>
      <c r="F321" s="242" t="s">
        <v>243</v>
      </c>
      <c r="G321" s="242" t="s">
        <v>1495</v>
      </c>
      <c r="H321" s="242">
        <v>19.0</v>
      </c>
      <c r="I321" s="242"/>
      <c r="J321" s="84" t="s">
        <v>186</v>
      </c>
      <c r="K321" s="34" t="s">
        <v>1594</v>
      </c>
      <c r="L321" s="12" t="s">
        <v>236</v>
      </c>
      <c r="M321" s="19"/>
      <c r="N321" s="19"/>
      <c r="O321" s="34" t="s">
        <v>1595</v>
      </c>
      <c r="P321" s="245" t="s">
        <v>94</v>
      </c>
      <c r="T321" s="143"/>
    </row>
    <row r="322">
      <c r="A322" s="12">
        <v>40.0</v>
      </c>
      <c r="B322" s="255" t="s">
        <v>1599</v>
      </c>
      <c r="C322" s="242" t="s">
        <v>80</v>
      </c>
      <c r="D322" s="243" t="s">
        <v>1600</v>
      </c>
      <c r="E322" s="244" t="s">
        <v>1601</v>
      </c>
      <c r="F322" s="242" t="s">
        <v>1602</v>
      </c>
      <c r="G322" s="242" t="s">
        <v>1495</v>
      </c>
      <c r="H322" s="242">
        <v>19.0</v>
      </c>
      <c r="I322" s="242"/>
      <c r="J322" s="84" t="s">
        <v>186</v>
      </c>
      <c r="K322" s="34" t="s">
        <v>1586</v>
      </c>
      <c r="L322" s="12" t="s">
        <v>236</v>
      </c>
      <c r="M322" s="19"/>
      <c r="N322" s="19"/>
      <c r="O322" s="148">
        <v>45696.0</v>
      </c>
      <c r="P322" s="245" t="s">
        <v>94</v>
      </c>
    </row>
    <row r="323">
      <c r="A323" s="12">
        <v>41.0</v>
      </c>
      <c r="B323" s="241" t="s">
        <v>1603</v>
      </c>
      <c r="C323" s="242" t="s">
        <v>688</v>
      </c>
      <c r="D323" s="243" t="s">
        <v>1604</v>
      </c>
      <c r="E323" s="242" t="s">
        <v>1605</v>
      </c>
      <c r="F323" s="242" t="s">
        <v>148</v>
      </c>
      <c r="G323" s="242" t="s">
        <v>1551</v>
      </c>
      <c r="H323" s="242">
        <v>21.0</v>
      </c>
      <c r="I323" s="242"/>
      <c r="J323" s="34" t="s">
        <v>236</v>
      </c>
      <c r="K323" s="34" t="s">
        <v>1348</v>
      </c>
      <c r="L323" s="12" t="s">
        <v>1606</v>
      </c>
      <c r="M323" s="19"/>
      <c r="N323" s="19"/>
      <c r="O323" s="148">
        <v>45665.0</v>
      </c>
      <c r="P323" s="245" t="s">
        <v>94</v>
      </c>
    </row>
    <row r="324">
      <c r="A324" s="12">
        <v>42.0</v>
      </c>
      <c r="B324" s="241" t="s">
        <v>1607</v>
      </c>
      <c r="C324" s="242" t="s">
        <v>688</v>
      </c>
      <c r="D324" s="243" t="s">
        <v>1608</v>
      </c>
      <c r="E324" s="242" t="s">
        <v>1609</v>
      </c>
      <c r="F324" s="242" t="s">
        <v>148</v>
      </c>
      <c r="G324" s="242" t="s">
        <v>1551</v>
      </c>
      <c r="H324" s="242">
        <v>21.0</v>
      </c>
      <c r="I324" s="242"/>
      <c r="J324" s="34" t="s">
        <v>236</v>
      </c>
      <c r="K324" s="19"/>
      <c r="L324" s="12" t="s">
        <v>1606</v>
      </c>
      <c r="M324" s="19"/>
      <c r="N324" s="19"/>
      <c r="O324" s="148">
        <v>45665.0</v>
      </c>
      <c r="P324" s="245" t="s">
        <v>94</v>
      </c>
    </row>
    <row r="325">
      <c r="A325" s="12">
        <v>43.0</v>
      </c>
      <c r="B325" s="241" t="s">
        <v>1610</v>
      </c>
      <c r="C325" s="242" t="s">
        <v>80</v>
      </c>
      <c r="D325" s="243" t="s">
        <v>1611</v>
      </c>
      <c r="E325" s="242" t="s">
        <v>1612</v>
      </c>
      <c r="F325" s="242" t="s">
        <v>1613</v>
      </c>
      <c r="G325" s="242" t="s">
        <v>1551</v>
      </c>
      <c r="H325" s="242">
        <v>21.0</v>
      </c>
      <c r="I325" s="242"/>
      <c r="J325" s="34" t="s">
        <v>51</v>
      </c>
      <c r="K325" s="34" t="s">
        <v>1575</v>
      </c>
      <c r="L325" s="12" t="s">
        <v>1502</v>
      </c>
      <c r="M325" s="19"/>
      <c r="N325" s="19"/>
      <c r="O325" s="34" t="s">
        <v>1348</v>
      </c>
      <c r="P325" s="245" t="s">
        <v>94</v>
      </c>
    </row>
    <row r="326">
      <c r="A326" s="12">
        <v>44.0</v>
      </c>
      <c r="B326" s="241" t="s">
        <v>1614</v>
      </c>
      <c r="C326" s="242" t="s">
        <v>80</v>
      </c>
      <c r="D326" s="243" t="s">
        <v>1615</v>
      </c>
      <c r="E326" s="242" t="s">
        <v>1616</v>
      </c>
      <c r="F326" s="242" t="s">
        <v>1506</v>
      </c>
      <c r="G326" s="242" t="s">
        <v>1551</v>
      </c>
      <c r="H326" s="242">
        <v>21.0</v>
      </c>
      <c r="I326" s="242"/>
      <c r="J326" s="34" t="s">
        <v>51</v>
      </c>
      <c r="K326" s="19"/>
      <c r="L326" s="12" t="s">
        <v>1464</v>
      </c>
      <c r="M326" s="19"/>
      <c r="N326" s="19"/>
      <c r="O326" s="34" t="s">
        <v>1285</v>
      </c>
      <c r="P326" s="245" t="s">
        <v>94</v>
      </c>
    </row>
    <row r="327">
      <c r="A327" s="12">
        <v>45.0</v>
      </c>
      <c r="B327" s="241" t="s">
        <v>1617</v>
      </c>
      <c r="C327" s="242" t="s">
        <v>80</v>
      </c>
      <c r="D327" s="243" t="s">
        <v>1618</v>
      </c>
      <c r="E327" s="244" t="s">
        <v>1619</v>
      </c>
      <c r="F327" s="242" t="s">
        <v>1620</v>
      </c>
      <c r="G327" s="242" t="s">
        <v>1621</v>
      </c>
      <c r="H327" s="242">
        <v>22.0</v>
      </c>
      <c r="I327" s="242"/>
      <c r="J327" s="84" t="s">
        <v>186</v>
      </c>
      <c r="K327" s="34" t="s">
        <v>1586</v>
      </c>
      <c r="L327" s="12" t="s">
        <v>236</v>
      </c>
      <c r="M327" s="19"/>
      <c r="N327" s="19"/>
      <c r="O327" s="148">
        <v>45665.0</v>
      </c>
      <c r="P327" s="245" t="s">
        <v>94</v>
      </c>
    </row>
    <row r="328">
      <c r="A328" s="12">
        <v>46.0</v>
      </c>
      <c r="B328" s="241" t="s">
        <v>1622</v>
      </c>
      <c r="C328" s="242" t="s">
        <v>80</v>
      </c>
      <c r="D328" s="243" t="s">
        <v>1623</v>
      </c>
      <c r="E328" s="244" t="s">
        <v>1624</v>
      </c>
      <c r="F328" s="242" t="s">
        <v>1620</v>
      </c>
      <c r="G328" s="242" t="s">
        <v>1621</v>
      </c>
      <c r="H328" s="242">
        <v>22.0</v>
      </c>
      <c r="I328" s="242"/>
      <c r="J328" s="84" t="s">
        <v>186</v>
      </c>
      <c r="K328" s="34" t="s">
        <v>1586</v>
      </c>
      <c r="L328" s="12" t="s">
        <v>236</v>
      </c>
      <c r="M328" s="19"/>
      <c r="N328" s="19"/>
      <c r="O328" s="148">
        <v>45665.0</v>
      </c>
      <c r="P328" s="245" t="s">
        <v>94</v>
      </c>
    </row>
    <row r="329">
      <c r="A329" s="12">
        <v>47.0</v>
      </c>
      <c r="B329" s="241" t="s">
        <v>1625</v>
      </c>
      <c r="C329" s="242" t="s">
        <v>80</v>
      </c>
      <c r="D329" s="243" t="s">
        <v>1626</v>
      </c>
      <c r="E329" s="244" t="s">
        <v>1627</v>
      </c>
      <c r="F329" s="242" t="s">
        <v>1628</v>
      </c>
      <c r="G329" s="242" t="s">
        <v>1539</v>
      </c>
      <c r="H329" s="242">
        <v>23.0</v>
      </c>
      <c r="I329" s="242"/>
      <c r="J329" s="84" t="s">
        <v>186</v>
      </c>
      <c r="K329" s="34" t="s">
        <v>1629</v>
      </c>
      <c r="L329" s="12" t="s">
        <v>455</v>
      </c>
      <c r="M329" s="19"/>
      <c r="N329" s="19"/>
      <c r="O329" s="148">
        <v>45877.0</v>
      </c>
      <c r="P329" s="245" t="s">
        <v>94</v>
      </c>
    </row>
    <row r="330">
      <c r="A330" s="12">
        <v>48.0</v>
      </c>
      <c r="B330" s="241" t="s">
        <v>1630</v>
      </c>
      <c r="C330" s="242" t="s">
        <v>80</v>
      </c>
      <c r="D330" s="243" t="s">
        <v>1631</v>
      </c>
      <c r="E330" s="244" t="s">
        <v>1632</v>
      </c>
      <c r="F330" s="242" t="s">
        <v>1628</v>
      </c>
      <c r="G330" s="242" t="s">
        <v>1539</v>
      </c>
      <c r="H330" s="242">
        <v>23.0</v>
      </c>
      <c r="I330" s="242"/>
      <c r="J330" s="84" t="s">
        <v>186</v>
      </c>
      <c r="K330" s="34" t="s">
        <v>1629</v>
      </c>
      <c r="L330" s="12" t="s">
        <v>455</v>
      </c>
      <c r="M330" s="19"/>
      <c r="N330" s="19"/>
      <c r="O330" s="148">
        <v>45877.0</v>
      </c>
      <c r="P330" s="245" t="s">
        <v>94</v>
      </c>
    </row>
    <row r="331">
      <c r="A331" s="12">
        <v>49.0</v>
      </c>
      <c r="B331" s="241" t="s">
        <v>1633</v>
      </c>
      <c r="C331" s="242" t="s">
        <v>938</v>
      </c>
      <c r="D331" s="243" t="s">
        <v>1634</v>
      </c>
      <c r="E331" s="244" t="s">
        <v>1635</v>
      </c>
      <c r="F331" s="242" t="s">
        <v>243</v>
      </c>
      <c r="G331" s="242" t="s">
        <v>1621</v>
      </c>
      <c r="H331" s="242">
        <v>22.0</v>
      </c>
      <c r="I331" s="242"/>
      <c r="J331" s="84" t="s">
        <v>186</v>
      </c>
      <c r="K331" s="34" t="s">
        <v>31</v>
      </c>
      <c r="L331" s="12" t="s">
        <v>236</v>
      </c>
      <c r="M331" s="19"/>
      <c r="N331" s="19"/>
      <c r="O331" s="34" t="s">
        <v>1636</v>
      </c>
      <c r="P331" s="245" t="s">
        <v>94</v>
      </c>
    </row>
    <row r="332">
      <c r="A332" s="12">
        <v>50.0</v>
      </c>
      <c r="B332" s="241" t="s">
        <v>1637</v>
      </c>
      <c r="C332" s="242" t="s">
        <v>938</v>
      </c>
      <c r="D332" s="243" t="s">
        <v>1638</v>
      </c>
      <c r="E332" s="244" t="s">
        <v>1639</v>
      </c>
      <c r="F332" s="242" t="s">
        <v>243</v>
      </c>
      <c r="G332" s="242" t="s">
        <v>1621</v>
      </c>
      <c r="H332" s="242">
        <v>22.0</v>
      </c>
      <c r="I332" s="242"/>
      <c r="J332" s="34" t="s">
        <v>1640</v>
      </c>
      <c r="K332" s="34" t="s">
        <v>31</v>
      </c>
      <c r="L332" s="12" t="s">
        <v>236</v>
      </c>
      <c r="M332" s="19"/>
      <c r="N332" s="19"/>
      <c r="O332" s="34" t="s">
        <v>1636</v>
      </c>
      <c r="P332" s="245" t="s">
        <v>94</v>
      </c>
    </row>
    <row r="333">
      <c r="A333" s="12">
        <v>51.0</v>
      </c>
      <c r="B333" s="247" t="s">
        <v>1641</v>
      </c>
      <c r="C333" s="248" t="s">
        <v>80</v>
      </c>
      <c r="D333" s="243" t="s">
        <v>1642</v>
      </c>
      <c r="E333" s="242" t="s">
        <v>1643</v>
      </c>
      <c r="F333" s="242" t="s">
        <v>1644</v>
      </c>
      <c r="G333" s="242" t="s">
        <v>1645</v>
      </c>
      <c r="H333" s="242">
        <v>10.0</v>
      </c>
      <c r="I333" s="242"/>
      <c r="J333" s="84" t="s">
        <v>186</v>
      </c>
      <c r="K333" s="256">
        <v>45968.0</v>
      </c>
      <c r="L333" s="12" t="s">
        <v>455</v>
      </c>
      <c r="M333" s="87"/>
      <c r="N333" s="87"/>
      <c r="O333" s="84" t="s">
        <v>1179</v>
      </c>
      <c r="P333" s="253" t="s">
        <v>94</v>
      </c>
      <c r="Q333" s="90"/>
      <c r="R333" s="90"/>
      <c r="S333" s="90"/>
      <c r="T333" s="90"/>
      <c r="U333" s="90"/>
      <c r="V333" s="90"/>
      <c r="W333" s="90"/>
      <c r="X333" s="90"/>
      <c r="Y333" s="90"/>
      <c r="Z333" s="90"/>
      <c r="AA333" s="90"/>
      <c r="AB333" s="90"/>
      <c r="AC333" s="90"/>
      <c r="AD333" s="90"/>
      <c r="AE333" s="90"/>
      <c r="AF333" s="90"/>
    </row>
    <row r="334">
      <c r="A334" s="12">
        <v>52.0</v>
      </c>
      <c r="B334" s="241" t="s">
        <v>1646</v>
      </c>
      <c r="C334" s="242" t="s">
        <v>80</v>
      </c>
      <c r="D334" s="243" t="s">
        <v>1647</v>
      </c>
      <c r="E334" s="242" t="s">
        <v>1648</v>
      </c>
      <c r="F334" s="242" t="s">
        <v>1294</v>
      </c>
      <c r="G334" s="242" t="s">
        <v>1535</v>
      </c>
      <c r="H334" s="242">
        <v>18.0</v>
      </c>
      <c r="I334" s="242"/>
      <c r="J334" s="34" t="s">
        <v>51</v>
      </c>
      <c r="K334" s="34" t="s">
        <v>31</v>
      </c>
      <c r="L334" s="12" t="s">
        <v>1649</v>
      </c>
      <c r="M334" s="19"/>
      <c r="N334" s="19"/>
      <c r="O334" s="148">
        <v>45877.0</v>
      </c>
      <c r="P334" s="253" t="s">
        <v>94</v>
      </c>
    </row>
    <row r="335">
      <c r="A335" s="12">
        <v>53.0</v>
      </c>
      <c r="B335" s="247" t="s">
        <v>1650</v>
      </c>
      <c r="C335" s="248" t="s">
        <v>80</v>
      </c>
      <c r="D335" s="243" t="s">
        <v>1651</v>
      </c>
      <c r="E335" s="242" t="s">
        <v>1652</v>
      </c>
      <c r="F335" s="242" t="s">
        <v>1653</v>
      </c>
      <c r="G335" s="242" t="s">
        <v>1495</v>
      </c>
      <c r="H335" s="242">
        <v>19.0</v>
      </c>
      <c r="I335" s="242"/>
      <c r="J335" s="84" t="s">
        <v>186</v>
      </c>
      <c r="K335" s="84" t="s">
        <v>1347</v>
      </c>
      <c r="L335" s="12" t="s">
        <v>236</v>
      </c>
      <c r="M335" s="87"/>
      <c r="N335" s="87"/>
      <c r="O335" s="84" t="s">
        <v>1179</v>
      </c>
      <c r="P335" s="245" t="s">
        <v>1432</v>
      </c>
      <c r="Q335" s="90"/>
      <c r="R335" s="90"/>
      <c r="S335" s="90"/>
      <c r="T335" s="90"/>
      <c r="U335" s="90"/>
      <c r="V335" s="90"/>
      <c r="W335" s="90"/>
      <c r="X335" s="90"/>
      <c r="Y335" s="90"/>
      <c r="Z335" s="90"/>
      <c r="AA335" s="90"/>
      <c r="AB335" s="90"/>
      <c r="AC335" s="90"/>
      <c r="AD335" s="90"/>
      <c r="AE335" s="90"/>
      <c r="AF335" s="90"/>
    </row>
    <row r="336">
      <c r="A336" s="12">
        <v>54.0</v>
      </c>
      <c r="B336" s="247" t="s">
        <v>1654</v>
      </c>
      <c r="C336" s="248" t="s">
        <v>80</v>
      </c>
      <c r="D336" s="243" t="s">
        <v>1655</v>
      </c>
      <c r="E336" s="242" t="s">
        <v>1656</v>
      </c>
      <c r="F336" s="242" t="s">
        <v>731</v>
      </c>
      <c r="G336" s="242" t="s">
        <v>1621</v>
      </c>
      <c r="H336" s="242">
        <v>22.0</v>
      </c>
      <c r="I336" s="242"/>
      <c r="J336" s="84" t="s">
        <v>186</v>
      </c>
      <c r="K336" s="84" t="s">
        <v>1347</v>
      </c>
      <c r="L336" s="12" t="s">
        <v>236</v>
      </c>
      <c r="M336" s="87"/>
      <c r="N336" s="87"/>
      <c r="O336" s="84" t="s">
        <v>1285</v>
      </c>
      <c r="P336" s="253" t="s">
        <v>94</v>
      </c>
      <c r="Q336" s="90"/>
      <c r="R336" s="90"/>
      <c r="S336" s="90"/>
      <c r="T336" s="90"/>
      <c r="U336" s="90"/>
      <c r="V336" s="90"/>
      <c r="W336" s="90"/>
      <c r="X336" s="90"/>
      <c r="Y336" s="90"/>
      <c r="Z336" s="90"/>
      <c r="AA336" s="90"/>
      <c r="AB336" s="90"/>
      <c r="AC336" s="90"/>
      <c r="AD336" s="90"/>
      <c r="AE336" s="90"/>
      <c r="AF336" s="90"/>
    </row>
    <row r="337">
      <c r="A337" s="12">
        <v>55.0</v>
      </c>
      <c r="B337" s="241" t="s">
        <v>1657</v>
      </c>
      <c r="C337" s="242" t="s">
        <v>80</v>
      </c>
      <c r="D337" s="243" t="s">
        <v>1658</v>
      </c>
      <c r="E337" s="244" t="s">
        <v>1659</v>
      </c>
      <c r="F337" s="242" t="s">
        <v>149</v>
      </c>
      <c r="G337" s="242" t="s">
        <v>1621</v>
      </c>
      <c r="H337" s="242">
        <v>22.0</v>
      </c>
      <c r="I337" s="242"/>
      <c r="J337" s="84" t="s">
        <v>186</v>
      </c>
      <c r="K337" s="34" t="s">
        <v>1660</v>
      </c>
      <c r="L337" s="12" t="s">
        <v>455</v>
      </c>
      <c r="M337" s="19"/>
      <c r="N337" s="19"/>
      <c r="O337" s="148">
        <v>45877.0</v>
      </c>
      <c r="P337" s="253" t="s">
        <v>94</v>
      </c>
    </row>
    <row r="338">
      <c r="A338" s="12">
        <v>56.0</v>
      </c>
      <c r="B338" s="241" t="s">
        <v>1661</v>
      </c>
      <c r="C338" s="242" t="s">
        <v>80</v>
      </c>
      <c r="D338" s="243" t="s">
        <v>1662</v>
      </c>
      <c r="E338" s="244" t="s">
        <v>1663</v>
      </c>
      <c r="F338" s="242" t="s">
        <v>149</v>
      </c>
      <c r="G338" s="242" t="s">
        <v>1664</v>
      </c>
      <c r="H338" s="242">
        <v>24.0</v>
      </c>
      <c r="I338" s="242"/>
      <c r="J338" s="84" t="s">
        <v>186</v>
      </c>
      <c r="K338" s="34" t="s">
        <v>1660</v>
      </c>
      <c r="L338" s="12" t="s">
        <v>455</v>
      </c>
      <c r="M338" s="19"/>
      <c r="N338" s="19"/>
      <c r="O338" s="148">
        <v>45877.0</v>
      </c>
      <c r="P338" s="253" t="s">
        <v>94</v>
      </c>
    </row>
    <row r="339">
      <c r="A339" s="12">
        <v>57.0</v>
      </c>
      <c r="B339" s="241" t="s">
        <v>1665</v>
      </c>
      <c r="C339" s="242" t="s">
        <v>80</v>
      </c>
      <c r="D339" s="243" t="s">
        <v>1666</v>
      </c>
      <c r="E339" s="242" t="s">
        <v>1667</v>
      </c>
      <c r="F339" s="242" t="s">
        <v>356</v>
      </c>
      <c r="G339" s="242" t="s">
        <v>1539</v>
      </c>
      <c r="H339" s="242">
        <v>23.0</v>
      </c>
      <c r="I339" s="242"/>
      <c r="J339" s="34" t="s">
        <v>51</v>
      </c>
      <c r="K339" s="34" t="s">
        <v>31</v>
      </c>
      <c r="L339" s="12" t="s">
        <v>1460</v>
      </c>
      <c r="M339" s="19"/>
      <c r="N339" s="19"/>
      <c r="O339" s="148">
        <v>45665.0</v>
      </c>
      <c r="P339" s="245" t="s">
        <v>1432</v>
      </c>
    </row>
    <row r="340">
      <c r="A340" s="12">
        <v>58.0</v>
      </c>
      <c r="B340" s="241" t="s">
        <v>1668</v>
      </c>
      <c r="C340" s="242" t="s">
        <v>80</v>
      </c>
      <c r="D340" s="243" t="s">
        <v>1669</v>
      </c>
      <c r="E340" s="242" t="s">
        <v>1670</v>
      </c>
      <c r="F340" s="242" t="s">
        <v>356</v>
      </c>
      <c r="G340" s="242" t="s">
        <v>1539</v>
      </c>
      <c r="H340" s="242">
        <v>23.0</v>
      </c>
      <c r="I340" s="242"/>
      <c r="J340" s="34" t="s">
        <v>51</v>
      </c>
      <c r="K340" s="34" t="s">
        <v>1348</v>
      </c>
      <c r="L340" s="12" t="s">
        <v>1456</v>
      </c>
      <c r="M340" s="19"/>
      <c r="N340" s="19"/>
      <c r="O340" s="148">
        <v>45696.0</v>
      </c>
      <c r="P340" s="245" t="s">
        <v>94</v>
      </c>
    </row>
    <row r="341">
      <c r="A341" s="12">
        <v>59.0</v>
      </c>
      <c r="B341" s="241" t="s">
        <v>1671</v>
      </c>
      <c r="C341" s="242" t="s">
        <v>80</v>
      </c>
      <c r="D341" s="243" t="s">
        <v>1672</v>
      </c>
      <c r="E341" s="242" t="s">
        <v>1673</v>
      </c>
      <c r="F341" s="242" t="s">
        <v>1674</v>
      </c>
      <c r="G341" s="242" t="s">
        <v>1539</v>
      </c>
      <c r="H341" s="242">
        <v>23.0</v>
      </c>
      <c r="I341" s="242"/>
      <c r="J341" s="34" t="s">
        <v>51</v>
      </c>
      <c r="K341" s="34" t="s">
        <v>1575</v>
      </c>
      <c r="L341" s="12" t="s">
        <v>455</v>
      </c>
      <c r="M341" s="19"/>
      <c r="N341" s="19"/>
      <c r="O341" s="34" t="s">
        <v>31</v>
      </c>
      <c r="P341" s="37" t="s">
        <v>997</v>
      </c>
    </row>
    <row r="342">
      <c r="A342" s="12">
        <v>60.0</v>
      </c>
      <c r="B342" s="241" t="s">
        <v>1675</v>
      </c>
      <c r="C342" s="242" t="s">
        <v>80</v>
      </c>
      <c r="D342" s="243" t="s">
        <v>1676</v>
      </c>
      <c r="E342" s="242" t="s">
        <v>1677</v>
      </c>
      <c r="F342" s="242" t="s">
        <v>356</v>
      </c>
      <c r="G342" s="242" t="s">
        <v>1539</v>
      </c>
      <c r="H342" s="242">
        <v>23.0</v>
      </c>
      <c r="I342" s="242"/>
      <c r="J342" s="34" t="s">
        <v>51</v>
      </c>
      <c r="K342" s="34" t="s">
        <v>1594</v>
      </c>
      <c r="L342" s="12" t="s">
        <v>455</v>
      </c>
      <c r="M342" s="19"/>
      <c r="N342" s="19"/>
      <c r="O342" s="34" t="s">
        <v>1348</v>
      </c>
      <c r="P342" s="245" t="s">
        <v>94</v>
      </c>
    </row>
    <row r="343">
      <c r="A343" s="12">
        <v>61.0</v>
      </c>
      <c r="B343" s="241" t="s">
        <v>1678</v>
      </c>
      <c r="C343" s="242" t="s">
        <v>80</v>
      </c>
      <c r="D343" s="243" t="s">
        <v>1679</v>
      </c>
      <c r="E343" s="244" t="s">
        <v>1680</v>
      </c>
      <c r="F343" s="242" t="s">
        <v>1681</v>
      </c>
      <c r="G343" s="242" t="s">
        <v>1495</v>
      </c>
      <c r="H343" s="242">
        <v>19.0</v>
      </c>
      <c r="I343" s="242"/>
      <c r="J343" s="34" t="s">
        <v>1640</v>
      </c>
      <c r="K343" s="34" t="s">
        <v>31</v>
      </c>
      <c r="L343" s="12" t="s">
        <v>236</v>
      </c>
      <c r="M343" s="19"/>
      <c r="N343" s="19"/>
      <c r="O343" s="148">
        <v>45816.0</v>
      </c>
      <c r="P343" s="245" t="s">
        <v>94</v>
      </c>
    </row>
    <row r="344">
      <c r="A344" s="12">
        <v>62.0</v>
      </c>
      <c r="B344" s="241" t="s">
        <v>1682</v>
      </c>
      <c r="C344" s="242" t="s">
        <v>80</v>
      </c>
      <c r="D344" s="243" t="s">
        <v>1683</v>
      </c>
      <c r="E344" s="244" t="s">
        <v>1684</v>
      </c>
      <c r="F344" s="242" t="s">
        <v>1681</v>
      </c>
      <c r="G344" s="242" t="s">
        <v>1495</v>
      </c>
      <c r="H344" s="242">
        <v>19.0</v>
      </c>
      <c r="I344" s="242"/>
      <c r="J344" s="34" t="s">
        <v>1640</v>
      </c>
      <c r="K344" s="34" t="s">
        <v>31</v>
      </c>
      <c r="L344" s="12" t="s">
        <v>236</v>
      </c>
      <c r="M344" s="19"/>
      <c r="N344" s="19"/>
      <c r="O344" s="148">
        <v>45816.0</v>
      </c>
      <c r="P344" s="245" t="s">
        <v>94</v>
      </c>
    </row>
    <row r="345">
      <c r="A345" s="12">
        <v>63.0</v>
      </c>
      <c r="B345" s="241" t="s">
        <v>1685</v>
      </c>
      <c r="C345" s="242" t="s">
        <v>80</v>
      </c>
      <c r="D345" s="243" t="s">
        <v>1686</v>
      </c>
      <c r="E345" s="257" t="s">
        <v>1687</v>
      </c>
      <c r="F345" s="242" t="s">
        <v>1688</v>
      </c>
      <c r="G345" s="242" t="s">
        <v>1621</v>
      </c>
      <c r="H345" s="242">
        <v>22.0</v>
      </c>
      <c r="I345" s="242"/>
      <c r="J345" s="34" t="s">
        <v>1640</v>
      </c>
      <c r="K345" s="34" t="s">
        <v>1558</v>
      </c>
      <c r="L345" s="12" t="s">
        <v>455</v>
      </c>
      <c r="M345" s="19"/>
      <c r="N345" s="19"/>
      <c r="O345" s="148">
        <v>45785.0</v>
      </c>
      <c r="P345" s="245" t="s">
        <v>94</v>
      </c>
    </row>
    <row r="346">
      <c r="A346" s="12">
        <v>64.0</v>
      </c>
      <c r="B346" s="258" t="s">
        <v>1689</v>
      </c>
      <c r="C346" s="242" t="s">
        <v>80</v>
      </c>
      <c r="D346" s="243" t="s">
        <v>1690</v>
      </c>
      <c r="E346" s="257" t="s">
        <v>1691</v>
      </c>
      <c r="F346" s="242" t="s">
        <v>1688</v>
      </c>
      <c r="G346" s="242" t="s">
        <v>1621</v>
      </c>
      <c r="H346" s="242">
        <v>22.0</v>
      </c>
      <c r="I346" s="242"/>
      <c r="J346" s="34" t="s">
        <v>1640</v>
      </c>
      <c r="K346" s="34" t="s">
        <v>1558</v>
      </c>
      <c r="L346" s="12" t="s">
        <v>455</v>
      </c>
      <c r="M346" s="19"/>
      <c r="N346" s="19"/>
      <c r="O346" s="148">
        <v>45785.0</v>
      </c>
      <c r="P346" s="245" t="s">
        <v>94</v>
      </c>
    </row>
    <row r="347">
      <c r="A347" s="259">
        <v>65.0</v>
      </c>
      <c r="B347" s="260" t="s">
        <v>1692</v>
      </c>
      <c r="C347" s="242" t="s">
        <v>80</v>
      </c>
      <c r="D347" s="243" t="s">
        <v>1693</v>
      </c>
      <c r="E347" s="242" t="s">
        <v>1694</v>
      </c>
      <c r="F347" s="242" t="s">
        <v>1695</v>
      </c>
      <c r="G347" s="261" t="s">
        <v>1621</v>
      </c>
      <c r="H347" s="261">
        <v>22.0</v>
      </c>
      <c r="I347" s="261"/>
      <c r="J347" s="262" t="s">
        <v>1696</v>
      </c>
      <c r="K347" s="262" t="s">
        <v>1404</v>
      </c>
      <c r="L347" s="259" t="s">
        <v>1449</v>
      </c>
      <c r="M347" s="263"/>
      <c r="N347" s="263"/>
      <c r="O347" s="264">
        <v>45908.0</v>
      </c>
      <c r="P347" s="245" t="s">
        <v>94</v>
      </c>
      <c r="Q347" s="265"/>
      <c r="R347" s="265"/>
      <c r="S347" s="265"/>
      <c r="T347" s="265"/>
      <c r="U347" s="265"/>
      <c r="V347" s="265"/>
      <c r="W347" s="265"/>
      <c r="X347" s="265"/>
      <c r="Y347" s="265"/>
      <c r="Z347" s="265"/>
      <c r="AA347" s="265"/>
      <c r="AB347" s="265"/>
      <c r="AC347" s="265"/>
      <c r="AD347" s="265"/>
      <c r="AE347" s="265"/>
      <c r="AF347" s="265"/>
    </row>
    <row r="348">
      <c r="A348" s="12">
        <v>66.0</v>
      </c>
      <c r="B348" s="241" t="s">
        <v>1697</v>
      </c>
      <c r="C348" s="242" t="s">
        <v>651</v>
      </c>
      <c r="D348" s="243" t="s">
        <v>1698</v>
      </c>
      <c r="E348" s="266" t="s">
        <v>1699</v>
      </c>
      <c r="F348" s="242" t="s">
        <v>1700</v>
      </c>
      <c r="G348" s="242" t="s">
        <v>1621</v>
      </c>
      <c r="H348" s="242">
        <v>22.0</v>
      </c>
      <c r="I348" s="242"/>
      <c r="J348" s="34" t="s">
        <v>1640</v>
      </c>
      <c r="K348" s="34" t="s">
        <v>1404</v>
      </c>
      <c r="L348" s="12" t="s">
        <v>455</v>
      </c>
      <c r="M348" s="19"/>
      <c r="N348" s="19"/>
      <c r="O348" s="34" t="s">
        <v>31</v>
      </c>
      <c r="P348" s="245" t="s">
        <v>94</v>
      </c>
    </row>
    <row r="349">
      <c r="A349" s="12">
        <v>67.0</v>
      </c>
      <c r="B349" s="241" t="s">
        <v>1701</v>
      </c>
      <c r="C349" s="242" t="s">
        <v>651</v>
      </c>
      <c r="D349" s="243" t="s">
        <v>1702</v>
      </c>
      <c r="E349" s="266" t="s">
        <v>1703</v>
      </c>
      <c r="F349" s="242" t="s">
        <v>1700</v>
      </c>
      <c r="G349" s="242" t="s">
        <v>1621</v>
      </c>
      <c r="H349" s="242">
        <v>22.0</v>
      </c>
      <c r="I349" s="242"/>
      <c r="J349" s="34" t="s">
        <v>1640</v>
      </c>
      <c r="K349" s="34" t="s">
        <v>1404</v>
      </c>
      <c r="L349" s="12" t="s">
        <v>455</v>
      </c>
      <c r="M349" s="19"/>
      <c r="N349" s="19"/>
      <c r="O349" s="34" t="s">
        <v>31</v>
      </c>
      <c r="P349" s="245" t="s">
        <v>1432</v>
      </c>
    </row>
    <row r="350">
      <c r="A350" s="12">
        <v>68.0</v>
      </c>
      <c r="B350" s="241" t="s">
        <v>1704</v>
      </c>
      <c r="C350" s="242" t="s">
        <v>938</v>
      </c>
      <c r="D350" s="243" t="s">
        <v>1705</v>
      </c>
      <c r="E350" s="242" t="s">
        <v>1706</v>
      </c>
      <c r="F350" s="242" t="s">
        <v>243</v>
      </c>
      <c r="G350" s="242" t="s">
        <v>1222</v>
      </c>
      <c r="H350" s="242">
        <v>22.0</v>
      </c>
      <c r="I350" s="242"/>
      <c r="J350" s="34" t="s">
        <v>1640</v>
      </c>
      <c r="K350" s="34" t="s">
        <v>1707</v>
      </c>
      <c r="L350" s="12" t="s">
        <v>236</v>
      </c>
      <c r="M350" s="19"/>
      <c r="N350" s="19"/>
      <c r="O350" s="34" t="s">
        <v>1348</v>
      </c>
      <c r="P350" s="245" t="s">
        <v>1432</v>
      </c>
    </row>
    <row r="351">
      <c r="A351" s="12">
        <v>69.0</v>
      </c>
      <c r="B351" s="241" t="s">
        <v>1708</v>
      </c>
      <c r="C351" s="242" t="s">
        <v>80</v>
      </c>
      <c r="D351" s="243" t="s">
        <v>1709</v>
      </c>
      <c r="E351" s="244" t="s">
        <v>1710</v>
      </c>
      <c r="F351" s="242" t="s">
        <v>1711</v>
      </c>
      <c r="G351" s="242" t="s">
        <v>1664</v>
      </c>
      <c r="H351" s="242">
        <v>24.0</v>
      </c>
      <c r="I351" s="242"/>
      <c r="J351" s="34" t="s">
        <v>1640</v>
      </c>
      <c r="K351" s="148">
        <v>45696.0</v>
      </c>
      <c r="L351" s="12" t="s">
        <v>236</v>
      </c>
      <c r="M351" s="19"/>
      <c r="N351" s="19"/>
      <c r="O351" s="148">
        <v>45908.0</v>
      </c>
      <c r="P351" s="37" t="s">
        <v>997</v>
      </c>
    </row>
    <row r="352">
      <c r="A352" s="12">
        <v>70.0</v>
      </c>
      <c r="B352" s="241" t="s">
        <v>1712</v>
      </c>
      <c r="C352" s="242" t="s">
        <v>80</v>
      </c>
      <c r="D352" s="243" t="s">
        <v>1713</v>
      </c>
      <c r="E352" s="244" t="s">
        <v>1714</v>
      </c>
      <c r="F352" s="242" t="s">
        <v>1711</v>
      </c>
      <c r="G352" s="242" t="s">
        <v>1664</v>
      </c>
      <c r="H352" s="242">
        <v>24.0</v>
      </c>
      <c r="I352" s="242"/>
      <c r="J352" s="34" t="s">
        <v>1640</v>
      </c>
      <c r="K352" s="148">
        <v>45696.0</v>
      </c>
      <c r="L352" s="12" t="s">
        <v>236</v>
      </c>
      <c r="M352" s="19"/>
      <c r="N352" s="19"/>
      <c r="O352" s="148">
        <v>45908.0</v>
      </c>
      <c r="P352" s="37" t="s">
        <v>997</v>
      </c>
    </row>
    <row r="353">
      <c r="A353" s="12">
        <v>71.0</v>
      </c>
      <c r="B353" s="241" t="s">
        <v>1715</v>
      </c>
      <c r="C353" s="242" t="s">
        <v>1078</v>
      </c>
      <c r="D353" s="243" t="s">
        <v>1716</v>
      </c>
      <c r="E353" s="242" t="s">
        <v>1717</v>
      </c>
      <c r="F353" s="242" t="s">
        <v>310</v>
      </c>
      <c r="G353" s="242" t="s">
        <v>1664</v>
      </c>
      <c r="H353" s="242">
        <v>24.0</v>
      </c>
      <c r="I353" s="242"/>
      <c r="J353" s="34" t="s">
        <v>51</v>
      </c>
      <c r="K353" s="34" t="s">
        <v>1718</v>
      </c>
      <c r="L353" s="12" t="s">
        <v>455</v>
      </c>
      <c r="M353" s="19"/>
      <c r="N353" s="19"/>
      <c r="O353" s="34" t="s">
        <v>1348</v>
      </c>
      <c r="P353" s="245" t="s">
        <v>1432</v>
      </c>
    </row>
    <row r="354">
      <c r="A354" s="12">
        <v>72.0</v>
      </c>
      <c r="B354" s="241" t="s">
        <v>1719</v>
      </c>
      <c r="C354" s="242" t="s">
        <v>80</v>
      </c>
      <c r="D354" s="243" t="s">
        <v>1720</v>
      </c>
      <c r="E354" s="242" t="s">
        <v>1721</v>
      </c>
      <c r="F354" s="242" t="s">
        <v>25</v>
      </c>
      <c r="G354" s="242" t="s">
        <v>1495</v>
      </c>
      <c r="H354" s="242">
        <v>19.0</v>
      </c>
      <c r="I354" s="242"/>
      <c r="J354" s="34" t="s">
        <v>51</v>
      </c>
      <c r="K354" s="34" t="s">
        <v>1722</v>
      </c>
      <c r="L354" s="12" t="s">
        <v>455</v>
      </c>
      <c r="M354" s="19"/>
      <c r="N354" s="19"/>
      <c r="O354" s="34" t="s">
        <v>1558</v>
      </c>
      <c r="P354" s="245" t="s">
        <v>1432</v>
      </c>
    </row>
    <row r="355">
      <c r="A355" s="12">
        <v>73.0</v>
      </c>
      <c r="B355" s="241" t="s">
        <v>1723</v>
      </c>
      <c r="C355" s="242" t="s">
        <v>651</v>
      </c>
      <c r="D355" s="243" t="s">
        <v>1724</v>
      </c>
      <c r="E355" s="242" t="s">
        <v>1725</v>
      </c>
      <c r="F355" s="242" t="s">
        <v>1726</v>
      </c>
      <c r="G355" s="242" t="s">
        <v>1621</v>
      </c>
      <c r="H355" s="242">
        <v>22.0</v>
      </c>
      <c r="I355" s="242"/>
      <c r="J355" s="34" t="s">
        <v>51</v>
      </c>
      <c r="K355" s="34" t="s">
        <v>1727</v>
      </c>
      <c r="L355" s="12" t="s">
        <v>455</v>
      </c>
      <c r="M355" s="19"/>
      <c r="N355" s="19"/>
      <c r="O355" s="34" t="s">
        <v>31</v>
      </c>
      <c r="P355" s="245" t="s">
        <v>1432</v>
      </c>
    </row>
    <row r="356">
      <c r="A356" s="19"/>
      <c r="B356" s="19"/>
      <c r="C356" s="14"/>
      <c r="D356" s="14"/>
      <c r="E356" s="14"/>
      <c r="F356" s="14"/>
      <c r="G356" s="14"/>
      <c r="H356" s="14"/>
      <c r="I356" s="14"/>
      <c r="J356" s="19"/>
      <c r="K356" s="19"/>
      <c r="L356" s="14"/>
      <c r="M356" s="19"/>
      <c r="N356" s="19"/>
      <c r="O356" s="19"/>
      <c r="P356" s="19"/>
    </row>
    <row r="357">
      <c r="A357" s="267"/>
      <c r="B357" s="5"/>
      <c r="C357" s="5"/>
      <c r="D357" s="5"/>
      <c r="E357" s="5"/>
      <c r="F357" s="5"/>
      <c r="G357" s="5"/>
      <c r="H357" s="5"/>
      <c r="I357" s="5"/>
      <c r="J357" s="5"/>
      <c r="K357" s="5"/>
      <c r="L357" s="5"/>
      <c r="M357" s="5"/>
      <c r="N357" s="5"/>
      <c r="O357" s="7"/>
      <c r="P357" s="19"/>
    </row>
    <row r="358">
      <c r="A358" s="197" t="s">
        <v>47</v>
      </c>
      <c r="B358" s="111" t="s">
        <v>7</v>
      </c>
      <c r="C358" s="111" t="s">
        <v>56</v>
      </c>
      <c r="D358" s="111" t="s">
        <v>58</v>
      </c>
      <c r="E358" s="111" t="s">
        <v>30</v>
      </c>
      <c r="F358" s="111" t="s">
        <v>12</v>
      </c>
      <c r="G358" s="111" t="s">
        <v>33</v>
      </c>
      <c r="H358" s="113" t="s">
        <v>34</v>
      </c>
      <c r="I358" s="113"/>
      <c r="J358" s="111" t="s">
        <v>14</v>
      </c>
      <c r="K358" s="42" t="s">
        <v>16</v>
      </c>
      <c r="L358" s="42" t="s">
        <v>35</v>
      </c>
      <c r="M358" s="42" t="s">
        <v>18</v>
      </c>
      <c r="N358" s="42" t="s">
        <v>19</v>
      </c>
      <c r="O358" s="42" t="s">
        <v>20</v>
      </c>
      <c r="P358" s="42" t="s">
        <v>21</v>
      </c>
    </row>
    <row r="359">
      <c r="A359" s="242">
        <v>1.0</v>
      </c>
      <c r="B359" s="241" t="s">
        <v>1728</v>
      </c>
      <c r="C359" s="248" t="s">
        <v>80</v>
      </c>
      <c r="D359" s="242" t="s">
        <v>1729</v>
      </c>
      <c r="E359" s="242" t="s">
        <v>1730</v>
      </c>
      <c r="F359" s="268" t="s">
        <v>25</v>
      </c>
      <c r="G359" s="252">
        <v>45696.0</v>
      </c>
      <c r="H359" s="242">
        <v>21.0</v>
      </c>
      <c r="I359" s="242"/>
      <c r="J359" s="34" t="s">
        <v>778</v>
      </c>
      <c r="K359" s="34" t="s">
        <v>1731</v>
      </c>
      <c r="L359" s="14"/>
      <c r="M359" s="19"/>
      <c r="N359" s="19"/>
      <c r="O359" s="148">
        <v>45785.0</v>
      </c>
      <c r="P359" s="269" t="s">
        <v>1432</v>
      </c>
    </row>
    <row r="360">
      <c r="A360" s="242">
        <v>2.0</v>
      </c>
      <c r="B360" s="241" t="s">
        <v>1732</v>
      </c>
      <c r="C360" s="248" t="s">
        <v>80</v>
      </c>
      <c r="D360" s="242" t="s">
        <v>1733</v>
      </c>
      <c r="E360" s="242" t="s">
        <v>1734</v>
      </c>
      <c r="F360" s="268" t="s">
        <v>25</v>
      </c>
      <c r="G360" s="252">
        <v>45755.0</v>
      </c>
      <c r="H360" s="242">
        <v>23.0</v>
      </c>
      <c r="I360" s="242"/>
      <c r="J360" s="34" t="s">
        <v>778</v>
      </c>
      <c r="K360" s="34" t="s">
        <v>1735</v>
      </c>
      <c r="L360" s="14"/>
      <c r="M360" s="19"/>
      <c r="N360" s="19"/>
      <c r="O360" s="34" t="s">
        <v>1736</v>
      </c>
      <c r="P360" s="269" t="s">
        <v>1432</v>
      </c>
    </row>
    <row r="361">
      <c r="A361" s="242">
        <v>3.0</v>
      </c>
      <c r="B361" s="241" t="s">
        <v>1737</v>
      </c>
      <c r="C361" s="248" t="s">
        <v>80</v>
      </c>
      <c r="D361" s="242" t="s">
        <v>1738</v>
      </c>
      <c r="E361" s="242" t="s">
        <v>1739</v>
      </c>
      <c r="F361" s="268" t="s">
        <v>25</v>
      </c>
      <c r="G361" s="252">
        <v>45696.0</v>
      </c>
      <c r="H361" s="242">
        <v>21.0</v>
      </c>
      <c r="I361" s="242"/>
      <c r="J361" s="34" t="s">
        <v>778</v>
      </c>
      <c r="K361" s="34" t="s">
        <v>779</v>
      </c>
      <c r="L361" s="14"/>
      <c r="M361" s="19"/>
      <c r="N361" s="19"/>
      <c r="O361" s="148">
        <v>45908.0</v>
      </c>
      <c r="P361" s="269" t="s">
        <v>1432</v>
      </c>
    </row>
    <row r="362">
      <c r="A362" s="242">
        <v>4.0</v>
      </c>
      <c r="B362" s="241" t="s">
        <v>1740</v>
      </c>
      <c r="C362" s="248" t="s">
        <v>80</v>
      </c>
      <c r="D362" s="242" t="s">
        <v>1741</v>
      </c>
      <c r="E362" s="244" t="s">
        <v>1742</v>
      </c>
      <c r="F362" s="268" t="s">
        <v>1523</v>
      </c>
      <c r="G362" s="252">
        <v>45724.0</v>
      </c>
      <c r="H362" s="242">
        <v>22.0</v>
      </c>
      <c r="I362" s="242"/>
      <c r="J362" s="34" t="s">
        <v>186</v>
      </c>
      <c r="K362" s="34" t="s">
        <v>1660</v>
      </c>
      <c r="L362" s="14"/>
      <c r="M362" s="19"/>
      <c r="N362" s="19"/>
      <c r="O362" s="34" t="s">
        <v>1743</v>
      </c>
      <c r="P362" s="269" t="s">
        <v>1432</v>
      </c>
    </row>
    <row r="363">
      <c r="A363" s="242">
        <v>5.0</v>
      </c>
      <c r="B363" s="241" t="s">
        <v>1744</v>
      </c>
      <c r="C363" s="248" t="s">
        <v>80</v>
      </c>
      <c r="D363" s="242" t="s">
        <v>1745</v>
      </c>
      <c r="E363" s="244" t="s">
        <v>1746</v>
      </c>
      <c r="F363" s="268" t="s">
        <v>1523</v>
      </c>
      <c r="G363" s="252">
        <v>45724.0</v>
      </c>
      <c r="H363" s="242">
        <v>22.0</v>
      </c>
      <c r="I363" s="242"/>
      <c r="J363" s="34" t="s">
        <v>186</v>
      </c>
      <c r="K363" s="34" t="s">
        <v>1660</v>
      </c>
      <c r="L363" s="14"/>
      <c r="M363" s="19"/>
      <c r="N363" s="19"/>
      <c r="O363" s="34" t="s">
        <v>1743</v>
      </c>
      <c r="P363" s="269" t="s">
        <v>1432</v>
      </c>
    </row>
    <row r="364">
      <c r="A364" s="242">
        <v>6.0</v>
      </c>
      <c r="B364" s="241" t="s">
        <v>1747</v>
      </c>
      <c r="C364" s="268" t="s">
        <v>1058</v>
      </c>
      <c r="D364" s="242" t="s">
        <v>1748</v>
      </c>
      <c r="E364" s="244" t="s">
        <v>1749</v>
      </c>
      <c r="F364" s="242" t="s">
        <v>535</v>
      </c>
      <c r="G364" s="242" t="s">
        <v>1284</v>
      </c>
      <c r="H364" s="242">
        <v>4.0</v>
      </c>
      <c r="I364" s="242"/>
      <c r="J364" s="34" t="s">
        <v>186</v>
      </c>
      <c r="K364" s="34" t="s">
        <v>1750</v>
      </c>
      <c r="L364" s="14"/>
      <c r="M364" s="19"/>
      <c r="N364" s="19"/>
      <c r="O364" s="148">
        <v>45665.0</v>
      </c>
      <c r="P364" s="269" t="s">
        <v>1432</v>
      </c>
    </row>
    <row r="365">
      <c r="A365" s="242">
        <v>7.0</v>
      </c>
      <c r="B365" s="241" t="s">
        <v>1751</v>
      </c>
      <c r="C365" s="248" t="s">
        <v>80</v>
      </c>
      <c r="D365" s="242" t="s">
        <v>1752</v>
      </c>
      <c r="E365" s="242" t="s">
        <v>1753</v>
      </c>
      <c r="F365" s="242" t="s">
        <v>815</v>
      </c>
      <c r="G365" s="252">
        <v>45665.0</v>
      </c>
      <c r="H365" s="242">
        <v>20.0</v>
      </c>
      <c r="I365" s="242"/>
      <c r="J365" s="34" t="s">
        <v>51</v>
      </c>
      <c r="K365" s="34" t="s">
        <v>1629</v>
      </c>
      <c r="L365" s="14"/>
      <c r="M365" s="19"/>
      <c r="N365" s="19"/>
      <c r="O365" s="148">
        <v>45816.0</v>
      </c>
      <c r="P365" s="269" t="s">
        <v>1432</v>
      </c>
    </row>
    <row r="366">
      <c r="A366" s="242">
        <v>8.0</v>
      </c>
      <c r="B366" s="241" t="s">
        <v>1754</v>
      </c>
      <c r="C366" s="248" t="s">
        <v>80</v>
      </c>
      <c r="D366" s="242" t="s">
        <v>1755</v>
      </c>
      <c r="E366" s="242" t="s">
        <v>1756</v>
      </c>
      <c r="F366" s="268" t="s">
        <v>256</v>
      </c>
      <c r="G366" s="252">
        <v>45665.0</v>
      </c>
      <c r="H366" s="242">
        <v>20.0</v>
      </c>
      <c r="I366" s="242"/>
      <c r="J366" s="34" t="s">
        <v>778</v>
      </c>
      <c r="K366" s="34" t="s">
        <v>1629</v>
      </c>
      <c r="L366" s="14"/>
      <c r="M366" s="19"/>
      <c r="N366" s="19"/>
      <c r="O366" s="148">
        <v>45877.0</v>
      </c>
      <c r="P366" s="269" t="s">
        <v>1432</v>
      </c>
    </row>
    <row r="367">
      <c r="A367" s="242">
        <v>9.0</v>
      </c>
      <c r="B367" s="270" t="s">
        <v>1757</v>
      </c>
      <c r="C367" s="248" t="s">
        <v>80</v>
      </c>
      <c r="D367" s="242" t="s">
        <v>1758</v>
      </c>
      <c r="E367" s="244" t="s">
        <v>1759</v>
      </c>
      <c r="F367" s="268" t="s">
        <v>1760</v>
      </c>
      <c r="G367" s="252">
        <v>45696.0</v>
      </c>
      <c r="H367" s="242">
        <v>21.0</v>
      </c>
      <c r="I367" s="242"/>
      <c r="J367" s="34" t="s">
        <v>186</v>
      </c>
      <c r="K367" s="148">
        <v>45724.0</v>
      </c>
      <c r="L367" s="14"/>
      <c r="M367" s="19"/>
      <c r="N367" s="19"/>
      <c r="O367" s="148">
        <v>45999.0</v>
      </c>
      <c r="P367" s="269" t="s">
        <v>1432</v>
      </c>
    </row>
    <row r="368">
      <c r="A368" s="242">
        <v>10.0</v>
      </c>
      <c r="B368" s="241" t="s">
        <v>1761</v>
      </c>
      <c r="C368" s="248" t="s">
        <v>80</v>
      </c>
      <c r="D368" s="242" t="s">
        <v>1762</v>
      </c>
      <c r="E368" s="244" t="s">
        <v>1763</v>
      </c>
      <c r="F368" s="268" t="s">
        <v>1760</v>
      </c>
      <c r="G368" s="252">
        <v>45696.0</v>
      </c>
      <c r="H368" s="242">
        <v>21.0</v>
      </c>
      <c r="I368" s="242"/>
      <c r="J368" s="34" t="s">
        <v>186</v>
      </c>
      <c r="K368" s="148">
        <v>45724.0</v>
      </c>
      <c r="L368" s="14"/>
      <c r="M368" s="19"/>
      <c r="N368" s="19"/>
      <c r="O368" s="148">
        <v>45999.0</v>
      </c>
      <c r="P368" s="269" t="s">
        <v>1432</v>
      </c>
    </row>
    <row r="369">
      <c r="A369" s="242">
        <v>11.0</v>
      </c>
      <c r="B369" s="241" t="s">
        <v>1764</v>
      </c>
      <c r="C369" s="248" t="s">
        <v>80</v>
      </c>
      <c r="D369" s="242" t="s">
        <v>1765</v>
      </c>
      <c r="E369" s="242" t="s">
        <v>1766</v>
      </c>
      <c r="F369" s="268" t="s">
        <v>25</v>
      </c>
      <c r="G369" s="252">
        <v>45755.0</v>
      </c>
      <c r="H369" s="242">
        <v>23.0</v>
      </c>
      <c r="I369" s="242"/>
      <c r="J369" s="34" t="s">
        <v>51</v>
      </c>
      <c r="K369" s="34" t="s">
        <v>1660</v>
      </c>
      <c r="L369" s="14"/>
      <c r="M369" s="19"/>
      <c r="N369" s="19"/>
      <c r="O369" s="34" t="s">
        <v>1767</v>
      </c>
      <c r="P369" s="269" t="s">
        <v>1432</v>
      </c>
    </row>
    <row r="370">
      <c r="A370" s="242">
        <v>12.0</v>
      </c>
      <c r="B370" s="241" t="s">
        <v>1768</v>
      </c>
      <c r="C370" s="268" t="s">
        <v>1769</v>
      </c>
      <c r="D370" s="242" t="s">
        <v>1770</v>
      </c>
      <c r="E370" s="257" t="s">
        <v>1771</v>
      </c>
      <c r="F370" s="268" t="s">
        <v>1772</v>
      </c>
      <c r="G370" s="242" t="s">
        <v>1547</v>
      </c>
      <c r="H370" s="242">
        <v>15.0</v>
      </c>
      <c r="I370" s="242"/>
      <c r="J370" s="34" t="s">
        <v>186</v>
      </c>
      <c r="K370" s="148">
        <v>45755.0</v>
      </c>
      <c r="L370" s="14"/>
      <c r="M370" s="19"/>
      <c r="N370" s="19"/>
      <c r="O370" s="148">
        <v>45877.0</v>
      </c>
      <c r="P370" s="269" t="s">
        <v>1432</v>
      </c>
    </row>
    <row r="371">
      <c r="A371" s="242">
        <v>13.0</v>
      </c>
      <c r="B371" s="241" t="s">
        <v>1773</v>
      </c>
      <c r="C371" s="268" t="s">
        <v>1769</v>
      </c>
      <c r="D371" s="242" t="s">
        <v>1770</v>
      </c>
      <c r="E371" s="257" t="s">
        <v>1774</v>
      </c>
      <c r="F371" s="268" t="s">
        <v>1772</v>
      </c>
      <c r="G371" s="242" t="s">
        <v>1547</v>
      </c>
      <c r="H371" s="242">
        <v>15.0</v>
      </c>
      <c r="I371" s="242"/>
      <c r="J371" s="34" t="s">
        <v>186</v>
      </c>
      <c r="K371" s="148">
        <v>45755.0</v>
      </c>
      <c r="L371" s="14"/>
      <c r="M371" s="19"/>
      <c r="N371" s="19"/>
      <c r="O371" s="148">
        <v>45877.0</v>
      </c>
      <c r="P371" s="269" t="s">
        <v>1432</v>
      </c>
    </row>
    <row r="372">
      <c r="A372" s="242">
        <v>14.0</v>
      </c>
      <c r="B372" s="241" t="s">
        <v>1775</v>
      </c>
      <c r="C372" s="248" t="s">
        <v>80</v>
      </c>
      <c r="D372" s="242" t="s">
        <v>1776</v>
      </c>
      <c r="E372" s="242" t="s">
        <v>1777</v>
      </c>
      <c r="F372" s="268" t="s">
        <v>1778</v>
      </c>
      <c r="G372" s="252">
        <v>45665.0</v>
      </c>
      <c r="H372" s="242">
        <v>20.0</v>
      </c>
      <c r="I372" s="242"/>
      <c r="J372" s="34" t="s">
        <v>51</v>
      </c>
      <c r="K372" s="148">
        <v>45696.0</v>
      </c>
      <c r="L372" s="14"/>
      <c r="M372" s="19"/>
      <c r="N372" s="19"/>
      <c r="O372" s="148">
        <v>45908.0</v>
      </c>
      <c r="P372" s="269" t="s">
        <v>1432</v>
      </c>
    </row>
    <row r="373">
      <c r="A373" s="242">
        <v>15.0</v>
      </c>
      <c r="B373" s="241" t="s">
        <v>1779</v>
      </c>
      <c r="C373" s="248" t="s">
        <v>80</v>
      </c>
      <c r="D373" s="242" t="s">
        <v>1780</v>
      </c>
      <c r="E373" s="257" t="s">
        <v>1781</v>
      </c>
      <c r="F373" s="268" t="s">
        <v>815</v>
      </c>
      <c r="G373" s="252">
        <v>45696.0</v>
      </c>
      <c r="H373" s="242">
        <v>21.0</v>
      </c>
      <c r="I373" s="242"/>
      <c r="J373" s="34" t="s">
        <v>186</v>
      </c>
      <c r="K373" s="148">
        <v>45724.0</v>
      </c>
      <c r="L373" s="14"/>
      <c r="M373" s="19"/>
      <c r="N373" s="19"/>
      <c r="O373" s="148">
        <v>45908.0</v>
      </c>
      <c r="P373" s="269" t="s">
        <v>1432</v>
      </c>
    </row>
    <row r="374">
      <c r="A374" s="242">
        <v>16.0</v>
      </c>
      <c r="B374" s="241" t="s">
        <v>1782</v>
      </c>
      <c r="C374" s="248" t="s">
        <v>80</v>
      </c>
      <c r="D374" s="242" t="s">
        <v>1783</v>
      </c>
      <c r="E374" s="257" t="s">
        <v>1784</v>
      </c>
      <c r="F374" s="268" t="s">
        <v>815</v>
      </c>
      <c r="G374" s="252">
        <v>45696.0</v>
      </c>
      <c r="H374" s="242">
        <v>21.0</v>
      </c>
      <c r="I374" s="242"/>
      <c r="J374" s="34" t="s">
        <v>186</v>
      </c>
      <c r="K374" s="148">
        <v>45724.0</v>
      </c>
      <c r="L374" s="14"/>
      <c r="M374" s="19"/>
      <c r="N374" s="19"/>
      <c r="O374" s="148">
        <v>45908.0</v>
      </c>
      <c r="P374" s="269" t="s">
        <v>1432</v>
      </c>
    </row>
    <row r="375">
      <c r="A375" s="19"/>
      <c r="B375" s="19"/>
      <c r="C375" s="14"/>
      <c r="D375" s="14"/>
      <c r="E375" s="14"/>
      <c r="F375" s="14"/>
      <c r="G375" s="14"/>
      <c r="H375" s="14"/>
      <c r="I375" s="14"/>
      <c r="J375" s="19"/>
      <c r="K375" s="19"/>
      <c r="L375" s="14"/>
      <c r="M375" s="19"/>
      <c r="N375" s="19"/>
      <c r="O375" s="19"/>
      <c r="P375" s="19"/>
    </row>
    <row r="376">
      <c r="A376" s="271" t="s">
        <v>1785</v>
      </c>
      <c r="B376" s="5"/>
      <c r="C376" s="5"/>
      <c r="D376" s="5"/>
      <c r="E376" s="5"/>
      <c r="F376" s="5"/>
      <c r="G376" s="5"/>
      <c r="H376" s="5"/>
      <c r="I376" s="5"/>
      <c r="J376" s="5"/>
      <c r="K376" s="5"/>
      <c r="L376" s="5"/>
      <c r="M376" s="5"/>
      <c r="N376" s="5"/>
      <c r="O376" s="7"/>
      <c r="P376" s="19"/>
    </row>
    <row r="377">
      <c r="A377" s="197" t="s">
        <v>47</v>
      </c>
      <c r="B377" s="111" t="s">
        <v>7</v>
      </c>
      <c r="C377" s="111" t="s">
        <v>56</v>
      </c>
      <c r="D377" s="111" t="s">
        <v>58</v>
      </c>
      <c r="E377" s="111" t="s">
        <v>30</v>
      </c>
      <c r="F377" s="111" t="s">
        <v>12</v>
      </c>
      <c r="G377" s="111" t="s">
        <v>33</v>
      </c>
      <c r="H377" s="113" t="s">
        <v>34</v>
      </c>
      <c r="I377" s="113"/>
      <c r="J377" s="111" t="s">
        <v>14</v>
      </c>
      <c r="K377" s="42" t="s">
        <v>16</v>
      </c>
      <c r="L377" s="42" t="s">
        <v>35</v>
      </c>
      <c r="M377" s="42" t="s">
        <v>18</v>
      </c>
      <c r="N377" s="42" t="s">
        <v>19</v>
      </c>
      <c r="O377" s="42" t="s">
        <v>20</v>
      </c>
      <c r="P377" s="42" t="s">
        <v>21</v>
      </c>
    </row>
    <row r="378">
      <c r="A378" s="272">
        <v>1.0</v>
      </c>
      <c r="B378" s="273" t="s">
        <v>1786</v>
      </c>
      <c r="C378" s="272" t="s">
        <v>80</v>
      </c>
      <c r="D378" s="272" t="s">
        <v>1787</v>
      </c>
      <c r="E378" s="272" t="s">
        <v>1788</v>
      </c>
      <c r="F378" s="272" t="s">
        <v>1789</v>
      </c>
      <c r="G378" s="274">
        <v>45696.0</v>
      </c>
      <c r="H378" s="275">
        <v>16.0</v>
      </c>
      <c r="I378" s="275"/>
      <c r="J378" s="34" t="s">
        <v>51</v>
      </c>
      <c r="K378" s="148">
        <v>45665.0</v>
      </c>
      <c r="L378" s="14"/>
      <c r="M378" s="19"/>
      <c r="N378" s="19"/>
      <c r="O378" s="148">
        <v>45755.0</v>
      </c>
      <c r="P378" s="269" t="s">
        <v>1432</v>
      </c>
    </row>
    <row r="379">
      <c r="A379" s="272">
        <v>2.0</v>
      </c>
      <c r="B379" s="276" t="s">
        <v>1790</v>
      </c>
      <c r="C379" s="272" t="s">
        <v>80</v>
      </c>
      <c r="D379" s="272" t="s">
        <v>1791</v>
      </c>
      <c r="E379" s="272" t="s">
        <v>1792</v>
      </c>
      <c r="F379" s="272" t="s">
        <v>1793</v>
      </c>
      <c r="G379" s="274">
        <v>45696.0</v>
      </c>
      <c r="H379" s="275">
        <v>16.0</v>
      </c>
      <c r="I379" s="275"/>
      <c r="J379" s="34" t="s">
        <v>51</v>
      </c>
      <c r="K379" s="148">
        <v>45665.0</v>
      </c>
      <c r="L379" s="14"/>
      <c r="M379" s="19"/>
      <c r="N379" s="19"/>
      <c r="O379" s="148">
        <v>45816.0</v>
      </c>
      <c r="P379" s="269" t="s">
        <v>1432</v>
      </c>
    </row>
    <row r="380">
      <c r="A380" s="272">
        <v>3.0</v>
      </c>
      <c r="B380" s="276" t="s">
        <v>1794</v>
      </c>
      <c r="C380" s="272" t="s">
        <v>651</v>
      </c>
      <c r="D380" s="272" t="s">
        <v>1795</v>
      </c>
      <c r="E380" s="272" t="s">
        <v>1796</v>
      </c>
      <c r="F380" s="272" t="s">
        <v>1797</v>
      </c>
      <c r="G380" s="274">
        <v>45696.0</v>
      </c>
      <c r="H380" s="275">
        <v>16.0</v>
      </c>
      <c r="I380" s="275"/>
      <c r="J380" s="19"/>
      <c r="K380" s="19"/>
      <c r="L380" s="14"/>
      <c r="M380" s="19"/>
      <c r="N380" s="19"/>
      <c r="O380" s="23">
        <v>45785.0</v>
      </c>
      <c r="P380" s="277" t="s">
        <v>1798</v>
      </c>
    </row>
    <row r="381">
      <c r="A381" s="272">
        <v>4.0</v>
      </c>
      <c r="B381" s="276" t="s">
        <v>1799</v>
      </c>
      <c r="C381" s="272" t="s">
        <v>80</v>
      </c>
      <c r="D381" s="272" t="s">
        <v>1800</v>
      </c>
      <c r="E381" s="278" t="s">
        <v>1801</v>
      </c>
      <c r="F381" s="272" t="s">
        <v>1802</v>
      </c>
      <c r="G381" s="274">
        <v>45724.0</v>
      </c>
      <c r="H381" s="275">
        <v>17.0</v>
      </c>
      <c r="I381" s="275"/>
      <c r="J381" s="34" t="s">
        <v>186</v>
      </c>
      <c r="K381" s="148">
        <v>45755.0</v>
      </c>
      <c r="L381" s="14"/>
      <c r="M381" s="19"/>
      <c r="N381" s="19"/>
      <c r="O381" s="34" t="s">
        <v>1767</v>
      </c>
      <c r="P381" s="269" t="s">
        <v>1432</v>
      </c>
    </row>
    <row r="382">
      <c r="A382" s="272">
        <v>5.0</v>
      </c>
      <c r="B382" s="276" t="s">
        <v>1803</v>
      </c>
      <c r="C382" s="272" t="s">
        <v>80</v>
      </c>
      <c r="D382" s="272" t="s">
        <v>1804</v>
      </c>
      <c r="E382" s="278" t="s">
        <v>1805</v>
      </c>
      <c r="F382" s="272" t="s">
        <v>1802</v>
      </c>
      <c r="G382" s="274">
        <v>45724.0</v>
      </c>
      <c r="H382" s="275">
        <v>17.0</v>
      </c>
      <c r="I382" s="275"/>
      <c r="J382" s="34" t="s">
        <v>186</v>
      </c>
      <c r="K382" s="148">
        <v>45755.0</v>
      </c>
      <c r="L382" s="14"/>
      <c r="M382" s="19"/>
      <c r="N382" s="19"/>
      <c r="O382" s="34" t="s">
        <v>71</v>
      </c>
      <c r="P382" s="269" t="s">
        <v>1432</v>
      </c>
    </row>
    <row r="383">
      <c r="A383" s="279">
        <v>6.0</v>
      </c>
      <c r="B383" s="280" t="s">
        <v>1806</v>
      </c>
      <c r="C383" s="279" t="s">
        <v>80</v>
      </c>
      <c r="D383" s="279" t="s">
        <v>1807</v>
      </c>
      <c r="E383" s="279" t="s">
        <v>1808</v>
      </c>
      <c r="F383" s="279" t="s">
        <v>232</v>
      </c>
      <c r="G383" s="281">
        <v>45724.0</v>
      </c>
      <c r="H383" s="282">
        <v>17.0</v>
      </c>
      <c r="I383" s="282"/>
      <c r="J383" s="34" t="s">
        <v>186</v>
      </c>
      <c r="K383" s="34" t="s">
        <v>1590</v>
      </c>
      <c r="L383" s="14"/>
      <c r="M383" s="19"/>
      <c r="N383" s="19"/>
      <c r="O383" s="34" t="s">
        <v>1379</v>
      </c>
      <c r="P383" s="269" t="s">
        <v>1432</v>
      </c>
    </row>
    <row r="384">
      <c r="A384" s="272">
        <v>7.0</v>
      </c>
      <c r="B384" s="270" t="s">
        <v>1809</v>
      </c>
      <c r="C384" s="272" t="s">
        <v>80</v>
      </c>
      <c r="D384" s="283" t="s">
        <v>1810</v>
      </c>
      <c r="E384" s="272" t="s">
        <v>1811</v>
      </c>
      <c r="F384" s="272" t="s">
        <v>1454</v>
      </c>
      <c r="G384" s="274">
        <v>45724.0</v>
      </c>
      <c r="H384" s="275">
        <v>17.0</v>
      </c>
      <c r="I384" s="275"/>
      <c r="J384" s="34" t="s">
        <v>186</v>
      </c>
      <c r="K384" s="148">
        <v>45969.0</v>
      </c>
      <c r="L384" s="14"/>
      <c r="M384" s="19"/>
      <c r="N384" s="19"/>
      <c r="O384" s="34" t="s">
        <v>1743</v>
      </c>
      <c r="P384" s="269" t="s">
        <v>1432</v>
      </c>
    </row>
    <row r="385">
      <c r="A385" s="272">
        <v>8.0</v>
      </c>
      <c r="B385" s="276" t="s">
        <v>1812</v>
      </c>
      <c r="C385" s="272" t="s">
        <v>80</v>
      </c>
      <c r="D385" s="272" t="s">
        <v>1813</v>
      </c>
      <c r="E385" s="278" t="s">
        <v>1814</v>
      </c>
      <c r="F385" s="272" t="s">
        <v>1815</v>
      </c>
      <c r="G385" s="274">
        <v>45696.0</v>
      </c>
      <c r="H385" s="275">
        <v>16.0</v>
      </c>
      <c r="I385" s="275"/>
      <c r="J385" s="34" t="s">
        <v>186</v>
      </c>
      <c r="K385" s="148">
        <v>45696.0</v>
      </c>
      <c r="L385" s="14"/>
      <c r="M385" s="19"/>
      <c r="N385" s="19"/>
      <c r="O385" s="148">
        <v>45785.0</v>
      </c>
      <c r="P385" s="269" t="s">
        <v>1432</v>
      </c>
    </row>
    <row r="386">
      <c r="A386" s="272">
        <v>9.0</v>
      </c>
      <c r="B386" s="270" t="s">
        <v>1816</v>
      </c>
      <c r="C386" s="272" t="s">
        <v>80</v>
      </c>
      <c r="D386" s="283" t="s">
        <v>1817</v>
      </c>
      <c r="E386" s="278" t="s">
        <v>1818</v>
      </c>
      <c r="F386" s="272" t="s">
        <v>1819</v>
      </c>
      <c r="G386" s="274">
        <v>45696.0</v>
      </c>
      <c r="H386" s="275">
        <v>16.0</v>
      </c>
      <c r="I386" s="275"/>
      <c r="J386" s="34" t="s">
        <v>186</v>
      </c>
      <c r="K386" s="148">
        <v>45696.0</v>
      </c>
      <c r="L386" s="14"/>
      <c r="M386" s="19"/>
      <c r="N386" s="19"/>
      <c r="O386" s="148">
        <v>45785.0</v>
      </c>
      <c r="P386" s="269" t="s">
        <v>1432</v>
      </c>
    </row>
    <row r="387">
      <c r="A387" s="272">
        <v>10.0</v>
      </c>
      <c r="B387" s="284" t="s">
        <v>1820</v>
      </c>
      <c r="C387" s="272" t="s">
        <v>80</v>
      </c>
      <c r="D387" s="272" t="s">
        <v>1821</v>
      </c>
      <c r="E387" s="285" t="s">
        <v>1822</v>
      </c>
      <c r="F387" s="272" t="s">
        <v>1823</v>
      </c>
      <c r="G387" s="274">
        <v>45724.0</v>
      </c>
      <c r="H387" s="275">
        <v>17.0</v>
      </c>
      <c r="I387" s="275"/>
      <c r="J387" s="34" t="s">
        <v>186</v>
      </c>
      <c r="K387" s="148">
        <v>45755.0</v>
      </c>
      <c r="L387" s="14"/>
      <c r="M387" s="19"/>
      <c r="N387" s="19"/>
      <c r="O387" s="12" t="s">
        <v>1743</v>
      </c>
      <c r="P387" s="269" t="s">
        <v>1432</v>
      </c>
    </row>
    <row r="388">
      <c r="A388" s="272">
        <v>11.0</v>
      </c>
      <c r="B388" s="284" t="s">
        <v>1824</v>
      </c>
      <c r="C388" s="272" t="s">
        <v>80</v>
      </c>
      <c r="D388" s="272" t="s">
        <v>1825</v>
      </c>
      <c r="E388" s="285" t="s">
        <v>1826</v>
      </c>
      <c r="F388" s="272" t="s">
        <v>1823</v>
      </c>
      <c r="G388" s="274">
        <v>45724.0</v>
      </c>
      <c r="H388" s="275">
        <v>17.0</v>
      </c>
      <c r="I388" s="275"/>
      <c r="J388" s="34" t="s">
        <v>186</v>
      </c>
      <c r="K388" s="148">
        <v>45755.0</v>
      </c>
      <c r="L388" s="12" t="s">
        <v>1025</v>
      </c>
      <c r="M388" s="19"/>
      <c r="N388" s="19"/>
      <c r="O388" s="34" t="s">
        <v>1743</v>
      </c>
      <c r="P388" s="269" t="s">
        <v>1432</v>
      </c>
    </row>
    <row r="389">
      <c r="A389" s="272">
        <v>12.0</v>
      </c>
      <c r="B389" s="273" t="s">
        <v>1827</v>
      </c>
      <c r="C389" s="272" t="s">
        <v>80</v>
      </c>
      <c r="D389" s="272" t="s">
        <v>1828</v>
      </c>
      <c r="E389" s="272" t="s">
        <v>1829</v>
      </c>
      <c r="F389" s="272" t="s">
        <v>1830</v>
      </c>
      <c r="G389" s="274">
        <v>45724.0</v>
      </c>
      <c r="H389" s="275">
        <v>17.0</v>
      </c>
      <c r="I389" s="275"/>
      <c r="J389" s="34" t="s">
        <v>1831</v>
      </c>
      <c r="K389" s="34" t="s">
        <v>1832</v>
      </c>
      <c r="L389" s="14"/>
      <c r="M389" s="19"/>
      <c r="N389" s="19"/>
      <c r="O389" s="34" t="s">
        <v>1767</v>
      </c>
      <c r="P389" s="269" t="s">
        <v>1432</v>
      </c>
    </row>
    <row r="390">
      <c r="A390" s="272">
        <v>13.0</v>
      </c>
      <c r="B390" s="276" t="s">
        <v>1833</v>
      </c>
      <c r="C390" s="272" t="s">
        <v>938</v>
      </c>
      <c r="D390" s="272" t="s">
        <v>1834</v>
      </c>
      <c r="E390" s="278" t="s">
        <v>1835</v>
      </c>
      <c r="F390" s="272" t="s">
        <v>1836</v>
      </c>
      <c r="G390" s="274">
        <v>45755.0</v>
      </c>
      <c r="H390" s="275">
        <v>18.0</v>
      </c>
      <c r="I390" s="275"/>
      <c r="J390" s="34" t="s">
        <v>186</v>
      </c>
      <c r="K390" s="148">
        <v>45696.0</v>
      </c>
      <c r="L390" s="14"/>
      <c r="M390" s="19"/>
      <c r="N390" s="19"/>
      <c r="O390" s="34" t="s">
        <v>1736</v>
      </c>
      <c r="P390" s="269" t="s">
        <v>1432</v>
      </c>
    </row>
    <row r="391">
      <c r="A391" s="272">
        <v>14.0</v>
      </c>
      <c r="B391" s="276" t="s">
        <v>1837</v>
      </c>
      <c r="C391" s="272" t="s">
        <v>938</v>
      </c>
      <c r="D391" s="272" t="s">
        <v>1838</v>
      </c>
      <c r="E391" s="278" t="s">
        <v>1839</v>
      </c>
      <c r="F391" s="272" t="s">
        <v>1836</v>
      </c>
      <c r="G391" s="274">
        <v>45755.0</v>
      </c>
      <c r="H391" s="275">
        <v>18.0</v>
      </c>
      <c r="I391" s="275"/>
      <c r="J391" s="34" t="s">
        <v>186</v>
      </c>
      <c r="K391" s="148">
        <v>45696.0</v>
      </c>
      <c r="L391" s="14"/>
      <c r="M391" s="19"/>
      <c r="N391" s="19"/>
      <c r="O391" s="34" t="s">
        <v>1736</v>
      </c>
      <c r="P391" s="269" t="s">
        <v>1432</v>
      </c>
    </row>
    <row r="392">
      <c r="A392" s="279">
        <v>15.0</v>
      </c>
      <c r="B392" s="286" t="s">
        <v>1840</v>
      </c>
      <c r="C392" s="279" t="s">
        <v>651</v>
      </c>
      <c r="D392" s="279" t="s">
        <v>1841</v>
      </c>
      <c r="E392" s="279" t="s">
        <v>1842</v>
      </c>
      <c r="F392" s="279" t="s">
        <v>731</v>
      </c>
      <c r="G392" s="281">
        <v>45785.0</v>
      </c>
      <c r="H392" s="282">
        <v>19.0</v>
      </c>
      <c r="I392" s="282"/>
      <c r="J392" s="287" t="s">
        <v>186</v>
      </c>
      <c r="K392" s="287" t="s">
        <v>1558</v>
      </c>
      <c r="L392" s="288"/>
      <c r="M392" s="289"/>
      <c r="N392" s="289"/>
      <c r="O392" s="287" t="s">
        <v>1524</v>
      </c>
      <c r="P392" s="269" t="s">
        <v>1432</v>
      </c>
      <c r="Q392" s="290"/>
      <c r="R392" s="290"/>
      <c r="S392" s="290"/>
      <c r="T392" s="290"/>
      <c r="U392" s="290"/>
      <c r="V392" s="290"/>
      <c r="W392" s="290"/>
      <c r="X392" s="290"/>
      <c r="Y392" s="290"/>
      <c r="Z392" s="290"/>
      <c r="AA392" s="290"/>
      <c r="AB392" s="290"/>
      <c r="AC392" s="290"/>
      <c r="AD392" s="290"/>
      <c r="AE392" s="290"/>
      <c r="AF392" s="290"/>
    </row>
    <row r="393">
      <c r="A393" s="272">
        <v>16.0</v>
      </c>
      <c r="B393" s="284" t="s">
        <v>1843</v>
      </c>
      <c r="C393" s="272" t="s">
        <v>80</v>
      </c>
      <c r="D393" s="272" t="s">
        <v>1844</v>
      </c>
      <c r="E393" s="272" t="s">
        <v>1845</v>
      </c>
      <c r="F393" s="272" t="s">
        <v>1846</v>
      </c>
      <c r="G393" s="274">
        <v>45755.0</v>
      </c>
      <c r="H393" s="275">
        <v>18.0</v>
      </c>
      <c r="I393" s="275"/>
      <c r="J393" s="34" t="s">
        <v>778</v>
      </c>
      <c r="K393" s="148">
        <v>45969.0</v>
      </c>
      <c r="L393" s="14"/>
      <c r="M393" s="19"/>
      <c r="N393" s="19"/>
      <c r="O393" s="148">
        <v>45999.0</v>
      </c>
      <c r="P393" s="269" t="s">
        <v>1432</v>
      </c>
    </row>
    <row r="394">
      <c r="A394" s="272">
        <v>17.0</v>
      </c>
      <c r="B394" s="284" t="s">
        <v>1847</v>
      </c>
      <c r="C394" s="272" t="s">
        <v>80</v>
      </c>
      <c r="D394" s="272" t="s">
        <v>1848</v>
      </c>
      <c r="E394" s="272" t="s">
        <v>1849</v>
      </c>
      <c r="F394" s="272" t="s">
        <v>1850</v>
      </c>
      <c r="G394" s="274">
        <v>45755.0</v>
      </c>
      <c r="H394" s="275">
        <v>18.0</v>
      </c>
      <c r="I394" s="275"/>
      <c r="J394" s="34" t="s">
        <v>778</v>
      </c>
      <c r="K394" s="148">
        <v>45969.0</v>
      </c>
      <c r="L394" s="14"/>
      <c r="M394" s="19"/>
      <c r="N394" s="19"/>
      <c r="O394" s="148">
        <v>45999.0</v>
      </c>
      <c r="P394" s="269" t="s">
        <v>1432</v>
      </c>
    </row>
    <row r="395">
      <c r="A395" s="272">
        <v>18.0</v>
      </c>
      <c r="B395" s="284" t="s">
        <v>1851</v>
      </c>
      <c r="C395" s="272" t="s">
        <v>80</v>
      </c>
      <c r="D395" s="272" t="s">
        <v>1852</v>
      </c>
      <c r="E395" s="272" t="s">
        <v>1853</v>
      </c>
      <c r="F395" s="272" t="s">
        <v>1854</v>
      </c>
      <c r="G395" s="274">
        <v>45755.0</v>
      </c>
      <c r="H395" s="275">
        <v>18.0</v>
      </c>
      <c r="I395" s="275"/>
      <c r="J395" s="34" t="s">
        <v>186</v>
      </c>
      <c r="K395" s="34" t="s">
        <v>1855</v>
      </c>
      <c r="L395" s="14"/>
      <c r="M395" s="19"/>
      <c r="N395" s="19"/>
      <c r="O395" s="34" t="s">
        <v>1424</v>
      </c>
      <c r="P395" s="269" t="s">
        <v>1432</v>
      </c>
    </row>
    <row r="396">
      <c r="A396" s="272">
        <v>19.0</v>
      </c>
      <c r="B396" s="284" t="s">
        <v>1856</v>
      </c>
      <c r="C396" s="272" t="s">
        <v>651</v>
      </c>
      <c r="D396" s="272" t="s">
        <v>1857</v>
      </c>
      <c r="E396" s="272" t="s">
        <v>1858</v>
      </c>
      <c r="F396" s="272" t="s">
        <v>731</v>
      </c>
      <c r="G396" s="274">
        <v>45785.0</v>
      </c>
      <c r="H396" s="275">
        <v>19.0</v>
      </c>
      <c r="I396" s="275"/>
      <c r="J396" s="34" t="s">
        <v>186</v>
      </c>
      <c r="K396" s="34" t="s">
        <v>1558</v>
      </c>
      <c r="L396" s="14"/>
      <c r="M396" s="19"/>
      <c r="N396" s="19"/>
      <c r="O396" s="34" t="s">
        <v>1524</v>
      </c>
      <c r="P396" s="269" t="s">
        <v>1432</v>
      </c>
    </row>
    <row r="397">
      <c r="A397" s="272">
        <v>20.0</v>
      </c>
      <c r="B397" s="276" t="s">
        <v>1859</v>
      </c>
      <c r="C397" s="272" t="s">
        <v>80</v>
      </c>
      <c r="D397" s="272" t="s">
        <v>1860</v>
      </c>
      <c r="E397" s="278" t="s">
        <v>1861</v>
      </c>
      <c r="F397" s="272" t="s">
        <v>232</v>
      </c>
      <c r="G397" s="274">
        <v>45755.0</v>
      </c>
      <c r="H397" s="275">
        <v>18.0</v>
      </c>
      <c r="I397" s="275"/>
      <c r="J397" s="34" t="s">
        <v>186</v>
      </c>
      <c r="K397" s="148">
        <v>45724.0</v>
      </c>
      <c r="L397" s="14"/>
      <c r="M397" s="19"/>
      <c r="N397" s="19"/>
      <c r="O397" s="143" t="s">
        <v>1862</v>
      </c>
      <c r="P397" s="269" t="s">
        <v>1432</v>
      </c>
    </row>
    <row r="398">
      <c r="A398" s="272">
        <v>21.0</v>
      </c>
      <c r="B398" s="276" t="s">
        <v>1863</v>
      </c>
      <c r="C398" s="272" t="s">
        <v>80</v>
      </c>
      <c r="D398" s="272" t="s">
        <v>1864</v>
      </c>
      <c r="E398" s="278" t="s">
        <v>1865</v>
      </c>
      <c r="F398" s="272" t="s">
        <v>232</v>
      </c>
      <c r="G398" s="274">
        <v>45755.0</v>
      </c>
      <c r="H398" s="275">
        <v>18.0</v>
      </c>
      <c r="I398" s="275"/>
      <c r="J398" s="34" t="s">
        <v>186</v>
      </c>
      <c r="K398" s="148">
        <v>45724.0</v>
      </c>
      <c r="L398" s="14"/>
      <c r="M398" s="19"/>
      <c r="N398" s="19"/>
      <c r="O398" s="143" t="s">
        <v>1862</v>
      </c>
      <c r="P398" s="269" t="s">
        <v>1432</v>
      </c>
    </row>
    <row r="399">
      <c r="A399" s="272">
        <v>22.0</v>
      </c>
      <c r="B399" s="276" t="s">
        <v>1866</v>
      </c>
      <c r="C399" s="272" t="s">
        <v>1058</v>
      </c>
      <c r="D399" s="272" t="s">
        <v>1867</v>
      </c>
      <c r="E399" s="272" t="s">
        <v>1868</v>
      </c>
      <c r="F399" s="272" t="s">
        <v>1869</v>
      </c>
      <c r="G399" s="274">
        <v>45724.0</v>
      </c>
      <c r="H399" s="275">
        <v>17.0</v>
      </c>
      <c r="I399" s="275"/>
      <c r="J399" s="34" t="s">
        <v>51</v>
      </c>
      <c r="K399" s="148">
        <v>45755.0</v>
      </c>
      <c r="L399" s="14"/>
      <c r="M399" s="19"/>
      <c r="N399" s="19"/>
      <c r="O399" s="34" t="s">
        <v>1743</v>
      </c>
      <c r="P399" s="269" t="s">
        <v>1432</v>
      </c>
    </row>
    <row r="400">
      <c r="A400" s="272">
        <v>23.0</v>
      </c>
      <c r="B400" s="276" t="s">
        <v>1870</v>
      </c>
      <c r="C400" s="272" t="s">
        <v>80</v>
      </c>
      <c r="D400" s="272" t="s">
        <v>1871</v>
      </c>
      <c r="E400" s="291" t="s">
        <v>1872</v>
      </c>
      <c r="F400" s="272" t="s">
        <v>1873</v>
      </c>
      <c r="G400" s="274">
        <v>45816.0</v>
      </c>
      <c r="H400" s="275">
        <v>20.0</v>
      </c>
      <c r="I400" s="275"/>
      <c r="J400" s="34" t="s">
        <v>186</v>
      </c>
      <c r="K400" s="34" t="s">
        <v>1450</v>
      </c>
      <c r="L400" s="14"/>
      <c r="M400" s="19"/>
      <c r="N400" s="19"/>
      <c r="O400" s="34" t="s">
        <v>1348</v>
      </c>
      <c r="P400" s="269" t="s">
        <v>1432</v>
      </c>
    </row>
    <row r="401">
      <c r="A401" s="272">
        <v>24.0</v>
      </c>
      <c r="B401" s="276" t="s">
        <v>1874</v>
      </c>
      <c r="C401" s="272" t="s">
        <v>80</v>
      </c>
      <c r="D401" s="272" t="s">
        <v>1875</v>
      </c>
      <c r="E401" s="291" t="s">
        <v>1876</v>
      </c>
      <c r="F401" s="272" t="s">
        <v>1873</v>
      </c>
      <c r="G401" s="274">
        <v>45816.0</v>
      </c>
      <c r="H401" s="275">
        <v>20.0</v>
      </c>
      <c r="I401" s="275"/>
      <c r="J401" s="34" t="s">
        <v>186</v>
      </c>
      <c r="K401" s="34" t="s">
        <v>1450</v>
      </c>
      <c r="L401" s="14"/>
      <c r="M401" s="19"/>
      <c r="N401" s="19"/>
      <c r="O401" s="34" t="s">
        <v>1348</v>
      </c>
      <c r="P401" s="269" t="s">
        <v>1432</v>
      </c>
    </row>
    <row r="402">
      <c r="A402" s="272">
        <v>25.0</v>
      </c>
      <c r="B402" s="276" t="s">
        <v>1877</v>
      </c>
      <c r="C402" s="272" t="s">
        <v>80</v>
      </c>
      <c r="D402" s="272" t="s">
        <v>1878</v>
      </c>
      <c r="E402" s="272" t="s">
        <v>1879</v>
      </c>
      <c r="F402" s="272" t="s">
        <v>903</v>
      </c>
      <c r="G402" s="274">
        <v>45816.0</v>
      </c>
      <c r="H402" s="275">
        <v>20.0</v>
      </c>
      <c r="I402" s="275"/>
      <c r="J402" s="34" t="s">
        <v>51</v>
      </c>
      <c r="K402" s="148">
        <v>45665.0</v>
      </c>
      <c r="L402" s="14"/>
      <c r="M402" s="19"/>
      <c r="N402" s="19"/>
      <c r="O402" s="34" t="s">
        <v>1636</v>
      </c>
      <c r="P402" s="269" t="s">
        <v>1432</v>
      </c>
    </row>
    <row r="403" ht="15.0" customHeight="1">
      <c r="A403" s="272">
        <v>26.0</v>
      </c>
      <c r="B403" s="276" t="s">
        <v>1880</v>
      </c>
      <c r="C403" s="272" t="s">
        <v>80</v>
      </c>
      <c r="D403" s="272" t="s">
        <v>1881</v>
      </c>
      <c r="E403" s="272" t="s">
        <v>1882</v>
      </c>
      <c r="F403" s="292" t="s">
        <v>1882</v>
      </c>
      <c r="G403" s="274">
        <v>45816.0</v>
      </c>
      <c r="H403" s="275">
        <v>20.0</v>
      </c>
      <c r="I403" s="275"/>
      <c r="J403" s="34" t="s">
        <v>186</v>
      </c>
      <c r="K403" s="148">
        <v>45969.0</v>
      </c>
      <c r="L403" s="14"/>
      <c r="M403" s="19"/>
      <c r="N403" s="19"/>
      <c r="O403" s="34" t="s">
        <v>1883</v>
      </c>
      <c r="P403" s="269" t="s">
        <v>1432</v>
      </c>
    </row>
    <row r="404">
      <c r="A404" s="272">
        <v>27.0</v>
      </c>
      <c r="B404" s="276" t="s">
        <v>1884</v>
      </c>
      <c r="C404" s="272" t="s">
        <v>1885</v>
      </c>
      <c r="D404" s="272" t="s">
        <v>1886</v>
      </c>
      <c r="E404" s="272" t="s">
        <v>1887</v>
      </c>
      <c r="F404" s="272" t="s">
        <v>1888</v>
      </c>
      <c r="G404" s="274">
        <v>45816.0</v>
      </c>
      <c r="H404" s="275">
        <v>20.0</v>
      </c>
      <c r="I404" s="275"/>
      <c r="J404" s="34" t="s">
        <v>51</v>
      </c>
      <c r="K404" s="34" t="s">
        <v>1736</v>
      </c>
      <c r="L404" s="14"/>
      <c r="M404" s="19"/>
      <c r="N404" s="19"/>
      <c r="O404" s="34" t="s">
        <v>1767</v>
      </c>
      <c r="P404" s="269" t="s">
        <v>1432</v>
      </c>
    </row>
    <row r="405">
      <c r="A405" s="272">
        <v>28.0</v>
      </c>
      <c r="B405" s="276" t="s">
        <v>1889</v>
      </c>
      <c r="C405" s="272" t="s">
        <v>80</v>
      </c>
      <c r="D405" s="272" t="s">
        <v>1890</v>
      </c>
      <c r="E405" s="272" t="s">
        <v>1891</v>
      </c>
      <c r="F405" s="272" t="s">
        <v>1506</v>
      </c>
      <c r="G405" s="274">
        <v>45816.0</v>
      </c>
      <c r="H405" s="275">
        <v>20.0</v>
      </c>
      <c r="I405" s="275"/>
      <c r="J405" s="34" t="s">
        <v>51</v>
      </c>
      <c r="K405" s="148">
        <v>45785.0</v>
      </c>
      <c r="L405" s="14"/>
      <c r="M405" s="19"/>
      <c r="N405" s="19"/>
      <c r="O405" s="148">
        <v>45877.0</v>
      </c>
      <c r="P405" s="269" t="s">
        <v>1432</v>
      </c>
    </row>
    <row r="406">
      <c r="A406" s="272">
        <v>29.0</v>
      </c>
      <c r="B406" s="273" t="s">
        <v>1892</v>
      </c>
      <c r="C406" s="272" t="s">
        <v>80</v>
      </c>
      <c r="D406" s="272" t="s">
        <v>1893</v>
      </c>
      <c r="E406" s="272" t="s">
        <v>1894</v>
      </c>
      <c r="F406" s="272" t="s">
        <v>680</v>
      </c>
      <c r="G406" s="274">
        <v>45816.0</v>
      </c>
      <c r="H406" s="275">
        <v>20.0</v>
      </c>
      <c r="I406" s="275"/>
      <c r="J406" s="34" t="s">
        <v>186</v>
      </c>
      <c r="K406" s="71">
        <v>45665.0</v>
      </c>
      <c r="L406" s="14"/>
      <c r="M406" s="19"/>
      <c r="N406" s="19"/>
      <c r="O406" s="34" t="s">
        <v>1895</v>
      </c>
      <c r="P406" s="269" t="s">
        <v>1432</v>
      </c>
    </row>
    <row r="407">
      <c r="A407" s="272">
        <v>30.0</v>
      </c>
      <c r="B407" s="276" t="s">
        <v>1896</v>
      </c>
      <c r="C407" s="272" t="s">
        <v>80</v>
      </c>
      <c r="D407" s="272" t="s">
        <v>1897</v>
      </c>
      <c r="E407" s="272" t="s">
        <v>1898</v>
      </c>
      <c r="F407" s="272" t="s">
        <v>1899</v>
      </c>
      <c r="G407" s="274">
        <v>45846.0</v>
      </c>
      <c r="H407" s="275">
        <v>21.0</v>
      </c>
      <c r="I407" s="275"/>
      <c r="J407" s="34" t="s">
        <v>186</v>
      </c>
      <c r="K407" s="34" t="s">
        <v>1900</v>
      </c>
      <c r="L407" s="14"/>
      <c r="M407" s="19"/>
      <c r="N407" s="19"/>
      <c r="O407" s="34" t="s">
        <v>1767</v>
      </c>
      <c r="P407" s="269" t="s">
        <v>1432</v>
      </c>
    </row>
    <row r="408">
      <c r="A408" s="272">
        <v>31.0</v>
      </c>
      <c r="B408" s="276" t="s">
        <v>1901</v>
      </c>
      <c r="C408" s="272" t="s">
        <v>80</v>
      </c>
      <c r="D408" s="272" t="s">
        <v>1902</v>
      </c>
      <c r="E408" s="272" t="s">
        <v>1903</v>
      </c>
      <c r="F408" s="272" t="s">
        <v>1793</v>
      </c>
      <c r="G408" s="274">
        <v>45846.0</v>
      </c>
      <c r="H408" s="275">
        <v>21.0</v>
      </c>
      <c r="I408" s="275"/>
      <c r="J408" s="34" t="s">
        <v>186</v>
      </c>
      <c r="K408" s="71">
        <v>45665.0</v>
      </c>
      <c r="L408" s="14"/>
      <c r="M408" s="19"/>
      <c r="N408" s="19"/>
      <c r="O408" s="34" t="s">
        <v>1743</v>
      </c>
      <c r="P408" s="269" t="s">
        <v>1432</v>
      </c>
    </row>
    <row r="409">
      <c r="A409" s="279">
        <v>32.0</v>
      </c>
      <c r="B409" s="280" t="s">
        <v>1904</v>
      </c>
      <c r="C409" s="279" t="s">
        <v>80</v>
      </c>
      <c r="D409" s="279" t="s">
        <v>1905</v>
      </c>
      <c r="E409" s="279" t="s">
        <v>1906</v>
      </c>
      <c r="F409" s="279" t="s">
        <v>349</v>
      </c>
      <c r="G409" s="281">
        <v>45846.0</v>
      </c>
      <c r="H409" s="282">
        <v>21.0</v>
      </c>
      <c r="I409" s="282"/>
      <c r="J409" s="34" t="s">
        <v>186</v>
      </c>
      <c r="K409" s="34" t="s">
        <v>1590</v>
      </c>
      <c r="L409" s="14"/>
      <c r="M409" s="19"/>
      <c r="N409" s="19"/>
      <c r="O409" s="34" t="s">
        <v>1348</v>
      </c>
      <c r="P409" s="269" t="s">
        <v>1432</v>
      </c>
    </row>
    <row r="410">
      <c r="A410" s="272">
        <v>33.0</v>
      </c>
      <c r="B410" s="276" t="s">
        <v>1907</v>
      </c>
      <c r="C410" s="272" t="s">
        <v>80</v>
      </c>
      <c r="D410" s="272" t="s">
        <v>1908</v>
      </c>
      <c r="E410" s="272" t="s">
        <v>1909</v>
      </c>
      <c r="F410" s="272" t="s">
        <v>1299</v>
      </c>
      <c r="G410" s="274">
        <v>45877.0</v>
      </c>
      <c r="H410" s="275">
        <v>22.0</v>
      </c>
      <c r="I410" s="275"/>
      <c r="J410" s="34" t="s">
        <v>186</v>
      </c>
      <c r="K410" s="34" t="s">
        <v>1590</v>
      </c>
      <c r="L410" s="14"/>
      <c r="M410" s="19"/>
      <c r="N410" s="19"/>
      <c r="O410" s="34" t="s">
        <v>1910</v>
      </c>
      <c r="P410" s="269" t="s">
        <v>1432</v>
      </c>
    </row>
    <row r="411">
      <c r="A411" s="272">
        <v>34.0</v>
      </c>
      <c r="B411" s="276" t="s">
        <v>1911</v>
      </c>
      <c r="C411" s="272" t="s">
        <v>688</v>
      </c>
      <c r="D411" s="272" t="s">
        <v>1912</v>
      </c>
      <c r="E411" s="272" t="s">
        <v>1913</v>
      </c>
      <c r="F411" s="272" t="s">
        <v>148</v>
      </c>
      <c r="G411" s="274">
        <v>45908.0</v>
      </c>
      <c r="H411" s="275">
        <v>23.0</v>
      </c>
      <c r="I411" s="275"/>
      <c r="J411" s="34" t="s">
        <v>699</v>
      </c>
      <c r="K411" s="34" t="s">
        <v>1900</v>
      </c>
      <c r="L411" s="14"/>
      <c r="M411" s="19"/>
      <c r="N411" s="19"/>
      <c r="O411" s="34" t="s">
        <v>1914</v>
      </c>
      <c r="P411" s="269" t="s">
        <v>1432</v>
      </c>
    </row>
    <row r="412">
      <c r="A412" s="272">
        <v>35.0</v>
      </c>
      <c r="B412" s="276" t="s">
        <v>1915</v>
      </c>
      <c r="C412" s="272" t="s">
        <v>80</v>
      </c>
      <c r="D412" s="272" t="s">
        <v>1916</v>
      </c>
      <c r="E412" s="272" t="s">
        <v>1917</v>
      </c>
      <c r="F412" s="272" t="s">
        <v>1918</v>
      </c>
      <c r="G412" s="274">
        <v>45877.0</v>
      </c>
      <c r="H412" s="275">
        <v>22.0</v>
      </c>
      <c r="I412" s="275"/>
      <c r="J412" s="34" t="s">
        <v>186</v>
      </c>
      <c r="K412" s="71">
        <v>45665.0</v>
      </c>
      <c r="L412" s="14"/>
      <c r="M412" s="19"/>
      <c r="N412" s="19"/>
      <c r="O412" s="34" t="s">
        <v>1914</v>
      </c>
      <c r="P412" s="269" t="s">
        <v>1432</v>
      </c>
    </row>
    <row r="413">
      <c r="A413" s="272">
        <v>36.0</v>
      </c>
      <c r="B413" s="276" t="s">
        <v>1919</v>
      </c>
      <c r="C413" s="272" t="s">
        <v>80</v>
      </c>
      <c r="D413" s="272" t="s">
        <v>1920</v>
      </c>
      <c r="E413" s="278" t="s">
        <v>1921</v>
      </c>
      <c r="F413" s="272" t="s">
        <v>1922</v>
      </c>
      <c r="G413" s="274">
        <v>45908.0</v>
      </c>
      <c r="H413" s="275">
        <v>23.0</v>
      </c>
      <c r="I413" s="275"/>
      <c r="J413" s="34" t="s">
        <v>186</v>
      </c>
      <c r="K413" s="148">
        <v>45785.0</v>
      </c>
      <c r="L413" s="14"/>
      <c r="M413" s="19"/>
      <c r="N413" s="19"/>
      <c r="O413" s="34" t="s">
        <v>1743</v>
      </c>
      <c r="P413" s="269" t="s">
        <v>1432</v>
      </c>
    </row>
    <row r="414">
      <c r="A414" s="272">
        <v>37.0</v>
      </c>
      <c r="B414" s="276" t="s">
        <v>1923</v>
      </c>
      <c r="C414" s="272" t="s">
        <v>80</v>
      </c>
      <c r="D414" s="272" t="s">
        <v>1924</v>
      </c>
      <c r="E414" s="278" t="s">
        <v>1925</v>
      </c>
      <c r="F414" s="272" t="s">
        <v>1922</v>
      </c>
      <c r="G414" s="274">
        <v>45908.0</v>
      </c>
      <c r="H414" s="275">
        <v>23.0</v>
      </c>
      <c r="I414" s="275"/>
      <c r="J414" s="34" t="s">
        <v>186</v>
      </c>
      <c r="K414" s="148">
        <v>45785.0</v>
      </c>
      <c r="L414" s="14"/>
      <c r="M414" s="19"/>
      <c r="N414" s="19"/>
      <c r="O414" s="12" t="s">
        <v>1743</v>
      </c>
      <c r="P414" s="269" t="s">
        <v>1432</v>
      </c>
    </row>
    <row r="415">
      <c r="A415" s="272">
        <v>38.0</v>
      </c>
      <c r="B415" s="276" t="s">
        <v>1926</v>
      </c>
      <c r="C415" s="272" t="s">
        <v>80</v>
      </c>
      <c r="D415" s="272" t="s">
        <v>1927</v>
      </c>
      <c r="E415" s="293" t="s">
        <v>1928</v>
      </c>
      <c r="F415" s="272" t="s">
        <v>356</v>
      </c>
      <c r="G415" s="274">
        <v>45877.0</v>
      </c>
      <c r="H415" s="275">
        <v>22.0</v>
      </c>
      <c r="I415" s="275"/>
      <c r="J415" s="34" t="s">
        <v>186</v>
      </c>
      <c r="K415" s="148">
        <v>45846.0</v>
      </c>
      <c r="L415" s="14"/>
      <c r="M415" s="19"/>
      <c r="N415" s="19"/>
      <c r="O415" s="148">
        <v>45908.0</v>
      </c>
      <c r="P415" s="269" t="s">
        <v>1432</v>
      </c>
    </row>
    <row r="416">
      <c r="A416" s="272">
        <v>39.0</v>
      </c>
      <c r="B416" s="276" t="s">
        <v>1929</v>
      </c>
      <c r="C416" s="272" t="s">
        <v>80</v>
      </c>
      <c r="D416" s="272" t="s">
        <v>1930</v>
      </c>
      <c r="E416" s="293" t="s">
        <v>1931</v>
      </c>
      <c r="F416" s="272" t="s">
        <v>356</v>
      </c>
      <c r="G416" s="274">
        <v>45877.0</v>
      </c>
      <c r="H416" s="275">
        <v>22.0</v>
      </c>
      <c r="I416" s="275"/>
      <c r="J416" s="34" t="s">
        <v>186</v>
      </c>
      <c r="K416" s="148">
        <v>45846.0</v>
      </c>
      <c r="L416" s="14"/>
      <c r="M416" s="19"/>
      <c r="N416" s="19"/>
      <c r="O416" s="148">
        <v>45908.0</v>
      </c>
      <c r="P416" s="269" t="s">
        <v>1432</v>
      </c>
    </row>
    <row r="417">
      <c r="A417" s="272">
        <v>40.0</v>
      </c>
      <c r="B417" s="276" t="s">
        <v>1932</v>
      </c>
      <c r="C417" s="272" t="s">
        <v>1885</v>
      </c>
      <c r="D417" s="272" t="s">
        <v>1933</v>
      </c>
      <c r="E417" s="272" t="s">
        <v>1934</v>
      </c>
      <c r="F417" s="272" t="s">
        <v>356</v>
      </c>
      <c r="G417" s="274">
        <v>45877.0</v>
      </c>
      <c r="H417" s="275">
        <v>22.0</v>
      </c>
      <c r="I417" s="275"/>
      <c r="J417" s="34" t="s">
        <v>51</v>
      </c>
      <c r="K417" s="148">
        <v>45724.0</v>
      </c>
      <c r="L417" s="14"/>
      <c r="M417" s="19"/>
      <c r="N417" s="19"/>
      <c r="O417" s="148">
        <v>45877.0</v>
      </c>
      <c r="P417" s="269" t="s">
        <v>1432</v>
      </c>
    </row>
    <row r="418">
      <c r="A418" s="19"/>
      <c r="B418" s="19"/>
      <c r="C418" s="14"/>
      <c r="D418" s="14"/>
      <c r="E418" s="14"/>
      <c r="F418" s="14"/>
      <c r="G418" s="14"/>
      <c r="H418" s="14"/>
      <c r="I418" s="14"/>
      <c r="J418" s="19"/>
      <c r="K418" s="19"/>
      <c r="L418" s="14"/>
      <c r="M418" s="19"/>
      <c r="N418" s="19"/>
      <c r="O418" s="19"/>
      <c r="P418" s="19"/>
    </row>
    <row r="419">
      <c r="A419" s="19"/>
      <c r="B419" s="19"/>
      <c r="C419" s="14"/>
      <c r="D419" s="14"/>
      <c r="E419" s="14"/>
      <c r="F419" s="14"/>
      <c r="G419" s="14"/>
      <c r="H419" s="14"/>
      <c r="I419" s="14"/>
      <c r="J419" s="19"/>
      <c r="K419" s="19"/>
      <c r="L419" s="14"/>
      <c r="M419" s="19"/>
      <c r="N419" s="19"/>
      <c r="O419" s="19"/>
      <c r="P419" s="19"/>
    </row>
    <row r="420">
      <c r="A420" s="271" t="s">
        <v>1935</v>
      </c>
      <c r="B420" s="5"/>
      <c r="C420" s="5"/>
      <c r="D420" s="5"/>
      <c r="E420" s="5"/>
      <c r="F420" s="5"/>
      <c r="G420" s="5"/>
      <c r="H420" s="5"/>
      <c r="I420" s="5"/>
      <c r="J420" s="5"/>
      <c r="K420" s="5"/>
      <c r="L420" s="5"/>
      <c r="M420" s="5"/>
      <c r="N420" s="5"/>
      <c r="O420" s="7"/>
      <c r="P420" s="19"/>
    </row>
    <row r="421">
      <c r="A421" s="197" t="s">
        <v>47</v>
      </c>
      <c r="B421" s="111" t="s">
        <v>7</v>
      </c>
      <c r="C421" s="111" t="s">
        <v>56</v>
      </c>
      <c r="D421" s="111" t="s">
        <v>58</v>
      </c>
      <c r="E421" s="111" t="s">
        <v>30</v>
      </c>
      <c r="F421" s="111" t="s">
        <v>12</v>
      </c>
      <c r="G421" s="111" t="s">
        <v>33</v>
      </c>
      <c r="H421" s="113" t="s">
        <v>34</v>
      </c>
      <c r="I421" s="113"/>
      <c r="J421" s="111" t="s">
        <v>14</v>
      </c>
      <c r="K421" s="42" t="s">
        <v>16</v>
      </c>
      <c r="L421" s="42" t="s">
        <v>35</v>
      </c>
      <c r="M421" s="42" t="s">
        <v>18</v>
      </c>
      <c r="N421" s="42" t="s">
        <v>19</v>
      </c>
      <c r="O421" s="42" t="s">
        <v>20</v>
      </c>
      <c r="P421" s="42" t="s">
        <v>21</v>
      </c>
    </row>
    <row r="422">
      <c r="A422" s="12">
        <v>1.0</v>
      </c>
      <c r="B422" s="294" t="s">
        <v>1936</v>
      </c>
      <c r="C422" s="295" t="s">
        <v>80</v>
      </c>
      <c r="D422" s="296" t="s">
        <v>1937</v>
      </c>
      <c r="E422" s="295" t="s">
        <v>1938</v>
      </c>
      <c r="F422" s="297" t="s">
        <v>1939</v>
      </c>
      <c r="G422" s="298">
        <v>45877.0</v>
      </c>
      <c r="H422" s="33" t="s">
        <v>923</v>
      </c>
      <c r="I422" s="33"/>
      <c r="J422" s="34" t="s">
        <v>186</v>
      </c>
      <c r="K422" s="148">
        <v>45969.0</v>
      </c>
      <c r="L422" s="14"/>
      <c r="M422" s="19"/>
      <c r="N422" s="19"/>
      <c r="O422" s="34" t="s">
        <v>1895</v>
      </c>
      <c r="P422" s="269" t="s">
        <v>1432</v>
      </c>
    </row>
    <row r="423">
      <c r="A423" s="12">
        <v>2.0</v>
      </c>
      <c r="B423" s="299" t="s">
        <v>1940</v>
      </c>
      <c r="C423" s="300" t="s">
        <v>80</v>
      </c>
      <c r="D423" s="301" t="s">
        <v>1941</v>
      </c>
      <c r="E423" s="300" t="s">
        <v>1942</v>
      </c>
      <c r="F423" s="302" t="s">
        <v>731</v>
      </c>
      <c r="G423" s="303">
        <v>45846.0</v>
      </c>
      <c r="H423" s="304" t="s">
        <v>917</v>
      </c>
      <c r="I423" s="304"/>
      <c r="J423" s="34" t="s">
        <v>186</v>
      </c>
      <c r="K423" s="34" t="s">
        <v>1325</v>
      </c>
      <c r="L423" s="14"/>
      <c r="M423" s="19"/>
      <c r="N423" s="19"/>
      <c r="O423" s="34" t="s">
        <v>1424</v>
      </c>
      <c r="P423" s="269" t="s">
        <v>1432</v>
      </c>
    </row>
    <row r="424">
      <c r="A424" s="12">
        <v>3.0</v>
      </c>
      <c r="B424" s="299" t="s">
        <v>1943</v>
      </c>
      <c r="C424" s="300" t="s">
        <v>80</v>
      </c>
      <c r="D424" s="301" t="s">
        <v>1944</v>
      </c>
      <c r="E424" s="300" t="s">
        <v>1945</v>
      </c>
      <c r="F424" s="302" t="s">
        <v>232</v>
      </c>
      <c r="G424" s="303">
        <v>45846.0</v>
      </c>
      <c r="H424" s="304" t="s">
        <v>917</v>
      </c>
      <c r="I424" s="304"/>
      <c r="J424" s="34" t="s">
        <v>1946</v>
      </c>
      <c r="K424" s="34" t="s">
        <v>1325</v>
      </c>
      <c r="L424" s="14"/>
      <c r="M424" s="19"/>
      <c r="N424" s="19"/>
      <c r="O424" s="34" t="s">
        <v>1424</v>
      </c>
      <c r="P424" s="269" t="s">
        <v>1432</v>
      </c>
    </row>
    <row r="425">
      <c r="A425" s="12">
        <v>4.0</v>
      </c>
      <c r="B425" s="294" t="s">
        <v>1947</v>
      </c>
      <c r="C425" s="295" t="s">
        <v>80</v>
      </c>
      <c r="D425" s="296" t="s">
        <v>1948</v>
      </c>
      <c r="E425" s="305" t="s">
        <v>1949</v>
      </c>
      <c r="F425" s="297" t="s">
        <v>207</v>
      </c>
      <c r="G425" s="298">
        <v>45908.0</v>
      </c>
      <c r="H425" s="304" t="s">
        <v>935</v>
      </c>
      <c r="I425" s="304"/>
      <c r="J425" s="34" t="s">
        <v>186</v>
      </c>
      <c r="K425" s="148">
        <v>45785.0</v>
      </c>
      <c r="L425" s="14"/>
      <c r="M425" s="19"/>
      <c r="N425" s="19"/>
      <c r="O425" s="148">
        <v>45908.0</v>
      </c>
      <c r="P425" s="269" t="s">
        <v>1432</v>
      </c>
    </row>
    <row r="426">
      <c r="A426" s="12">
        <v>5.0</v>
      </c>
      <c r="B426" s="294" t="s">
        <v>1950</v>
      </c>
      <c r="C426" s="295" t="s">
        <v>80</v>
      </c>
      <c r="D426" s="296" t="s">
        <v>1951</v>
      </c>
      <c r="E426" s="305" t="s">
        <v>1952</v>
      </c>
      <c r="F426" s="297" t="s">
        <v>207</v>
      </c>
      <c r="G426" s="298">
        <v>45908.0</v>
      </c>
      <c r="H426" s="304" t="s">
        <v>935</v>
      </c>
      <c r="I426" s="304"/>
      <c r="J426" s="34" t="s">
        <v>186</v>
      </c>
      <c r="K426" s="148">
        <v>45785.0</v>
      </c>
      <c r="L426" s="14"/>
      <c r="M426" s="19"/>
      <c r="N426" s="19"/>
      <c r="O426" s="148">
        <v>45908.0</v>
      </c>
      <c r="P426" s="269" t="s">
        <v>1432</v>
      </c>
    </row>
    <row r="427">
      <c r="A427" s="12">
        <v>6.0</v>
      </c>
      <c r="B427" s="294" t="s">
        <v>1953</v>
      </c>
      <c r="C427" s="295" t="s">
        <v>80</v>
      </c>
      <c r="D427" s="296" t="s">
        <v>1954</v>
      </c>
      <c r="E427" s="295" t="s">
        <v>1955</v>
      </c>
      <c r="F427" s="297" t="s">
        <v>1439</v>
      </c>
      <c r="G427" s="306" t="s">
        <v>1</v>
      </c>
      <c r="H427" s="304" t="s">
        <v>935</v>
      </c>
      <c r="I427" s="304"/>
      <c r="J427" s="34" t="s">
        <v>51</v>
      </c>
      <c r="K427" s="148">
        <v>45696.0</v>
      </c>
      <c r="L427" s="14"/>
      <c r="M427" s="19"/>
      <c r="N427" s="19"/>
      <c r="O427" s="34" t="s">
        <v>1736</v>
      </c>
      <c r="P427" s="269" t="s">
        <v>1432</v>
      </c>
    </row>
    <row r="428">
      <c r="A428" s="12">
        <v>7.0</v>
      </c>
      <c r="B428" s="294" t="s">
        <v>1956</v>
      </c>
      <c r="C428" s="295" t="s">
        <v>80</v>
      </c>
      <c r="D428" s="296" t="s">
        <v>1957</v>
      </c>
      <c r="E428" s="295" t="s">
        <v>1958</v>
      </c>
      <c r="F428" s="297" t="s">
        <v>1959</v>
      </c>
      <c r="G428" s="298">
        <v>45908.0</v>
      </c>
      <c r="H428" s="304" t="s">
        <v>935</v>
      </c>
      <c r="I428" s="304"/>
      <c r="J428" s="34" t="s">
        <v>186</v>
      </c>
      <c r="K428" s="34" t="s">
        <v>1450</v>
      </c>
      <c r="L428" s="14"/>
      <c r="M428" s="19"/>
      <c r="N428" s="19"/>
      <c r="O428" s="34" t="s">
        <v>1348</v>
      </c>
      <c r="P428" s="269" t="s">
        <v>1432</v>
      </c>
    </row>
    <row r="429">
      <c r="A429" s="12">
        <v>8.0</v>
      </c>
      <c r="B429" s="270" t="s">
        <v>1960</v>
      </c>
      <c r="C429" s="295" t="s">
        <v>1185</v>
      </c>
      <c r="D429" s="296" t="s">
        <v>1961</v>
      </c>
      <c r="E429" s="307" t="s">
        <v>1962</v>
      </c>
      <c r="F429" s="308" t="s">
        <v>1836</v>
      </c>
      <c r="G429" s="298">
        <v>45938.0</v>
      </c>
      <c r="H429" s="304" t="s">
        <v>942</v>
      </c>
      <c r="I429" s="304"/>
      <c r="J429" s="34" t="s">
        <v>186</v>
      </c>
      <c r="K429" s="148">
        <v>45816.0</v>
      </c>
      <c r="L429" s="14"/>
      <c r="M429" s="19"/>
      <c r="N429" s="19"/>
      <c r="O429" s="34" t="s">
        <v>1862</v>
      </c>
      <c r="P429" s="269" t="s">
        <v>1432</v>
      </c>
    </row>
    <row r="430">
      <c r="A430" s="12">
        <v>9.0</v>
      </c>
      <c r="B430" s="294" t="s">
        <v>1963</v>
      </c>
      <c r="C430" s="295" t="s">
        <v>1964</v>
      </c>
      <c r="D430" s="296" t="s">
        <v>1965</v>
      </c>
      <c r="E430" s="307" t="s">
        <v>1966</v>
      </c>
      <c r="F430" s="297" t="s">
        <v>243</v>
      </c>
      <c r="G430" s="298">
        <v>45938.0</v>
      </c>
      <c r="H430" s="304" t="s">
        <v>942</v>
      </c>
      <c r="I430" s="304"/>
      <c r="J430" s="34" t="s">
        <v>186</v>
      </c>
      <c r="K430" s="148">
        <v>45816.0</v>
      </c>
      <c r="L430" s="14"/>
      <c r="M430" s="19"/>
      <c r="N430" s="19"/>
      <c r="O430" s="34" t="s">
        <v>1767</v>
      </c>
      <c r="P430" s="269" t="s">
        <v>1432</v>
      </c>
    </row>
    <row r="431">
      <c r="A431" s="12">
        <v>10.0</v>
      </c>
      <c r="B431" s="294" t="s">
        <v>1967</v>
      </c>
      <c r="C431" s="295" t="s">
        <v>1964</v>
      </c>
      <c r="D431" s="296" t="s">
        <v>1968</v>
      </c>
      <c r="E431" s="307" t="s">
        <v>1969</v>
      </c>
      <c r="F431" s="297" t="s">
        <v>243</v>
      </c>
      <c r="G431" s="298">
        <v>45938.0</v>
      </c>
      <c r="H431" s="304" t="s">
        <v>942</v>
      </c>
      <c r="I431" s="304"/>
      <c r="J431" s="34" t="s">
        <v>186</v>
      </c>
      <c r="K431" s="148">
        <v>45816.0</v>
      </c>
      <c r="L431" s="14"/>
      <c r="M431" s="19"/>
      <c r="N431" s="19"/>
      <c r="O431" s="34" t="s">
        <v>1767</v>
      </c>
      <c r="P431" s="269" t="s">
        <v>1432</v>
      </c>
    </row>
    <row r="432">
      <c r="A432" s="12">
        <v>11.0</v>
      </c>
      <c r="B432" s="294" t="s">
        <v>1970</v>
      </c>
      <c r="C432" s="295" t="s">
        <v>80</v>
      </c>
      <c r="D432" s="296" t="s">
        <v>1971</v>
      </c>
      <c r="E432" s="295" t="s">
        <v>1972</v>
      </c>
      <c r="F432" s="309" t="s">
        <v>1973</v>
      </c>
      <c r="G432" s="298">
        <v>45999.0</v>
      </c>
      <c r="H432" s="304" t="s">
        <v>959</v>
      </c>
      <c r="I432" s="304"/>
      <c r="J432" s="34" t="s">
        <v>186</v>
      </c>
      <c r="K432" s="148">
        <v>45969.0</v>
      </c>
      <c r="L432" s="14"/>
      <c r="M432" s="19"/>
      <c r="N432" s="19"/>
      <c r="O432" s="34" t="s">
        <v>1974</v>
      </c>
      <c r="P432" s="269" t="s">
        <v>1432</v>
      </c>
    </row>
    <row r="433">
      <c r="A433" s="12">
        <v>12.0</v>
      </c>
      <c r="B433" s="294" t="s">
        <v>1975</v>
      </c>
      <c r="C433" s="295" t="s">
        <v>651</v>
      </c>
      <c r="D433" s="296" t="s">
        <v>1976</v>
      </c>
      <c r="E433" s="295" t="s">
        <v>1977</v>
      </c>
      <c r="F433" s="297" t="s">
        <v>1978</v>
      </c>
      <c r="G433" s="298">
        <v>45999.0</v>
      </c>
      <c r="H433" s="304" t="s">
        <v>959</v>
      </c>
      <c r="I433" s="304"/>
      <c r="J433" s="34" t="s">
        <v>186</v>
      </c>
      <c r="K433" s="148">
        <v>45785.0</v>
      </c>
      <c r="L433" s="14"/>
      <c r="M433" s="19"/>
      <c r="N433" s="19"/>
      <c r="O433" s="34" t="s">
        <v>1979</v>
      </c>
      <c r="P433" s="269" t="s">
        <v>1432</v>
      </c>
    </row>
    <row r="434">
      <c r="A434" s="12">
        <v>13.0</v>
      </c>
      <c r="B434" s="294" t="s">
        <v>1980</v>
      </c>
      <c r="C434" s="295" t="s">
        <v>80</v>
      </c>
      <c r="D434" s="296" t="s">
        <v>1981</v>
      </c>
      <c r="E434" s="310" t="s">
        <v>1982</v>
      </c>
      <c r="F434" s="297" t="s">
        <v>1983</v>
      </c>
      <c r="G434" s="306" t="s">
        <v>1984</v>
      </c>
      <c r="H434" s="304" t="s">
        <v>1985</v>
      </c>
      <c r="I434" s="304"/>
      <c r="J434" s="34" t="s">
        <v>186</v>
      </c>
      <c r="K434" s="148">
        <v>45877.0</v>
      </c>
      <c r="L434" s="14"/>
      <c r="M434" s="19"/>
      <c r="N434" s="19"/>
      <c r="O434" s="34" t="s">
        <v>1743</v>
      </c>
      <c r="P434" s="269" t="s">
        <v>1432</v>
      </c>
    </row>
    <row r="435">
      <c r="A435" s="12">
        <v>14.0</v>
      </c>
      <c r="B435" s="294" t="s">
        <v>1986</v>
      </c>
      <c r="C435" s="295" t="s">
        <v>80</v>
      </c>
      <c r="D435" s="296" t="s">
        <v>1987</v>
      </c>
      <c r="E435" s="310" t="s">
        <v>1988</v>
      </c>
      <c r="F435" s="297" t="s">
        <v>1983</v>
      </c>
      <c r="G435" s="306" t="s">
        <v>1984</v>
      </c>
      <c r="H435" s="304" t="s">
        <v>1985</v>
      </c>
      <c r="I435" s="304"/>
      <c r="J435" s="34" t="s">
        <v>186</v>
      </c>
      <c r="K435" s="148">
        <v>45877.0</v>
      </c>
      <c r="L435" s="14"/>
      <c r="M435" s="19"/>
      <c r="N435" s="19"/>
      <c r="O435" s="34" t="s">
        <v>1743</v>
      </c>
      <c r="P435" s="269" t="s">
        <v>1432</v>
      </c>
    </row>
    <row r="436">
      <c r="A436" s="12">
        <v>15.0</v>
      </c>
      <c r="B436" s="294" t="s">
        <v>1989</v>
      </c>
      <c r="C436" s="295" t="s">
        <v>80</v>
      </c>
      <c r="D436" s="296" t="s">
        <v>1990</v>
      </c>
      <c r="E436" s="295" t="s">
        <v>1991</v>
      </c>
      <c r="F436" s="297" t="s">
        <v>356</v>
      </c>
      <c r="G436" s="306" t="s">
        <v>1984</v>
      </c>
      <c r="H436" s="304" t="s">
        <v>1985</v>
      </c>
      <c r="I436" s="304"/>
      <c r="J436" s="34" t="s">
        <v>51</v>
      </c>
      <c r="K436" s="148">
        <v>45999.0</v>
      </c>
      <c r="L436" s="14"/>
      <c r="M436" s="19"/>
      <c r="N436" s="19"/>
      <c r="O436" s="34" t="s">
        <v>1992</v>
      </c>
      <c r="P436" s="269" t="s">
        <v>1432</v>
      </c>
    </row>
    <row r="437">
      <c r="A437" s="12">
        <v>16.0</v>
      </c>
      <c r="B437" s="294" t="s">
        <v>1993</v>
      </c>
      <c r="C437" s="295" t="s">
        <v>80</v>
      </c>
      <c r="D437" s="296" t="s">
        <v>1994</v>
      </c>
      <c r="E437" s="295" t="s">
        <v>1995</v>
      </c>
      <c r="F437" s="297" t="s">
        <v>356</v>
      </c>
      <c r="G437" s="306" t="s">
        <v>1984</v>
      </c>
      <c r="H437" s="304" t="s">
        <v>1985</v>
      </c>
      <c r="I437" s="304"/>
      <c r="J437" s="34" t="s">
        <v>1996</v>
      </c>
      <c r="K437" s="148">
        <v>45724.0</v>
      </c>
      <c r="L437" s="14"/>
      <c r="M437" s="19"/>
      <c r="N437" s="19"/>
      <c r="O437" s="148">
        <v>45816.0</v>
      </c>
      <c r="P437" s="269" t="s">
        <v>1432</v>
      </c>
    </row>
    <row r="438">
      <c r="A438" s="12">
        <v>17.0</v>
      </c>
      <c r="B438" s="294" t="s">
        <v>1997</v>
      </c>
      <c r="C438" s="295" t="s">
        <v>80</v>
      </c>
      <c r="D438" s="296" t="s">
        <v>1998</v>
      </c>
      <c r="E438" s="295" t="s">
        <v>1999</v>
      </c>
      <c r="F438" s="297" t="s">
        <v>356</v>
      </c>
      <c r="G438" s="306" t="s">
        <v>1984</v>
      </c>
      <c r="H438" s="304" t="s">
        <v>1985</v>
      </c>
      <c r="I438" s="304"/>
      <c r="J438" s="34" t="s">
        <v>186</v>
      </c>
      <c r="K438" s="148">
        <v>45999.0</v>
      </c>
      <c r="L438" s="14"/>
      <c r="M438" s="19"/>
      <c r="N438" s="19"/>
      <c r="O438" s="34" t="s">
        <v>1914</v>
      </c>
      <c r="P438" s="269" t="s">
        <v>1432</v>
      </c>
    </row>
    <row r="439">
      <c r="A439" s="12">
        <v>18.0</v>
      </c>
      <c r="B439" s="294" t="s">
        <v>2000</v>
      </c>
      <c r="C439" s="295" t="s">
        <v>80</v>
      </c>
      <c r="D439" s="295" t="s">
        <v>2001</v>
      </c>
      <c r="E439" s="295" t="s">
        <v>2002</v>
      </c>
      <c r="F439" s="297" t="s">
        <v>400</v>
      </c>
      <c r="G439" s="298">
        <v>45999.0</v>
      </c>
      <c r="H439" s="304" t="s">
        <v>959</v>
      </c>
      <c r="I439" s="304"/>
      <c r="J439" s="34" t="s">
        <v>51</v>
      </c>
      <c r="K439" s="34" t="s">
        <v>1636</v>
      </c>
      <c r="L439" s="14"/>
      <c r="M439" s="19"/>
      <c r="N439" s="19"/>
      <c r="O439" s="34" t="s">
        <v>1895</v>
      </c>
      <c r="P439" s="269" t="s">
        <v>1432</v>
      </c>
    </row>
    <row r="440">
      <c r="A440" s="12">
        <v>19.0</v>
      </c>
      <c r="B440" s="294" t="s">
        <v>2003</v>
      </c>
      <c r="C440" s="311"/>
      <c r="D440" s="295" t="s">
        <v>2004</v>
      </c>
      <c r="E440" s="295" t="s">
        <v>2003</v>
      </c>
      <c r="F440" s="312"/>
      <c r="G440" s="311"/>
      <c r="H440" s="313"/>
      <c r="I440" s="313"/>
      <c r="J440" s="19"/>
      <c r="K440" s="19"/>
      <c r="L440" s="14"/>
      <c r="M440" s="19"/>
      <c r="N440" s="19"/>
      <c r="O440" s="19"/>
      <c r="P440" s="19"/>
    </row>
    <row r="441">
      <c r="A441" s="12">
        <v>20.0</v>
      </c>
      <c r="B441" s="294" t="s">
        <v>2005</v>
      </c>
      <c r="C441" s="295" t="s">
        <v>80</v>
      </c>
      <c r="D441" s="296" t="s">
        <v>2006</v>
      </c>
      <c r="E441" s="295" t="s">
        <v>2007</v>
      </c>
      <c r="F441" s="297" t="s">
        <v>2008</v>
      </c>
      <c r="G441" s="298">
        <v>45908.0</v>
      </c>
      <c r="H441" s="304" t="s">
        <v>935</v>
      </c>
      <c r="I441" s="304"/>
      <c r="J441" s="34" t="s">
        <v>51</v>
      </c>
      <c r="K441" s="148">
        <v>45785.0</v>
      </c>
      <c r="L441" s="14"/>
      <c r="M441" s="19"/>
      <c r="N441" s="19"/>
      <c r="O441" s="148">
        <v>45908.0</v>
      </c>
      <c r="P441" s="269" t="s">
        <v>1432</v>
      </c>
    </row>
    <row r="442">
      <c r="A442" s="12">
        <v>21.0</v>
      </c>
      <c r="B442" s="314" t="s">
        <v>2009</v>
      </c>
      <c r="C442" s="315" t="s">
        <v>80</v>
      </c>
      <c r="D442" s="316" t="s">
        <v>2010</v>
      </c>
      <c r="E442" s="315" t="s">
        <v>1938</v>
      </c>
      <c r="F442" s="317" t="s">
        <v>1939</v>
      </c>
      <c r="G442" s="318">
        <v>45877.0</v>
      </c>
      <c r="H442" s="304" t="s">
        <v>923</v>
      </c>
      <c r="I442" s="304"/>
      <c r="J442" s="19"/>
      <c r="K442" s="19"/>
      <c r="L442" s="14"/>
      <c r="M442" s="19"/>
      <c r="N442" s="19"/>
      <c r="O442" s="34" t="s">
        <v>1895</v>
      </c>
      <c r="P442" s="269" t="s">
        <v>1432</v>
      </c>
    </row>
    <row r="443">
      <c r="A443" s="34">
        <v>22.0</v>
      </c>
      <c r="B443" s="214" t="s">
        <v>2003</v>
      </c>
      <c r="C443" s="295" t="s">
        <v>80</v>
      </c>
      <c r="D443" s="14"/>
      <c r="E443" s="12" t="s">
        <v>2011</v>
      </c>
      <c r="F443" s="14"/>
      <c r="G443" s="14"/>
      <c r="H443" s="14"/>
      <c r="I443" s="14"/>
      <c r="J443" s="19"/>
      <c r="K443" s="19"/>
      <c r="L443" s="14"/>
      <c r="M443" s="19"/>
      <c r="N443" s="19"/>
      <c r="O443" s="148">
        <v>45816.0</v>
      </c>
      <c r="P443" s="269" t="s">
        <v>1432</v>
      </c>
    </row>
    <row r="444">
      <c r="A444" s="19"/>
      <c r="B444" s="19"/>
      <c r="C444" s="14"/>
      <c r="D444" s="14"/>
      <c r="E444" s="14"/>
      <c r="F444" s="14"/>
      <c r="G444" s="14"/>
      <c r="H444" s="14"/>
      <c r="I444" s="14"/>
      <c r="J444" s="19"/>
      <c r="K444" s="19"/>
      <c r="L444" s="14"/>
      <c r="M444" s="19"/>
      <c r="N444" s="19"/>
      <c r="O444" s="19"/>
      <c r="P444" s="19"/>
    </row>
    <row r="445">
      <c r="A445" s="34">
        <v>2275.0</v>
      </c>
      <c r="B445" s="19"/>
      <c r="C445" s="14"/>
      <c r="D445" s="14"/>
      <c r="E445" s="14"/>
      <c r="F445" s="14"/>
      <c r="G445" s="14"/>
      <c r="H445" s="14"/>
      <c r="I445" s="14"/>
      <c r="J445" s="19"/>
      <c r="K445" s="19"/>
      <c r="L445" s="14"/>
      <c r="M445" s="19"/>
      <c r="N445" s="19"/>
      <c r="O445" s="19"/>
      <c r="P445" s="19"/>
    </row>
    <row r="446" hidden="1">
      <c r="A446" s="197" t="s">
        <v>47</v>
      </c>
      <c r="B446" s="111" t="s">
        <v>7</v>
      </c>
      <c r="C446" s="111" t="s">
        <v>56</v>
      </c>
      <c r="D446" s="111" t="s">
        <v>58</v>
      </c>
      <c r="E446" s="111" t="s">
        <v>30</v>
      </c>
      <c r="F446" s="111" t="s">
        <v>12</v>
      </c>
      <c r="G446" s="111" t="s">
        <v>33</v>
      </c>
      <c r="H446" s="113" t="s">
        <v>34</v>
      </c>
      <c r="I446" s="113"/>
      <c r="J446" s="111" t="s">
        <v>14</v>
      </c>
      <c r="K446" s="42" t="s">
        <v>16</v>
      </c>
      <c r="L446" s="42" t="s">
        <v>35</v>
      </c>
      <c r="M446" s="42" t="s">
        <v>18</v>
      </c>
      <c r="N446" s="42" t="s">
        <v>19</v>
      </c>
      <c r="O446" s="42" t="s">
        <v>20</v>
      </c>
      <c r="P446" s="42" t="s">
        <v>21</v>
      </c>
    </row>
    <row r="447" hidden="1">
      <c r="A447" s="319">
        <v>1.0</v>
      </c>
      <c r="B447" s="26" t="s">
        <v>2012</v>
      </c>
      <c r="C447" s="320" t="s">
        <v>80</v>
      </c>
      <c r="D447" s="142" t="s">
        <v>2013</v>
      </c>
      <c r="E447" s="29" t="s">
        <v>2014</v>
      </c>
      <c r="F447" s="321" t="s">
        <v>356</v>
      </c>
      <c r="G447" s="275" t="s">
        <v>2015</v>
      </c>
      <c r="H447" s="275">
        <v>18.0</v>
      </c>
      <c r="I447" s="275"/>
      <c r="J447" s="34" t="s">
        <v>186</v>
      </c>
      <c r="K447" s="71">
        <v>45999.0</v>
      </c>
      <c r="L447" s="14"/>
      <c r="M447" s="19"/>
      <c r="N447" s="19"/>
      <c r="O447" s="34" t="s">
        <v>1743</v>
      </c>
      <c r="P447" s="269" t="s">
        <v>1432</v>
      </c>
    </row>
    <row r="448" hidden="1">
      <c r="A448" s="319">
        <v>2.0</v>
      </c>
      <c r="B448" s="322" t="s">
        <v>2016</v>
      </c>
      <c r="C448" s="323" t="s">
        <v>80</v>
      </c>
      <c r="D448" s="324" t="s">
        <v>2017</v>
      </c>
      <c r="E448" s="325" t="s">
        <v>2018</v>
      </c>
      <c r="F448" s="326" t="s">
        <v>2019</v>
      </c>
      <c r="G448" s="275" t="s">
        <v>2020</v>
      </c>
      <c r="H448" s="275">
        <v>16.0</v>
      </c>
      <c r="I448" s="275"/>
      <c r="J448" s="34" t="s">
        <v>186</v>
      </c>
      <c r="K448" s="34" t="s">
        <v>1629</v>
      </c>
      <c r="L448" s="14"/>
      <c r="M448" s="19"/>
      <c r="N448" s="19"/>
      <c r="O448" s="34" t="s">
        <v>1524</v>
      </c>
      <c r="P448" s="269" t="s">
        <v>1432</v>
      </c>
    </row>
    <row r="449" hidden="1">
      <c r="A449" s="319">
        <v>3.0</v>
      </c>
      <c r="B449" s="26" t="s">
        <v>2021</v>
      </c>
      <c r="C449" s="304" t="s">
        <v>651</v>
      </c>
      <c r="D449" s="142" t="s">
        <v>2022</v>
      </c>
      <c r="E449" s="310" t="s">
        <v>2023</v>
      </c>
      <c r="F449" s="275" t="s">
        <v>2024</v>
      </c>
      <c r="G449" s="274">
        <v>45999.0</v>
      </c>
      <c r="H449" s="275">
        <v>15.0</v>
      </c>
      <c r="I449" s="275"/>
      <c r="J449" s="34" t="s">
        <v>186</v>
      </c>
      <c r="K449" s="71">
        <v>45846.0</v>
      </c>
      <c r="L449" s="14"/>
      <c r="M449" s="19"/>
      <c r="N449" s="19"/>
      <c r="O449" s="34" t="s">
        <v>1736</v>
      </c>
      <c r="P449" s="269" t="s">
        <v>1432</v>
      </c>
    </row>
    <row r="450" hidden="1">
      <c r="A450" s="319">
        <v>4.0</v>
      </c>
      <c r="B450" s="26" t="s">
        <v>2025</v>
      </c>
      <c r="C450" s="304" t="s">
        <v>651</v>
      </c>
      <c r="D450" s="142" t="s">
        <v>2026</v>
      </c>
      <c r="E450" s="310" t="s">
        <v>2027</v>
      </c>
      <c r="F450" s="327" t="s">
        <v>2024</v>
      </c>
      <c r="G450" s="274">
        <v>45999.0</v>
      </c>
      <c r="H450" s="275">
        <v>15.0</v>
      </c>
      <c r="I450" s="275"/>
      <c r="J450" s="34" t="s">
        <v>186</v>
      </c>
      <c r="K450" s="71">
        <v>45846.0</v>
      </c>
      <c r="L450" s="14"/>
      <c r="M450" s="19"/>
      <c r="N450" s="19"/>
      <c r="O450" s="34" t="s">
        <v>1736</v>
      </c>
      <c r="P450" s="269" t="s">
        <v>1432</v>
      </c>
    </row>
    <row r="451" hidden="1">
      <c r="A451" s="319">
        <v>5.0</v>
      </c>
      <c r="B451" s="26" t="s">
        <v>2028</v>
      </c>
      <c r="C451" s="328" t="s">
        <v>80</v>
      </c>
      <c r="D451" s="142" t="s">
        <v>2029</v>
      </c>
      <c r="E451" s="29" t="s">
        <v>2030</v>
      </c>
      <c r="F451" s="327" t="s">
        <v>1882</v>
      </c>
      <c r="G451" s="275" t="s">
        <v>2015</v>
      </c>
      <c r="H451" s="275">
        <v>18.0</v>
      </c>
      <c r="I451" s="275"/>
      <c r="J451" s="34" t="s">
        <v>186</v>
      </c>
      <c r="K451" s="34" t="s">
        <v>2031</v>
      </c>
      <c r="L451" s="14"/>
      <c r="M451" s="19"/>
      <c r="N451" s="19"/>
      <c r="O451" s="34" t="s">
        <v>2032</v>
      </c>
      <c r="P451" s="269" t="s">
        <v>1432</v>
      </c>
    </row>
    <row r="452" hidden="1">
      <c r="A452" s="319">
        <v>6.0</v>
      </c>
      <c r="B452" s="26" t="s">
        <v>2033</v>
      </c>
      <c r="C452" s="304" t="s">
        <v>651</v>
      </c>
      <c r="D452" s="142" t="s">
        <v>2034</v>
      </c>
      <c r="E452" s="29" t="s">
        <v>2035</v>
      </c>
      <c r="F452" s="327" t="s">
        <v>1978</v>
      </c>
      <c r="G452" s="275" t="s">
        <v>2015</v>
      </c>
      <c r="H452" s="275">
        <v>18.0</v>
      </c>
      <c r="I452" s="275"/>
      <c r="J452" s="34" t="s">
        <v>51</v>
      </c>
      <c r="K452" s="34" t="s">
        <v>2036</v>
      </c>
      <c r="L452" s="14"/>
      <c r="M452" s="19"/>
      <c r="N452" s="19"/>
      <c r="O452" s="34" t="s">
        <v>1979</v>
      </c>
      <c r="P452" s="269" t="s">
        <v>1432</v>
      </c>
    </row>
    <row r="453" hidden="1">
      <c r="A453" s="319">
        <v>7.0</v>
      </c>
      <c r="B453" s="270" t="s">
        <v>2037</v>
      </c>
      <c r="C453" s="283" t="s">
        <v>80</v>
      </c>
      <c r="D453" s="142" t="s">
        <v>2038</v>
      </c>
      <c r="E453" s="310" t="s">
        <v>2039</v>
      </c>
      <c r="F453" s="327" t="s">
        <v>2040</v>
      </c>
      <c r="G453" s="275" t="s">
        <v>2015</v>
      </c>
      <c r="H453" s="275">
        <v>18.0</v>
      </c>
      <c r="I453" s="275"/>
      <c r="J453" s="34" t="s">
        <v>186</v>
      </c>
      <c r="K453" s="71">
        <v>45908.0</v>
      </c>
      <c r="L453" s="14"/>
      <c r="M453" s="19"/>
      <c r="N453" s="19"/>
      <c r="O453" s="34" t="s">
        <v>1914</v>
      </c>
      <c r="P453" s="277" t="s">
        <v>1798</v>
      </c>
    </row>
    <row r="454" hidden="1">
      <c r="A454" s="319">
        <v>8.0</v>
      </c>
      <c r="B454" s="26" t="s">
        <v>2041</v>
      </c>
      <c r="C454" s="328" t="s">
        <v>80</v>
      </c>
      <c r="D454" s="142" t="s">
        <v>2042</v>
      </c>
      <c r="E454" s="310" t="s">
        <v>2043</v>
      </c>
      <c r="F454" s="327" t="s">
        <v>2040</v>
      </c>
      <c r="G454" s="275" t="s">
        <v>2015</v>
      </c>
      <c r="H454" s="275">
        <v>18.0</v>
      </c>
      <c r="I454" s="275"/>
      <c r="J454" s="34" t="s">
        <v>186</v>
      </c>
      <c r="K454" s="71">
        <v>45908.0</v>
      </c>
      <c r="L454" s="14"/>
      <c r="M454" s="19"/>
      <c r="N454" s="19"/>
      <c r="O454" s="34" t="s">
        <v>1914</v>
      </c>
      <c r="P454" s="277" t="s">
        <v>1798</v>
      </c>
    </row>
    <row r="455" hidden="1">
      <c r="A455" s="319">
        <v>9.0</v>
      </c>
      <c r="B455" s="270" t="s">
        <v>2044</v>
      </c>
      <c r="C455" s="328" t="s">
        <v>80</v>
      </c>
      <c r="D455" s="142" t="s">
        <v>2045</v>
      </c>
      <c r="E455" s="329" t="s">
        <v>2046</v>
      </c>
      <c r="F455" s="327" t="s">
        <v>1823</v>
      </c>
      <c r="G455" s="275" t="s">
        <v>2015</v>
      </c>
      <c r="H455" s="275">
        <v>18.0</v>
      </c>
      <c r="I455" s="275"/>
      <c r="J455" s="34" t="s">
        <v>186</v>
      </c>
      <c r="K455" s="71">
        <v>45877.0</v>
      </c>
      <c r="L455" s="14"/>
      <c r="M455" s="19"/>
      <c r="N455" s="19"/>
      <c r="O455" s="148">
        <v>45970.0</v>
      </c>
      <c r="P455" s="269" t="s">
        <v>1432</v>
      </c>
    </row>
    <row r="456" hidden="1">
      <c r="A456" s="319">
        <v>10.0</v>
      </c>
      <c r="B456" s="26" t="s">
        <v>2047</v>
      </c>
      <c r="C456" s="328" t="s">
        <v>80</v>
      </c>
      <c r="D456" s="142" t="s">
        <v>2048</v>
      </c>
      <c r="E456" s="329" t="s">
        <v>2049</v>
      </c>
      <c r="F456" s="327" t="s">
        <v>1823</v>
      </c>
      <c r="G456" s="275" t="s">
        <v>2015</v>
      </c>
      <c r="H456" s="275">
        <v>18.0</v>
      </c>
      <c r="I456" s="275"/>
      <c r="J456" s="34" t="s">
        <v>186</v>
      </c>
      <c r="K456" s="71">
        <v>45877.0</v>
      </c>
      <c r="L456" s="14"/>
      <c r="M456" s="19"/>
      <c r="N456" s="19"/>
      <c r="O456" s="148">
        <v>45970.0</v>
      </c>
      <c r="P456" s="269" t="s">
        <v>1432</v>
      </c>
    </row>
    <row r="457" hidden="1">
      <c r="A457" s="319">
        <v>11.0</v>
      </c>
      <c r="B457" s="26" t="s">
        <v>2050</v>
      </c>
      <c r="C457" s="328" t="s">
        <v>80</v>
      </c>
      <c r="D457" s="142" t="s">
        <v>2051</v>
      </c>
      <c r="E457" s="329" t="s">
        <v>2052</v>
      </c>
      <c r="F457" s="327" t="s">
        <v>1823</v>
      </c>
      <c r="G457" s="275" t="s">
        <v>2015</v>
      </c>
      <c r="H457" s="275">
        <v>18.0</v>
      </c>
      <c r="I457" s="275"/>
      <c r="J457" s="34" t="s">
        <v>186</v>
      </c>
      <c r="K457" s="71">
        <v>45877.0</v>
      </c>
      <c r="L457" s="14"/>
      <c r="M457" s="19"/>
      <c r="N457" s="19"/>
      <c r="O457" s="148">
        <v>45970.0</v>
      </c>
      <c r="P457" s="269" t="s">
        <v>1432</v>
      </c>
    </row>
    <row r="458" hidden="1">
      <c r="A458" s="319">
        <v>12.0</v>
      </c>
      <c r="B458" s="26" t="s">
        <v>2053</v>
      </c>
      <c r="C458" s="328" t="s">
        <v>80</v>
      </c>
      <c r="D458" s="142" t="s">
        <v>2054</v>
      </c>
      <c r="E458" s="310" t="s">
        <v>2055</v>
      </c>
      <c r="F458" s="330" t="s">
        <v>903</v>
      </c>
      <c r="G458" s="275" t="s">
        <v>2015</v>
      </c>
      <c r="H458" s="275">
        <v>18.0</v>
      </c>
      <c r="I458" s="275"/>
      <c r="J458" s="34" t="s">
        <v>186</v>
      </c>
      <c r="K458" s="71">
        <v>45846.0</v>
      </c>
      <c r="L458" s="14"/>
      <c r="M458" s="19"/>
      <c r="N458" s="19"/>
      <c r="O458" s="34" t="s">
        <v>1914</v>
      </c>
      <c r="P458" s="269" t="s">
        <v>1432</v>
      </c>
    </row>
    <row r="459" hidden="1">
      <c r="A459" s="319">
        <v>13.0</v>
      </c>
      <c r="B459" s="26" t="s">
        <v>2056</v>
      </c>
      <c r="C459" s="328" t="s">
        <v>80</v>
      </c>
      <c r="D459" s="142" t="s">
        <v>2057</v>
      </c>
      <c r="E459" s="310" t="s">
        <v>2058</v>
      </c>
      <c r="F459" s="327" t="s">
        <v>2059</v>
      </c>
      <c r="G459" s="275" t="s">
        <v>2015</v>
      </c>
      <c r="H459" s="275">
        <v>18.0</v>
      </c>
      <c r="I459" s="275"/>
      <c r="J459" s="34" t="s">
        <v>186</v>
      </c>
      <c r="K459" s="71">
        <v>45846.0</v>
      </c>
      <c r="L459" s="14"/>
      <c r="M459" s="19"/>
      <c r="N459" s="19"/>
      <c r="O459" s="34" t="s">
        <v>1914</v>
      </c>
      <c r="P459" s="269" t="s">
        <v>1432</v>
      </c>
    </row>
    <row r="460" hidden="1">
      <c r="A460" s="319">
        <v>14.0</v>
      </c>
      <c r="B460" s="26" t="s">
        <v>2060</v>
      </c>
      <c r="C460" s="328" t="s">
        <v>80</v>
      </c>
      <c r="D460" s="142" t="s">
        <v>2061</v>
      </c>
      <c r="E460" s="29" t="s">
        <v>2062</v>
      </c>
      <c r="F460" s="327" t="s">
        <v>2063</v>
      </c>
      <c r="G460" s="275" t="s">
        <v>2064</v>
      </c>
      <c r="H460" s="275">
        <v>19.0</v>
      </c>
      <c r="I460" s="275"/>
      <c r="J460" s="331" t="s">
        <v>2065</v>
      </c>
      <c r="K460" s="34" t="s">
        <v>2066</v>
      </c>
      <c r="L460" s="140"/>
      <c r="M460" s="19"/>
      <c r="N460" s="19"/>
      <c r="O460" s="34" t="s">
        <v>1767</v>
      </c>
      <c r="P460" s="269" t="s">
        <v>1432</v>
      </c>
    </row>
    <row r="461" hidden="1">
      <c r="A461" s="319">
        <v>15.0</v>
      </c>
      <c r="B461" s="26" t="s">
        <v>2067</v>
      </c>
      <c r="C461" s="328" t="s">
        <v>80</v>
      </c>
      <c r="D461" s="142" t="s">
        <v>2068</v>
      </c>
      <c r="E461" s="310" t="s">
        <v>2069</v>
      </c>
      <c r="F461" s="327" t="s">
        <v>207</v>
      </c>
      <c r="G461" s="275" t="s">
        <v>2064</v>
      </c>
      <c r="H461" s="275">
        <v>19.0</v>
      </c>
      <c r="I461" s="275"/>
      <c r="J461" s="34" t="s">
        <v>186</v>
      </c>
      <c r="K461" s="34" t="s">
        <v>1900</v>
      </c>
      <c r="L461" s="14"/>
      <c r="M461" s="14"/>
      <c r="N461" s="19"/>
      <c r="O461" s="34" t="s">
        <v>1914</v>
      </c>
      <c r="P461" s="269" t="s">
        <v>1432</v>
      </c>
    </row>
    <row r="462" hidden="1">
      <c r="A462" s="319">
        <v>16.0</v>
      </c>
      <c r="B462" s="26" t="s">
        <v>2070</v>
      </c>
      <c r="C462" s="328" t="s">
        <v>80</v>
      </c>
      <c r="D462" s="142" t="s">
        <v>2071</v>
      </c>
      <c r="E462" s="310" t="s">
        <v>2072</v>
      </c>
      <c r="F462" s="327" t="s">
        <v>207</v>
      </c>
      <c r="G462" s="275" t="s">
        <v>2064</v>
      </c>
      <c r="H462" s="275">
        <v>19.0</v>
      </c>
      <c r="I462" s="275"/>
      <c r="J462" s="34" t="s">
        <v>186</v>
      </c>
      <c r="K462" s="34" t="s">
        <v>1900</v>
      </c>
      <c r="L462" s="14"/>
      <c r="M462" s="19"/>
      <c r="N462" s="19"/>
      <c r="O462" s="34" t="s">
        <v>1914</v>
      </c>
      <c r="P462" s="269" t="s">
        <v>1432</v>
      </c>
    </row>
    <row r="463" hidden="1">
      <c r="A463" s="319">
        <v>17.0</v>
      </c>
      <c r="B463" s="26" t="s">
        <v>2073</v>
      </c>
      <c r="C463" s="328" t="s">
        <v>80</v>
      </c>
      <c r="D463" s="142" t="s">
        <v>2074</v>
      </c>
      <c r="E463" s="29" t="s">
        <v>2075</v>
      </c>
      <c r="F463" s="327" t="s">
        <v>2076</v>
      </c>
      <c r="G463" s="275" t="s">
        <v>2077</v>
      </c>
      <c r="H463" s="275">
        <v>20.0</v>
      </c>
      <c r="I463" s="275"/>
      <c r="J463" s="331" t="s">
        <v>2078</v>
      </c>
      <c r="K463" s="34" t="s">
        <v>2079</v>
      </c>
      <c r="L463" s="14"/>
      <c r="M463" s="19"/>
      <c r="N463" s="19"/>
      <c r="O463" s="34" t="s">
        <v>2032</v>
      </c>
      <c r="P463" s="269" t="s">
        <v>1432</v>
      </c>
    </row>
    <row r="464" hidden="1">
      <c r="A464" s="319">
        <v>18.0</v>
      </c>
      <c r="B464" s="26" t="s">
        <v>2080</v>
      </c>
      <c r="C464" s="328" t="s">
        <v>80</v>
      </c>
      <c r="D464" s="142" t="s">
        <v>2081</v>
      </c>
      <c r="E464" s="332" t="s">
        <v>2082</v>
      </c>
      <c r="F464" s="327" t="s">
        <v>172</v>
      </c>
      <c r="G464" s="275" t="s">
        <v>2077</v>
      </c>
      <c r="H464" s="275">
        <v>20.0</v>
      </c>
      <c r="I464" s="275"/>
      <c r="J464" s="331" t="s">
        <v>2083</v>
      </c>
      <c r="K464" s="34" t="s">
        <v>2084</v>
      </c>
      <c r="L464" s="14"/>
      <c r="M464" s="19"/>
      <c r="N464" s="19"/>
      <c r="O464" s="34" t="s">
        <v>1595</v>
      </c>
      <c r="P464" s="269" t="s">
        <v>1432</v>
      </c>
    </row>
    <row r="465" hidden="1">
      <c r="A465" s="319">
        <v>19.0</v>
      </c>
      <c r="B465" s="26" t="s">
        <v>2085</v>
      </c>
      <c r="C465" s="328" t="s">
        <v>80</v>
      </c>
      <c r="D465" s="142" t="s">
        <v>2086</v>
      </c>
      <c r="E465" s="332" t="s">
        <v>2087</v>
      </c>
      <c r="F465" s="327" t="s">
        <v>172</v>
      </c>
      <c r="G465" s="275" t="s">
        <v>2077</v>
      </c>
      <c r="H465" s="275">
        <v>20.0</v>
      </c>
      <c r="I465" s="275"/>
      <c r="J465" s="331" t="s">
        <v>2065</v>
      </c>
      <c r="K465" s="34" t="s">
        <v>2084</v>
      </c>
      <c r="L465" s="14"/>
      <c r="M465" s="19"/>
      <c r="N465" s="19"/>
      <c r="O465" s="34" t="s">
        <v>1883</v>
      </c>
      <c r="P465" s="269" t="s">
        <v>1432</v>
      </c>
    </row>
    <row r="466" ht="15.0" hidden="1" customHeight="1">
      <c r="A466" s="319">
        <v>20.0</v>
      </c>
      <c r="B466" s="26" t="s">
        <v>2088</v>
      </c>
      <c r="C466" s="328" t="s">
        <v>80</v>
      </c>
      <c r="D466" s="142" t="s">
        <v>2089</v>
      </c>
      <c r="E466" s="29" t="s">
        <v>2090</v>
      </c>
      <c r="F466" s="333" t="s">
        <v>356</v>
      </c>
      <c r="G466" s="275" t="s">
        <v>2077</v>
      </c>
      <c r="H466" s="275">
        <v>20.0</v>
      </c>
      <c r="I466" s="275"/>
      <c r="J466" s="34" t="s">
        <v>51</v>
      </c>
      <c r="L466" s="14"/>
      <c r="M466" s="19"/>
      <c r="N466" s="19"/>
      <c r="O466" s="34" t="s">
        <v>1979</v>
      </c>
      <c r="P466" s="269" t="s">
        <v>1432</v>
      </c>
    </row>
    <row r="467" hidden="1">
      <c r="A467" s="319">
        <v>21.0</v>
      </c>
      <c r="B467" s="26" t="s">
        <v>2091</v>
      </c>
      <c r="C467" s="328" t="s">
        <v>80</v>
      </c>
      <c r="D467" s="142" t="s">
        <v>2092</v>
      </c>
      <c r="E467" s="29" t="s">
        <v>2093</v>
      </c>
      <c r="F467" s="327" t="s">
        <v>928</v>
      </c>
      <c r="G467" s="275" t="s">
        <v>2064</v>
      </c>
      <c r="H467" s="275">
        <v>19.0</v>
      </c>
      <c r="I467" s="275"/>
      <c r="J467" s="331" t="s">
        <v>2094</v>
      </c>
      <c r="K467" s="34" t="s">
        <v>1900</v>
      </c>
      <c r="L467" s="14"/>
      <c r="M467" s="19"/>
      <c r="N467" s="19"/>
      <c r="O467" s="34" t="s">
        <v>2032</v>
      </c>
      <c r="P467" s="269" t="s">
        <v>1432</v>
      </c>
    </row>
    <row r="468" hidden="1">
      <c r="A468" s="319">
        <v>22.0</v>
      </c>
      <c r="B468" s="26" t="s">
        <v>2095</v>
      </c>
      <c r="C468" s="328" t="s">
        <v>80</v>
      </c>
      <c r="D468" s="142" t="s">
        <v>2096</v>
      </c>
      <c r="E468" s="29" t="s">
        <v>2097</v>
      </c>
      <c r="F468" s="327" t="s">
        <v>2098</v>
      </c>
      <c r="G468" s="275" t="s">
        <v>2099</v>
      </c>
      <c r="H468" s="275">
        <v>24.0</v>
      </c>
      <c r="I468" s="275"/>
      <c r="J468" s="331" t="s">
        <v>2065</v>
      </c>
      <c r="K468" s="34" t="s">
        <v>2079</v>
      </c>
      <c r="L468" s="14"/>
      <c r="M468" s="19"/>
      <c r="N468" s="19"/>
      <c r="O468" s="334" t="s">
        <v>2100</v>
      </c>
      <c r="P468" s="269" t="s">
        <v>1432</v>
      </c>
    </row>
    <row r="469" hidden="1">
      <c r="A469" s="319">
        <v>23.0</v>
      </c>
      <c r="B469" s="26" t="s">
        <v>2101</v>
      </c>
      <c r="C469" s="335" t="s">
        <v>999</v>
      </c>
      <c r="D469" s="142" t="s">
        <v>2102</v>
      </c>
      <c r="E469" s="29" t="s">
        <v>2103</v>
      </c>
      <c r="F469" s="327" t="s">
        <v>2104</v>
      </c>
      <c r="G469" s="275" t="s">
        <v>2099</v>
      </c>
      <c r="H469" s="275">
        <v>24.0</v>
      </c>
      <c r="I469" s="275"/>
      <c r="J469" s="34" t="s">
        <v>51</v>
      </c>
      <c r="K469" s="34" t="s">
        <v>2105</v>
      </c>
      <c r="L469" s="14"/>
      <c r="M469" s="19"/>
      <c r="N469" s="19"/>
      <c r="O469" s="34" t="s">
        <v>1974</v>
      </c>
      <c r="P469" s="269" t="s">
        <v>1432</v>
      </c>
    </row>
    <row r="470" hidden="1">
      <c r="A470" s="319">
        <v>24.0</v>
      </c>
      <c r="B470" s="26" t="s">
        <v>2106</v>
      </c>
      <c r="C470" s="328" t="s">
        <v>80</v>
      </c>
      <c r="D470" s="142" t="s">
        <v>2107</v>
      </c>
      <c r="E470" s="29" t="s">
        <v>2108</v>
      </c>
      <c r="F470" s="327" t="s">
        <v>2098</v>
      </c>
      <c r="G470" s="275" t="s">
        <v>2109</v>
      </c>
      <c r="H470" s="275">
        <v>21.0</v>
      </c>
      <c r="I470" s="275"/>
      <c r="J470" s="331" t="s">
        <v>2065</v>
      </c>
      <c r="K470" s="34" t="s">
        <v>2084</v>
      </c>
      <c r="L470" s="14"/>
      <c r="M470" s="19"/>
      <c r="N470" s="19"/>
      <c r="O470" s="34" t="s">
        <v>1595</v>
      </c>
      <c r="P470" s="269" t="s">
        <v>1432</v>
      </c>
    </row>
    <row r="471" hidden="1">
      <c r="A471" s="319">
        <v>25.0</v>
      </c>
      <c r="B471" s="322" t="s">
        <v>2110</v>
      </c>
      <c r="C471" s="323" t="s">
        <v>80</v>
      </c>
      <c r="D471" s="324" t="s">
        <v>2111</v>
      </c>
      <c r="E471" s="325" t="s">
        <v>2112</v>
      </c>
      <c r="F471" s="326" t="s">
        <v>718</v>
      </c>
      <c r="G471" s="275" t="s">
        <v>2077</v>
      </c>
      <c r="H471" s="275">
        <v>20.0</v>
      </c>
      <c r="I471" s="275"/>
      <c r="J471" s="34" t="s">
        <v>186</v>
      </c>
      <c r="K471" s="34" t="s">
        <v>1629</v>
      </c>
      <c r="L471" s="14"/>
      <c r="M471" s="19"/>
      <c r="N471" s="19"/>
      <c r="O471" s="148">
        <v>45665.0</v>
      </c>
      <c r="P471" s="269" t="s">
        <v>1432</v>
      </c>
    </row>
    <row r="472" hidden="1">
      <c r="A472" s="319">
        <v>26.0</v>
      </c>
      <c r="B472" s="322" t="s">
        <v>2113</v>
      </c>
      <c r="C472" s="323" t="s">
        <v>80</v>
      </c>
      <c r="D472" s="324" t="s">
        <v>2114</v>
      </c>
      <c r="E472" s="325" t="s">
        <v>2115</v>
      </c>
      <c r="F472" s="326" t="s">
        <v>349</v>
      </c>
      <c r="G472" s="275" t="s">
        <v>2116</v>
      </c>
      <c r="H472" s="275">
        <v>23.0</v>
      </c>
      <c r="I472" s="275"/>
      <c r="J472" s="34" t="s">
        <v>186</v>
      </c>
      <c r="K472" s="34" t="s">
        <v>1660</v>
      </c>
      <c r="L472" s="14"/>
      <c r="M472" s="19"/>
      <c r="N472" s="19"/>
      <c r="O472" s="336">
        <v>45785.0</v>
      </c>
      <c r="P472" s="269" t="s">
        <v>1432</v>
      </c>
    </row>
    <row r="473" hidden="1">
      <c r="A473" s="319">
        <v>27.0</v>
      </c>
      <c r="B473" s="322" t="s">
        <v>2117</v>
      </c>
      <c r="C473" s="323" t="s">
        <v>80</v>
      </c>
      <c r="D473" s="324" t="s">
        <v>2118</v>
      </c>
      <c r="E473" s="325" t="s">
        <v>2119</v>
      </c>
      <c r="F473" s="326" t="s">
        <v>2120</v>
      </c>
      <c r="G473" s="275" t="s">
        <v>2116</v>
      </c>
      <c r="H473" s="275">
        <v>23.0</v>
      </c>
      <c r="I473" s="275"/>
      <c r="J473" s="34" t="s">
        <v>186</v>
      </c>
      <c r="K473" s="34" t="s">
        <v>1629</v>
      </c>
      <c r="L473" s="14"/>
      <c r="M473" s="19"/>
      <c r="N473" s="19"/>
      <c r="O473" s="148">
        <v>45816.0</v>
      </c>
      <c r="P473" s="269" t="s">
        <v>1432</v>
      </c>
    </row>
    <row r="474" hidden="1">
      <c r="A474" s="319">
        <v>28.0</v>
      </c>
      <c r="B474" s="26" t="s">
        <v>2121</v>
      </c>
      <c r="C474" s="328" t="s">
        <v>80</v>
      </c>
      <c r="D474" s="142" t="s">
        <v>2122</v>
      </c>
      <c r="E474" s="29" t="s">
        <v>2123</v>
      </c>
      <c r="F474" s="327" t="s">
        <v>256</v>
      </c>
      <c r="G474" s="275" t="s">
        <v>2109</v>
      </c>
      <c r="H474" s="275">
        <v>21.0</v>
      </c>
      <c r="I474" s="275"/>
      <c r="J474" s="34" t="s">
        <v>186</v>
      </c>
      <c r="K474" s="34" t="s">
        <v>2084</v>
      </c>
      <c r="L474" s="12"/>
      <c r="M474" s="19"/>
      <c r="N474" s="19"/>
      <c r="O474" s="34" t="s">
        <v>1883</v>
      </c>
      <c r="P474" s="269" t="s">
        <v>1432</v>
      </c>
    </row>
    <row r="475" hidden="1">
      <c r="A475" s="319">
        <v>29.0</v>
      </c>
      <c r="B475" s="26" t="s">
        <v>2124</v>
      </c>
      <c r="C475" s="328" t="s">
        <v>80</v>
      </c>
      <c r="D475" s="142" t="s">
        <v>2125</v>
      </c>
      <c r="E475" s="310" t="s">
        <v>2126</v>
      </c>
      <c r="F475" s="327" t="s">
        <v>232</v>
      </c>
      <c r="G475" s="275" t="s">
        <v>2109</v>
      </c>
      <c r="H475" s="275">
        <v>21.0</v>
      </c>
      <c r="I475" s="275"/>
      <c r="J475" s="34" t="s">
        <v>186</v>
      </c>
      <c r="K475" s="34" t="s">
        <v>2127</v>
      </c>
      <c r="L475" s="14"/>
      <c r="M475" s="19"/>
      <c r="N475" s="19"/>
      <c r="O475" s="34" t="s">
        <v>1979</v>
      </c>
      <c r="P475" s="269" t="s">
        <v>1432</v>
      </c>
    </row>
    <row r="476" hidden="1">
      <c r="A476" s="319">
        <v>30.0</v>
      </c>
      <c r="B476" s="26" t="s">
        <v>2128</v>
      </c>
      <c r="C476" s="328" t="s">
        <v>80</v>
      </c>
      <c r="D476" s="142" t="s">
        <v>2129</v>
      </c>
      <c r="E476" s="310" t="s">
        <v>2130</v>
      </c>
      <c r="F476" s="327" t="s">
        <v>232</v>
      </c>
      <c r="G476" s="275" t="s">
        <v>2109</v>
      </c>
      <c r="H476" s="275">
        <v>21.0</v>
      </c>
      <c r="I476" s="275"/>
      <c r="J476" s="34" t="s">
        <v>186</v>
      </c>
      <c r="K476" s="34" t="s">
        <v>2127</v>
      </c>
      <c r="L476" s="14"/>
      <c r="M476" s="19"/>
      <c r="N476" s="19"/>
      <c r="O476" s="34" t="s">
        <v>1979</v>
      </c>
      <c r="P476" s="269" t="s">
        <v>1432</v>
      </c>
    </row>
    <row r="477" hidden="1">
      <c r="A477" s="319">
        <v>31.0</v>
      </c>
      <c r="B477" s="26" t="s">
        <v>2131</v>
      </c>
      <c r="C477" s="328" t="s">
        <v>651</v>
      </c>
      <c r="D477" s="142" t="s">
        <v>2132</v>
      </c>
      <c r="E477" s="29" t="s">
        <v>2133</v>
      </c>
      <c r="F477" s="327" t="s">
        <v>2134</v>
      </c>
      <c r="G477" s="275" t="s">
        <v>2116</v>
      </c>
      <c r="H477" s="275">
        <v>23.0</v>
      </c>
      <c r="I477" s="275"/>
      <c r="J477" s="34" t="s">
        <v>51</v>
      </c>
      <c r="K477" s="148">
        <v>45724.0</v>
      </c>
      <c r="L477" s="14"/>
      <c r="M477" s="19"/>
      <c r="N477" s="19"/>
      <c r="O477" s="148">
        <v>45908.0</v>
      </c>
      <c r="P477" s="269" t="s">
        <v>1432</v>
      </c>
    </row>
    <row r="478" hidden="1">
      <c r="A478" s="319">
        <v>32.0</v>
      </c>
      <c r="B478" s="26" t="s">
        <v>2135</v>
      </c>
      <c r="C478" s="328" t="s">
        <v>80</v>
      </c>
      <c r="D478" s="142" t="s">
        <v>2136</v>
      </c>
      <c r="E478" s="310" t="s">
        <v>2137</v>
      </c>
      <c r="F478" s="327" t="s">
        <v>2138</v>
      </c>
      <c r="G478" s="275" t="s">
        <v>2116</v>
      </c>
      <c r="H478" s="275">
        <v>23.0</v>
      </c>
      <c r="I478" s="275"/>
      <c r="J478" s="34" t="s">
        <v>186</v>
      </c>
      <c r="K478" s="19"/>
      <c r="L478" s="14"/>
      <c r="M478" s="19"/>
      <c r="N478" s="19"/>
      <c r="O478" s="34" t="s">
        <v>1862</v>
      </c>
      <c r="P478" s="269" t="s">
        <v>1432</v>
      </c>
    </row>
    <row r="479" hidden="1">
      <c r="A479" s="319">
        <v>33.0</v>
      </c>
      <c r="B479" s="26" t="s">
        <v>2139</v>
      </c>
      <c r="C479" s="328" t="s">
        <v>80</v>
      </c>
      <c r="D479" s="142" t="s">
        <v>2140</v>
      </c>
      <c r="E479" s="310" t="s">
        <v>2141</v>
      </c>
      <c r="F479" s="327" t="s">
        <v>2138</v>
      </c>
      <c r="G479" s="275" t="s">
        <v>2116</v>
      </c>
      <c r="H479" s="275">
        <v>23.0</v>
      </c>
      <c r="I479" s="275"/>
      <c r="J479" s="34" t="s">
        <v>186</v>
      </c>
      <c r="K479" s="19"/>
      <c r="L479" s="14"/>
      <c r="M479" s="19"/>
      <c r="N479" s="19"/>
      <c r="O479" s="34" t="s">
        <v>1862</v>
      </c>
      <c r="P479" s="269" t="s">
        <v>1432</v>
      </c>
    </row>
    <row r="480" hidden="1">
      <c r="A480" s="319">
        <v>34.0</v>
      </c>
      <c r="B480" s="270" t="s">
        <v>2142</v>
      </c>
      <c r="C480" s="328" t="s">
        <v>80</v>
      </c>
      <c r="D480" s="142" t="s">
        <v>2143</v>
      </c>
      <c r="E480" s="29" t="s">
        <v>2144</v>
      </c>
      <c r="F480" s="327" t="s">
        <v>2145</v>
      </c>
      <c r="G480" s="275" t="s">
        <v>2116</v>
      </c>
      <c r="H480" s="275">
        <v>23.0</v>
      </c>
      <c r="I480" s="275"/>
      <c r="J480" s="34" t="s">
        <v>51</v>
      </c>
      <c r="K480" s="34" t="s">
        <v>1524</v>
      </c>
      <c r="L480" s="14"/>
      <c r="M480" s="19"/>
      <c r="N480" s="19"/>
      <c r="O480" s="148">
        <v>45665.0</v>
      </c>
      <c r="P480" s="269" t="s">
        <v>1432</v>
      </c>
    </row>
    <row r="481" hidden="1">
      <c r="A481" s="319">
        <v>35.0</v>
      </c>
      <c r="B481" s="337" t="s">
        <v>2146</v>
      </c>
      <c r="C481" s="335" t="s">
        <v>397</v>
      </c>
      <c r="D481" s="142" t="s">
        <v>2147</v>
      </c>
      <c r="E481" s="29" t="s">
        <v>2148</v>
      </c>
      <c r="F481" s="327" t="s">
        <v>403</v>
      </c>
      <c r="G481" s="275" t="s">
        <v>2116</v>
      </c>
      <c r="H481" s="275">
        <v>23.0</v>
      </c>
      <c r="I481" s="275"/>
      <c r="J481" s="34" t="s">
        <v>186</v>
      </c>
      <c r="K481" s="34" t="s">
        <v>2149</v>
      </c>
      <c r="L481" s="14"/>
      <c r="M481" s="19"/>
      <c r="N481" s="19"/>
      <c r="O481" s="34" t="s">
        <v>2032</v>
      </c>
      <c r="P481" s="269" t="s">
        <v>1432</v>
      </c>
    </row>
    <row r="482" hidden="1">
      <c r="A482" s="319">
        <v>36.0</v>
      </c>
      <c r="B482" s="26" t="s">
        <v>2150</v>
      </c>
      <c r="C482" s="328" t="s">
        <v>80</v>
      </c>
      <c r="D482" s="142" t="s">
        <v>2151</v>
      </c>
      <c r="E482" s="29" t="s">
        <v>2152</v>
      </c>
      <c r="F482" s="327" t="s">
        <v>160</v>
      </c>
      <c r="G482" s="275" t="s">
        <v>2116</v>
      </c>
      <c r="H482" s="275">
        <v>23.0</v>
      </c>
      <c r="I482" s="275"/>
      <c r="J482" s="34" t="s">
        <v>186</v>
      </c>
      <c r="K482" s="34" t="s">
        <v>2084</v>
      </c>
      <c r="L482" s="14"/>
      <c r="M482" s="19"/>
      <c r="N482" s="19"/>
      <c r="O482" s="34" t="s">
        <v>2032</v>
      </c>
      <c r="P482" s="269" t="s">
        <v>1432</v>
      </c>
    </row>
    <row r="483" hidden="1">
      <c r="A483" s="319">
        <v>37.0</v>
      </c>
      <c r="B483" s="26" t="s">
        <v>2153</v>
      </c>
      <c r="C483" s="328" t="s">
        <v>80</v>
      </c>
      <c r="D483" s="142" t="s">
        <v>2154</v>
      </c>
      <c r="E483" s="310" t="s">
        <v>2155</v>
      </c>
      <c r="F483" s="327" t="s">
        <v>2156</v>
      </c>
      <c r="G483" s="275" t="s">
        <v>2116</v>
      </c>
      <c r="H483" s="275">
        <v>23.0</v>
      </c>
      <c r="I483" s="275"/>
      <c r="J483" s="34" t="s">
        <v>186</v>
      </c>
      <c r="K483" s="34" t="s">
        <v>2084</v>
      </c>
      <c r="L483" s="14"/>
      <c r="M483" s="19"/>
      <c r="N483" s="19"/>
      <c r="O483" s="34" t="s">
        <v>71</v>
      </c>
      <c r="P483" s="269" t="s">
        <v>1432</v>
      </c>
    </row>
    <row r="484" hidden="1">
      <c r="A484" s="319">
        <v>38.0</v>
      </c>
      <c r="B484" s="26" t="s">
        <v>2157</v>
      </c>
      <c r="C484" s="328" t="s">
        <v>80</v>
      </c>
      <c r="D484" s="142" t="s">
        <v>2158</v>
      </c>
      <c r="E484" s="310" t="s">
        <v>2159</v>
      </c>
      <c r="F484" s="327" t="s">
        <v>2156</v>
      </c>
      <c r="G484" s="275" t="s">
        <v>2116</v>
      </c>
      <c r="H484" s="275">
        <v>23.0</v>
      </c>
      <c r="I484" s="275"/>
      <c r="J484" s="34" t="s">
        <v>186</v>
      </c>
      <c r="K484" s="34" t="s">
        <v>2084</v>
      </c>
      <c r="L484" s="14"/>
      <c r="M484" s="19"/>
      <c r="N484" s="19"/>
      <c r="O484" s="34" t="s">
        <v>1883</v>
      </c>
      <c r="P484" s="269" t="s">
        <v>1432</v>
      </c>
    </row>
    <row r="485" hidden="1">
      <c r="A485" s="319">
        <v>39.0</v>
      </c>
      <c r="B485" s="26" t="s">
        <v>2160</v>
      </c>
      <c r="C485" s="328" t="s">
        <v>80</v>
      </c>
      <c r="D485" s="142" t="s">
        <v>2161</v>
      </c>
      <c r="E485" s="310" t="s">
        <v>2162</v>
      </c>
      <c r="F485" s="327" t="s">
        <v>2163</v>
      </c>
      <c r="G485" s="275" t="s">
        <v>2116</v>
      </c>
      <c r="H485" s="275">
        <v>23.0</v>
      </c>
      <c r="I485" s="275"/>
      <c r="J485" s="34" t="s">
        <v>186</v>
      </c>
      <c r="K485" s="34" t="s">
        <v>2079</v>
      </c>
      <c r="L485" s="14"/>
      <c r="M485" s="19"/>
      <c r="N485" s="19"/>
      <c r="O485" s="34" t="s">
        <v>2032</v>
      </c>
      <c r="P485" s="269" t="s">
        <v>1432</v>
      </c>
    </row>
    <row r="486" hidden="1">
      <c r="A486" s="319">
        <v>40.0</v>
      </c>
      <c r="B486" s="26" t="s">
        <v>2164</v>
      </c>
      <c r="C486" s="328" t="s">
        <v>80</v>
      </c>
      <c r="D486" s="142" t="s">
        <v>2165</v>
      </c>
      <c r="E486" s="310" t="s">
        <v>2166</v>
      </c>
      <c r="F486" s="327" t="s">
        <v>2163</v>
      </c>
      <c r="G486" s="275" t="s">
        <v>2116</v>
      </c>
      <c r="H486" s="275">
        <v>23.0</v>
      </c>
      <c r="I486" s="275"/>
      <c r="J486" s="34" t="s">
        <v>186</v>
      </c>
      <c r="K486" s="34" t="s">
        <v>2079</v>
      </c>
      <c r="L486" s="14"/>
      <c r="M486" s="19"/>
      <c r="N486" s="19"/>
      <c r="O486" s="34" t="s">
        <v>2032</v>
      </c>
      <c r="P486" s="269" t="s">
        <v>1432</v>
      </c>
    </row>
    <row r="487" hidden="1">
      <c r="A487" s="319">
        <v>41.0</v>
      </c>
      <c r="B487" s="26" t="s">
        <v>2167</v>
      </c>
      <c r="C487" s="328" t="s">
        <v>80</v>
      </c>
      <c r="D487" s="142" t="s">
        <v>2168</v>
      </c>
      <c r="E487" s="29" t="s">
        <v>2169</v>
      </c>
      <c r="F487" s="327" t="s">
        <v>2170</v>
      </c>
      <c r="G487" s="275" t="s">
        <v>2171</v>
      </c>
      <c r="H487" s="275">
        <v>25.0</v>
      </c>
      <c r="I487" s="275"/>
      <c r="J487" s="34" t="s">
        <v>186</v>
      </c>
      <c r="K487" s="34" t="s">
        <v>2031</v>
      </c>
      <c r="L487" s="14"/>
      <c r="M487" s="19"/>
      <c r="N487" s="19"/>
      <c r="O487" s="148">
        <v>45939.0</v>
      </c>
      <c r="P487" s="269" t="s">
        <v>1432</v>
      </c>
    </row>
    <row r="488" hidden="1">
      <c r="A488" s="319">
        <v>42.0</v>
      </c>
      <c r="B488" s="26" t="s">
        <v>2172</v>
      </c>
      <c r="C488" s="328" t="s">
        <v>80</v>
      </c>
      <c r="D488" s="142" t="s">
        <v>2173</v>
      </c>
      <c r="E488" s="29" t="s">
        <v>2174</v>
      </c>
      <c r="F488" s="327" t="s">
        <v>2175</v>
      </c>
      <c r="G488" s="275" t="s">
        <v>2171</v>
      </c>
      <c r="H488" s="275">
        <v>25.0</v>
      </c>
      <c r="I488" s="275"/>
      <c r="J488" s="34" t="s">
        <v>51</v>
      </c>
      <c r="K488" s="34" t="s">
        <v>2176</v>
      </c>
      <c r="L488" s="12" t="s">
        <v>51</v>
      </c>
      <c r="M488" s="19"/>
      <c r="N488" s="19"/>
      <c r="O488" s="148">
        <v>45697.0</v>
      </c>
      <c r="P488" s="269" t="s">
        <v>1432</v>
      </c>
    </row>
    <row r="489" hidden="1">
      <c r="A489" s="319">
        <v>43.0</v>
      </c>
      <c r="B489" s="26" t="s">
        <v>2177</v>
      </c>
      <c r="C489" s="328" t="s">
        <v>80</v>
      </c>
      <c r="D489" s="142" t="s">
        <v>2178</v>
      </c>
      <c r="E489" s="29" t="s">
        <v>2179</v>
      </c>
      <c r="F489" s="327" t="s">
        <v>356</v>
      </c>
      <c r="G489" s="275" t="s">
        <v>2171</v>
      </c>
      <c r="H489" s="275">
        <v>25.0</v>
      </c>
      <c r="I489" s="275"/>
      <c r="J489" s="34" t="s">
        <v>186</v>
      </c>
      <c r="K489" s="34" t="s">
        <v>2084</v>
      </c>
      <c r="L489" s="14"/>
      <c r="M489" s="19"/>
      <c r="N489" s="19"/>
      <c r="O489" s="34" t="s">
        <v>1862</v>
      </c>
      <c r="P489" s="269" t="s">
        <v>1432</v>
      </c>
    </row>
    <row r="490" hidden="1">
      <c r="A490" s="319">
        <v>44.0</v>
      </c>
      <c r="B490" s="26" t="s">
        <v>2180</v>
      </c>
      <c r="C490" s="328" t="s">
        <v>80</v>
      </c>
      <c r="D490" s="142" t="s">
        <v>2181</v>
      </c>
      <c r="E490" s="29" t="s">
        <v>2182</v>
      </c>
      <c r="F490" s="327" t="s">
        <v>356</v>
      </c>
      <c r="G490" s="275" t="s">
        <v>2171</v>
      </c>
      <c r="H490" s="275">
        <v>25.0</v>
      </c>
      <c r="I490" s="275"/>
      <c r="J490" s="331" t="s">
        <v>2065</v>
      </c>
      <c r="K490" s="34" t="s">
        <v>2183</v>
      </c>
      <c r="L490" s="14"/>
      <c r="M490" s="19"/>
      <c r="N490" s="19"/>
      <c r="O490" s="34" t="s">
        <v>2184</v>
      </c>
      <c r="P490" s="269" t="s">
        <v>1432</v>
      </c>
    </row>
    <row r="491" hidden="1">
      <c r="A491" s="319">
        <v>45.0</v>
      </c>
      <c r="B491" s="26" t="s">
        <v>2185</v>
      </c>
      <c r="C491" s="328" t="s">
        <v>80</v>
      </c>
      <c r="D491" s="142" t="s">
        <v>2186</v>
      </c>
      <c r="E491" s="310" t="s">
        <v>2187</v>
      </c>
      <c r="F491" s="338" t="s">
        <v>2188</v>
      </c>
      <c r="G491" s="275" t="s">
        <v>2171</v>
      </c>
      <c r="H491" s="275">
        <v>25.0</v>
      </c>
      <c r="I491" s="275"/>
      <c r="J491" s="34" t="s">
        <v>186</v>
      </c>
      <c r="K491" s="34" t="s">
        <v>2079</v>
      </c>
      <c r="L491" s="14"/>
      <c r="M491" s="19"/>
      <c r="N491" s="19"/>
      <c r="O491" s="148">
        <v>46000.0</v>
      </c>
      <c r="P491" s="269" t="s">
        <v>1432</v>
      </c>
    </row>
    <row r="492" hidden="1">
      <c r="A492" s="319">
        <v>46.0</v>
      </c>
      <c r="B492" s="26" t="s">
        <v>2189</v>
      </c>
      <c r="C492" s="328" t="s">
        <v>80</v>
      </c>
      <c r="D492" s="142" t="s">
        <v>2190</v>
      </c>
      <c r="E492" s="310" t="s">
        <v>2191</v>
      </c>
      <c r="F492" s="338" t="s">
        <v>2188</v>
      </c>
      <c r="G492" s="275" t="s">
        <v>2171</v>
      </c>
      <c r="H492" s="275">
        <v>25.0</v>
      </c>
      <c r="I492" s="275"/>
      <c r="J492" s="34" t="s">
        <v>186</v>
      </c>
      <c r="K492" s="34" t="s">
        <v>2079</v>
      </c>
      <c r="L492" s="14"/>
      <c r="M492" s="19"/>
      <c r="N492" s="19"/>
      <c r="O492" s="148">
        <v>46000.0</v>
      </c>
      <c r="P492" s="269" t="s">
        <v>1432</v>
      </c>
    </row>
    <row r="493" hidden="1">
      <c r="A493" s="319">
        <v>47.0</v>
      </c>
      <c r="B493" s="26" t="s">
        <v>2192</v>
      </c>
      <c r="C493" s="328" t="s">
        <v>80</v>
      </c>
      <c r="D493" s="142" t="s">
        <v>2193</v>
      </c>
      <c r="E493" s="329" t="s">
        <v>2194</v>
      </c>
      <c r="F493" s="327" t="s">
        <v>207</v>
      </c>
      <c r="G493" s="275" t="s">
        <v>2116</v>
      </c>
      <c r="H493" s="275">
        <v>23.0</v>
      </c>
      <c r="I493" s="275"/>
      <c r="J493" s="34" t="s">
        <v>186</v>
      </c>
      <c r="K493" s="34" t="s">
        <v>2195</v>
      </c>
      <c r="L493" s="14"/>
      <c r="M493" s="19"/>
      <c r="N493" s="19"/>
      <c r="O493" s="34" t="s">
        <v>1883</v>
      </c>
      <c r="P493" s="269" t="s">
        <v>1432</v>
      </c>
    </row>
    <row r="494" hidden="1">
      <c r="A494" s="319">
        <v>48.0</v>
      </c>
      <c r="B494" s="26" t="s">
        <v>2196</v>
      </c>
      <c r="C494" s="328" t="s">
        <v>80</v>
      </c>
      <c r="D494" s="142" t="s">
        <v>2197</v>
      </c>
      <c r="E494" s="329" t="s">
        <v>2198</v>
      </c>
      <c r="F494" s="327" t="s">
        <v>207</v>
      </c>
      <c r="G494" s="275" t="s">
        <v>2116</v>
      </c>
      <c r="H494" s="275">
        <v>23.0</v>
      </c>
      <c r="I494" s="275"/>
      <c r="J494" s="34" t="s">
        <v>186</v>
      </c>
      <c r="K494" s="34" t="s">
        <v>2195</v>
      </c>
      <c r="L494" s="14"/>
      <c r="M494" s="19"/>
      <c r="N494" s="19"/>
      <c r="O494" s="34" t="s">
        <v>1883</v>
      </c>
      <c r="P494" s="269" t="s">
        <v>1432</v>
      </c>
    </row>
    <row r="495" hidden="1">
      <c r="A495" s="319">
        <v>49.0</v>
      </c>
      <c r="B495" s="26" t="s">
        <v>2199</v>
      </c>
      <c r="C495" s="328" t="s">
        <v>80</v>
      </c>
      <c r="D495" s="142" t="s">
        <v>2200</v>
      </c>
      <c r="E495" s="329" t="s">
        <v>2201</v>
      </c>
      <c r="F495" s="327" t="s">
        <v>207</v>
      </c>
      <c r="G495" s="275" t="s">
        <v>2116</v>
      </c>
      <c r="H495" s="275">
        <v>23.0</v>
      </c>
      <c r="I495" s="275"/>
      <c r="J495" s="34" t="s">
        <v>186</v>
      </c>
      <c r="K495" s="34" t="s">
        <v>2195</v>
      </c>
      <c r="L495" s="14"/>
      <c r="M495" s="19"/>
      <c r="N495" s="19"/>
      <c r="O495" s="34" t="s">
        <v>1883</v>
      </c>
      <c r="P495" s="269" t="s">
        <v>1432</v>
      </c>
    </row>
    <row r="496" hidden="1">
      <c r="A496" s="319">
        <v>50.0</v>
      </c>
      <c r="B496" s="129" t="s">
        <v>2202</v>
      </c>
      <c r="C496" s="328" t="s">
        <v>80</v>
      </c>
      <c r="D496" s="142" t="s">
        <v>2203</v>
      </c>
      <c r="E496" s="29" t="s">
        <v>2204</v>
      </c>
      <c r="F496" s="327" t="s">
        <v>2205</v>
      </c>
      <c r="G496" s="275" t="s">
        <v>2099</v>
      </c>
      <c r="H496" s="275">
        <v>24.0</v>
      </c>
      <c r="I496" s="275"/>
      <c r="J496" s="34" t="s">
        <v>186</v>
      </c>
      <c r="K496" s="34" t="s">
        <v>2031</v>
      </c>
      <c r="L496" s="14"/>
      <c r="M496" s="19"/>
      <c r="N496" s="19"/>
      <c r="O496" s="34" t="s">
        <v>1974</v>
      </c>
      <c r="P496" s="269" t="s">
        <v>1432</v>
      </c>
    </row>
    <row r="497" hidden="1">
      <c r="A497" s="339" t="s">
        <v>2206</v>
      </c>
      <c r="Q497" s="35"/>
      <c r="R497" s="35"/>
      <c r="S497" s="35"/>
      <c r="T497" s="35"/>
      <c r="U497" s="35"/>
      <c r="V497" s="35"/>
      <c r="W497" s="35"/>
      <c r="X497" s="35"/>
      <c r="Y497" s="35"/>
      <c r="Z497" s="35"/>
      <c r="AA497" s="35"/>
      <c r="AB497" s="35"/>
      <c r="AC497" s="35"/>
      <c r="AD497" s="35"/>
      <c r="AE497" s="35"/>
      <c r="AF497" s="35"/>
    </row>
    <row r="498" hidden="1">
      <c r="A498" s="340" t="s">
        <v>47</v>
      </c>
      <c r="B498" s="27" t="s">
        <v>7</v>
      </c>
      <c r="C498" s="27" t="s">
        <v>56</v>
      </c>
      <c r="D498" s="27" t="s">
        <v>58</v>
      </c>
      <c r="E498" s="27" t="s">
        <v>30</v>
      </c>
      <c r="F498" s="27" t="s">
        <v>12</v>
      </c>
      <c r="G498" s="27" t="s">
        <v>33</v>
      </c>
      <c r="H498" s="28" t="s">
        <v>34</v>
      </c>
      <c r="I498" s="28"/>
      <c r="J498" s="27" t="s">
        <v>14</v>
      </c>
      <c r="K498" s="30" t="s">
        <v>16</v>
      </c>
      <c r="L498" s="30" t="s">
        <v>35</v>
      </c>
      <c r="M498" s="30" t="s">
        <v>18</v>
      </c>
      <c r="N498" s="30" t="s">
        <v>19</v>
      </c>
      <c r="O498" s="30" t="s">
        <v>20</v>
      </c>
      <c r="P498" s="30" t="s">
        <v>21</v>
      </c>
      <c r="Q498" s="35"/>
      <c r="R498" s="35"/>
      <c r="S498" s="35"/>
      <c r="T498" s="35"/>
      <c r="U498" s="35"/>
      <c r="V498" s="35"/>
      <c r="W498" s="35"/>
      <c r="X498" s="35"/>
      <c r="Y498" s="35"/>
      <c r="Z498" s="35"/>
      <c r="AA498" s="35"/>
      <c r="AB498" s="35"/>
      <c r="AC498" s="35"/>
      <c r="AD498" s="35"/>
      <c r="AE498" s="35"/>
      <c r="AF498" s="35"/>
    </row>
    <row r="499" hidden="1">
      <c r="A499" s="128">
        <v>1.0</v>
      </c>
      <c r="B499" s="341" t="s">
        <v>2207</v>
      </c>
      <c r="C499" s="128" t="s">
        <v>80</v>
      </c>
      <c r="D499" s="128" t="s">
        <v>2208</v>
      </c>
      <c r="E499" s="128" t="s">
        <v>201</v>
      </c>
      <c r="F499" s="128" t="s">
        <v>2209</v>
      </c>
      <c r="G499" s="128" t="s">
        <v>2210</v>
      </c>
      <c r="H499" s="342">
        <v>20.0</v>
      </c>
      <c r="I499" s="342"/>
      <c r="J499" s="34" t="s">
        <v>186</v>
      </c>
      <c r="K499" s="34" t="s">
        <v>2183</v>
      </c>
      <c r="L499" s="12" t="s">
        <v>374</v>
      </c>
      <c r="M499" s="19"/>
      <c r="N499" s="19"/>
      <c r="O499" s="148">
        <v>45725.0</v>
      </c>
      <c r="P499" s="269" t="s">
        <v>1432</v>
      </c>
    </row>
    <row r="500" hidden="1">
      <c r="A500" s="128">
        <v>2.0</v>
      </c>
      <c r="B500" s="341" t="s">
        <v>2211</v>
      </c>
      <c r="C500" s="128" t="s">
        <v>80</v>
      </c>
      <c r="D500" s="128" t="s">
        <v>2212</v>
      </c>
      <c r="E500" s="310" t="s">
        <v>2213</v>
      </c>
      <c r="F500" s="128" t="s">
        <v>2214</v>
      </c>
      <c r="G500" s="128" t="s">
        <v>2171</v>
      </c>
      <c r="H500" s="342">
        <v>18.0</v>
      </c>
      <c r="I500" s="342"/>
      <c r="J500" s="34" t="s">
        <v>186</v>
      </c>
      <c r="K500" s="34" t="s">
        <v>2079</v>
      </c>
      <c r="L500" s="12" t="s">
        <v>100</v>
      </c>
      <c r="M500" s="19"/>
      <c r="N500" s="19"/>
      <c r="O500" s="148">
        <v>45666.0</v>
      </c>
      <c r="P500" s="269" t="s">
        <v>1432</v>
      </c>
    </row>
    <row r="501" hidden="1">
      <c r="A501" s="128">
        <v>3.0</v>
      </c>
      <c r="B501" s="341" t="s">
        <v>2215</v>
      </c>
      <c r="C501" s="128" t="s">
        <v>80</v>
      </c>
      <c r="D501" s="128" t="s">
        <v>2216</v>
      </c>
      <c r="E501" s="310" t="s">
        <v>2217</v>
      </c>
      <c r="F501" s="128" t="s">
        <v>2214</v>
      </c>
      <c r="G501" s="128" t="s">
        <v>2171</v>
      </c>
      <c r="H501" s="342">
        <v>18.0</v>
      </c>
      <c r="I501" s="342"/>
      <c r="J501" s="34" t="s">
        <v>186</v>
      </c>
      <c r="K501" s="34" t="s">
        <v>2079</v>
      </c>
      <c r="L501" s="12" t="s">
        <v>100</v>
      </c>
      <c r="M501" s="19"/>
      <c r="N501" s="19"/>
      <c r="O501" s="148">
        <v>45666.0</v>
      </c>
      <c r="P501" s="269" t="s">
        <v>1432</v>
      </c>
    </row>
    <row r="502" hidden="1">
      <c r="A502" s="128">
        <v>4.0</v>
      </c>
      <c r="B502" s="341" t="s">
        <v>2218</v>
      </c>
      <c r="C502" s="128" t="s">
        <v>80</v>
      </c>
      <c r="D502" s="128" t="s">
        <v>2219</v>
      </c>
      <c r="E502" s="128" t="s">
        <v>2220</v>
      </c>
      <c r="F502" s="128" t="s">
        <v>2221</v>
      </c>
      <c r="G502" s="128" t="s">
        <v>2099</v>
      </c>
      <c r="H502" s="342">
        <v>17.0</v>
      </c>
      <c r="I502" s="342"/>
      <c r="J502" s="34" t="s">
        <v>51</v>
      </c>
      <c r="K502" s="34" t="s">
        <v>2105</v>
      </c>
      <c r="L502" s="12" t="s">
        <v>51</v>
      </c>
      <c r="M502" s="19"/>
      <c r="N502" s="19"/>
      <c r="O502" s="34" t="s">
        <v>71</v>
      </c>
      <c r="P502" s="269" t="s">
        <v>1432</v>
      </c>
    </row>
    <row r="503" hidden="1">
      <c r="A503" s="128">
        <v>5.0</v>
      </c>
      <c r="B503" s="341" t="s">
        <v>2222</v>
      </c>
      <c r="C503" s="128" t="s">
        <v>1058</v>
      </c>
      <c r="D503" s="128" t="s">
        <v>2223</v>
      </c>
      <c r="E503" s="128" t="s">
        <v>2224</v>
      </c>
      <c r="F503" s="128" t="s">
        <v>535</v>
      </c>
      <c r="G503" s="343">
        <v>45846.0</v>
      </c>
      <c r="H503" s="342">
        <v>3.0</v>
      </c>
      <c r="I503" s="342"/>
      <c r="J503" s="34" t="s">
        <v>186</v>
      </c>
      <c r="K503" s="148">
        <v>45816.0</v>
      </c>
      <c r="L503" s="12" t="s">
        <v>51</v>
      </c>
      <c r="M503" s="19"/>
      <c r="N503" s="19"/>
      <c r="O503" s="148">
        <v>45908.0</v>
      </c>
      <c r="P503" s="269" t="s">
        <v>1432</v>
      </c>
    </row>
    <row r="504" hidden="1">
      <c r="A504" s="128">
        <v>6.0</v>
      </c>
      <c r="B504" s="341" t="s">
        <v>2225</v>
      </c>
      <c r="C504" s="128" t="s">
        <v>80</v>
      </c>
      <c r="D504" s="128" t="s">
        <v>2226</v>
      </c>
      <c r="E504" s="128" t="s">
        <v>2227</v>
      </c>
      <c r="F504" s="128" t="s">
        <v>2228</v>
      </c>
      <c r="G504" s="128" t="s">
        <v>2116</v>
      </c>
      <c r="H504" s="342">
        <v>16.0</v>
      </c>
      <c r="I504" s="342"/>
      <c r="J504" s="34" t="s">
        <v>51</v>
      </c>
      <c r="K504" s="34" t="s">
        <v>2031</v>
      </c>
      <c r="L504" s="12" t="s">
        <v>51</v>
      </c>
      <c r="M504" s="19"/>
      <c r="N504" s="19"/>
      <c r="O504" s="34" t="s">
        <v>1883</v>
      </c>
      <c r="P504" s="269" t="s">
        <v>1432</v>
      </c>
    </row>
    <row r="505" hidden="1">
      <c r="A505" s="128">
        <v>7.0</v>
      </c>
      <c r="B505" s="344" t="s">
        <v>2229</v>
      </c>
      <c r="C505" s="128" t="s">
        <v>80</v>
      </c>
      <c r="D505" s="128" t="s">
        <v>2230</v>
      </c>
      <c r="E505" s="310" t="s">
        <v>2231</v>
      </c>
      <c r="F505" s="128" t="s">
        <v>1378</v>
      </c>
      <c r="G505" s="128" t="s">
        <v>2171</v>
      </c>
      <c r="H505" s="342">
        <v>18.0</v>
      </c>
      <c r="I505" s="342"/>
      <c r="J505" s="331" t="s">
        <v>2065</v>
      </c>
      <c r="K505" s="34" t="s">
        <v>2195</v>
      </c>
      <c r="L505" s="12" t="s">
        <v>51</v>
      </c>
      <c r="M505" s="19"/>
      <c r="N505" s="19"/>
      <c r="O505" s="34" t="s">
        <v>1424</v>
      </c>
      <c r="P505" s="269" t="s">
        <v>1432</v>
      </c>
    </row>
    <row r="506" hidden="1">
      <c r="A506" s="128">
        <v>8.0</v>
      </c>
      <c r="B506" s="341" t="s">
        <v>2232</v>
      </c>
      <c r="C506" s="128" t="s">
        <v>80</v>
      </c>
      <c r="D506" s="128" t="s">
        <v>2233</v>
      </c>
      <c r="E506" s="128" t="s">
        <v>2234</v>
      </c>
      <c r="F506" s="128" t="s">
        <v>356</v>
      </c>
      <c r="G506" s="128" t="s">
        <v>2235</v>
      </c>
      <c r="H506" s="342">
        <v>19.0</v>
      </c>
      <c r="I506" s="342"/>
      <c r="J506" s="34" t="s">
        <v>2236</v>
      </c>
      <c r="K506" s="34" t="s">
        <v>2237</v>
      </c>
      <c r="L506" s="12" t="s">
        <v>51</v>
      </c>
      <c r="M506" s="19"/>
      <c r="N506" s="19"/>
      <c r="O506" s="148">
        <v>45666.0</v>
      </c>
      <c r="P506" s="269" t="s">
        <v>1432</v>
      </c>
    </row>
    <row r="507" hidden="1">
      <c r="A507" s="128">
        <v>9.0</v>
      </c>
      <c r="B507" s="341" t="s">
        <v>2238</v>
      </c>
      <c r="C507" s="128" t="s">
        <v>80</v>
      </c>
      <c r="D507" s="128" t="s">
        <v>2239</v>
      </c>
      <c r="E507" s="310" t="s">
        <v>2240</v>
      </c>
      <c r="F507" s="128" t="s">
        <v>2241</v>
      </c>
      <c r="G507" s="128" t="s">
        <v>2171</v>
      </c>
      <c r="H507" s="342">
        <v>18.0</v>
      </c>
      <c r="I507" s="342"/>
      <c r="J507" s="34" t="s">
        <v>186</v>
      </c>
      <c r="K507" s="34" t="s">
        <v>2184</v>
      </c>
      <c r="L507" s="12" t="s">
        <v>100</v>
      </c>
      <c r="M507" s="19"/>
      <c r="N507" s="19"/>
      <c r="O507" s="148">
        <v>46365.0</v>
      </c>
      <c r="P507" s="269" t="s">
        <v>1432</v>
      </c>
    </row>
    <row r="508" hidden="1">
      <c r="A508" s="128">
        <v>10.0</v>
      </c>
      <c r="B508" s="341" t="s">
        <v>2242</v>
      </c>
      <c r="C508" s="128" t="s">
        <v>80</v>
      </c>
      <c r="D508" s="128" t="s">
        <v>2243</v>
      </c>
      <c r="E508" s="310" t="s">
        <v>2244</v>
      </c>
      <c r="F508" s="128" t="s">
        <v>2241</v>
      </c>
      <c r="G508" s="128" t="s">
        <v>2235</v>
      </c>
      <c r="H508" s="342">
        <v>19.0</v>
      </c>
      <c r="I508" s="342"/>
      <c r="J508" s="34" t="s">
        <v>186</v>
      </c>
      <c r="K508" s="34" t="s">
        <v>2184</v>
      </c>
      <c r="L508" s="12" t="s">
        <v>100</v>
      </c>
      <c r="M508" s="19"/>
      <c r="N508" s="19"/>
      <c r="O508" s="148">
        <v>46365.0</v>
      </c>
      <c r="P508" s="269" t="s">
        <v>1432</v>
      </c>
    </row>
    <row r="509" ht="15.0" hidden="1" customHeight="1">
      <c r="A509" s="128">
        <v>11.0</v>
      </c>
      <c r="B509" s="341" t="s">
        <v>2245</v>
      </c>
      <c r="C509" s="128" t="s">
        <v>80</v>
      </c>
      <c r="D509" s="128" t="s">
        <v>2246</v>
      </c>
      <c r="E509" s="310" t="s">
        <v>2247</v>
      </c>
      <c r="F509" s="128" t="s">
        <v>2241</v>
      </c>
      <c r="G509" s="128" t="s">
        <v>2235</v>
      </c>
      <c r="H509" s="342">
        <v>19.0</v>
      </c>
      <c r="I509" s="342"/>
      <c r="J509" s="34" t="s">
        <v>186</v>
      </c>
      <c r="K509" s="34" t="s">
        <v>2184</v>
      </c>
      <c r="L509" s="12" t="s">
        <v>100</v>
      </c>
      <c r="M509" s="19"/>
      <c r="N509" s="19"/>
      <c r="O509" s="148">
        <v>46365.0</v>
      </c>
      <c r="P509" s="269" t="s">
        <v>1432</v>
      </c>
    </row>
    <row r="510" hidden="1">
      <c r="A510" s="128">
        <v>12.0</v>
      </c>
      <c r="B510" s="341" t="s">
        <v>2248</v>
      </c>
      <c r="C510" s="128" t="s">
        <v>80</v>
      </c>
      <c r="D510" s="128" t="s">
        <v>2249</v>
      </c>
      <c r="E510" s="128" t="s">
        <v>2250</v>
      </c>
      <c r="F510" s="128" t="s">
        <v>838</v>
      </c>
      <c r="G510" s="128" t="s">
        <v>2235</v>
      </c>
      <c r="H510" s="342">
        <v>19.0</v>
      </c>
      <c r="I510" s="342"/>
      <c r="J510" s="34" t="s">
        <v>186</v>
      </c>
      <c r="K510" s="71">
        <v>45697.0</v>
      </c>
      <c r="L510" s="12" t="s">
        <v>374</v>
      </c>
      <c r="M510" s="19"/>
      <c r="N510" s="19"/>
      <c r="O510" s="148">
        <v>45817.0</v>
      </c>
      <c r="P510" s="269" t="s">
        <v>1432</v>
      </c>
    </row>
    <row r="511" hidden="1">
      <c r="A511" s="128">
        <v>13.0</v>
      </c>
      <c r="B511" s="344" t="s">
        <v>2251</v>
      </c>
      <c r="C511" s="128" t="s">
        <v>80</v>
      </c>
      <c r="D511" s="128" t="s">
        <v>2252</v>
      </c>
      <c r="E511" s="310" t="s">
        <v>2253</v>
      </c>
      <c r="F511" s="128" t="s">
        <v>1378</v>
      </c>
      <c r="G511" s="128" t="s">
        <v>2235</v>
      </c>
      <c r="H511" s="342">
        <v>19.0</v>
      </c>
      <c r="I511" s="342"/>
      <c r="J511" s="331" t="s">
        <v>2065</v>
      </c>
      <c r="K511" s="34" t="s">
        <v>2195</v>
      </c>
      <c r="L511" s="14"/>
      <c r="M511" s="19"/>
      <c r="N511" s="19"/>
      <c r="O511" s="34" t="s">
        <v>1862</v>
      </c>
      <c r="P511" s="269" t="s">
        <v>1432</v>
      </c>
    </row>
    <row r="512" hidden="1">
      <c r="A512" s="128">
        <v>14.0</v>
      </c>
      <c r="B512" s="341" t="s">
        <v>2254</v>
      </c>
      <c r="C512" s="128" t="s">
        <v>867</v>
      </c>
      <c r="D512" s="128" t="s">
        <v>2255</v>
      </c>
      <c r="E512" s="128" t="s">
        <v>2256</v>
      </c>
      <c r="F512" s="128" t="s">
        <v>310</v>
      </c>
      <c r="G512" s="128" t="s">
        <v>2235</v>
      </c>
      <c r="H512" s="342">
        <v>19.0</v>
      </c>
      <c r="I512" s="342"/>
      <c r="J512" s="34" t="s">
        <v>186</v>
      </c>
      <c r="L512" s="12" t="s">
        <v>1460</v>
      </c>
      <c r="M512" s="19"/>
      <c r="N512" s="19"/>
      <c r="O512" s="34" t="s">
        <v>2032</v>
      </c>
      <c r="P512" s="269" t="s">
        <v>1432</v>
      </c>
    </row>
    <row r="513" hidden="1">
      <c r="A513" s="128">
        <v>15.0</v>
      </c>
      <c r="B513" s="341" t="s">
        <v>2257</v>
      </c>
      <c r="C513" s="128" t="s">
        <v>80</v>
      </c>
      <c r="D513" s="128" t="s">
        <v>2258</v>
      </c>
      <c r="E513" s="128" t="s">
        <v>2259</v>
      </c>
      <c r="F513" s="128" t="s">
        <v>243</v>
      </c>
      <c r="G513" s="128" t="s">
        <v>2235</v>
      </c>
      <c r="H513" s="342">
        <v>19.0</v>
      </c>
      <c r="I513" s="342"/>
      <c r="J513" s="277" t="s">
        <v>2260</v>
      </c>
      <c r="K513" s="34" t="s">
        <v>2261</v>
      </c>
      <c r="L513" s="12" t="s">
        <v>100</v>
      </c>
      <c r="M513" s="19"/>
      <c r="N513" s="19"/>
      <c r="O513" s="34" t="s">
        <v>71</v>
      </c>
      <c r="P513" s="269" t="s">
        <v>1432</v>
      </c>
    </row>
    <row r="514" hidden="1">
      <c r="A514" s="128">
        <v>16.0</v>
      </c>
      <c r="B514" s="341" t="s">
        <v>2262</v>
      </c>
      <c r="C514" s="128" t="s">
        <v>867</v>
      </c>
      <c r="D514" s="128" t="s">
        <v>2263</v>
      </c>
      <c r="E514" s="128" t="s">
        <v>2264</v>
      </c>
      <c r="F514" s="128" t="s">
        <v>2265</v>
      </c>
      <c r="G514" s="128" t="s">
        <v>2235</v>
      </c>
      <c r="H514" s="342">
        <v>19.0</v>
      </c>
      <c r="I514" s="342"/>
      <c r="J514" s="34" t="s">
        <v>51</v>
      </c>
      <c r="K514" s="34" t="s">
        <v>2266</v>
      </c>
      <c r="L514" s="12" t="s">
        <v>1460</v>
      </c>
      <c r="M514" s="19"/>
      <c r="N514" s="19"/>
      <c r="O514" s="71">
        <v>45756.0</v>
      </c>
      <c r="P514" s="269" t="s">
        <v>1432</v>
      </c>
    </row>
    <row r="515" hidden="1">
      <c r="A515" s="128">
        <v>17.0</v>
      </c>
      <c r="B515" s="341" t="s">
        <v>2267</v>
      </c>
      <c r="C515" s="128" t="s">
        <v>80</v>
      </c>
      <c r="D515" s="128" t="s">
        <v>2268</v>
      </c>
      <c r="E515" s="128" t="s">
        <v>2269</v>
      </c>
      <c r="F515" s="128" t="s">
        <v>356</v>
      </c>
      <c r="G515" s="128" t="s">
        <v>2210</v>
      </c>
      <c r="H515" s="342">
        <v>20.0</v>
      </c>
      <c r="I515" s="342"/>
      <c r="J515" s="34" t="s">
        <v>186</v>
      </c>
      <c r="K515" s="34" t="s">
        <v>2183</v>
      </c>
      <c r="L515" s="12" t="s">
        <v>1460</v>
      </c>
      <c r="M515" s="19"/>
      <c r="N515" s="19"/>
      <c r="O515" s="71">
        <v>45725.0</v>
      </c>
      <c r="P515" s="269" t="s">
        <v>1432</v>
      </c>
    </row>
    <row r="516" hidden="1">
      <c r="A516" s="128">
        <v>18.0</v>
      </c>
      <c r="B516" s="341" t="s">
        <v>2270</v>
      </c>
      <c r="C516" s="128" t="s">
        <v>80</v>
      </c>
      <c r="D516" s="128" t="s">
        <v>2271</v>
      </c>
      <c r="E516" s="128" t="s">
        <v>2272</v>
      </c>
      <c r="F516" s="128" t="s">
        <v>356</v>
      </c>
      <c r="G516" s="128" t="s">
        <v>2210</v>
      </c>
      <c r="H516" s="342">
        <v>20.0</v>
      </c>
      <c r="I516" s="342"/>
      <c r="J516" s="34" t="s">
        <v>186</v>
      </c>
      <c r="K516" s="34" t="s">
        <v>2195</v>
      </c>
      <c r="L516" s="14"/>
      <c r="M516" s="19"/>
      <c r="N516" s="19"/>
      <c r="O516" s="34" t="s">
        <v>1595</v>
      </c>
      <c r="P516" s="269" t="s">
        <v>1432</v>
      </c>
    </row>
    <row r="517" hidden="1">
      <c r="A517" s="128">
        <v>19.0</v>
      </c>
      <c r="B517" s="337" t="s">
        <v>2273</v>
      </c>
      <c r="C517" s="128" t="s">
        <v>80</v>
      </c>
      <c r="D517" s="128" t="s">
        <v>2274</v>
      </c>
      <c r="E517" s="128" t="s">
        <v>2275</v>
      </c>
      <c r="F517" s="128" t="s">
        <v>403</v>
      </c>
      <c r="G517" s="128" t="s">
        <v>2276</v>
      </c>
      <c r="H517" s="342">
        <v>21.0</v>
      </c>
      <c r="I517" s="342"/>
      <c r="J517" s="34" t="s">
        <v>186</v>
      </c>
      <c r="K517" s="34" t="s">
        <v>2149</v>
      </c>
      <c r="L517" s="12" t="s">
        <v>100</v>
      </c>
      <c r="M517" s="19"/>
      <c r="N517" s="19"/>
      <c r="O517" s="34" t="s">
        <v>2032</v>
      </c>
      <c r="P517" s="269" t="s">
        <v>1432</v>
      </c>
    </row>
    <row r="518" hidden="1">
      <c r="A518" s="128">
        <v>20.0</v>
      </c>
      <c r="B518" s="341" t="s">
        <v>2277</v>
      </c>
      <c r="C518" s="128" t="s">
        <v>80</v>
      </c>
      <c r="D518" s="128" t="s">
        <v>2278</v>
      </c>
      <c r="E518" s="310" t="s">
        <v>2279</v>
      </c>
      <c r="F518" s="128" t="s">
        <v>2280</v>
      </c>
      <c r="G518" s="128" t="s">
        <v>2281</v>
      </c>
      <c r="H518" s="342">
        <v>23.0</v>
      </c>
      <c r="I518" s="342"/>
      <c r="J518" s="34" t="s">
        <v>186</v>
      </c>
      <c r="K518" s="34" t="s">
        <v>2079</v>
      </c>
      <c r="L518" s="14"/>
      <c r="M518" s="19"/>
      <c r="N518" s="19"/>
      <c r="O518" s="34" t="s">
        <v>2032</v>
      </c>
      <c r="P518" s="269" t="s">
        <v>1432</v>
      </c>
    </row>
    <row r="519" hidden="1">
      <c r="A519" s="128">
        <v>21.0</v>
      </c>
      <c r="B519" s="341" t="s">
        <v>2282</v>
      </c>
      <c r="C519" s="128" t="s">
        <v>80</v>
      </c>
      <c r="D519" s="128" t="s">
        <v>2283</v>
      </c>
      <c r="E519" s="310" t="s">
        <v>2284</v>
      </c>
      <c r="F519" s="128" t="s">
        <v>2280</v>
      </c>
      <c r="G519" s="128" t="s">
        <v>2281</v>
      </c>
      <c r="H519" s="342">
        <v>23.0</v>
      </c>
      <c r="I519" s="342"/>
      <c r="J519" s="34" t="s">
        <v>186</v>
      </c>
      <c r="K519" s="34" t="s">
        <v>2079</v>
      </c>
      <c r="L519" s="14"/>
      <c r="M519" s="19"/>
      <c r="N519" s="19"/>
      <c r="O519" s="34" t="s">
        <v>2032</v>
      </c>
      <c r="P519" s="269" t="s">
        <v>1432</v>
      </c>
    </row>
    <row r="520" hidden="1">
      <c r="A520" s="128">
        <v>22.0</v>
      </c>
      <c r="B520" s="341" t="s">
        <v>2285</v>
      </c>
      <c r="C520" s="128" t="s">
        <v>80</v>
      </c>
      <c r="D520" s="128" t="s">
        <v>2286</v>
      </c>
      <c r="E520" s="310" t="s">
        <v>2287</v>
      </c>
      <c r="F520" s="128" t="s">
        <v>2288</v>
      </c>
      <c r="G520" s="128" t="s">
        <v>2281</v>
      </c>
      <c r="H520" s="342">
        <v>23.0</v>
      </c>
      <c r="I520" s="342"/>
      <c r="J520" s="34" t="s">
        <v>186</v>
      </c>
      <c r="K520" s="34" t="s">
        <v>2149</v>
      </c>
      <c r="L520" s="12" t="s">
        <v>374</v>
      </c>
      <c r="M520" s="19"/>
      <c r="N520" s="19"/>
      <c r="O520" s="148">
        <v>45970.0</v>
      </c>
      <c r="P520" s="269" t="s">
        <v>1432</v>
      </c>
    </row>
    <row r="521" hidden="1">
      <c r="A521" s="128">
        <v>23.0</v>
      </c>
      <c r="B521" s="341" t="s">
        <v>2289</v>
      </c>
      <c r="C521" s="128" t="s">
        <v>80</v>
      </c>
      <c r="D521" s="128" t="s">
        <v>2290</v>
      </c>
      <c r="E521" s="310" t="s">
        <v>2291</v>
      </c>
      <c r="F521" s="128" t="s">
        <v>2288</v>
      </c>
      <c r="G521" s="128" t="s">
        <v>2281</v>
      </c>
      <c r="H521" s="342">
        <v>23.0</v>
      </c>
      <c r="I521" s="342"/>
      <c r="J521" s="34" t="s">
        <v>186</v>
      </c>
      <c r="L521" s="12" t="s">
        <v>374</v>
      </c>
      <c r="M521" s="19"/>
      <c r="N521" s="19"/>
      <c r="O521" s="148">
        <v>45971.0</v>
      </c>
      <c r="P521" s="269" t="s">
        <v>1432</v>
      </c>
    </row>
    <row r="522" hidden="1">
      <c r="A522" s="128">
        <v>24.0</v>
      </c>
      <c r="B522" s="341" t="s">
        <v>2292</v>
      </c>
      <c r="C522" s="128" t="s">
        <v>80</v>
      </c>
      <c r="D522" s="128" t="s">
        <v>2293</v>
      </c>
      <c r="E522" s="128" t="s">
        <v>2294</v>
      </c>
      <c r="F522" s="128" t="s">
        <v>2295</v>
      </c>
      <c r="G522" s="128" t="s">
        <v>2281</v>
      </c>
      <c r="H522" s="342">
        <v>23.0</v>
      </c>
      <c r="I522" s="342"/>
      <c r="J522" s="34" t="s">
        <v>374</v>
      </c>
      <c r="K522" s="19"/>
      <c r="L522" s="12" t="s">
        <v>374</v>
      </c>
      <c r="M522" s="19"/>
      <c r="N522" s="19"/>
      <c r="O522" s="71">
        <v>45909.0</v>
      </c>
      <c r="P522" s="269" t="s">
        <v>1432</v>
      </c>
    </row>
    <row r="523" hidden="1">
      <c r="A523" s="128">
        <v>25.0</v>
      </c>
      <c r="B523" s="341" t="s">
        <v>2296</v>
      </c>
      <c r="C523" s="128" t="s">
        <v>80</v>
      </c>
      <c r="D523" s="128" t="s">
        <v>2297</v>
      </c>
      <c r="E523" s="128" t="s">
        <v>2298</v>
      </c>
      <c r="F523" s="128" t="s">
        <v>1793</v>
      </c>
      <c r="G523" s="128" t="s">
        <v>2116</v>
      </c>
      <c r="H523" s="342">
        <v>16.0</v>
      </c>
      <c r="I523" s="342"/>
      <c r="J523" s="34" t="s">
        <v>51</v>
      </c>
      <c r="K523" s="34" t="s">
        <v>2299</v>
      </c>
      <c r="L523" s="12" t="s">
        <v>374</v>
      </c>
      <c r="M523" s="19"/>
      <c r="N523" s="19"/>
      <c r="O523" s="34" t="s">
        <v>1974</v>
      </c>
      <c r="P523" s="269" t="s">
        <v>1432</v>
      </c>
    </row>
    <row r="524" hidden="1">
      <c r="A524" s="128">
        <v>26.0</v>
      </c>
      <c r="B524" s="341" t="s">
        <v>2300</v>
      </c>
      <c r="C524" s="140"/>
      <c r="D524" s="128" t="s">
        <v>2301</v>
      </c>
      <c r="E524" s="128" t="s">
        <v>2302</v>
      </c>
      <c r="F524" s="128" t="s">
        <v>356</v>
      </c>
      <c r="G524" s="128" t="s">
        <v>2276</v>
      </c>
      <c r="H524" s="342">
        <v>26.0</v>
      </c>
      <c r="I524" s="342"/>
      <c r="J524" s="34" t="s">
        <v>2236</v>
      </c>
      <c r="K524" s="34" t="s">
        <v>2237</v>
      </c>
      <c r="L524" s="12" t="s">
        <v>51</v>
      </c>
      <c r="M524" s="19"/>
      <c r="N524" s="19"/>
      <c r="O524" s="148">
        <v>45697.0</v>
      </c>
      <c r="P524" s="269" t="s">
        <v>1432</v>
      </c>
    </row>
    <row r="525" hidden="1">
      <c r="A525" s="128">
        <v>27.0</v>
      </c>
      <c r="B525" s="341" t="s">
        <v>2303</v>
      </c>
      <c r="C525" s="128" t="s">
        <v>80</v>
      </c>
      <c r="D525" s="128" t="s">
        <v>2304</v>
      </c>
      <c r="E525" s="128" t="s">
        <v>2305</v>
      </c>
      <c r="F525" s="128" t="s">
        <v>232</v>
      </c>
      <c r="G525" s="128" t="s">
        <v>2276</v>
      </c>
      <c r="H525" s="342">
        <v>26.0</v>
      </c>
      <c r="I525" s="342"/>
      <c r="J525" s="34" t="s">
        <v>2236</v>
      </c>
      <c r="K525" s="34" t="s">
        <v>2183</v>
      </c>
      <c r="L525" s="12" t="s">
        <v>51</v>
      </c>
      <c r="M525" s="19"/>
      <c r="N525" s="19"/>
      <c r="O525" s="148">
        <v>45697.0</v>
      </c>
      <c r="P525" s="269" t="s">
        <v>1432</v>
      </c>
    </row>
    <row r="526" hidden="1">
      <c r="A526" s="128">
        <v>28.0</v>
      </c>
      <c r="B526" s="341" t="s">
        <v>2306</v>
      </c>
      <c r="C526" s="319" t="s">
        <v>2307</v>
      </c>
      <c r="D526" s="128" t="s">
        <v>2308</v>
      </c>
      <c r="E526" s="128" t="s">
        <v>2309</v>
      </c>
      <c r="F526" s="128" t="s">
        <v>2310</v>
      </c>
      <c r="G526" s="128" t="s">
        <v>2281</v>
      </c>
      <c r="H526" s="342">
        <v>28.0</v>
      </c>
      <c r="I526" s="342"/>
      <c r="J526" s="34" t="s">
        <v>186</v>
      </c>
      <c r="K526" s="34" t="s">
        <v>2311</v>
      </c>
      <c r="L526" s="12" t="s">
        <v>100</v>
      </c>
      <c r="M526" s="19"/>
      <c r="N526" s="19"/>
      <c r="O526" s="148">
        <v>45697.0</v>
      </c>
      <c r="P526" s="269" t="s">
        <v>1432</v>
      </c>
    </row>
    <row r="527" hidden="1">
      <c r="A527" s="128">
        <v>29.0</v>
      </c>
      <c r="B527" s="341" t="s">
        <v>2312</v>
      </c>
      <c r="C527" s="128" t="s">
        <v>80</v>
      </c>
      <c r="D527" s="128" t="s">
        <v>2313</v>
      </c>
      <c r="E527" s="128" t="s">
        <v>2314</v>
      </c>
      <c r="F527" s="128" t="s">
        <v>2315</v>
      </c>
      <c r="G527" s="128" t="s">
        <v>2316</v>
      </c>
      <c r="H527" s="342">
        <v>30.0</v>
      </c>
      <c r="I527" s="342"/>
      <c r="J527" s="34" t="s">
        <v>2236</v>
      </c>
      <c r="K527" s="34" t="s">
        <v>2149</v>
      </c>
      <c r="L527" s="12" t="s">
        <v>51</v>
      </c>
      <c r="M527" s="19"/>
      <c r="N527" s="19"/>
      <c r="O527" s="34" t="s">
        <v>71</v>
      </c>
      <c r="P527" s="269" t="s">
        <v>1432</v>
      </c>
    </row>
    <row r="528" hidden="1">
      <c r="A528" s="128">
        <v>30.0</v>
      </c>
      <c r="B528" s="341" t="s">
        <v>2317</v>
      </c>
      <c r="C528" s="128" t="s">
        <v>80</v>
      </c>
      <c r="D528" s="128" t="s">
        <v>2318</v>
      </c>
      <c r="E528" s="128" t="s">
        <v>2319</v>
      </c>
      <c r="F528" s="128" t="s">
        <v>232</v>
      </c>
      <c r="G528" s="128" t="s">
        <v>2316</v>
      </c>
      <c r="H528" s="342">
        <v>30.0</v>
      </c>
      <c r="I528" s="342"/>
      <c r="J528" s="34" t="s">
        <v>2236</v>
      </c>
      <c r="K528" s="143" t="s">
        <v>2237</v>
      </c>
      <c r="L528" s="12" t="s">
        <v>51</v>
      </c>
      <c r="M528" s="19"/>
      <c r="N528" s="19"/>
      <c r="O528" s="148">
        <v>45666.0</v>
      </c>
      <c r="P528" s="269" t="s">
        <v>1432</v>
      </c>
    </row>
    <row r="529" hidden="1">
      <c r="A529" s="128">
        <v>31.0</v>
      </c>
      <c r="B529" s="341" t="s">
        <v>2320</v>
      </c>
      <c r="C529" s="128" t="s">
        <v>80</v>
      </c>
      <c r="D529" s="128" t="s">
        <v>2321</v>
      </c>
      <c r="E529" s="310" t="s">
        <v>2322</v>
      </c>
      <c r="F529" s="128" t="s">
        <v>256</v>
      </c>
      <c r="G529" s="128" t="s">
        <v>2281</v>
      </c>
      <c r="H529" s="342">
        <v>28.0</v>
      </c>
      <c r="I529" s="342"/>
      <c r="J529" s="331" t="s">
        <v>2065</v>
      </c>
      <c r="K529" s="34" t="s">
        <v>2031</v>
      </c>
      <c r="L529" s="12" t="s">
        <v>100</v>
      </c>
      <c r="M529" s="19"/>
      <c r="N529" s="19"/>
      <c r="O529" s="34" t="s">
        <v>71</v>
      </c>
      <c r="P529" s="269" t="s">
        <v>1432</v>
      </c>
    </row>
    <row r="530" hidden="1">
      <c r="A530" s="128">
        <v>32.0</v>
      </c>
      <c r="B530" s="341" t="s">
        <v>2323</v>
      </c>
      <c r="C530" s="128" t="s">
        <v>80</v>
      </c>
      <c r="D530" s="128" t="s">
        <v>2324</v>
      </c>
      <c r="E530" s="310" t="s">
        <v>2325</v>
      </c>
      <c r="F530" s="128" t="s">
        <v>256</v>
      </c>
      <c r="G530" s="128" t="s">
        <v>2281</v>
      </c>
      <c r="H530" s="342">
        <v>28.0</v>
      </c>
      <c r="I530" s="342"/>
      <c r="J530" s="331" t="s">
        <v>2065</v>
      </c>
      <c r="K530" s="34" t="s">
        <v>2031</v>
      </c>
      <c r="L530" s="12" t="s">
        <v>100</v>
      </c>
      <c r="M530" s="19"/>
      <c r="N530" s="19"/>
      <c r="O530" s="34" t="s">
        <v>71</v>
      </c>
      <c r="P530" s="269" t="s">
        <v>1432</v>
      </c>
    </row>
    <row r="531" hidden="1">
      <c r="A531" s="128">
        <v>33.0</v>
      </c>
      <c r="B531" s="341" t="s">
        <v>2326</v>
      </c>
      <c r="C531" s="128" t="s">
        <v>80</v>
      </c>
      <c r="D531" s="128" t="s">
        <v>2327</v>
      </c>
      <c r="E531" s="128" t="s">
        <v>2328</v>
      </c>
      <c r="F531" s="128" t="s">
        <v>356</v>
      </c>
      <c r="G531" s="128" t="s">
        <v>2329</v>
      </c>
      <c r="H531" s="342">
        <v>29.0</v>
      </c>
      <c r="I531" s="342"/>
      <c r="J531" s="34" t="s">
        <v>2236</v>
      </c>
      <c r="K531" s="34" t="s">
        <v>2149</v>
      </c>
      <c r="L531" s="12" t="s">
        <v>374</v>
      </c>
      <c r="M531" s="19"/>
      <c r="N531" s="19"/>
      <c r="O531" s="71">
        <v>45786.0</v>
      </c>
      <c r="P531" s="269" t="s">
        <v>1432</v>
      </c>
    </row>
    <row r="532" hidden="1">
      <c r="A532" s="128">
        <v>34.0</v>
      </c>
      <c r="B532" s="341" t="s">
        <v>2330</v>
      </c>
      <c r="C532" s="128" t="s">
        <v>80</v>
      </c>
      <c r="D532" s="128" t="s">
        <v>2331</v>
      </c>
      <c r="E532" s="128" t="s">
        <v>2332</v>
      </c>
      <c r="F532" s="128" t="s">
        <v>356</v>
      </c>
      <c r="G532" s="128" t="s">
        <v>2329</v>
      </c>
      <c r="H532" s="342">
        <v>29.0</v>
      </c>
      <c r="I532" s="342"/>
      <c r="J532" s="34" t="s">
        <v>2236</v>
      </c>
      <c r="K532" s="34" t="s">
        <v>2184</v>
      </c>
      <c r="L532" s="12" t="s">
        <v>51</v>
      </c>
      <c r="M532" s="19"/>
      <c r="N532" s="19"/>
      <c r="O532" s="71">
        <v>45878.0</v>
      </c>
      <c r="P532" s="269" t="s">
        <v>1432</v>
      </c>
    </row>
    <row r="533" hidden="1">
      <c r="A533" s="128">
        <v>35.0</v>
      </c>
      <c r="B533" s="341" t="s">
        <v>2333</v>
      </c>
      <c r="C533" s="128" t="s">
        <v>80</v>
      </c>
      <c r="D533" s="128" t="s">
        <v>2334</v>
      </c>
      <c r="E533" s="128" t="s">
        <v>2335</v>
      </c>
      <c r="F533" s="128" t="s">
        <v>160</v>
      </c>
      <c r="G533" s="128" t="s">
        <v>2329</v>
      </c>
      <c r="H533" s="342">
        <v>29.0</v>
      </c>
      <c r="I533" s="342"/>
      <c r="J533" s="34" t="s">
        <v>2065</v>
      </c>
      <c r="K533" s="34" t="s">
        <v>2261</v>
      </c>
      <c r="L533" s="12" t="s">
        <v>51</v>
      </c>
      <c r="M533" s="19"/>
      <c r="N533" s="19"/>
      <c r="O533" s="71">
        <v>45756.0</v>
      </c>
      <c r="P533" s="269" t="s">
        <v>1432</v>
      </c>
    </row>
    <row r="534" hidden="1">
      <c r="A534" s="128">
        <v>36.0</v>
      </c>
      <c r="B534" s="341" t="s">
        <v>2336</v>
      </c>
      <c r="C534" s="128" t="s">
        <v>80</v>
      </c>
      <c r="D534" s="128" t="s">
        <v>2337</v>
      </c>
      <c r="E534" s="128" t="s">
        <v>2338</v>
      </c>
      <c r="F534" s="128" t="s">
        <v>356</v>
      </c>
      <c r="G534" s="128" t="s">
        <v>2329</v>
      </c>
      <c r="H534" s="342">
        <v>29.0</v>
      </c>
      <c r="I534" s="342"/>
      <c r="J534" s="34" t="s">
        <v>2065</v>
      </c>
      <c r="K534" s="34" t="s">
        <v>2261</v>
      </c>
      <c r="L534" s="12" t="s">
        <v>374</v>
      </c>
      <c r="M534" s="19"/>
      <c r="N534" s="19"/>
      <c r="O534" s="71">
        <v>45878.0</v>
      </c>
      <c r="P534" s="269" t="s">
        <v>1432</v>
      </c>
    </row>
    <row r="535" hidden="1">
      <c r="A535" s="128">
        <v>37.0</v>
      </c>
      <c r="B535" s="341" t="s">
        <v>2339</v>
      </c>
      <c r="C535" s="128" t="s">
        <v>80</v>
      </c>
      <c r="D535" s="128" t="s">
        <v>2340</v>
      </c>
      <c r="E535" s="128" t="s">
        <v>2341</v>
      </c>
      <c r="F535" s="128" t="s">
        <v>137</v>
      </c>
      <c r="G535" s="128" t="s">
        <v>2329</v>
      </c>
      <c r="H535" s="342">
        <v>29.0</v>
      </c>
      <c r="I535" s="342"/>
      <c r="J535" s="34" t="s">
        <v>2236</v>
      </c>
      <c r="K535" s="34" t="s">
        <v>2237</v>
      </c>
      <c r="L535" s="14"/>
      <c r="M535" s="19"/>
      <c r="N535" s="19"/>
      <c r="O535" s="34" t="s">
        <v>1974</v>
      </c>
      <c r="P535" s="269" t="s">
        <v>1432</v>
      </c>
    </row>
    <row r="536" hidden="1">
      <c r="A536" s="128">
        <v>38.0</v>
      </c>
      <c r="B536" s="341" t="s">
        <v>2342</v>
      </c>
      <c r="C536" s="128" t="s">
        <v>80</v>
      </c>
      <c r="D536" s="128" t="s">
        <v>2343</v>
      </c>
      <c r="E536" s="310" t="s">
        <v>2344</v>
      </c>
      <c r="F536" s="128" t="s">
        <v>2345</v>
      </c>
      <c r="G536" s="128" t="s">
        <v>2329</v>
      </c>
      <c r="H536" s="342">
        <v>29.0</v>
      </c>
      <c r="I536" s="342"/>
      <c r="J536" s="331" t="s">
        <v>2065</v>
      </c>
      <c r="K536" s="34" t="s">
        <v>2195</v>
      </c>
      <c r="L536" s="12" t="s">
        <v>100</v>
      </c>
      <c r="M536" s="19"/>
      <c r="N536" s="19"/>
      <c r="O536" s="71">
        <v>45817.0</v>
      </c>
      <c r="P536" s="269" t="s">
        <v>1432</v>
      </c>
    </row>
    <row r="537" hidden="1">
      <c r="A537" s="128">
        <v>39.0</v>
      </c>
      <c r="B537" s="341" t="s">
        <v>2346</v>
      </c>
      <c r="C537" s="128" t="s">
        <v>80</v>
      </c>
      <c r="D537" s="128" t="s">
        <v>2347</v>
      </c>
      <c r="E537" s="310" t="s">
        <v>2348</v>
      </c>
      <c r="F537" s="128" t="s">
        <v>2345</v>
      </c>
      <c r="G537" s="128" t="s">
        <v>2329</v>
      </c>
      <c r="H537" s="342">
        <v>29.0</v>
      </c>
      <c r="I537" s="342"/>
      <c r="J537" s="331" t="s">
        <v>2065</v>
      </c>
      <c r="K537" s="34" t="s">
        <v>2195</v>
      </c>
      <c r="L537" s="12" t="s">
        <v>100</v>
      </c>
      <c r="M537" s="19"/>
      <c r="N537" s="19"/>
      <c r="O537" s="71">
        <v>45818.0</v>
      </c>
      <c r="P537" s="269" t="s">
        <v>1432</v>
      </c>
    </row>
    <row r="538" hidden="1">
      <c r="A538" s="128">
        <v>40.0</v>
      </c>
      <c r="B538" s="341" t="s">
        <v>2349</v>
      </c>
      <c r="C538" s="128" t="s">
        <v>80</v>
      </c>
      <c r="D538" s="128" t="s">
        <v>2350</v>
      </c>
      <c r="E538" s="128" t="s">
        <v>2351</v>
      </c>
      <c r="F538" s="128" t="s">
        <v>228</v>
      </c>
      <c r="G538" s="128" t="s">
        <v>2329</v>
      </c>
      <c r="H538" s="342">
        <v>29.0</v>
      </c>
      <c r="I538" s="342"/>
      <c r="J538" s="331" t="s">
        <v>2065</v>
      </c>
      <c r="K538" s="34" t="s">
        <v>2261</v>
      </c>
      <c r="L538" s="12" t="s">
        <v>374</v>
      </c>
      <c r="M538" s="19"/>
      <c r="N538" s="19"/>
      <c r="O538" s="71">
        <v>45756.0</v>
      </c>
      <c r="P538" s="269" t="s">
        <v>1432</v>
      </c>
    </row>
    <row r="539" hidden="1">
      <c r="A539" s="128">
        <v>42.0</v>
      </c>
      <c r="B539" s="341" t="s">
        <v>2352</v>
      </c>
      <c r="C539" s="128" t="s">
        <v>867</v>
      </c>
      <c r="D539" s="128" t="s">
        <v>2353</v>
      </c>
      <c r="E539" s="128" t="s">
        <v>2354</v>
      </c>
      <c r="F539" s="128" t="s">
        <v>25</v>
      </c>
      <c r="G539" s="346" t="s">
        <v>2210</v>
      </c>
      <c r="H539" s="342">
        <v>25.0</v>
      </c>
      <c r="I539" s="342"/>
      <c r="J539" s="34" t="s">
        <v>2065</v>
      </c>
      <c r="K539" s="34" t="s">
        <v>2184</v>
      </c>
      <c r="L539" s="12" t="s">
        <v>374</v>
      </c>
      <c r="M539" s="19"/>
      <c r="N539" s="19"/>
      <c r="O539" s="71">
        <v>45725.0</v>
      </c>
      <c r="P539" s="269" t="s">
        <v>1432</v>
      </c>
    </row>
    <row r="540" ht="15.0" hidden="1" customHeight="1">
      <c r="A540" s="128">
        <v>41.0</v>
      </c>
      <c r="B540" s="341" t="s">
        <v>2355</v>
      </c>
      <c r="C540" s="128" t="s">
        <v>867</v>
      </c>
      <c r="D540" s="128" t="s">
        <v>2356</v>
      </c>
      <c r="E540" s="128" t="s">
        <v>2357</v>
      </c>
      <c r="F540" s="128" t="s">
        <v>25</v>
      </c>
      <c r="G540" s="128" t="s">
        <v>2316</v>
      </c>
      <c r="H540" s="342">
        <v>29.0</v>
      </c>
      <c r="I540" s="342"/>
      <c r="J540" s="34" t="s">
        <v>2065</v>
      </c>
      <c r="K540" s="71">
        <v>45725.0</v>
      </c>
      <c r="L540" s="12" t="s">
        <v>51</v>
      </c>
      <c r="M540" s="19"/>
      <c r="N540" s="19"/>
      <c r="O540" s="71">
        <v>45786.0</v>
      </c>
      <c r="P540" s="269" t="s">
        <v>1432</v>
      </c>
    </row>
    <row r="541" hidden="1">
      <c r="A541" s="347">
        <v>43.0</v>
      </c>
      <c r="B541" s="348" t="s">
        <v>2358</v>
      </c>
      <c r="C541" s="347" t="s">
        <v>80</v>
      </c>
      <c r="D541" s="347" t="s">
        <v>2359</v>
      </c>
      <c r="E541" s="347" t="s">
        <v>2360</v>
      </c>
      <c r="F541" s="347" t="s">
        <v>356</v>
      </c>
      <c r="G541" s="347" t="s">
        <v>2329</v>
      </c>
      <c r="H541" s="349">
        <v>24.0</v>
      </c>
      <c r="I541" s="349"/>
      <c r="J541" s="34" t="s">
        <v>2065</v>
      </c>
      <c r="K541" s="34" t="s">
        <v>2184</v>
      </c>
      <c r="L541" s="12" t="s">
        <v>51</v>
      </c>
      <c r="M541" s="87"/>
      <c r="N541" s="87"/>
      <c r="O541" s="350">
        <v>45666.0</v>
      </c>
      <c r="P541" s="269" t="s">
        <v>1432</v>
      </c>
      <c r="Q541" s="90"/>
      <c r="R541" s="90"/>
      <c r="S541" s="90"/>
      <c r="T541" s="90"/>
      <c r="U541" s="90"/>
      <c r="V541" s="90"/>
      <c r="W541" s="90"/>
      <c r="X541" s="90"/>
      <c r="Y541" s="90"/>
      <c r="Z541" s="90"/>
      <c r="AA541" s="90"/>
      <c r="AB541" s="90"/>
      <c r="AC541" s="90"/>
      <c r="AD541" s="90"/>
      <c r="AE541" s="90"/>
      <c r="AF541" s="90"/>
    </row>
    <row r="542" hidden="1">
      <c r="A542" s="128">
        <v>44.0</v>
      </c>
      <c r="B542" s="341" t="s">
        <v>2361</v>
      </c>
      <c r="C542" s="128" t="s">
        <v>867</v>
      </c>
      <c r="D542" s="128" t="s">
        <v>2362</v>
      </c>
      <c r="E542" s="128" t="s">
        <v>2363</v>
      </c>
      <c r="F542" s="128" t="s">
        <v>25</v>
      </c>
      <c r="G542" s="128" t="s">
        <v>2329</v>
      </c>
      <c r="H542" s="342">
        <v>29.0</v>
      </c>
      <c r="I542" s="342"/>
      <c r="J542" s="34" t="s">
        <v>2065</v>
      </c>
      <c r="K542" s="34" t="s">
        <v>2311</v>
      </c>
      <c r="L542" s="12" t="s">
        <v>51</v>
      </c>
      <c r="M542" s="19"/>
      <c r="N542" s="19"/>
      <c r="O542" s="71">
        <v>45878.0</v>
      </c>
      <c r="P542" s="269" t="s">
        <v>1432</v>
      </c>
      <c r="Q542" s="143" t="s">
        <v>2364</v>
      </c>
    </row>
    <row r="543" hidden="1">
      <c r="A543" s="128">
        <v>45.0</v>
      </c>
      <c r="B543" s="341" t="s">
        <v>2365</v>
      </c>
      <c r="C543" s="128" t="s">
        <v>867</v>
      </c>
      <c r="D543" s="128" t="s">
        <v>2366</v>
      </c>
      <c r="E543" s="128" t="s">
        <v>2367</v>
      </c>
      <c r="F543" s="128" t="s">
        <v>25</v>
      </c>
      <c r="G543" s="128" t="s">
        <v>2329</v>
      </c>
      <c r="H543" s="342">
        <v>29.0</v>
      </c>
      <c r="I543" s="342"/>
      <c r="J543" s="34" t="s">
        <v>2065</v>
      </c>
      <c r="K543" s="34" t="s">
        <v>2184</v>
      </c>
      <c r="L543" s="12" t="s">
        <v>51</v>
      </c>
      <c r="M543" s="19"/>
      <c r="N543" s="19"/>
      <c r="O543" s="71">
        <v>45817.0</v>
      </c>
      <c r="P543" s="269" t="s">
        <v>1432</v>
      </c>
    </row>
    <row r="544" hidden="1">
      <c r="A544" s="128">
        <v>46.0</v>
      </c>
      <c r="B544" s="341" t="s">
        <v>2368</v>
      </c>
      <c r="C544" s="128" t="s">
        <v>867</v>
      </c>
      <c r="D544" s="128" t="s">
        <v>2369</v>
      </c>
      <c r="E544" s="128" t="s">
        <v>2370</v>
      </c>
      <c r="F544" s="128" t="s">
        <v>25</v>
      </c>
      <c r="G544" s="128" t="s">
        <v>2329</v>
      </c>
      <c r="H544" s="342">
        <v>29.0</v>
      </c>
      <c r="I544" s="342"/>
      <c r="J544" s="34" t="s">
        <v>2065</v>
      </c>
      <c r="K544" s="34" t="s">
        <v>2184</v>
      </c>
      <c r="L544" s="12" t="s">
        <v>51</v>
      </c>
      <c r="M544" s="19"/>
      <c r="N544" s="19"/>
      <c r="O544" s="71">
        <v>45786.0</v>
      </c>
      <c r="P544" s="269" t="s">
        <v>1432</v>
      </c>
    </row>
    <row r="545" ht="14.25" hidden="1" customHeight="1">
      <c r="A545" s="128">
        <v>47.0</v>
      </c>
      <c r="B545" s="341" t="s">
        <v>2371</v>
      </c>
      <c r="C545" s="128" t="s">
        <v>867</v>
      </c>
      <c r="D545" s="128" t="s">
        <v>2372</v>
      </c>
      <c r="E545" s="128" t="s">
        <v>2373</v>
      </c>
      <c r="F545" s="128" t="s">
        <v>25</v>
      </c>
      <c r="G545" s="128" t="s">
        <v>2329</v>
      </c>
      <c r="H545" s="342">
        <v>29.0</v>
      </c>
      <c r="I545" s="342"/>
      <c r="J545" s="34" t="s">
        <v>186</v>
      </c>
      <c r="K545" s="34" t="s">
        <v>2311</v>
      </c>
      <c r="L545" s="12" t="s">
        <v>374</v>
      </c>
      <c r="M545" s="19"/>
      <c r="N545" s="19"/>
      <c r="O545" s="71">
        <v>45756.0</v>
      </c>
      <c r="P545" s="269" t="s">
        <v>1432</v>
      </c>
    </row>
    <row r="546" hidden="1">
      <c r="A546" s="128">
        <v>48.0</v>
      </c>
      <c r="B546" s="341" t="s">
        <v>2374</v>
      </c>
      <c r="C546" s="128" t="s">
        <v>867</v>
      </c>
      <c r="D546" s="128" t="s">
        <v>2375</v>
      </c>
      <c r="E546" s="128" t="s">
        <v>2376</v>
      </c>
      <c r="F546" s="128" t="s">
        <v>25</v>
      </c>
      <c r="G546" s="128" t="s">
        <v>2329</v>
      </c>
      <c r="H546" s="342">
        <v>29.0</v>
      </c>
      <c r="I546" s="342"/>
      <c r="J546" s="34" t="s">
        <v>186</v>
      </c>
      <c r="K546" s="34" t="s">
        <v>2311</v>
      </c>
      <c r="L546" s="12" t="s">
        <v>374</v>
      </c>
      <c r="M546" s="19"/>
      <c r="N546" s="19"/>
      <c r="O546" s="71">
        <v>45756.0</v>
      </c>
      <c r="P546" s="269" t="s">
        <v>1432</v>
      </c>
    </row>
    <row r="547" hidden="1">
      <c r="A547" s="339" t="s">
        <v>2377</v>
      </c>
      <c r="Q547" s="35"/>
      <c r="R547" s="35"/>
      <c r="S547" s="35"/>
      <c r="T547" s="35"/>
      <c r="U547" s="35"/>
      <c r="V547" s="35"/>
      <c r="W547" s="35"/>
      <c r="X547" s="35"/>
      <c r="Y547" s="35"/>
      <c r="Z547" s="35"/>
      <c r="AA547" s="35"/>
      <c r="AB547" s="35"/>
      <c r="AC547" s="35"/>
      <c r="AD547" s="35"/>
      <c r="AE547" s="35"/>
      <c r="AF547" s="35"/>
    </row>
    <row r="548" hidden="1">
      <c r="A548" s="351" t="s">
        <v>47</v>
      </c>
      <c r="B548" s="352" t="s">
        <v>7</v>
      </c>
      <c r="C548" s="352" t="s">
        <v>9</v>
      </c>
      <c r="D548" s="352" t="s">
        <v>10</v>
      </c>
      <c r="E548" s="352" t="s">
        <v>11</v>
      </c>
      <c r="F548" s="352" t="s">
        <v>12</v>
      </c>
      <c r="G548" s="352" t="s">
        <v>2378</v>
      </c>
      <c r="H548" s="28" t="s">
        <v>34</v>
      </c>
      <c r="I548" s="28"/>
      <c r="J548" s="8" t="s">
        <v>14</v>
      </c>
      <c r="K548" s="9" t="s">
        <v>16</v>
      </c>
      <c r="L548" s="9" t="s">
        <v>35</v>
      </c>
      <c r="M548" s="9" t="s">
        <v>18</v>
      </c>
      <c r="N548" s="9" t="s">
        <v>19</v>
      </c>
      <c r="O548" s="9" t="s">
        <v>20</v>
      </c>
      <c r="P548" s="9" t="s">
        <v>21</v>
      </c>
      <c r="Q548" s="353"/>
      <c r="R548" s="353"/>
      <c r="S548" s="353"/>
      <c r="T548" s="353"/>
      <c r="U548" s="353"/>
      <c r="V548" s="353"/>
      <c r="W548" s="353"/>
      <c r="X548" s="353"/>
      <c r="Y548" s="353"/>
      <c r="Z548" s="353"/>
      <c r="AA548" s="353"/>
      <c r="AB548" s="353"/>
      <c r="AC548" s="353"/>
      <c r="AD548" s="353"/>
      <c r="AE548" s="353"/>
      <c r="AF548" s="353"/>
    </row>
    <row r="549" hidden="1">
      <c r="A549" s="26">
        <v>1.0</v>
      </c>
      <c r="B549" s="26" t="s">
        <v>2379</v>
      </c>
      <c r="C549" s="319" t="s">
        <v>2380</v>
      </c>
      <c r="D549" s="29" t="s">
        <v>2381</v>
      </c>
      <c r="E549" s="29" t="s">
        <v>2382</v>
      </c>
      <c r="F549" s="354" t="s">
        <v>25</v>
      </c>
      <c r="G549" s="355" t="s">
        <v>2266</v>
      </c>
      <c r="H549" s="29">
        <v>19.0</v>
      </c>
      <c r="I549" s="29"/>
      <c r="J549" s="34" t="s">
        <v>2383</v>
      </c>
      <c r="K549" s="34" t="s">
        <v>2266</v>
      </c>
      <c r="L549" s="12" t="s">
        <v>51</v>
      </c>
      <c r="M549" s="19"/>
      <c r="N549" s="19"/>
      <c r="O549" s="71">
        <v>45878.0</v>
      </c>
      <c r="P549" s="269" t="s">
        <v>1432</v>
      </c>
    </row>
    <row r="550" hidden="1">
      <c r="A550" s="322">
        <v>2.0</v>
      </c>
      <c r="B550" s="322" t="s">
        <v>2384</v>
      </c>
      <c r="C550" s="325" t="s">
        <v>80</v>
      </c>
      <c r="D550" s="325" t="s">
        <v>2385</v>
      </c>
      <c r="E550" s="325" t="s">
        <v>2386</v>
      </c>
      <c r="F550" s="356" t="s">
        <v>207</v>
      </c>
      <c r="G550" s="325" t="s">
        <v>2316</v>
      </c>
      <c r="H550" s="325">
        <v>18.0</v>
      </c>
      <c r="I550" s="325"/>
      <c r="J550" s="287" t="s">
        <v>186</v>
      </c>
      <c r="K550" s="287" t="s">
        <v>1900</v>
      </c>
      <c r="L550" s="288"/>
      <c r="M550" s="289"/>
      <c r="N550" s="289"/>
      <c r="O550" s="287" t="s">
        <v>1636</v>
      </c>
      <c r="P550" s="269" t="s">
        <v>1432</v>
      </c>
      <c r="Q550" s="290"/>
      <c r="R550" s="290"/>
      <c r="S550" s="290"/>
      <c r="T550" s="290"/>
      <c r="U550" s="290"/>
      <c r="V550" s="290"/>
      <c r="W550" s="290"/>
      <c r="X550" s="290"/>
      <c r="Y550" s="290"/>
      <c r="Z550" s="290"/>
      <c r="AA550" s="290"/>
      <c r="AB550" s="290"/>
      <c r="AC550" s="290"/>
      <c r="AD550" s="290"/>
      <c r="AE550" s="290"/>
      <c r="AF550" s="290"/>
    </row>
    <row r="551" hidden="1">
      <c r="A551" s="26">
        <v>3.0</v>
      </c>
      <c r="B551" s="26" t="s">
        <v>2387</v>
      </c>
      <c r="C551" s="319" t="s">
        <v>80</v>
      </c>
      <c r="D551" s="29" t="s">
        <v>2388</v>
      </c>
      <c r="E551" s="357" t="s">
        <v>2389</v>
      </c>
      <c r="F551" s="354" t="s">
        <v>2390</v>
      </c>
      <c r="G551" s="358" t="s">
        <v>2281</v>
      </c>
      <c r="H551" s="29">
        <v>16.0</v>
      </c>
      <c r="I551" s="29"/>
      <c r="J551" s="34" t="s">
        <v>1640</v>
      </c>
      <c r="K551" s="34" t="s">
        <v>2184</v>
      </c>
      <c r="L551" s="12" t="s">
        <v>100</v>
      </c>
      <c r="M551" s="19"/>
      <c r="N551" s="19"/>
      <c r="O551" s="148">
        <v>45666.0</v>
      </c>
      <c r="P551" s="269" t="s">
        <v>1432</v>
      </c>
    </row>
    <row r="552" hidden="1">
      <c r="A552" s="26">
        <v>4.0</v>
      </c>
      <c r="B552" s="26" t="s">
        <v>2391</v>
      </c>
      <c r="C552" s="319" t="s">
        <v>80</v>
      </c>
      <c r="D552" s="33" t="s">
        <v>1025</v>
      </c>
      <c r="E552" s="357" t="s">
        <v>2392</v>
      </c>
      <c r="F552" s="354" t="s">
        <v>2390</v>
      </c>
      <c r="G552" s="359" t="s">
        <v>2393</v>
      </c>
      <c r="H552" s="29">
        <v>16.0</v>
      </c>
      <c r="I552" s="29"/>
      <c r="J552" s="34" t="s">
        <v>1640</v>
      </c>
      <c r="K552" s="34" t="s">
        <v>2184</v>
      </c>
      <c r="L552" s="12" t="s">
        <v>100</v>
      </c>
      <c r="M552" s="19"/>
      <c r="N552" s="19"/>
      <c r="O552" s="148">
        <v>45666.0</v>
      </c>
      <c r="P552" s="269" t="s">
        <v>1432</v>
      </c>
    </row>
    <row r="553" hidden="1">
      <c r="A553" s="322">
        <v>5.0</v>
      </c>
      <c r="B553" s="322" t="s">
        <v>2394</v>
      </c>
      <c r="C553" s="360" t="s">
        <v>2395</v>
      </c>
      <c r="D553" s="325" t="s">
        <v>2396</v>
      </c>
      <c r="E553" s="325" t="s">
        <v>2397</v>
      </c>
      <c r="F553" s="356" t="s">
        <v>349</v>
      </c>
      <c r="G553" s="361" t="s">
        <v>2064</v>
      </c>
      <c r="H553" s="361">
        <v>6.0</v>
      </c>
      <c r="I553" s="361"/>
      <c r="J553" s="287" t="s">
        <v>186</v>
      </c>
      <c r="K553" s="287" t="s">
        <v>1900</v>
      </c>
      <c r="L553" s="288"/>
      <c r="M553" s="289"/>
      <c r="N553" s="289"/>
      <c r="O553" s="287" t="s">
        <v>1636</v>
      </c>
      <c r="P553" s="362" t="s">
        <v>1798</v>
      </c>
      <c r="Q553" s="290"/>
      <c r="R553" s="290"/>
      <c r="S553" s="290"/>
      <c r="T553" s="290"/>
      <c r="U553" s="290"/>
      <c r="V553" s="290"/>
      <c r="W553" s="290"/>
      <c r="X553" s="290"/>
      <c r="Y553" s="290"/>
      <c r="Z553" s="290"/>
      <c r="AA553" s="290"/>
      <c r="AB553" s="290"/>
      <c r="AC553" s="290"/>
      <c r="AD553" s="290"/>
      <c r="AE553" s="290"/>
      <c r="AF553" s="290"/>
    </row>
    <row r="554" hidden="1">
      <c r="A554" s="26">
        <v>6.0</v>
      </c>
      <c r="B554" s="26" t="s">
        <v>2398</v>
      </c>
      <c r="C554" s="319" t="s">
        <v>80</v>
      </c>
      <c r="D554" s="29" t="s">
        <v>2399</v>
      </c>
      <c r="E554" s="29" t="s">
        <v>2400</v>
      </c>
      <c r="F554" s="354" t="s">
        <v>2401</v>
      </c>
      <c r="G554" s="29" t="s">
        <v>2316</v>
      </c>
      <c r="H554" s="29">
        <v>18.0</v>
      </c>
      <c r="I554" s="29"/>
      <c r="J554" s="34" t="s">
        <v>2383</v>
      </c>
      <c r="K554" s="34" t="s">
        <v>2266</v>
      </c>
      <c r="L554" s="12" t="s">
        <v>51</v>
      </c>
      <c r="M554" s="19"/>
      <c r="N554" s="19"/>
      <c r="O554" s="71">
        <v>45939.0</v>
      </c>
      <c r="P554" s="269" t="s">
        <v>1432</v>
      </c>
    </row>
    <row r="555" hidden="1">
      <c r="A555" s="26">
        <v>7.0</v>
      </c>
      <c r="B555" s="26" t="s">
        <v>2402</v>
      </c>
      <c r="C555" s="363" t="s">
        <v>2403</v>
      </c>
      <c r="D555" s="29" t="s">
        <v>2404</v>
      </c>
      <c r="E555" s="357" t="s">
        <v>2405</v>
      </c>
      <c r="F555" s="364" t="s">
        <v>2406</v>
      </c>
      <c r="G555" s="29" t="s">
        <v>2407</v>
      </c>
      <c r="H555" s="29">
        <v>19.0</v>
      </c>
      <c r="I555" s="29"/>
      <c r="J555" s="34" t="s">
        <v>2383</v>
      </c>
      <c r="K555" s="71">
        <v>45666.0</v>
      </c>
      <c r="L555" s="12" t="s">
        <v>100</v>
      </c>
      <c r="M555" s="19"/>
      <c r="N555" s="19"/>
      <c r="O555" s="34" t="s">
        <v>2408</v>
      </c>
      <c r="P555" s="269" t="s">
        <v>1432</v>
      </c>
    </row>
    <row r="556" hidden="1">
      <c r="A556" s="26">
        <v>8.0</v>
      </c>
      <c r="B556" s="26" t="s">
        <v>2409</v>
      </c>
      <c r="C556" s="319" t="s">
        <v>2307</v>
      </c>
      <c r="D556" s="29" t="s">
        <v>2410</v>
      </c>
      <c r="E556" s="357" t="s">
        <v>2411</v>
      </c>
      <c r="F556" s="364" t="s">
        <v>2406</v>
      </c>
      <c r="G556" s="29" t="s">
        <v>2407</v>
      </c>
      <c r="H556" s="29">
        <v>19.0</v>
      </c>
      <c r="I556" s="29"/>
      <c r="J556" s="34" t="s">
        <v>2383</v>
      </c>
      <c r="K556" s="71">
        <v>45666.0</v>
      </c>
      <c r="L556" s="12" t="s">
        <v>100</v>
      </c>
      <c r="M556" s="19"/>
      <c r="N556" s="19"/>
      <c r="O556" s="34" t="s">
        <v>2408</v>
      </c>
      <c r="P556" s="269" t="s">
        <v>1432</v>
      </c>
    </row>
    <row r="557" hidden="1">
      <c r="A557" s="26">
        <v>9.0</v>
      </c>
      <c r="B557" s="26" t="s">
        <v>2412</v>
      </c>
      <c r="C557" s="363" t="s">
        <v>2307</v>
      </c>
      <c r="D557" s="29" t="s">
        <v>2413</v>
      </c>
      <c r="E557" s="29" t="s">
        <v>2414</v>
      </c>
      <c r="F557" s="364" t="s">
        <v>1628</v>
      </c>
      <c r="G557" s="29" t="s">
        <v>2407</v>
      </c>
      <c r="H557" s="29">
        <v>19.0</v>
      </c>
      <c r="I557" s="29"/>
      <c r="J557" s="34" t="s">
        <v>2383</v>
      </c>
      <c r="K557" s="71">
        <v>45725.0</v>
      </c>
      <c r="L557" s="12" t="s">
        <v>100</v>
      </c>
      <c r="M557" s="19"/>
      <c r="N557" s="19"/>
      <c r="O557" s="34" t="s">
        <v>2415</v>
      </c>
      <c r="P557" s="269" t="s">
        <v>1432</v>
      </c>
    </row>
    <row r="558" hidden="1">
      <c r="A558" s="26">
        <v>10.0</v>
      </c>
      <c r="B558" s="26" t="s">
        <v>2416</v>
      </c>
      <c r="C558" s="365" t="s">
        <v>2417</v>
      </c>
      <c r="D558" s="29" t="s">
        <v>2418</v>
      </c>
      <c r="E558" s="357" t="s">
        <v>2419</v>
      </c>
      <c r="F558" s="354" t="s">
        <v>1836</v>
      </c>
      <c r="G558" s="29" t="s">
        <v>2407</v>
      </c>
      <c r="H558" s="29">
        <v>19.0</v>
      </c>
      <c r="I558" s="29"/>
      <c r="J558" s="34" t="s">
        <v>1640</v>
      </c>
      <c r="K558" s="34" t="s">
        <v>2149</v>
      </c>
      <c r="L558" s="12" t="s">
        <v>100</v>
      </c>
      <c r="M558" s="19"/>
      <c r="N558" s="19"/>
      <c r="O558" s="71">
        <v>45756.0</v>
      </c>
      <c r="P558" s="269" t="s">
        <v>1432</v>
      </c>
    </row>
    <row r="559" hidden="1">
      <c r="A559" s="26">
        <v>11.0</v>
      </c>
      <c r="B559" s="26" t="s">
        <v>2420</v>
      </c>
      <c r="C559" s="366" t="s">
        <v>938</v>
      </c>
      <c r="D559" s="29" t="s">
        <v>2421</v>
      </c>
      <c r="E559" s="357" t="s">
        <v>2422</v>
      </c>
      <c r="F559" s="354" t="s">
        <v>1836</v>
      </c>
      <c r="G559" s="29" t="s">
        <v>2407</v>
      </c>
      <c r="H559" s="29">
        <v>19.0</v>
      </c>
      <c r="I559" s="29"/>
      <c r="J559" s="34" t="s">
        <v>1640</v>
      </c>
      <c r="K559" s="34" t="s">
        <v>2149</v>
      </c>
      <c r="L559" s="12" t="s">
        <v>100</v>
      </c>
      <c r="M559" s="19"/>
      <c r="N559" s="19"/>
      <c r="O559" s="71">
        <v>45757.0</v>
      </c>
      <c r="P559" s="269" t="s">
        <v>1432</v>
      </c>
    </row>
    <row r="560" hidden="1">
      <c r="A560" s="26">
        <v>12.0</v>
      </c>
      <c r="B560" s="26" t="s">
        <v>2423</v>
      </c>
      <c r="C560" s="319" t="s">
        <v>80</v>
      </c>
      <c r="D560" s="29" t="s">
        <v>2424</v>
      </c>
      <c r="E560" s="29" t="s">
        <v>2425</v>
      </c>
      <c r="F560" s="354" t="s">
        <v>356</v>
      </c>
      <c r="G560" s="29" t="s">
        <v>2407</v>
      </c>
      <c r="H560" s="29">
        <v>19.0</v>
      </c>
      <c r="I560" s="29"/>
      <c r="J560" s="34" t="s">
        <v>2383</v>
      </c>
      <c r="K560" s="34" t="s">
        <v>2266</v>
      </c>
      <c r="L560" s="12" t="s">
        <v>51</v>
      </c>
      <c r="M560" s="19"/>
      <c r="N560" s="19"/>
      <c r="O560" s="148">
        <v>45970.0</v>
      </c>
      <c r="P560" s="269" t="s">
        <v>1432</v>
      </c>
    </row>
    <row r="561" hidden="1">
      <c r="A561" s="26">
        <v>13.0</v>
      </c>
      <c r="B561" s="26" t="s">
        <v>2426</v>
      </c>
      <c r="C561" s="319" t="s">
        <v>80</v>
      </c>
      <c r="D561" s="29" t="s">
        <v>2427</v>
      </c>
      <c r="E561" s="357" t="s">
        <v>2428</v>
      </c>
      <c r="F561" s="354" t="s">
        <v>1316</v>
      </c>
      <c r="G561" s="29" t="s">
        <v>2407</v>
      </c>
      <c r="H561" s="29">
        <v>19.0</v>
      </c>
      <c r="I561" s="29"/>
      <c r="J561" s="34" t="s">
        <v>1640</v>
      </c>
      <c r="K561" s="34" t="s">
        <v>2261</v>
      </c>
      <c r="L561" s="12" t="s">
        <v>100</v>
      </c>
      <c r="M561" s="19"/>
      <c r="N561" s="19"/>
      <c r="O561" s="34" t="s">
        <v>2429</v>
      </c>
      <c r="P561" s="269" t="s">
        <v>1432</v>
      </c>
    </row>
    <row r="562" hidden="1">
      <c r="A562" s="26">
        <v>14.0</v>
      </c>
      <c r="B562" s="26" t="s">
        <v>2430</v>
      </c>
      <c r="C562" s="319" t="s">
        <v>80</v>
      </c>
      <c r="D562" s="29" t="s">
        <v>2431</v>
      </c>
      <c r="E562" s="357" t="s">
        <v>2432</v>
      </c>
      <c r="F562" s="354" t="s">
        <v>1316</v>
      </c>
      <c r="G562" s="29" t="s">
        <v>2407</v>
      </c>
      <c r="H562" s="29">
        <v>19.0</v>
      </c>
      <c r="I562" s="29"/>
      <c r="J562" s="34" t="s">
        <v>1640</v>
      </c>
      <c r="K562" s="34" t="s">
        <v>2261</v>
      </c>
      <c r="L562" s="12" t="s">
        <v>100</v>
      </c>
      <c r="M562" s="19"/>
      <c r="N562" s="19"/>
      <c r="O562" s="34" t="s">
        <v>2433</v>
      </c>
      <c r="P562" s="269" t="s">
        <v>1432</v>
      </c>
    </row>
    <row r="563" hidden="1">
      <c r="A563" s="26">
        <v>15.0</v>
      </c>
      <c r="B563" s="26" t="s">
        <v>2434</v>
      </c>
      <c r="C563" s="319" t="s">
        <v>2380</v>
      </c>
      <c r="D563" s="29" t="s">
        <v>2435</v>
      </c>
      <c r="E563" s="29" t="s">
        <v>2436</v>
      </c>
      <c r="F563" s="354" t="s">
        <v>2098</v>
      </c>
      <c r="G563" s="367">
        <v>45666.0</v>
      </c>
      <c r="H563" s="29">
        <v>21.0</v>
      </c>
      <c r="I563" s="29"/>
      <c r="J563" s="34" t="s">
        <v>2383</v>
      </c>
      <c r="K563" s="34" t="s">
        <v>2266</v>
      </c>
      <c r="L563" s="12" t="s">
        <v>374</v>
      </c>
      <c r="M563" s="19"/>
      <c r="N563" s="19"/>
      <c r="O563" s="34" t="s">
        <v>2408</v>
      </c>
      <c r="P563" s="269" t="s">
        <v>1432</v>
      </c>
    </row>
    <row r="564" hidden="1">
      <c r="A564" s="26">
        <v>16.0</v>
      </c>
      <c r="B564" s="26" t="s">
        <v>2437</v>
      </c>
      <c r="C564" s="319" t="s">
        <v>80</v>
      </c>
      <c r="D564" s="29" t="s">
        <v>2438</v>
      </c>
      <c r="E564" s="29" t="s">
        <v>2439</v>
      </c>
      <c r="F564" s="354" t="s">
        <v>356</v>
      </c>
      <c r="G564" s="29" t="s">
        <v>2440</v>
      </c>
      <c r="H564" s="29">
        <v>20.0</v>
      </c>
      <c r="I564" s="29"/>
      <c r="J564" s="34" t="s">
        <v>2383</v>
      </c>
      <c r="K564" s="71">
        <v>45756.0</v>
      </c>
      <c r="L564" s="12" t="s">
        <v>374</v>
      </c>
      <c r="M564" s="19"/>
      <c r="N564" s="19"/>
      <c r="O564" s="148">
        <v>45970.0</v>
      </c>
      <c r="P564" s="269" t="s">
        <v>1432</v>
      </c>
    </row>
    <row r="565" hidden="1">
      <c r="A565" s="26">
        <v>17.0</v>
      </c>
      <c r="B565" s="368" t="s">
        <v>2441</v>
      </c>
      <c r="C565" s="319" t="s">
        <v>80</v>
      </c>
      <c r="D565" s="29" t="s">
        <v>2442</v>
      </c>
      <c r="E565" s="29" t="s">
        <v>2443</v>
      </c>
      <c r="F565" s="354" t="s">
        <v>2444</v>
      </c>
      <c r="G565" s="355" t="s">
        <v>2445</v>
      </c>
      <c r="H565" s="29">
        <v>20.0</v>
      </c>
      <c r="I565" s="29"/>
      <c r="J565" s="34" t="s">
        <v>1640</v>
      </c>
      <c r="K565" s="71">
        <v>45697.0</v>
      </c>
      <c r="L565" s="12" t="s">
        <v>374</v>
      </c>
      <c r="M565" s="19"/>
      <c r="N565" s="19"/>
      <c r="O565" s="350">
        <v>45970.0</v>
      </c>
      <c r="P565" s="269" t="s">
        <v>1432</v>
      </c>
    </row>
    <row r="566" hidden="1">
      <c r="A566" s="26">
        <v>18.0</v>
      </c>
      <c r="B566" s="368" t="s">
        <v>2446</v>
      </c>
      <c r="C566" s="319" t="s">
        <v>80</v>
      </c>
      <c r="D566" s="29" t="s">
        <v>2447</v>
      </c>
      <c r="E566" s="29" t="s">
        <v>2448</v>
      </c>
      <c r="F566" s="319" t="s">
        <v>2449</v>
      </c>
      <c r="G566" s="29" t="s">
        <v>2440</v>
      </c>
      <c r="H566" s="29">
        <v>20.0</v>
      </c>
      <c r="I566" s="29"/>
      <c r="J566" s="34" t="s">
        <v>1640</v>
      </c>
      <c r="K566" s="71">
        <v>45697.0</v>
      </c>
      <c r="L566" s="12" t="s">
        <v>374</v>
      </c>
      <c r="M566" s="19"/>
      <c r="N566" s="19"/>
      <c r="O566" s="350">
        <v>45971.0</v>
      </c>
      <c r="P566" s="269" t="s">
        <v>1432</v>
      </c>
    </row>
    <row r="567" hidden="1">
      <c r="A567" s="26">
        <v>19.0</v>
      </c>
      <c r="B567" s="26" t="s">
        <v>2450</v>
      </c>
      <c r="C567" s="319" t="s">
        <v>2380</v>
      </c>
      <c r="D567" s="29" t="s">
        <v>2451</v>
      </c>
      <c r="E567" s="29" t="s">
        <v>2452</v>
      </c>
      <c r="F567" s="354" t="s">
        <v>2098</v>
      </c>
      <c r="G567" s="29" t="s">
        <v>2407</v>
      </c>
      <c r="H567" s="29">
        <v>19.0</v>
      </c>
      <c r="I567" s="29"/>
      <c r="J567" s="34" t="s">
        <v>2383</v>
      </c>
      <c r="K567" s="71">
        <v>45756.0</v>
      </c>
      <c r="L567" s="12" t="s">
        <v>51</v>
      </c>
      <c r="M567" s="19"/>
      <c r="N567" s="19"/>
      <c r="O567" s="71">
        <v>45878.0</v>
      </c>
      <c r="P567" s="269" t="s">
        <v>1432</v>
      </c>
    </row>
    <row r="568" hidden="1">
      <c r="A568" s="26">
        <v>20.0</v>
      </c>
      <c r="B568" s="26" t="s">
        <v>2453</v>
      </c>
      <c r="C568" s="319" t="s">
        <v>2380</v>
      </c>
      <c r="D568" s="29" t="s">
        <v>2454</v>
      </c>
      <c r="E568" s="29" t="s">
        <v>2455</v>
      </c>
      <c r="F568" s="354" t="s">
        <v>2098</v>
      </c>
      <c r="G568" s="367">
        <v>45666.0</v>
      </c>
      <c r="H568" s="29">
        <v>21.0</v>
      </c>
      <c r="I568" s="29"/>
      <c r="J568" s="34" t="s">
        <v>2383</v>
      </c>
      <c r="K568" s="71">
        <v>45756.0</v>
      </c>
      <c r="L568" s="12" t="s">
        <v>51</v>
      </c>
      <c r="M568" s="19"/>
      <c r="N568" s="19"/>
      <c r="O568" s="148">
        <v>46000.0</v>
      </c>
      <c r="P568" s="269" t="s">
        <v>1432</v>
      </c>
    </row>
    <row r="569" hidden="1">
      <c r="A569" s="26">
        <v>21.0</v>
      </c>
      <c r="B569" s="26" t="s">
        <v>2456</v>
      </c>
      <c r="C569" s="319" t="s">
        <v>80</v>
      </c>
      <c r="D569" s="29" t="s">
        <v>2457</v>
      </c>
      <c r="E569" s="29" t="s">
        <v>2458</v>
      </c>
      <c r="F569" s="354" t="s">
        <v>2459</v>
      </c>
      <c r="G569" s="29" t="s">
        <v>2440</v>
      </c>
      <c r="H569" s="29">
        <v>20.0</v>
      </c>
      <c r="I569" s="29"/>
      <c r="J569" s="34" t="s">
        <v>1640</v>
      </c>
      <c r="K569" s="71">
        <v>45697.0</v>
      </c>
      <c r="L569" s="12" t="s">
        <v>374</v>
      </c>
      <c r="M569" s="19"/>
      <c r="N569" s="19"/>
      <c r="O569" s="148">
        <v>45878.0</v>
      </c>
      <c r="P569" s="269" t="s">
        <v>1432</v>
      </c>
    </row>
    <row r="570" hidden="1">
      <c r="A570" s="369">
        <v>22.0</v>
      </c>
      <c r="B570" s="370" t="s">
        <v>2460</v>
      </c>
      <c r="C570" s="371" t="s">
        <v>938</v>
      </c>
      <c r="D570" s="372" t="s">
        <v>2461</v>
      </c>
      <c r="E570" s="372" t="s">
        <v>2462</v>
      </c>
      <c r="F570" s="373" t="s">
        <v>1836</v>
      </c>
      <c r="G570" s="372" t="s">
        <v>2077</v>
      </c>
      <c r="H570" s="374">
        <v>6.0</v>
      </c>
      <c r="I570" s="374"/>
      <c r="J570" s="375" t="s">
        <v>186</v>
      </c>
      <c r="K570" s="375" t="s">
        <v>2183</v>
      </c>
      <c r="L570" s="114"/>
      <c r="M570" s="376"/>
      <c r="N570" s="376"/>
      <c r="O570" s="375" t="s">
        <v>1595</v>
      </c>
      <c r="P570" s="269" t="s">
        <v>1432</v>
      </c>
      <c r="Q570" s="377"/>
      <c r="R570" s="377"/>
      <c r="S570" s="377"/>
      <c r="T570" s="377"/>
      <c r="U570" s="377"/>
      <c r="V570" s="377"/>
      <c r="W570" s="377"/>
      <c r="X570" s="377"/>
      <c r="Y570" s="377"/>
      <c r="Z570" s="377"/>
      <c r="AA570" s="377"/>
      <c r="AB570" s="377"/>
      <c r="AC570" s="377"/>
      <c r="AD570" s="377"/>
      <c r="AE570" s="377"/>
      <c r="AF570" s="377"/>
    </row>
    <row r="571" hidden="1">
      <c r="A571" s="26">
        <v>23.0</v>
      </c>
      <c r="B571" s="26" t="s">
        <v>2463</v>
      </c>
      <c r="C571" s="319" t="s">
        <v>80</v>
      </c>
      <c r="D571" s="29" t="s">
        <v>2464</v>
      </c>
      <c r="E571" s="357" t="s">
        <v>2465</v>
      </c>
      <c r="F571" s="354" t="s">
        <v>2466</v>
      </c>
      <c r="G571" s="367">
        <v>45666.0</v>
      </c>
      <c r="H571" s="29">
        <v>21.0</v>
      </c>
      <c r="I571" s="29"/>
      <c r="J571" s="34" t="s">
        <v>1640</v>
      </c>
      <c r="K571" s="34" t="s">
        <v>2261</v>
      </c>
      <c r="L571" s="12" t="s">
        <v>374</v>
      </c>
      <c r="M571" s="19"/>
      <c r="N571" s="19"/>
      <c r="O571" s="148">
        <v>45999.0</v>
      </c>
      <c r="P571" s="269" t="s">
        <v>1432</v>
      </c>
    </row>
    <row r="572" ht="15.0" hidden="1" customHeight="1">
      <c r="A572" s="26">
        <v>24.0</v>
      </c>
      <c r="B572" s="26" t="s">
        <v>2467</v>
      </c>
      <c r="C572" s="319" t="s">
        <v>80</v>
      </c>
      <c r="D572" s="29" t="s">
        <v>2468</v>
      </c>
      <c r="E572" s="357" t="s">
        <v>2469</v>
      </c>
      <c r="F572" s="354" t="s">
        <v>2466</v>
      </c>
      <c r="G572" s="367">
        <v>45666.0</v>
      </c>
      <c r="H572" s="29">
        <v>21.0</v>
      </c>
      <c r="I572" s="29"/>
      <c r="J572" s="34" t="s">
        <v>1640</v>
      </c>
      <c r="K572" s="34" t="s">
        <v>2261</v>
      </c>
      <c r="L572" s="12" t="s">
        <v>374</v>
      </c>
      <c r="M572" s="19"/>
      <c r="N572" s="19"/>
      <c r="O572" s="148">
        <v>45999.0</v>
      </c>
      <c r="P572" s="269" t="s">
        <v>1432</v>
      </c>
    </row>
    <row r="573" ht="15.0" hidden="1" customHeight="1">
      <c r="A573" s="26">
        <v>25.0</v>
      </c>
      <c r="B573" s="26" t="s">
        <v>2470</v>
      </c>
      <c r="C573" s="319" t="s">
        <v>1078</v>
      </c>
      <c r="D573" s="29" t="s">
        <v>2471</v>
      </c>
      <c r="E573" s="29" t="s">
        <v>2472</v>
      </c>
      <c r="F573" s="354" t="s">
        <v>815</v>
      </c>
      <c r="G573" s="367">
        <v>45666.0</v>
      </c>
      <c r="H573" s="29">
        <v>21.0</v>
      </c>
      <c r="I573" s="29"/>
      <c r="J573" s="19"/>
      <c r="K573" s="19"/>
      <c r="L573" s="12" t="s">
        <v>374</v>
      </c>
      <c r="M573" s="19"/>
      <c r="N573" s="19"/>
      <c r="O573" s="148">
        <v>46182.0</v>
      </c>
      <c r="P573" s="269" t="s">
        <v>1432</v>
      </c>
    </row>
    <row r="574" ht="16.5" hidden="1" customHeight="1">
      <c r="A574" s="26">
        <v>26.0</v>
      </c>
      <c r="B574" s="26" t="s">
        <v>2473</v>
      </c>
      <c r="C574" s="319" t="s">
        <v>80</v>
      </c>
      <c r="D574" s="29" t="s">
        <v>2474</v>
      </c>
      <c r="E574" s="357" t="s">
        <v>2475</v>
      </c>
      <c r="F574" s="354" t="s">
        <v>2476</v>
      </c>
      <c r="G574" s="29" t="s">
        <v>2440</v>
      </c>
      <c r="H574" s="29">
        <v>20.0</v>
      </c>
      <c r="I574" s="29"/>
      <c r="J574" s="34" t="s">
        <v>1640</v>
      </c>
      <c r="K574" s="34" t="s">
        <v>2184</v>
      </c>
      <c r="L574" s="12" t="s">
        <v>100</v>
      </c>
      <c r="M574" s="19"/>
      <c r="N574" s="19"/>
      <c r="O574" s="148">
        <v>45878.0</v>
      </c>
      <c r="P574" s="269" t="s">
        <v>1432</v>
      </c>
    </row>
    <row r="575" hidden="1">
      <c r="A575" s="26">
        <v>27.0</v>
      </c>
      <c r="B575" s="26" t="s">
        <v>2477</v>
      </c>
      <c r="C575" s="319" t="s">
        <v>80</v>
      </c>
      <c r="D575" s="29" t="s">
        <v>2478</v>
      </c>
      <c r="E575" s="357" t="s">
        <v>2479</v>
      </c>
      <c r="F575" s="354" t="s">
        <v>2476</v>
      </c>
      <c r="G575" s="29" t="s">
        <v>2440</v>
      </c>
      <c r="H575" s="29">
        <v>20.0</v>
      </c>
      <c r="I575" s="29"/>
      <c r="J575" s="34" t="s">
        <v>1640</v>
      </c>
      <c r="K575" s="34" t="s">
        <v>2184</v>
      </c>
      <c r="L575" s="12" t="s">
        <v>100</v>
      </c>
      <c r="M575" s="19"/>
      <c r="N575" s="19"/>
      <c r="O575" s="148">
        <v>45878.0</v>
      </c>
      <c r="P575" s="269" t="s">
        <v>1432</v>
      </c>
    </row>
    <row r="576" hidden="1">
      <c r="A576" s="26">
        <v>28.0</v>
      </c>
      <c r="B576" s="26" t="s">
        <v>2480</v>
      </c>
      <c r="C576" s="140"/>
      <c r="D576" s="29" t="s">
        <v>2481</v>
      </c>
      <c r="E576" s="29" t="s">
        <v>2482</v>
      </c>
      <c r="F576" s="354" t="s">
        <v>1959</v>
      </c>
      <c r="G576" s="367">
        <v>45697.0</v>
      </c>
      <c r="H576" s="29">
        <v>22.0</v>
      </c>
      <c r="I576" s="29"/>
      <c r="J576" s="34" t="s">
        <v>2383</v>
      </c>
      <c r="K576" s="71">
        <v>45817.0</v>
      </c>
      <c r="L576" s="12" t="s">
        <v>51</v>
      </c>
      <c r="M576" s="19"/>
      <c r="N576" s="19"/>
      <c r="O576" s="148">
        <v>45970.0</v>
      </c>
      <c r="P576" s="269" t="s">
        <v>1432</v>
      </c>
    </row>
    <row r="577" hidden="1">
      <c r="A577" s="26">
        <v>29.0</v>
      </c>
      <c r="B577" s="26" t="s">
        <v>2483</v>
      </c>
      <c r="C577" s="319" t="s">
        <v>80</v>
      </c>
      <c r="D577" s="29" t="s">
        <v>2484</v>
      </c>
      <c r="E577" s="29" t="s">
        <v>2485</v>
      </c>
      <c r="F577" s="354" t="s">
        <v>2486</v>
      </c>
      <c r="G577" s="367">
        <v>45666.0</v>
      </c>
      <c r="H577" s="29">
        <v>21.0</v>
      </c>
      <c r="I577" s="29"/>
      <c r="J577" s="34" t="s">
        <v>2383</v>
      </c>
      <c r="K577" s="71">
        <v>45786.0</v>
      </c>
      <c r="L577" s="12" t="s">
        <v>374</v>
      </c>
      <c r="M577" s="19"/>
      <c r="N577" s="19"/>
      <c r="O577" s="71">
        <v>45909.0</v>
      </c>
      <c r="P577" s="269" t="s">
        <v>1432</v>
      </c>
    </row>
    <row r="578" hidden="1">
      <c r="A578" s="26">
        <v>30.0</v>
      </c>
      <c r="B578" s="26" t="s">
        <v>2487</v>
      </c>
      <c r="C578" s="363" t="s">
        <v>2403</v>
      </c>
      <c r="D578" s="29" t="s">
        <v>2488</v>
      </c>
      <c r="E578" s="29" t="s">
        <v>2489</v>
      </c>
      <c r="F578" s="354" t="s">
        <v>2490</v>
      </c>
      <c r="G578" s="367">
        <v>45697.0</v>
      </c>
      <c r="H578" s="29">
        <v>22.0</v>
      </c>
      <c r="I578" s="29"/>
      <c r="J578" s="34" t="s">
        <v>2383</v>
      </c>
      <c r="K578" s="71">
        <v>45878.0</v>
      </c>
      <c r="L578" s="12" t="s">
        <v>100</v>
      </c>
      <c r="M578" s="19"/>
      <c r="N578" s="19"/>
      <c r="O578" s="34" t="s">
        <v>2491</v>
      </c>
      <c r="P578" s="269" t="s">
        <v>1432</v>
      </c>
    </row>
    <row r="579" hidden="1">
      <c r="A579" s="26">
        <v>31.0</v>
      </c>
      <c r="B579" s="32" t="s">
        <v>2492</v>
      </c>
      <c r="C579" s="319" t="s">
        <v>651</v>
      </c>
      <c r="D579" s="29" t="s">
        <v>2493</v>
      </c>
      <c r="E579" s="29" t="s">
        <v>2494</v>
      </c>
      <c r="F579" s="354" t="s">
        <v>1439</v>
      </c>
      <c r="G579" s="367">
        <v>45666.0</v>
      </c>
      <c r="H579" s="29">
        <v>21.0</v>
      </c>
      <c r="I579" s="29"/>
      <c r="J579" s="34" t="s">
        <v>1640</v>
      </c>
      <c r="K579" s="34" t="s">
        <v>2495</v>
      </c>
      <c r="L579" s="12" t="s">
        <v>100</v>
      </c>
      <c r="M579" s="19"/>
      <c r="N579" s="19"/>
      <c r="O579" s="19"/>
      <c r="P579" s="269" t="s">
        <v>1432</v>
      </c>
    </row>
    <row r="580" hidden="1">
      <c r="A580" s="339" t="s">
        <v>2496</v>
      </c>
      <c r="Q580" s="35"/>
      <c r="R580" s="35"/>
      <c r="S580" s="35"/>
      <c r="T580" s="35"/>
      <c r="U580" s="35"/>
      <c r="V580" s="35"/>
      <c r="W580" s="35"/>
      <c r="X580" s="35"/>
      <c r="Y580" s="35"/>
      <c r="Z580" s="35"/>
      <c r="AA580" s="35"/>
      <c r="AB580" s="35"/>
      <c r="AC580" s="35"/>
      <c r="AD580" s="35"/>
      <c r="AE580" s="35"/>
      <c r="AF580" s="35"/>
    </row>
    <row r="581" hidden="1">
      <c r="A581" s="351" t="s">
        <v>47</v>
      </c>
      <c r="B581" s="352" t="s">
        <v>7</v>
      </c>
      <c r="C581" s="352" t="s">
        <v>9</v>
      </c>
      <c r="D581" s="352" t="s">
        <v>10</v>
      </c>
      <c r="E581" s="352" t="s">
        <v>11</v>
      </c>
      <c r="F581" s="352" t="s">
        <v>12</v>
      </c>
      <c r="G581" s="352" t="s">
        <v>2378</v>
      </c>
      <c r="H581" s="28" t="s">
        <v>34</v>
      </c>
      <c r="I581" s="28"/>
      <c r="J581" s="8" t="s">
        <v>14</v>
      </c>
      <c r="K581" s="9" t="s">
        <v>16</v>
      </c>
      <c r="L581" s="9" t="s">
        <v>35</v>
      </c>
      <c r="M581" s="9" t="s">
        <v>18</v>
      </c>
      <c r="N581" s="9" t="s">
        <v>19</v>
      </c>
      <c r="O581" s="9" t="s">
        <v>20</v>
      </c>
      <c r="P581" s="9" t="s">
        <v>21</v>
      </c>
      <c r="Q581" s="353"/>
      <c r="R581" s="353"/>
      <c r="S581" s="353"/>
      <c r="T581" s="353"/>
      <c r="U581" s="353"/>
      <c r="V581" s="353"/>
      <c r="W581" s="353"/>
      <c r="X581" s="353"/>
      <c r="Y581" s="353"/>
      <c r="Z581" s="353"/>
      <c r="AA581" s="353"/>
      <c r="AB581" s="353"/>
      <c r="AC581" s="353"/>
      <c r="AD581" s="353"/>
      <c r="AE581" s="353"/>
      <c r="AF581" s="353"/>
    </row>
    <row r="582" hidden="1">
      <c r="A582" s="29">
        <v>1.0</v>
      </c>
      <c r="B582" s="26" t="s">
        <v>2497</v>
      </c>
      <c r="C582" s="354" t="s">
        <v>1058</v>
      </c>
      <c r="D582" s="77" t="s">
        <v>2498</v>
      </c>
      <c r="E582" s="357" t="s">
        <v>2499</v>
      </c>
      <c r="F582" s="354" t="s">
        <v>2500</v>
      </c>
      <c r="G582" s="379">
        <v>45756.0</v>
      </c>
      <c r="H582" s="29">
        <v>19.0</v>
      </c>
      <c r="I582" s="29"/>
      <c r="J582" s="34" t="s">
        <v>2383</v>
      </c>
      <c r="K582" s="19"/>
      <c r="L582" s="12" t="s">
        <v>100</v>
      </c>
      <c r="M582" s="19"/>
      <c r="N582" s="19"/>
      <c r="O582" s="148">
        <v>46000.0</v>
      </c>
      <c r="P582" s="269" t="s">
        <v>1432</v>
      </c>
    </row>
    <row r="583" hidden="1">
      <c r="A583" s="29">
        <v>2.0</v>
      </c>
      <c r="B583" s="26" t="s">
        <v>2501</v>
      </c>
      <c r="C583" s="354" t="s">
        <v>1058</v>
      </c>
      <c r="D583" s="77" t="s">
        <v>2502</v>
      </c>
      <c r="E583" s="357" t="s">
        <v>2503</v>
      </c>
      <c r="F583" s="354" t="s">
        <v>2500</v>
      </c>
      <c r="G583" s="379">
        <v>45756.0</v>
      </c>
      <c r="H583" s="29">
        <v>19.0</v>
      </c>
      <c r="I583" s="29"/>
      <c r="J583" s="34" t="s">
        <v>2383</v>
      </c>
      <c r="K583" s="34" t="s">
        <v>2266</v>
      </c>
      <c r="L583" s="12" t="s">
        <v>100</v>
      </c>
      <c r="M583" s="19"/>
      <c r="N583" s="19"/>
      <c r="O583" s="148">
        <v>46000.0</v>
      </c>
      <c r="P583" s="269" t="s">
        <v>1432</v>
      </c>
    </row>
    <row r="584" hidden="1">
      <c r="A584" s="29">
        <v>3.0</v>
      </c>
      <c r="B584" s="26" t="s">
        <v>2504</v>
      </c>
      <c r="C584" s="319" t="s">
        <v>80</v>
      </c>
      <c r="D584" s="77" t="s">
        <v>2505</v>
      </c>
      <c r="E584" s="29" t="s">
        <v>2506</v>
      </c>
      <c r="F584" s="354" t="s">
        <v>2120</v>
      </c>
      <c r="G584" s="379">
        <v>45756.0</v>
      </c>
      <c r="H584" s="29">
        <v>19.0</v>
      </c>
      <c r="I584" s="29"/>
      <c r="J584" s="19"/>
      <c r="K584" s="34" t="s">
        <v>2266</v>
      </c>
      <c r="L584" s="12" t="s">
        <v>374</v>
      </c>
      <c r="M584" s="19"/>
      <c r="N584" s="19"/>
      <c r="O584" s="148">
        <v>45878.0</v>
      </c>
      <c r="P584" s="269" t="s">
        <v>1432</v>
      </c>
    </row>
    <row r="585" hidden="1">
      <c r="A585" s="29">
        <v>4.0</v>
      </c>
      <c r="B585" s="26" t="s">
        <v>2507</v>
      </c>
      <c r="C585" s="319" t="s">
        <v>80</v>
      </c>
      <c r="D585" s="29" t="s">
        <v>2508</v>
      </c>
      <c r="E585" s="29" t="s">
        <v>2509</v>
      </c>
      <c r="F585" s="354" t="s">
        <v>2510</v>
      </c>
      <c r="G585" s="379">
        <v>45786.0</v>
      </c>
      <c r="H585" s="29">
        <v>20.0</v>
      </c>
      <c r="I585" s="29"/>
      <c r="J585" s="34" t="s">
        <v>2511</v>
      </c>
      <c r="K585" s="34" t="s">
        <v>2512</v>
      </c>
      <c r="L585" s="12" t="s">
        <v>374</v>
      </c>
      <c r="M585" s="19"/>
      <c r="N585" s="19"/>
      <c r="O585" s="34" t="s">
        <v>2433</v>
      </c>
      <c r="P585" s="269" t="s">
        <v>1432</v>
      </c>
    </row>
    <row r="586" hidden="1">
      <c r="A586" s="29">
        <v>5.0</v>
      </c>
      <c r="B586" s="26" t="s">
        <v>2513</v>
      </c>
      <c r="C586" s="319" t="s">
        <v>80</v>
      </c>
      <c r="D586" s="77" t="s">
        <v>2514</v>
      </c>
      <c r="E586" s="357" t="s">
        <v>2515</v>
      </c>
      <c r="F586" s="354" t="s">
        <v>2516</v>
      </c>
      <c r="G586" s="379">
        <v>45786.0</v>
      </c>
      <c r="H586" s="29">
        <v>20.0</v>
      </c>
      <c r="I586" s="29"/>
      <c r="J586" s="34" t="s">
        <v>1640</v>
      </c>
      <c r="K586" s="34" t="s">
        <v>2266</v>
      </c>
      <c r="L586" s="12" t="s">
        <v>374</v>
      </c>
      <c r="M586" s="19"/>
      <c r="N586" s="19"/>
      <c r="O586" s="34" t="s">
        <v>2517</v>
      </c>
      <c r="P586" s="269" t="s">
        <v>1432</v>
      </c>
    </row>
    <row r="587" hidden="1">
      <c r="A587" s="29">
        <v>6.0</v>
      </c>
      <c r="B587" s="26" t="s">
        <v>2518</v>
      </c>
      <c r="C587" s="319" t="s">
        <v>80</v>
      </c>
      <c r="D587" s="77" t="s">
        <v>2519</v>
      </c>
      <c r="E587" s="357" t="s">
        <v>2520</v>
      </c>
      <c r="F587" s="354" t="s">
        <v>2516</v>
      </c>
      <c r="G587" s="379">
        <v>45786.0</v>
      </c>
      <c r="H587" s="29">
        <v>20.0</v>
      </c>
      <c r="I587" s="29"/>
      <c r="J587" s="34" t="s">
        <v>1640</v>
      </c>
      <c r="K587" s="34" t="s">
        <v>2266</v>
      </c>
      <c r="L587" s="12" t="s">
        <v>374</v>
      </c>
      <c r="M587" s="19"/>
      <c r="N587" s="19"/>
      <c r="O587" s="34" t="s">
        <v>2517</v>
      </c>
      <c r="P587" s="269" t="s">
        <v>1432</v>
      </c>
    </row>
    <row r="588" hidden="1">
      <c r="A588" s="29">
        <v>7.0</v>
      </c>
      <c r="B588" s="26" t="s">
        <v>2521</v>
      </c>
      <c r="C588" s="319" t="s">
        <v>1078</v>
      </c>
      <c r="D588" s="77" t="s">
        <v>2522</v>
      </c>
      <c r="E588" s="29" t="s">
        <v>2523</v>
      </c>
      <c r="F588" s="380" t="s">
        <v>356</v>
      </c>
      <c r="G588" s="379">
        <v>45786.0</v>
      </c>
      <c r="H588" s="53">
        <v>20.0</v>
      </c>
      <c r="I588" s="53"/>
      <c r="J588" s="34" t="s">
        <v>2524</v>
      </c>
      <c r="K588" s="19"/>
      <c r="L588" s="12" t="s">
        <v>51</v>
      </c>
      <c r="M588" s="19"/>
      <c r="N588" s="19"/>
      <c r="O588" s="148">
        <v>46365.0</v>
      </c>
      <c r="P588" s="269" t="s">
        <v>1432</v>
      </c>
    </row>
    <row r="589" hidden="1">
      <c r="A589" s="29">
        <v>8.0</v>
      </c>
      <c r="B589" s="26" t="s">
        <v>2525</v>
      </c>
      <c r="C589" s="319" t="s">
        <v>1078</v>
      </c>
      <c r="D589" s="77" t="s">
        <v>2526</v>
      </c>
      <c r="E589" s="53" t="s">
        <v>2527</v>
      </c>
      <c r="F589" s="380" t="s">
        <v>356</v>
      </c>
      <c r="G589" s="379">
        <v>45786.0</v>
      </c>
      <c r="H589" s="53">
        <v>20.0</v>
      </c>
      <c r="I589" s="53"/>
      <c r="J589" s="34" t="s">
        <v>2524</v>
      </c>
      <c r="K589" s="34"/>
      <c r="L589" s="12" t="s">
        <v>51</v>
      </c>
      <c r="M589" s="19"/>
      <c r="N589" s="19"/>
      <c r="O589" s="34" t="s">
        <v>2415</v>
      </c>
      <c r="P589" s="269" t="s">
        <v>1432</v>
      </c>
    </row>
    <row r="590" hidden="1">
      <c r="A590" s="29">
        <v>9.0</v>
      </c>
      <c r="B590" s="26" t="s">
        <v>2528</v>
      </c>
      <c r="C590" s="382" t="s">
        <v>80</v>
      </c>
      <c r="D590" s="77" t="s">
        <v>2529</v>
      </c>
      <c r="E590" s="357" t="s">
        <v>2530</v>
      </c>
      <c r="F590" s="380" t="s">
        <v>2466</v>
      </c>
      <c r="G590" s="379">
        <v>45756.0</v>
      </c>
      <c r="H590" s="53">
        <v>19.0</v>
      </c>
      <c r="I590" s="53"/>
      <c r="J590" s="34" t="s">
        <v>2383</v>
      </c>
      <c r="K590" s="71">
        <v>45666.0</v>
      </c>
      <c r="L590" s="12" t="s">
        <v>100</v>
      </c>
      <c r="M590" s="19"/>
      <c r="N590" s="19"/>
      <c r="O590" s="19"/>
      <c r="P590" s="269" t="s">
        <v>1432</v>
      </c>
    </row>
    <row r="591" hidden="1">
      <c r="A591" s="53">
        <v>10.0</v>
      </c>
      <c r="B591" s="383" t="s">
        <v>2531</v>
      </c>
      <c r="C591" s="382" t="s">
        <v>80</v>
      </c>
      <c r="D591" s="384" t="s">
        <v>2532</v>
      </c>
      <c r="E591" s="357" t="s">
        <v>2533</v>
      </c>
      <c r="F591" s="380" t="s">
        <v>2466</v>
      </c>
      <c r="G591" s="379">
        <v>45756.0</v>
      </c>
      <c r="H591" s="53">
        <v>19.0</v>
      </c>
      <c r="I591" s="53"/>
      <c r="J591" s="34" t="s">
        <v>2383</v>
      </c>
      <c r="K591" s="71">
        <v>45666.0</v>
      </c>
      <c r="L591" s="12" t="s">
        <v>100</v>
      </c>
      <c r="M591" s="19"/>
      <c r="N591" s="19"/>
      <c r="O591" s="19"/>
      <c r="P591" s="269" t="s">
        <v>1432</v>
      </c>
    </row>
    <row r="592" hidden="1">
      <c r="A592" s="53">
        <v>11.0</v>
      </c>
      <c r="B592" s="383" t="s">
        <v>2534</v>
      </c>
      <c r="C592" s="382" t="s">
        <v>80</v>
      </c>
      <c r="D592" s="384" t="s">
        <v>2535</v>
      </c>
      <c r="E592" s="53" t="s">
        <v>2536</v>
      </c>
      <c r="F592" s="380" t="s">
        <v>25</v>
      </c>
      <c r="G592" s="379">
        <v>45786.0</v>
      </c>
      <c r="H592" s="53">
        <v>20.0</v>
      </c>
      <c r="I592" s="53"/>
      <c r="J592" s="34" t="s">
        <v>2383</v>
      </c>
      <c r="K592" s="34"/>
      <c r="L592" s="12" t="s">
        <v>51</v>
      </c>
      <c r="M592" s="19"/>
      <c r="N592" s="19"/>
      <c r="O592" s="34" t="s">
        <v>2415</v>
      </c>
      <c r="P592" s="269" t="s">
        <v>1432</v>
      </c>
    </row>
    <row r="593" hidden="1">
      <c r="A593" s="33">
        <v>12.0</v>
      </c>
      <c r="B593" s="26" t="s">
        <v>2537</v>
      </c>
      <c r="C593" s="319" t="s">
        <v>80</v>
      </c>
      <c r="D593" s="77" t="s">
        <v>2538</v>
      </c>
      <c r="E593" s="29" t="s">
        <v>2539</v>
      </c>
      <c r="F593" s="354" t="s">
        <v>2540</v>
      </c>
      <c r="G593" s="379">
        <v>45939.0</v>
      </c>
      <c r="H593" s="29">
        <v>25.0</v>
      </c>
      <c r="I593" s="29"/>
      <c r="J593" s="34" t="s">
        <v>2541</v>
      </c>
      <c r="K593" s="34" t="s">
        <v>2542</v>
      </c>
      <c r="L593" s="12" t="s">
        <v>374</v>
      </c>
      <c r="M593" s="19"/>
      <c r="N593" s="19"/>
      <c r="O593" s="34" t="s">
        <v>2543</v>
      </c>
      <c r="P593" s="385" t="s">
        <v>1432</v>
      </c>
    </row>
    <row r="594" hidden="1">
      <c r="A594" s="53">
        <v>13.0</v>
      </c>
      <c r="B594" s="383" t="s">
        <v>2544</v>
      </c>
      <c r="C594" s="386" t="s">
        <v>938</v>
      </c>
      <c r="D594" s="384" t="s">
        <v>2545</v>
      </c>
      <c r="E594" s="357" t="s">
        <v>2546</v>
      </c>
      <c r="F594" s="380" t="s">
        <v>1836</v>
      </c>
      <c r="G594" s="379">
        <v>45786.0</v>
      </c>
      <c r="H594" s="53">
        <v>20.0</v>
      </c>
      <c r="I594" s="53"/>
      <c r="J594" s="34" t="s">
        <v>1640</v>
      </c>
      <c r="K594" s="34" t="s">
        <v>2266</v>
      </c>
      <c r="L594" s="12" t="s">
        <v>100</v>
      </c>
      <c r="M594" s="19"/>
      <c r="N594" s="19"/>
      <c r="O594" s="34" t="s">
        <v>2547</v>
      </c>
      <c r="P594" s="269" t="s">
        <v>1432</v>
      </c>
    </row>
    <row r="595" hidden="1">
      <c r="A595" s="53">
        <v>14.0</v>
      </c>
      <c r="B595" s="383" t="s">
        <v>2548</v>
      </c>
      <c r="C595" s="386" t="s">
        <v>938</v>
      </c>
      <c r="D595" s="384" t="s">
        <v>2549</v>
      </c>
      <c r="E595" s="357" t="s">
        <v>2550</v>
      </c>
      <c r="F595" s="380" t="s">
        <v>1836</v>
      </c>
      <c r="G595" s="379">
        <v>45786.0</v>
      </c>
      <c r="H595" s="53">
        <v>20.0</v>
      </c>
      <c r="I595" s="53"/>
      <c r="J595" s="34" t="s">
        <v>1640</v>
      </c>
      <c r="K595" s="34" t="s">
        <v>2266</v>
      </c>
      <c r="L595" s="12" t="s">
        <v>100</v>
      </c>
      <c r="M595" s="19"/>
      <c r="N595" s="19"/>
      <c r="O595" s="34" t="s">
        <v>2547</v>
      </c>
      <c r="P595" s="269" t="s">
        <v>1432</v>
      </c>
    </row>
    <row r="596" hidden="1">
      <c r="A596" s="53">
        <v>15.0</v>
      </c>
      <c r="B596" s="383" t="s">
        <v>2551</v>
      </c>
      <c r="C596" s="382" t="s">
        <v>80</v>
      </c>
      <c r="D596" s="384" t="s">
        <v>2552</v>
      </c>
      <c r="E596" s="53" t="s">
        <v>2553</v>
      </c>
      <c r="F596" s="380" t="s">
        <v>1959</v>
      </c>
      <c r="G596" s="379">
        <v>45786.0</v>
      </c>
      <c r="H596" s="53">
        <v>20.0</v>
      </c>
      <c r="I596" s="53"/>
      <c r="J596" s="34" t="s">
        <v>51</v>
      </c>
      <c r="K596" s="71">
        <v>45909.0</v>
      </c>
      <c r="L596" s="12" t="s">
        <v>51</v>
      </c>
      <c r="M596" s="19"/>
      <c r="N596" s="19"/>
      <c r="O596" s="148">
        <v>45970.0</v>
      </c>
      <c r="P596" s="269" t="s">
        <v>1432</v>
      </c>
    </row>
    <row r="597" hidden="1">
      <c r="A597" s="53">
        <v>16.0</v>
      </c>
      <c r="B597" s="383" t="s">
        <v>2554</v>
      </c>
      <c r="C597" s="380" t="s">
        <v>397</v>
      </c>
      <c r="D597" s="384" t="s">
        <v>2555</v>
      </c>
      <c r="E597" s="53" t="s">
        <v>2556</v>
      </c>
      <c r="F597" s="380" t="s">
        <v>2490</v>
      </c>
      <c r="G597" s="379">
        <v>45817.0</v>
      </c>
      <c r="H597" s="53">
        <v>21.0</v>
      </c>
      <c r="I597" s="53"/>
      <c r="J597" s="34" t="s">
        <v>1640</v>
      </c>
      <c r="K597" s="71">
        <v>45909.0</v>
      </c>
      <c r="L597" s="12" t="s">
        <v>100</v>
      </c>
      <c r="M597" s="19"/>
      <c r="N597" s="19"/>
      <c r="O597" s="34" t="s">
        <v>2491</v>
      </c>
      <c r="P597" s="385" t="s">
        <v>1432</v>
      </c>
    </row>
    <row r="598" hidden="1">
      <c r="A598" s="53">
        <v>17.0</v>
      </c>
      <c r="B598" s="383" t="s">
        <v>2557</v>
      </c>
      <c r="C598" s="380" t="s">
        <v>397</v>
      </c>
      <c r="D598" s="384" t="s">
        <v>2558</v>
      </c>
      <c r="E598" s="387" t="s">
        <v>2559</v>
      </c>
      <c r="F598" s="382" t="s">
        <v>586</v>
      </c>
      <c r="G598" s="379">
        <v>45817.0</v>
      </c>
      <c r="H598" s="53">
        <v>21.0</v>
      </c>
      <c r="I598" s="53"/>
      <c r="J598" s="34" t="s">
        <v>1640</v>
      </c>
      <c r="K598" s="71">
        <v>45666.0</v>
      </c>
      <c r="L598" s="12" t="s">
        <v>100</v>
      </c>
      <c r="M598" s="19"/>
      <c r="N598" s="19"/>
      <c r="O598" s="19"/>
      <c r="P598" s="277" t="s">
        <v>2560</v>
      </c>
    </row>
    <row r="599" hidden="1">
      <c r="A599" s="53">
        <v>12.0</v>
      </c>
      <c r="B599" s="383" t="s">
        <v>2561</v>
      </c>
      <c r="C599" s="386" t="s">
        <v>688</v>
      </c>
      <c r="D599" s="384" t="s">
        <v>2562</v>
      </c>
      <c r="E599" s="387" t="s">
        <v>2563</v>
      </c>
      <c r="F599" s="382" t="s">
        <v>586</v>
      </c>
      <c r="G599" s="379">
        <v>45786.0</v>
      </c>
      <c r="H599" s="53">
        <v>20.0</v>
      </c>
      <c r="I599" s="53"/>
      <c r="J599" s="34" t="s">
        <v>1640</v>
      </c>
      <c r="K599" s="71">
        <v>45666.0</v>
      </c>
      <c r="L599" s="12" t="s">
        <v>100</v>
      </c>
      <c r="M599" s="19"/>
      <c r="N599" s="19"/>
      <c r="O599" s="19"/>
      <c r="P599" s="277" t="s">
        <v>2560</v>
      </c>
    </row>
    <row r="600" hidden="1">
      <c r="A600" s="53">
        <v>18.0</v>
      </c>
      <c r="B600" s="388" t="s">
        <v>2564</v>
      </c>
      <c r="C600" s="382" t="s">
        <v>80</v>
      </c>
      <c r="D600" s="384" t="s">
        <v>2565</v>
      </c>
      <c r="E600" s="357" t="s">
        <v>2566</v>
      </c>
      <c r="F600" s="380" t="s">
        <v>2567</v>
      </c>
      <c r="G600" s="379">
        <v>45817.0</v>
      </c>
      <c r="H600" s="53">
        <v>21.0</v>
      </c>
      <c r="I600" s="53"/>
      <c r="J600" s="34" t="s">
        <v>1640</v>
      </c>
      <c r="K600" s="71">
        <v>45666.0</v>
      </c>
      <c r="L600" s="12" t="s">
        <v>374</v>
      </c>
      <c r="M600" s="19"/>
      <c r="N600" s="19"/>
      <c r="O600" s="34" t="s">
        <v>2547</v>
      </c>
      <c r="P600" s="277" t="s">
        <v>2560</v>
      </c>
    </row>
    <row r="601" hidden="1">
      <c r="A601" s="53">
        <v>19.0</v>
      </c>
      <c r="B601" s="388" t="s">
        <v>2568</v>
      </c>
      <c r="C601" s="382" t="s">
        <v>80</v>
      </c>
      <c r="D601" s="384" t="s">
        <v>2569</v>
      </c>
      <c r="E601" s="357" t="s">
        <v>2570</v>
      </c>
      <c r="F601" s="380" t="s">
        <v>2567</v>
      </c>
      <c r="G601" s="379">
        <v>45817.0</v>
      </c>
      <c r="H601" s="53">
        <v>21.0</v>
      </c>
      <c r="I601" s="53"/>
      <c r="J601" s="34" t="s">
        <v>1640</v>
      </c>
      <c r="K601" s="71">
        <v>45666.0</v>
      </c>
      <c r="L601" s="12" t="s">
        <v>374</v>
      </c>
      <c r="M601" s="19"/>
      <c r="N601" s="19"/>
      <c r="O601" s="34" t="s">
        <v>2547</v>
      </c>
      <c r="P601" s="277" t="s">
        <v>2560</v>
      </c>
    </row>
    <row r="602" hidden="1">
      <c r="A602" s="53">
        <v>20.0</v>
      </c>
      <c r="B602" s="388" t="s">
        <v>2571</v>
      </c>
      <c r="C602" s="382" t="s">
        <v>80</v>
      </c>
      <c r="D602" s="384" t="s">
        <v>2572</v>
      </c>
      <c r="E602" s="382" t="s">
        <v>2573</v>
      </c>
      <c r="F602" s="380" t="s">
        <v>2574</v>
      </c>
      <c r="G602" s="379">
        <v>45847.0</v>
      </c>
      <c r="H602" s="53">
        <v>22.0</v>
      </c>
      <c r="I602" s="53"/>
      <c r="J602" s="34" t="s">
        <v>2383</v>
      </c>
      <c r="K602" s="71">
        <v>45817.0</v>
      </c>
      <c r="L602" s="12" t="s">
        <v>374</v>
      </c>
      <c r="M602" s="19"/>
      <c r="N602" s="19"/>
      <c r="O602" s="19"/>
      <c r="P602" s="269" t="s">
        <v>1432</v>
      </c>
    </row>
    <row r="603" hidden="1">
      <c r="A603" s="53">
        <v>21.0</v>
      </c>
      <c r="B603" s="388" t="s">
        <v>2575</v>
      </c>
      <c r="C603" s="319" t="s">
        <v>1078</v>
      </c>
      <c r="D603" s="384" t="s">
        <v>2576</v>
      </c>
      <c r="E603" s="382" t="s">
        <v>2577</v>
      </c>
      <c r="F603" s="380" t="s">
        <v>356</v>
      </c>
      <c r="G603" s="379">
        <v>45817.0</v>
      </c>
      <c r="H603" s="53">
        <v>22.0</v>
      </c>
      <c r="I603" s="53"/>
      <c r="J603" s="34" t="s">
        <v>1640</v>
      </c>
      <c r="K603" s="71">
        <v>45939.0</v>
      </c>
      <c r="L603" s="12" t="s">
        <v>51</v>
      </c>
      <c r="M603" s="19"/>
      <c r="N603" s="19"/>
      <c r="O603" s="34" t="s">
        <v>2543</v>
      </c>
      <c r="P603" s="277" t="s">
        <v>2560</v>
      </c>
    </row>
    <row r="604" hidden="1">
      <c r="A604" s="53">
        <v>22.0</v>
      </c>
      <c r="B604" s="388" t="s">
        <v>2578</v>
      </c>
      <c r="C604" s="319" t="s">
        <v>1078</v>
      </c>
      <c r="D604" s="384" t="s">
        <v>2579</v>
      </c>
      <c r="E604" s="382" t="s">
        <v>2580</v>
      </c>
      <c r="F604" s="380" t="s">
        <v>356</v>
      </c>
      <c r="G604" s="379">
        <v>45817.0</v>
      </c>
      <c r="H604" s="53">
        <v>21.0</v>
      </c>
      <c r="I604" s="53"/>
      <c r="J604" s="34" t="s">
        <v>1640</v>
      </c>
      <c r="K604" s="71">
        <v>45939.0</v>
      </c>
      <c r="L604" s="12" t="s">
        <v>51</v>
      </c>
      <c r="M604" s="19"/>
      <c r="N604" s="19"/>
      <c r="O604" s="19"/>
      <c r="P604" s="269" t="s">
        <v>1432</v>
      </c>
    </row>
    <row r="605" hidden="1">
      <c r="A605" s="53">
        <v>23.0</v>
      </c>
      <c r="B605" s="388" t="s">
        <v>2581</v>
      </c>
      <c r="C605" s="319" t="s">
        <v>1078</v>
      </c>
      <c r="D605" s="384" t="s">
        <v>2582</v>
      </c>
      <c r="E605" s="382" t="s">
        <v>2583</v>
      </c>
      <c r="F605" s="380" t="s">
        <v>356</v>
      </c>
      <c r="G605" s="379">
        <v>45817.0</v>
      </c>
      <c r="H605" s="53">
        <v>21.0</v>
      </c>
      <c r="I605" s="53"/>
      <c r="J605" s="34" t="s">
        <v>1640</v>
      </c>
      <c r="K605" s="71">
        <v>45939.0</v>
      </c>
      <c r="L605" s="12" t="s">
        <v>51</v>
      </c>
      <c r="M605" s="19"/>
      <c r="N605" s="19"/>
      <c r="O605" s="19"/>
      <c r="P605" s="269" t="s">
        <v>1432</v>
      </c>
    </row>
    <row r="606" hidden="1">
      <c r="A606" s="29">
        <v>24.0</v>
      </c>
      <c r="B606" s="389" t="s">
        <v>2584</v>
      </c>
      <c r="C606" s="319" t="s">
        <v>1078</v>
      </c>
      <c r="D606" s="77" t="s">
        <v>2585</v>
      </c>
      <c r="E606" s="319" t="s">
        <v>2586</v>
      </c>
      <c r="F606" s="354" t="s">
        <v>356</v>
      </c>
      <c r="G606" s="379">
        <v>45817.0</v>
      </c>
      <c r="H606" s="29">
        <v>21.0</v>
      </c>
      <c r="I606" s="29"/>
      <c r="J606" s="34" t="s">
        <v>1640</v>
      </c>
      <c r="K606" s="71">
        <v>45878.0</v>
      </c>
      <c r="L606" s="12" t="s">
        <v>374</v>
      </c>
      <c r="M606" s="19"/>
      <c r="N606" s="19"/>
      <c r="O606" s="34" t="s">
        <v>2408</v>
      </c>
      <c r="P606" s="269" t="s">
        <v>1432</v>
      </c>
    </row>
    <row r="607" hidden="1">
      <c r="A607" s="29">
        <v>25.0</v>
      </c>
      <c r="B607" s="26" t="s">
        <v>2587</v>
      </c>
      <c r="C607" s="319" t="s">
        <v>1078</v>
      </c>
      <c r="D607" s="77" t="s">
        <v>2588</v>
      </c>
      <c r="E607" s="29" t="s">
        <v>2589</v>
      </c>
      <c r="F607" s="354" t="s">
        <v>356</v>
      </c>
      <c r="G607" s="379">
        <v>45817.0</v>
      </c>
      <c r="H607" s="29">
        <v>21.0</v>
      </c>
      <c r="I607" s="29"/>
      <c r="J607" s="34" t="s">
        <v>2383</v>
      </c>
      <c r="K607" s="19"/>
      <c r="L607" s="12" t="s">
        <v>2590</v>
      </c>
      <c r="M607" s="19"/>
      <c r="N607" s="19"/>
      <c r="O607" s="34" t="s">
        <v>2591</v>
      </c>
      <c r="P607" s="269" t="s">
        <v>1432</v>
      </c>
    </row>
    <row r="608" hidden="1">
      <c r="A608" s="29">
        <v>26.0</v>
      </c>
      <c r="B608" s="26" t="s">
        <v>2592</v>
      </c>
      <c r="C608" s="319" t="s">
        <v>80</v>
      </c>
      <c r="D608" s="77" t="s">
        <v>2593</v>
      </c>
      <c r="E608" s="29" t="s">
        <v>2594</v>
      </c>
      <c r="F608" s="354" t="s">
        <v>2595</v>
      </c>
      <c r="G608" s="379">
        <v>45847.0</v>
      </c>
      <c r="H608" s="29">
        <v>22.0</v>
      </c>
      <c r="I608" s="29"/>
      <c r="J608" s="34" t="s">
        <v>1640</v>
      </c>
      <c r="K608" s="71">
        <v>45878.0</v>
      </c>
      <c r="L608" s="12" t="s">
        <v>374</v>
      </c>
      <c r="M608" s="19"/>
      <c r="N608" s="19"/>
      <c r="O608" s="19"/>
      <c r="P608" s="269" t="s">
        <v>1432</v>
      </c>
    </row>
    <row r="609" hidden="1">
      <c r="A609" s="29">
        <v>27.0</v>
      </c>
      <c r="B609" s="26" t="s">
        <v>2596</v>
      </c>
      <c r="C609" s="319" t="s">
        <v>80</v>
      </c>
      <c r="D609" s="77" t="s">
        <v>2597</v>
      </c>
      <c r="E609" s="29" t="s">
        <v>2598</v>
      </c>
      <c r="F609" s="364" t="s">
        <v>2599</v>
      </c>
      <c r="G609" s="379">
        <v>45847.0</v>
      </c>
      <c r="H609" s="29">
        <v>22.0</v>
      </c>
      <c r="I609" s="29"/>
      <c r="J609" s="34" t="s">
        <v>2541</v>
      </c>
      <c r="K609" s="34" t="s">
        <v>2542</v>
      </c>
      <c r="L609" s="12" t="s">
        <v>374</v>
      </c>
      <c r="M609" s="19"/>
      <c r="N609" s="19"/>
      <c r="O609" s="19"/>
      <c r="P609" s="269" t="s">
        <v>1432</v>
      </c>
    </row>
    <row r="610" hidden="1">
      <c r="A610" s="29">
        <v>28.0</v>
      </c>
      <c r="B610" s="26" t="s">
        <v>2600</v>
      </c>
      <c r="C610" s="319" t="s">
        <v>1078</v>
      </c>
      <c r="D610" s="77" t="s">
        <v>2601</v>
      </c>
      <c r="E610" s="29" t="s">
        <v>2602</v>
      </c>
      <c r="F610" s="354" t="s">
        <v>25</v>
      </c>
      <c r="G610" s="390">
        <v>45878.0</v>
      </c>
      <c r="H610" s="29">
        <v>12.0</v>
      </c>
      <c r="I610" s="29"/>
      <c r="J610" s="34" t="s">
        <v>51</v>
      </c>
      <c r="K610" s="71">
        <v>45939.0</v>
      </c>
      <c r="L610" s="12" t="s">
        <v>51</v>
      </c>
      <c r="M610" s="19"/>
      <c r="N610" s="19"/>
      <c r="O610" s="19"/>
      <c r="P610" s="269" t="s">
        <v>1432</v>
      </c>
    </row>
    <row r="611" hidden="1">
      <c r="A611" s="29">
        <v>29.0</v>
      </c>
      <c r="B611" s="26" t="s">
        <v>2603</v>
      </c>
      <c r="C611" s="319" t="s">
        <v>1078</v>
      </c>
      <c r="D611" s="77" t="s">
        <v>2604</v>
      </c>
      <c r="E611" s="319" t="s">
        <v>2605</v>
      </c>
      <c r="F611" s="354" t="s">
        <v>25</v>
      </c>
      <c r="G611" s="379">
        <v>45847.0</v>
      </c>
      <c r="H611" s="29">
        <v>22.0</v>
      </c>
      <c r="I611" s="29"/>
      <c r="J611" s="34" t="s">
        <v>2383</v>
      </c>
      <c r="K611" s="19"/>
      <c r="L611" s="12" t="s">
        <v>51</v>
      </c>
      <c r="M611" s="19"/>
      <c r="N611" s="19"/>
      <c r="O611" s="34" t="s">
        <v>2542</v>
      </c>
      <c r="P611" s="269" t="s">
        <v>1432</v>
      </c>
    </row>
    <row r="612" hidden="1">
      <c r="A612" s="29">
        <v>30.0</v>
      </c>
      <c r="B612" s="26" t="s">
        <v>2606</v>
      </c>
      <c r="C612" s="319" t="s">
        <v>1078</v>
      </c>
      <c r="D612" s="77" t="s">
        <v>2607</v>
      </c>
      <c r="E612" s="29" t="s">
        <v>2608</v>
      </c>
      <c r="F612" s="354" t="s">
        <v>25</v>
      </c>
      <c r="G612" s="379">
        <v>45847.0</v>
      </c>
      <c r="H612" s="29">
        <v>22.0</v>
      </c>
      <c r="I612" s="29"/>
      <c r="J612" s="34" t="s">
        <v>1640</v>
      </c>
      <c r="K612" s="71">
        <v>45970.0</v>
      </c>
      <c r="L612" s="12" t="s">
        <v>51</v>
      </c>
      <c r="M612" s="19"/>
      <c r="N612" s="19"/>
      <c r="O612" s="34" t="s">
        <v>2591</v>
      </c>
      <c r="P612" s="269" t="s">
        <v>1432</v>
      </c>
    </row>
    <row r="613" hidden="1">
      <c r="A613" s="29">
        <v>31.0</v>
      </c>
      <c r="B613" s="26" t="s">
        <v>2609</v>
      </c>
      <c r="C613" s="319" t="s">
        <v>1078</v>
      </c>
      <c r="D613" s="77" t="s">
        <v>2610</v>
      </c>
      <c r="E613" s="391" t="s">
        <v>2611</v>
      </c>
      <c r="F613" s="354" t="s">
        <v>25</v>
      </c>
      <c r="G613" s="379">
        <v>45847.0</v>
      </c>
      <c r="H613" s="29">
        <v>22.0</v>
      </c>
      <c r="I613" s="29"/>
      <c r="J613" s="34" t="s">
        <v>2065</v>
      </c>
      <c r="K613" s="34" t="s">
        <v>2612</v>
      </c>
      <c r="L613" s="12" t="s">
        <v>374</v>
      </c>
      <c r="M613" s="19"/>
      <c r="N613" s="19"/>
      <c r="O613" s="19"/>
      <c r="P613" s="277" t="s">
        <v>2560</v>
      </c>
    </row>
    <row r="614" hidden="1">
      <c r="A614" s="29">
        <v>32.0</v>
      </c>
      <c r="B614" s="26" t="s">
        <v>2613</v>
      </c>
      <c r="C614" s="319" t="s">
        <v>1078</v>
      </c>
      <c r="D614" s="77" t="s">
        <v>2614</v>
      </c>
      <c r="E614" s="29" t="s">
        <v>2615</v>
      </c>
      <c r="F614" s="354" t="s">
        <v>25</v>
      </c>
      <c r="G614" s="379">
        <v>45847.0</v>
      </c>
      <c r="H614" s="29">
        <v>22.0</v>
      </c>
      <c r="I614" s="29"/>
      <c r="J614" s="34" t="s">
        <v>1640</v>
      </c>
      <c r="K614" s="71">
        <v>45970.0</v>
      </c>
      <c r="L614" s="12" t="s">
        <v>51</v>
      </c>
      <c r="M614" s="19"/>
      <c r="N614" s="19"/>
      <c r="O614" s="34" t="s">
        <v>2591</v>
      </c>
      <c r="P614" s="269" t="s">
        <v>1432</v>
      </c>
    </row>
    <row r="615" hidden="1">
      <c r="A615" s="29">
        <v>33.0</v>
      </c>
      <c r="B615" s="392" t="s">
        <v>2616</v>
      </c>
      <c r="C615" s="393" t="s">
        <v>80</v>
      </c>
      <c r="D615" s="77" t="s">
        <v>2617</v>
      </c>
      <c r="E615" s="29" t="s">
        <v>2618</v>
      </c>
      <c r="F615" s="354" t="s">
        <v>2619</v>
      </c>
      <c r="G615" s="379">
        <v>45756.0</v>
      </c>
      <c r="H615" s="29">
        <v>19.0</v>
      </c>
      <c r="I615" s="29"/>
      <c r="J615" s="34" t="s">
        <v>2383</v>
      </c>
      <c r="K615" s="71">
        <v>45878.0</v>
      </c>
      <c r="L615" s="12" t="s">
        <v>374</v>
      </c>
      <c r="M615" s="19"/>
      <c r="N615" s="19"/>
      <c r="O615" s="143" t="s">
        <v>2620</v>
      </c>
      <c r="P615" s="277" t="s">
        <v>2560</v>
      </c>
    </row>
    <row r="616" hidden="1">
      <c r="A616" s="29">
        <v>34.0</v>
      </c>
      <c r="B616" s="26" t="s">
        <v>2621</v>
      </c>
      <c r="C616" s="319" t="s">
        <v>1078</v>
      </c>
      <c r="D616" s="77" t="s">
        <v>2622</v>
      </c>
      <c r="E616" s="29" t="s">
        <v>2623</v>
      </c>
      <c r="F616" s="354" t="s">
        <v>25</v>
      </c>
      <c r="G616" s="379">
        <v>45878.0</v>
      </c>
      <c r="H616" s="29">
        <v>23.0</v>
      </c>
      <c r="I616" s="29"/>
      <c r="J616" s="34" t="s">
        <v>2383</v>
      </c>
      <c r="K616" s="34" t="s">
        <v>2612</v>
      </c>
      <c r="L616" s="12" t="s">
        <v>51</v>
      </c>
      <c r="M616" s="19"/>
      <c r="N616" s="19"/>
      <c r="O616" s="34" t="s">
        <v>2624</v>
      </c>
      <c r="P616" s="269" t="s">
        <v>1432</v>
      </c>
    </row>
    <row r="617" hidden="1">
      <c r="A617" s="29">
        <v>35.0</v>
      </c>
      <c r="B617" s="26" t="s">
        <v>2625</v>
      </c>
      <c r="C617" s="319" t="s">
        <v>1078</v>
      </c>
      <c r="D617" s="77" t="s">
        <v>2626</v>
      </c>
      <c r="E617" s="29" t="s">
        <v>2627</v>
      </c>
      <c r="F617" s="354" t="s">
        <v>25</v>
      </c>
      <c r="G617" s="379">
        <v>45878.0</v>
      </c>
      <c r="H617" s="29">
        <v>23.0</v>
      </c>
      <c r="I617" s="29"/>
      <c r="J617" s="34" t="s">
        <v>2383</v>
      </c>
      <c r="K617" s="34" t="s">
        <v>2620</v>
      </c>
      <c r="L617" s="12" t="s">
        <v>51</v>
      </c>
      <c r="M617" s="19"/>
      <c r="N617" s="19"/>
      <c r="O617" s="19"/>
      <c r="P617" s="269" t="s">
        <v>1432</v>
      </c>
    </row>
    <row r="618" hidden="1">
      <c r="A618" s="29">
        <v>36.0</v>
      </c>
      <c r="B618" s="26" t="s">
        <v>2628</v>
      </c>
      <c r="C618" s="394" t="s">
        <v>1058</v>
      </c>
      <c r="D618" s="77" t="s">
        <v>2629</v>
      </c>
      <c r="E618" s="357" t="s">
        <v>2630</v>
      </c>
      <c r="F618" s="354" t="s">
        <v>2631</v>
      </c>
      <c r="G618" s="379">
        <v>45847.0</v>
      </c>
      <c r="H618" s="29">
        <v>22.0</v>
      </c>
      <c r="I618" s="29"/>
      <c r="J618" s="34" t="s">
        <v>2383</v>
      </c>
      <c r="K618" s="71">
        <v>45666.0</v>
      </c>
      <c r="L618" s="12" t="s">
        <v>100</v>
      </c>
      <c r="M618" s="19"/>
      <c r="N618" s="19"/>
      <c r="O618" s="19"/>
      <c r="P618" s="269" t="s">
        <v>1432</v>
      </c>
    </row>
    <row r="619" hidden="1">
      <c r="A619" s="29">
        <v>37.0</v>
      </c>
      <c r="B619" s="395" t="s">
        <v>2632</v>
      </c>
      <c r="C619" s="394" t="s">
        <v>1058</v>
      </c>
      <c r="D619" s="77" t="s">
        <v>2633</v>
      </c>
      <c r="E619" s="357" t="s">
        <v>2634</v>
      </c>
      <c r="F619" s="354" t="s">
        <v>2631</v>
      </c>
      <c r="G619" s="283" t="s">
        <v>1883</v>
      </c>
      <c r="H619" s="29"/>
      <c r="I619" s="29"/>
      <c r="J619" s="34" t="s">
        <v>2383</v>
      </c>
      <c r="K619" s="71">
        <v>45666.0</v>
      </c>
      <c r="L619" s="12" t="s">
        <v>100</v>
      </c>
      <c r="M619" s="19"/>
      <c r="N619" s="19"/>
      <c r="O619" s="19"/>
      <c r="P619" s="269" t="s">
        <v>1432</v>
      </c>
    </row>
    <row r="620" hidden="1">
      <c r="A620" s="29">
        <v>38.0</v>
      </c>
      <c r="B620" s="26" t="s">
        <v>2635</v>
      </c>
      <c r="C620" s="393" t="s">
        <v>80</v>
      </c>
      <c r="D620" s="77" t="s">
        <v>2636</v>
      </c>
      <c r="E620" s="357" t="s">
        <v>2637</v>
      </c>
      <c r="F620" s="354" t="s">
        <v>2638</v>
      </c>
      <c r="G620" s="379">
        <v>45878.0</v>
      </c>
      <c r="H620" s="29">
        <v>23.0</v>
      </c>
      <c r="I620" s="29"/>
      <c r="J620" s="34" t="s">
        <v>1640</v>
      </c>
      <c r="K620" s="71">
        <v>45878.0</v>
      </c>
      <c r="L620" s="12" t="s">
        <v>100</v>
      </c>
      <c r="M620" s="19"/>
      <c r="N620" s="19"/>
      <c r="O620" s="19"/>
      <c r="P620" s="269" t="s">
        <v>1432</v>
      </c>
    </row>
    <row r="621" hidden="1">
      <c r="A621" s="29">
        <v>39.0</v>
      </c>
      <c r="B621" s="26" t="s">
        <v>2639</v>
      </c>
      <c r="C621" s="393" t="s">
        <v>80</v>
      </c>
      <c r="D621" s="77" t="s">
        <v>2640</v>
      </c>
      <c r="E621" s="357" t="s">
        <v>2641</v>
      </c>
      <c r="F621" s="354" t="s">
        <v>2638</v>
      </c>
      <c r="G621" s="379">
        <v>45878.0</v>
      </c>
      <c r="H621" s="29">
        <v>23.0</v>
      </c>
      <c r="I621" s="29"/>
      <c r="J621" s="34" t="s">
        <v>1640</v>
      </c>
      <c r="K621" s="71">
        <v>45878.0</v>
      </c>
      <c r="L621" s="12" t="s">
        <v>100</v>
      </c>
      <c r="M621" s="19"/>
      <c r="N621" s="19"/>
      <c r="O621" s="19"/>
      <c r="P621" s="269" t="s">
        <v>1432</v>
      </c>
    </row>
    <row r="622" hidden="1">
      <c r="A622" s="29">
        <v>40.0</v>
      </c>
      <c r="B622" s="26" t="s">
        <v>2642</v>
      </c>
      <c r="C622" s="393" t="s">
        <v>80</v>
      </c>
      <c r="D622" s="77" t="s">
        <v>2643</v>
      </c>
      <c r="E622" s="29" t="s">
        <v>2644</v>
      </c>
      <c r="F622" s="396" t="s">
        <v>310</v>
      </c>
      <c r="G622" s="379">
        <v>45878.0</v>
      </c>
      <c r="H622" s="29">
        <v>23.0</v>
      </c>
      <c r="I622" s="29"/>
      <c r="J622" s="34" t="s">
        <v>2383</v>
      </c>
      <c r="K622" s="71">
        <v>45878.0</v>
      </c>
      <c r="L622" s="12" t="s">
        <v>374</v>
      </c>
      <c r="M622" s="19"/>
      <c r="N622" s="19"/>
      <c r="O622" s="19"/>
      <c r="P622" s="269" t="s">
        <v>1432</v>
      </c>
    </row>
    <row r="623" hidden="1">
      <c r="A623" s="29">
        <v>41.0</v>
      </c>
      <c r="B623" s="26" t="s">
        <v>2645</v>
      </c>
      <c r="C623" s="394" t="s">
        <v>938</v>
      </c>
      <c r="D623" s="77" t="s">
        <v>2646</v>
      </c>
      <c r="E623" s="357" t="s">
        <v>2647</v>
      </c>
      <c r="F623" s="354" t="s">
        <v>1836</v>
      </c>
      <c r="G623" s="379">
        <v>45878.0</v>
      </c>
      <c r="H623" s="29">
        <v>23.0</v>
      </c>
      <c r="I623" s="29"/>
      <c r="J623" s="34" t="s">
        <v>2383</v>
      </c>
      <c r="K623" s="19"/>
      <c r="L623" s="12" t="s">
        <v>100</v>
      </c>
      <c r="M623" s="19"/>
      <c r="N623" s="19"/>
      <c r="O623" s="19"/>
      <c r="P623" s="269" t="s">
        <v>1432</v>
      </c>
    </row>
    <row r="624" hidden="1">
      <c r="A624" s="29">
        <v>42.0</v>
      </c>
      <c r="B624" s="26" t="s">
        <v>2648</v>
      </c>
      <c r="C624" s="394" t="s">
        <v>938</v>
      </c>
      <c r="D624" s="77" t="s">
        <v>2649</v>
      </c>
      <c r="E624" s="357" t="s">
        <v>2650</v>
      </c>
      <c r="F624" s="354" t="s">
        <v>1836</v>
      </c>
      <c r="G624" s="379">
        <v>45878.0</v>
      </c>
      <c r="H624" s="29">
        <v>23.0</v>
      </c>
      <c r="I624" s="29"/>
      <c r="J624" s="34" t="s">
        <v>2383</v>
      </c>
      <c r="K624" s="19"/>
      <c r="L624" s="12" t="s">
        <v>100</v>
      </c>
      <c r="M624" s="19"/>
      <c r="N624" s="19"/>
      <c r="O624" s="19"/>
      <c r="P624" s="269" t="s">
        <v>1432</v>
      </c>
    </row>
    <row r="625" hidden="1">
      <c r="A625" s="29">
        <v>43.0</v>
      </c>
      <c r="B625" s="26" t="s">
        <v>2651</v>
      </c>
      <c r="C625" s="319" t="s">
        <v>80</v>
      </c>
      <c r="D625" s="397" t="s">
        <v>2652</v>
      </c>
      <c r="E625" s="29" t="s">
        <v>2653</v>
      </c>
      <c r="F625" s="354" t="s">
        <v>2654</v>
      </c>
      <c r="G625" s="379">
        <v>45909.0</v>
      </c>
      <c r="H625" s="29">
        <v>24.0</v>
      </c>
      <c r="I625" s="29"/>
      <c r="J625" s="34" t="s">
        <v>2065</v>
      </c>
      <c r="K625" s="19"/>
      <c r="L625" s="12" t="s">
        <v>374</v>
      </c>
      <c r="M625" s="19"/>
      <c r="N625" s="19"/>
      <c r="O625" s="71">
        <v>45757.0</v>
      </c>
      <c r="P625" s="277" t="s">
        <v>1798</v>
      </c>
    </row>
    <row r="626" hidden="1">
      <c r="A626" s="29">
        <v>44.0</v>
      </c>
      <c r="B626" s="26" t="s">
        <v>2655</v>
      </c>
      <c r="C626" s="364" t="s">
        <v>2307</v>
      </c>
      <c r="D626" s="77" t="s">
        <v>2656</v>
      </c>
      <c r="E626" s="29" t="s">
        <v>2657</v>
      </c>
      <c r="F626" s="364" t="s">
        <v>2599</v>
      </c>
      <c r="G626" s="379">
        <v>45878.0</v>
      </c>
      <c r="H626" s="29">
        <v>23.0</v>
      </c>
      <c r="I626" s="29"/>
      <c r="J626" s="34" t="s">
        <v>1640</v>
      </c>
      <c r="K626" s="71">
        <v>45939.0</v>
      </c>
      <c r="L626" s="12" t="s">
        <v>100</v>
      </c>
      <c r="M626" s="19"/>
      <c r="N626" s="19"/>
      <c r="O626" s="34" t="s">
        <v>2543</v>
      </c>
      <c r="P626" s="385" t="s">
        <v>1432</v>
      </c>
    </row>
    <row r="627" hidden="1">
      <c r="A627" s="29">
        <v>45.0</v>
      </c>
      <c r="B627" s="26" t="s">
        <v>2658</v>
      </c>
      <c r="C627" s="319" t="s">
        <v>80</v>
      </c>
      <c r="D627" s="77" t="s">
        <v>2659</v>
      </c>
      <c r="E627" s="29" t="s">
        <v>2660</v>
      </c>
      <c r="F627" s="354" t="s">
        <v>172</v>
      </c>
      <c r="G627" s="379">
        <v>45939.0</v>
      </c>
      <c r="H627" s="29">
        <v>25.0</v>
      </c>
      <c r="I627" s="29"/>
      <c r="J627" s="34" t="s">
        <v>1640</v>
      </c>
      <c r="K627" s="19"/>
      <c r="L627" s="12" t="s">
        <v>374</v>
      </c>
      <c r="M627" s="19"/>
      <c r="N627" s="19"/>
      <c r="O627" s="34" t="s">
        <v>2547</v>
      </c>
      <c r="P627" s="269" t="s">
        <v>1432</v>
      </c>
    </row>
    <row r="628" hidden="1">
      <c r="A628" s="29">
        <v>46.0</v>
      </c>
      <c r="B628" s="26" t="s">
        <v>2661</v>
      </c>
      <c r="C628" s="319" t="s">
        <v>80</v>
      </c>
      <c r="D628" s="77" t="s">
        <v>2662</v>
      </c>
      <c r="E628" s="29" t="s">
        <v>2663</v>
      </c>
      <c r="F628" s="364" t="s">
        <v>1802</v>
      </c>
      <c r="G628" s="379">
        <v>45666.0</v>
      </c>
      <c r="H628" s="29">
        <v>16.0</v>
      </c>
      <c r="I628" s="29"/>
      <c r="J628" s="34" t="s">
        <v>1640</v>
      </c>
      <c r="K628" s="19"/>
      <c r="L628" s="12" t="s">
        <v>374</v>
      </c>
      <c r="M628" s="19"/>
      <c r="N628" s="19"/>
      <c r="O628" s="19"/>
      <c r="P628" s="269" t="s">
        <v>1432</v>
      </c>
    </row>
    <row r="629" hidden="1">
      <c r="A629" s="29">
        <v>47.0</v>
      </c>
      <c r="B629" s="26" t="s">
        <v>2664</v>
      </c>
      <c r="C629" s="319" t="s">
        <v>1078</v>
      </c>
      <c r="D629" s="77" t="s">
        <v>2665</v>
      </c>
      <c r="E629" s="29" t="s">
        <v>2666</v>
      </c>
      <c r="F629" s="354" t="s">
        <v>25</v>
      </c>
      <c r="G629" s="379">
        <v>45939.0</v>
      </c>
      <c r="H629" s="29">
        <v>25.0</v>
      </c>
      <c r="I629" s="29"/>
      <c r="J629" s="34" t="s">
        <v>2383</v>
      </c>
      <c r="K629" s="34" t="s">
        <v>2620</v>
      </c>
      <c r="L629" s="12" t="s">
        <v>51</v>
      </c>
      <c r="M629" s="19"/>
      <c r="N629" s="19"/>
      <c r="O629" s="34" t="s">
        <v>2543</v>
      </c>
      <c r="P629" s="269" t="s">
        <v>1432</v>
      </c>
    </row>
    <row r="630" hidden="1">
      <c r="A630" s="29">
        <v>48.0</v>
      </c>
      <c r="B630" s="26" t="s">
        <v>2667</v>
      </c>
      <c r="C630" s="319" t="s">
        <v>1078</v>
      </c>
      <c r="D630" s="77" t="s">
        <v>2668</v>
      </c>
      <c r="E630" s="29" t="s">
        <v>2669</v>
      </c>
      <c r="F630" s="354" t="s">
        <v>25</v>
      </c>
      <c r="G630" s="379">
        <v>45878.0</v>
      </c>
      <c r="H630" s="29">
        <v>23.0</v>
      </c>
      <c r="I630" s="29"/>
      <c r="J630" s="34" t="s">
        <v>1640</v>
      </c>
      <c r="K630" s="71">
        <v>46000.0</v>
      </c>
      <c r="L630" s="12" t="s">
        <v>51</v>
      </c>
      <c r="M630" s="19"/>
      <c r="N630" s="19"/>
      <c r="O630" s="34" t="s">
        <v>2543</v>
      </c>
      <c r="P630" s="398" t="s">
        <v>1432</v>
      </c>
    </row>
    <row r="631" hidden="1">
      <c r="A631" s="29">
        <v>49.0</v>
      </c>
      <c r="B631" s="26" t="s">
        <v>2670</v>
      </c>
      <c r="C631" s="319" t="s">
        <v>1078</v>
      </c>
      <c r="D631" s="77" t="s">
        <v>2671</v>
      </c>
      <c r="E631" s="29" t="s">
        <v>2672</v>
      </c>
      <c r="F631" s="354" t="s">
        <v>25</v>
      </c>
      <c r="G631" s="379">
        <v>45878.0</v>
      </c>
      <c r="H631" s="29">
        <v>23.0</v>
      </c>
      <c r="I631" s="29"/>
      <c r="J631" s="34" t="s">
        <v>1640</v>
      </c>
      <c r="K631" s="71">
        <v>46000.0</v>
      </c>
      <c r="L631" s="12" t="s">
        <v>2590</v>
      </c>
      <c r="M631" s="19"/>
      <c r="N631" s="19"/>
      <c r="O631" s="34" t="s">
        <v>2491</v>
      </c>
      <c r="P631" s="269" t="s">
        <v>1432</v>
      </c>
    </row>
    <row r="632" hidden="1">
      <c r="A632" s="29">
        <v>50.0</v>
      </c>
      <c r="B632" s="26" t="s">
        <v>2673</v>
      </c>
      <c r="C632" s="319" t="s">
        <v>1078</v>
      </c>
      <c r="D632" s="77" t="s">
        <v>2674</v>
      </c>
      <c r="E632" s="29" t="s">
        <v>2675</v>
      </c>
      <c r="F632" s="354" t="s">
        <v>25</v>
      </c>
      <c r="G632" s="379">
        <v>45878.0</v>
      </c>
      <c r="H632" s="29">
        <v>23.0</v>
      </c>
      <c r="I632" s="29"/>
      <c r="J632" s="34" t="s">
        <v>1640</v>
      </c>
      <c r="K632" s="34" t="s">
        <v>2620</v>
      </c>
      <c r="L632" s="12" t="s">
        <v>51</v>
      </c>
      <c r="M632" s="19"/>
      <c r="N632" s="19"/>
      <c r="O632" s="34" t="s">
        <v>2676</v>
      </c>
      <c r="P632" s="269" t="s">
        <v>1432</v>
      </c>
    </row>
    <row r="633" hidden="1">
      <c r="A633" s="29">
        <v>51.0</v>
      </c>
      <c r="B633" s="26" t="s">
        <v>2677</v>
      </c>
      <c r="C633" s="319" t="s">
        <v>1078</v>
      </c>
      <c r="D633" s="77" t="s">
        <v>2678</v>
      </c>
      <c r="E633" s="29" t="s">
        <v>2679</v>
      </c>
      <c r="F633" s="354" t="s">
        <v>25</v>
      </c>
      <c r="G633" s="379">
        <v>45878.0</v>
      </c>
      <c r="H633" s="29">
        <v>23.0</v>
      </c>
      <c r="I633" s="29"/>
      <c r="J633" s="34" t="s">
        <v>1640</v>
      </c>
      <c r="K633" s="34" t="s">
        <v>2620</v>
      </c>
      <c r="L633" s="12" t="s">
        <v>51</v>
      </c>
      <c r="M633" s="19"/>
      <c r="N633" s="19"/>
      <c r="O633" s="19"/>
      <c r="P633" s="269" t="s">
        <v>1432</v>
      </c>
    </row>
    <row r="634" hidden="1">
      <c r="A634" s="399" t="s">
        <v>2680</v>
      </c>
    </row>
    <row r="635" hidden="1">
      <c r="A635" s="400" t="s">
        <v>47</v>
      </c>
      <c r="B635" s="401" t="s">
        <v>7</v>
      </c>
      <c r="C635" s="402" t="s">
        <v>9</v>
      </c>
      <c r="D635" s="402" t="s">
        <v>10</v>
      </c>
      <c r="E635" s="402" t="s">
        <v>11</v>
      </c>
      <c r="F635" s="402" t="s">
        <v>12</v>
      </c>
      <c r="G635" s="402" t="s">
        <v>2378</v>
      </c>
      <c r="H635" s="402" t="s">
        <v>2681</v>
      </c>
      <c r="I635" s="402"/>
      <c r="J635" s="403" t="s">
        <v>14</v>
      </c>
      <c r="K635" s="404" t="s">
        <v>16</v>
      </c>
      <c r="L635" s="404" t="s">
        <v>35</v>
      </c>
      <c r="M635" s="404" t="s">
        <v>18</v>
      </c>
      <c r="N635" s="404" t="s">
        <v>19</v>
      </c>
      <c r="O635" s="404" t="s">
        <v>20</v>
      </c>
      <c r="P635" s="404" t="s">
        <v>21</v>
      </c>
      <c r="Q635" s="405"/>
      <c r="R635" s="405"/>
      <c r="S635" s="405"/>
      <c r="T635" s="405"/>
      <c r="U635" s="405"/>
      <c r="V635" s="405"/>
      <c r="W635" s="405"/>
      <c r="X635" s="405"/>
      <c r="Y635" s="405"/>
      <c r="Z635" s="405"/>
      <c r="AA635" s="405"/>
      <c r="AB635" s="405"/>
      <c r="AC635" s="405"/>
      <c r="AD635" s="405"/>
      <c r="AE635" s="405"/>
      <c r="AF635" s="405"/>
    </row>
    <row r="636" hidden="1">
      <c r="A636" s="406">
        <v>1.0</v>
      </c>
      <c r="B636" s="407" t="s">
        <v>2682</v>
      </c>
      <c r="C636" s="408" t="s">
        <v>80</v>
      </c>
      <c r="D636" s="406" t="s">
        <v>2683</v>
      </c>
      <c r="E636" s="406" t="s">
        <v>1477</v>
      </c>
      <c r="F636" s="408" t="s">
        <v>356</v>
      </c>
      <c r="G636" s="409">
        <v>45786.0</v>
      </c>
      <c r="H636" s="406">
        <v>8.0</v>
      </c>
      <c r="I636" s="410"/>
      <c r="J636" s="405"/>
      <c r="K636" s="405"/>
      <c r="L636" s="411"/>
      <c r="M636" s="412"/>
      <c r="N636" s="412"/>
      <c r="O636" s="412"/>
      <c r="P636" s="277"/>
      <c r="Q636" s="405"/>
      <c r="R636" s="405"/>
      <c r="S636" s="405"/>
      <c r="T636" s="405"/>
      <c r="U636" s="405"/>
      <c r="V636" s="405"/>
      <c r="W636" s="405"/>
      <c r="X636" s="405"/>
      <c r="Y636" s="405"/>
      <c r="Z636" s="405"/>
      <c r="AA636" s="405"/>
      <c r="AB636" s="405"/>
      <c r="AC636" s="405"/>
      <c r="AD636" s="405"/>
      <c r="AE636" s="405"/>
      <c r="AF636" s="405"/>
    </row>
    <row r="637" hidden="1">
      <c r="A637" s="406">
        <v>2.0</v>
      </c>
      <c r="B637" s="407" t="s">
        <v>2684</v>
      </c>
      <c r="C637" s="408" t="s">
        <v>80</v>
      </c>
      <c r="D637" s="406" t="s">
        <v>2685</v>
      </c>
      <c r="E637" s="406" t="s">
        <v>2686</v>
      </c>
      <c r="F637" s="408" t="s">
        <v>2687</v>
      </c>
      <c r="G637" s="409">
        <v>45878.0</v>
      </c>
      <c r="H637" s="406">
        <v>11.0</v>
      </c>
      <c r="I637" s="410"/>
      <c r="J637" s="405"/>
      <c r="K637" s="405"/>
      <c r="L637" s="411"/>
      <c r="M637" s="412"/>
      <c r="N637" s="412"/>
      <c r="O637" s="412"/>
      <c r="P637" s="277"/>
      <c r="Q637" s="405"/>
      <c r="R637" s="405"/>
      <c r="S637" s="405"/>
      <c r="T637" s="405"/>
      <c r="U637" s="405"/>
      <c r="V637" s="405"/>
      <c r="W637" s="405"/>
      <c r="X637" s="405"/>
      <c r="Y637" s="405"/>
      <c r="Z637" s="405"/>
      <c r="AA637" s="405"/>
      <c r="AB637" s="405"/>
      <c r="AC637" s="405"/>
      <c r="AD637" s="405"/>
      <c r="AE637" s="405"/>
      <c r="AF637" s="405"/>
    </row>
    <row r="638" hidden="1">
      <c r="A638" s="406">
        <v>3.0</v>
      </c>
      <c r="B638" s="407" t="s">
        <v>2688</v>
      </c>
      <c r="C638" s="408" t="s">
        <v>80</v>
      </c>
      <c r="D638" s="406" t="s">
        <v>2689</v>
      </c>
      <c r="E638" s="406" t="s">
        <v>2690</v>
      </c>
      <c r="F638" s="408" t="s">
        <v>2691</v>
      </c>
      <c r="G638" s="409">
        <v>45939.0</v>
      </c>
      <c r="H638" s="406">
        <v>13.0</v>
      </c>
      <c r="I638" s="410"/>
      <c r="J638" s="405"/>
      <c r="K638" s="405"/>
      <c r="L638" s="411"/>
      <c r="M638" s="412"/>
      <c r="N638" s="412"/>
      <c r="O638" s="412"/>
      <c r="P638" s="277"/>
      <c r="Q638" s="405"/>
      <c r="R638" s="405"/>
      <c r="S638" s="405"/>
      <c r="T638" s="405"/>
      <c r="U638" s="405"/>
      <c r="V638" s="405"/>
      <c r="W638" s="405"/>
      <c r="X638" s="405"/>
      <c r="Y638" s="405"/>
      <c r="Z638" s="405"/>
      <c r="AA638" s="405"/>
      <c r="AB638" s="405"/>
      <c r="AC638" s="405"/>
      <c r="AD638" s="405"/>
      <c r="AE638" s="405"/>
      <c r="AF638" s="405"/>
    </row>
    <row r="639" hidden="1">
      <c r="A639" s="406">
        <v>4.0</v>
      </c>
      <c r="B639" s="407" t="s">
        <v>2692</v>
      </c>
      <c r="C639" s="408" t="s">
        <v>80</v>
      </c>
      <c r="D639" s="406" t="s">
        <v>2693</v>
      </c>
      <c r="E639" s="406" t="s">
        <v>2694</v>
      </c>
      <c r="F639" s="408" t="s">
        <v>708</v>
      </c>
      <c r="G639" s="409">
        <v>45970.0</v>
      </c>
      <c r="H639" s="406">
        <v>14.0</v>
      </c>
      <c r="I639" s="410"/>
      <c r="J639" s="405"/>
      <c r="K639" s="405"/>
      <c r="L639" s="411"/>
      <c r="M639" s="412"/>
      <c r="N639" s="412"/>
      <c r="O639" s="412"/>
      <c r="P639" s="277"/>
      <c r="Q639" s="405"/>
      <c r="R639" s="405"/>
      <c r="S639" s="405"/>
      <c r="T639" s="405"/>
      <c r="U639" s="405"/>
      <c r="V639" s="405"/>
      <c r="W639" s="405"/>
      <c r="X639" s="405"/>
      <c r="Y639" s="405"/>
      <c r="Z639" s="405"/>
      <c r="AA639" s="405"/>
      <c r="AB639" s="405"/>
      <c r="AC639" s="405"/>
      <c r="AD639" s="405"/>
      <c r="AE639" s="405"/>
      <c r="AF639" s="405"/>
    </row>
    <row r="640" hidden="1">
      <c r="A640" s="406">
        <v>5.0</v>
      </c>
      <c r="B640" s="407" t="s">
        <v>2695</v>
      </c>
      <c r="C640" s="408" t="s">
        <v>80</v>
      </c>
      <c r="D640" s="406" t="s">
        <v>2696</v>
      </c>
      <c r="E640" s="406" t="s">
        <v>2697</v>
      </c>
      <c r="F640" s="408" t="s">
        <v>356</v>
      </c>
      <c r="G640" s="409">
        <v>46000.0</v>
      </c>
      <c r="H640" s="406">
        <v>15.0</v>
      </c>
      <c r="I640" s="410"/>
      <c r="J640" s="405"/>
      <c r="K640" s="405"/>
      <c r="L640" s="411"/>
      <c r="M640" s="412"/>
      <c r="N640" s="412"/>
      <c r="O640" s="412"/>
      <c r="P640" s="277"/>
      <c r="Q640" s="405"/>
      <c r="R640" s="405"/>
      <c r="S640" s="405"/>
      <c r="T640" s="405"/>
      <c r="U640" s="405"/>
      <c r="V640" s="405"/>
      <c r="W640" s="405"/>
      <c r="X640" s="405"/>
      <c r="Y640" s="405"/>
      <c r="Z640" s="405"/>
      <c r="AA640" s="405"/>
      <c r="AB640" s="405"/>
      <c r="AC640" s="405"/>
      <c r="AD640" s="405"/>
      <c r="AE640" s="405"/>
      <c r="AF640" s="405"/>
    </row>
    <row r="641" hidden="1">
      <c r="A641" s="406">
        <v>6.0</v>
      </c>
      <c r="B641" s="407" t="s">
        <v>2698</v>
      </c>
      <c r="C641" s="408" t="s">
        <v>80</v>
      </c>
      <c r="D641" s="406" t="s">
        <v>2699</v>
      </c>
      <c r="E641" s="406" t="s">
        <v>2700</v>
      </c>
      <c r="F641" s="408" t="s">
        <v>356</v>
      </c>
      <c r="G641" s="409">
        <v>46000.0</v>
      </c>
      <c r="H641" s="406">
        <v>15.0</v>
      </c>
      <c r="I641" s="410"/>
      <c r="J641" s="405"/>
      <c r="K641" s="405"/>
      <c r="L641" s="411"/>
      <c r="M641" s="412"/>
      <c r="N641" s="412"/>
      <c r="O641" s="412"/>
      <c r="P641" s="277"/>
      <c r="Q641" s="405"/>
      <c r="R641" s="405"/>
      <c r="S641" s="405"/>
      <c r="T641" s="405"/>
      <c r="U641" s="405"/>
      <c r="V641" s="405"/>
      <c r="W641" s="405"/>
      <c r="X641" s="405"/>
      <c r="Y641" s="405"/>
      <c r="Z641" s="405"/>
      <c r="AA641" s="405"/>
      <c r="AB641" s="405"/>
      <c r="AC641" s="405"/>
      <c r="AD641" s="405"/>
      <c r="AE641" s="405"/>
      <c r="AF641" s="405"/>
    </row>
    <row r="642" hidden="1">
      <c r="A642" s="406">
        <v>7.0</v>
      </c>
      <c r="B642" s="407" t="s">
        <v>2701</v>
      </c>
      <c r="C642" s="408" t="s">
        <v>80</v>
      </c>
      <c r="D642" s="406" t="s">
        <v>2702</v>
      </c>
      <c r="E642" s="406" t="s">
        <v>2703</v>
      </c>
      <c r="F642" s="408" t="s">
        <v>356</v>
      </c>
      <c r="G642" s="409">
        <v>46000.0</v>
      </c>
      <c r="H642" s="406">
        <v>15.0</v>
      </c>
      <c r="I642" s="410"/>
      <c r="J642" s="405"/>
      <c r="K642" s="405"/>
      <c r="L642" s="411"/>
      <c r="M642" s="412"/>
      <c r="N642" s="412"/>
      <c r="O642" s="412"/>
      <c r="P642" s="277"/>
      <c r="Q642" s="405"/>
      <c r="R642" s="405"/>
      <c r="S642" s="405"/>
      <c r="T642" s="405"/>
      <c r="U642" s="405"/>
      <c r="V642" s="405"/>
      <c r="W642" s="405"/>
      <c r="X642" s="405"/>
      <c r="Y642" s="405"/>
      <c r="Z642" s="405"/>
      <c r="AA642" s="405"/>
      <c r="AB642" s="405"/>
      <c r="AC642" s="405"/>
      <c r="AD642" s="405"/>
      <c r="AE642" s="405"/>
      <c r="AF642" s="405"/>
    </row>
    <row r="643" hidden="1">
      <c r="A643" s="406">
        <v>8.0</v>
      </c>
      <c r="B643" s="414" t="s">
        <v>2704</v>
      </c>
      <c r="C643" s="408" t="s">
        <v>80</v>
      </c>
      <c r="D643" s="406" t="s">
        <v>2705</v>
      </c>
      <c r="E643" s="406" t="s">
        <v>2706</v>
      </c>
      <c r="F643" s="408" t="s">
        <v>356</v>
      </c>
      <c r="G643" s="409">
        <v>46000.0</v>
      </c>
      <c r="H643" s="406">
        <v>15.0</v>
      </c>
      <c r="I643" s="410"/>
      <c r="J643" s="405"/>
      <c r="K643" s="405"/>
      <c r="L643" s="411"/>
      <c r="M643" s="412"/>
      <c r="N643" s="412"/>
      <c r="O643" s="412"/>
      <c r="P643" s="277"/>
      <c r="Q643" s="405"/>
      <c r="R643" s="405"/>
      <c r="S643" s="405"/>
      <c r="T643" s="405"/>
      <c r="U643" s="405"/>
      <c r="V643" s="405"/>
      <c r="W643" s="405"/>
      <c r="X643" s="405"/>
      <c r="Y643" s="405"/>
      <c r="Z643" s="405"/>
      <c r="AA643" s="405"/>
      <c r="AB643" s="405"/>
      <c r="AC643" s="405"/>
      <c r="AD643" s="405"/>
      <c r="AE643" s="405"/>
      <c r="AF643" s="405"/>
    </row>
    <row r="644" hidden="1">
      <c r="A644" s="406">
        <v>9.0</v>
      </c>
      <c r="B644" s="407" t="s">
        <v>2707</v>
      </c>
      <c r="C644" s="408" t="s">
        <v>80</v>
      </c>
      <c r="D644" s="406" t="s">
        <v>2708</v>
      </c>
      <c r="E644" s="406" t="s">
        <v>2709</v>
      </c>
      <c r="F644" s="408" t="s">
        <v>2710</v>
      </c>
      <c r="G644" s="409">
        <v>46000.0</v>
      </c>
      <c r="H644" s="406">
        <v>15.0</v>
      </c>
      <c r="I644" s="410"/>
      <c r="J644" s="405"/>
      <c r="K644" s="405"/>
      <c r="L644" s="411"/>
      <c r="M644" s="412"/>
      <c r="N644" s="412"/>
      <c r="O644" s="412"/>
      <c r="P644" s="412"/>
      <c r="Q644" s="405"/>
      <c r="R644" s="405"/>
      <c r="S644" s="405"/>
      <c r="T644" s="405"/>
      <c r="U644" s="405"/>
      <c r="V644" s="405"/>
      <c r="W644" s="405"/>
      <c r="X644" s="405"/>
      <c r="Y644" s="405"/>
      <c r="Z644" s="405"/>
      <c r="AA644" s="405"/>
      <c r="AB644" s="405"/>
      <c r="AC644" s="405"/>
      <c r="AD644" s="405"/>
      <c r="AE644" s="405"/>
      <c r="AF644" s="405"/>
    </row>
    <row r="645" hidden="1">
      <c r="A645" s="406">
        <v>10.0</v>
      </c>
      <c r="B645" s="407" t="s">
        <v>2711</v>
      </c>
      <c r="C645" s="408" t="s">
        <v>80</v>
      </c>
      <c r="D645" s="406" t="s">
        <v>2712</v>
      </c>
      <c r="E645" s="406" t="s">
        <v>2713</v>
      </c>
      <c r="F645" s="408" t="s">
        <v>2710</v>
      </c>
      <c r="G645" s="409">
        <v>46000.0</v>
      </c>
      <c r="H645" s="406">
        <v>15.0</v>
      </c>
      <c r="I645" s="410"/>
      <c r="J645" s="405"/>
      <c r="K645" s="405"/>
      <c r="L645" s="411"/>
      <c r="M645" s="412"/>
      <c r="N645" s="412"/>
      <c r="O645" s="412"/>
      <c r="P645" s="412"/>
      <c r="Q645" s="405"/>
      <c r="R645" s="405"/>
      <c r="S645" s="405"/>
      <c r="T645" s="405"/>
      <c r="U645" s="405"/>
      <c r="V645" s="405"/>
      <c r="W645" s="405"/>
      <c r="X645" s="405"/>
      <c r="Y645" s="405"/>
      <c r="Z645" s="405"/>
      <c r="AA645" s="405"/>
      <c r="AB645" s="405"/>
      <c r="AC645" s="405"/>
      <c r="AD645" s="405"/>
      <c r="AE645" s="405"/>
      <c r="AF645" s="405"/>
    </row>
    <row r="646" hidden="1">
      <c r="A646" s="406">
        <v>11.0</v>
      </c>
      <c r="B646" s="407" t="s">
        <v>2714</v>
      </c>
      <c r="C646" s="408" t="s">
        <v>80</v>
      </c>
      <c r="D646" s="406" t="s">
        <v>2715</v>
      </c>
      <c r="E646" s="406" t="s">
        <v>2716</v>
      </c>
      <c r="F646" s="408" t="s">
        <v>243</v>
      </c>
      <c r="G646" s="409">
        <v>46000.0</v>
      </c>
      <c r="H646" s="406">
        <v>15.0</v>
      </c>
      <c r="I646" s="410"/>
      <c r="J646" s="405"/>
      <c r="K646" s="405"/>
      <c r="L646" s="411"/>
      <c r="M646" s="412"/>
      <c r="N646" s="412"/>
      <c r="O646" s="412"/>
      <c r="P646" s="277"/>
      <c r="Q646" s="405"/>
      <c r="R646" s="405"/>
      <c r="S646" s="405"/>
      <c r="T646" s="405"/>
      <c r="U646" s="405"/>
      <c r="V646" s="405"/>
      <c r="W646" s="405"/>
      <c r="X646" s="405"/>
      <c r="Y646" s="405"/>
      <c r="Z646" s="405"/>
      <c r="AA646" s="405"/>
      <c r="AB646" s="405"/>
      <c r="AC646" s="405"/>
      <c r="AD646" s="405"/>
      <c r="AE646" s="405"/>
      <c r="AF646" s="405"/>
    </row>
    <row r="647" hidden="1">
      <c r="A647" s="406">
        <v>12.0</v>
      </c>
      <c r="B647" s="407" t="s">
        <v>2717</v>
      </c>
      <c r="C647" s="408" t="s">
        <v>80</v>
      </c>
      <c r="D647" s="406" t="s">
        <v>2718</v>
      </c>
      <c r="E647" s="406" t="s">
        <v>2719</v>
      </c>
      <c r="F647" s="408" t="s">
        <v>928</v>
      </c>
      <c r="G647" s="409">
        <v>46000.0</v>
      </c>
      <c r="H647" s="406">
        <v>15.0</v>
      </c>
      <c r="I647" s="410"/>
      <c r="J647" s="405"/>
      <c r="K647" s="405"/>
      <c r="L647" s="411"/>
      <c r="M647" s="412"/>
      <c r="N647" s="412"/>
      <c r="O647" s="412"/>
      <c r="P647" s="412"/>
      <c r="Q647" s="405"/>
      <c r="R647" s="405"/>
      <c r="S647" s="405"/>
      <c r="T647" s="405"/>
      <c r="U647" s="405"/>
      <c r="V647" s="405"/>
      <c r="W647" s="405"/>
      <c r="X647" s="405"/>
      <c r="Y647" s="405"/>
      <c r="Z647" s="405"/>
      <c r="AA647" s="405"/>
      <c r="AB647" s="405"/>
      <c r="AC647" s="405"/>
      <c r="AD647" s="405"/>
      <c r="AE647" s="405"/>
      <c r="AF647" s="405"/>
    </row>
    <row r="648" hidden="1">
      <c r="A648" s="406">
        <v>13.0</v>
      </c>
      <c r="B648" s="407" t="s">
        <v>2720</v>
      </c>
      <c r="C648" s="408" t="s">
        <v>1185</v>
      </c>
      <c r="D648" s="406" t="s">
        <v>2721</v>
      </c>
      <c r="E648" s="406" t="s">
        <v>2722</v>
      </c>
      <c r="F648" s="408" t="s">
        <v>2098</v>
      </c>
      <c r="G648" s="409">
        <v>45970.0</v>
      </c>
      <c r="H648" s="406">
        <v>14.0</v>
      </c>
      <c r="I648" s="410"/>
      <c r="J648" s="405"/>
      <c r="K648" s="405"/>
      <c r="L648" s="411"/>
      <c r="M648" s="412"/>
      <c r="N648" s="412"/>
      <c r="O648" s="412"/>
      <c r="P648" s="412"/>
      <c r="Q648" s="405"/>
      <c r="R648" s="405"/>
      <c r="S648" s="405"/>
      <c r="T648" s="405"/>
      <c r="U648" s="405"/>
      <c r="V648" s="405"/>
      <c r="W648" s="405"/>
      <c r="X648" s="405"/>
      <c r="Y648" s="405"/>
      <c r="Z648" s="405"/>
      <c r="AA648" s="405"/>
      <c r="AB648" s="405"/>
      <c r="AC648" s="405"/>
      <c r="AD648" s="405"/>
      <c r="AE648" s="405"/>
      <c r="AF648" s="405"/>
    </row>
    <row r="649" hidden="1">
      <c r="A649" s="406">
        <v>14.0</v>
      </c>
      <c r="B649" s="407" t="s">
        <v>2723</v>
      </c>
      <c r="C649" s="408" t="s">
        <v>1185</v>
      </c>
      <c r="D649" s="406" t="s">
        <v>2724</v>
      </c>
      <c r="E649" s="406" t="s">
        <v>2725</v>
      </c>
      <c r="F649" s="408" t="s">
        <v>2098</v>
      </c>
      <c r="G649" s="409">
        <v>45970.0</v>
      </c>
      <c r="H649" s="406">
        <v>14.0</v>
      </c>
      <c r="I649" s="410"/>
      <c r="J649" s="405"/>
      <c r="K649" s="405"/>
      <c r="L649" s="411"/>
      <c r="M649" s="412"/>
      <c r="N649" s="412"/>
      <c r="O649" s="412"/>
      <c r="P649" s="412"/>
      <c r="Q649" s="405"/>
      <c r="R649" s="405"/>
      <c r="S649" s="405"/>
      <c r="T649" s="405"/>
      <c r="U649" s="405"/>
      <c r="V649" s="405"/>
      <c r="W649" s="405"/>
      <c r="X649" s="405"/>
      <c r="Y649" s="405"/>
      <c r="Z649" s="405"/>
      <c r="AA649" s="405"/>
      <c r="AB649" s="405"/>
      <c r="AC649" s="405"/>
      <c r="AD649" s="405"/>
      <c r="AE649" s="405"/>
      <c r="AF649" s="405"/>
    </row>
    <row r="650" hidden="1">
      <c r="A650" s="406">
        <v>15.0</v>
      </c>
      <c r="B650" s="407" t="s">
        <v>2726</v>
      </c>
      <c r="C650" s="408" t="s">
        <v>1185</v>
      </c>
      <c r="D650" s="406" t="s">
        <v>2727</v>
      </c>
      <c r="E650" s="406" t="s">
        <v>2728</v>
      </c>
      <c r="F650" s="408" t="s">
        <v>2098</v>
      </c>
      <c r="G650" s="409">
        <v>45970.0</v>
      </c>
      <c r="H650" s="406">
        <v>14.0</v>
      </c>
      <c r="I650" s="410"/>
      <c r="J650" s="405"/>
      <c r="K650" s="405"/>
      <c r="L650" s="411"/>
      <c r="M650" s="412"/>
      <c r="N650" s="412"/>
      <c r="O650" s="412"/>
      <c r="P650" s="412"/>
      <c r="Q650" s="405"/>
      <c r="R650" s="405"/>
      <c r="S650" s="405"/>
      <c r="T650" s="405"/>
      <c r="U650" s="405"/>
      <c r="V650" s="405"/>
      <c r="W650" s="405"/>
      <c r="X650" s="405"/>
      <c r="Y650" s="405"/>
      <c r="Z650" s="405"/>
      <c r="AA650" s="405"/>
      <c r="AB650" s="405"/>
      <c r="AC650" s="405"/>
      <c r="AD650" s="405"/>
      <c r="AE650" s="405"/>
      <c r="AF650" s="405"/>
    </row>
    <row r="651" hidden="1">
      <c r="A651" s="406">
        <v>16.0</v>
      </c>
      <c r="B651" s="407" t="s">
        <v>2729</v>
      </c>
      <c r="C651" s="408" t="s">
        <v>1185</v>
      </c>
      <c r="D651" s="406" t="s">
        <v>2730</v>
      </c>
      <c r="E651" s="406" t="s">
        <v>2731</v>
      </c>
      <c r="F651" s="408" t="s">
        <v>2098</v>
      </c>
      <c r="G651" s="406" t="s">
        <v>2612</v>
      </c>
      <c r="H651" s="406">
        <v>16.0</v>
      </c>
      <c r="I651" s="410"/>
      <c r="J651" s="405"/>
      <c r="K651" s="405"/>
      <c r="L651" s="411"/>
      <c r="M651" s="412"/>
      <c r="N651" s="412"/>
      <c r="O651" s="412"/>
      <c r="P651" s="412"/>
      <c r="Q651" s="405"/>
      <c r="R651" s="405"/>
      <c r="S651" s="405"/>
      <c r="T651" s="405"/>
      <c r="U651" s="405"/>
      <c r="V651" s="405"/>
      <c r="W651" s="405"/>
      <c r="X651" s="405"/>
      <c r="Y651" s="405"/>
      <c r="Z651" s="405"/>
      <c r="AA651" s="405"/>
      <c r="AB651" s="405"/>
      <c r="AC651" s="405"/>
      <c r="AD651" s="405"/>
      <c r="AE651" s="405"/>
      <c r="AF651" s="405"/>
    </row>
    <row r="652" hidden="1">
      <c r="A652" s="406">
        <v>17.0</v>
      </c>
      <c r="B652" s="407" t="s">
        <v>2732</v>
      </c>
      <c r="C652" s="408" t="s">
        <v>1185</v>
      </c>
      <c r="D652" s="406" t="s">
        <v>2733</v>
      </c>
      <c r="E652" s="406" t="s">
        <v>2734</v>
      </c>
      <c r="F652" s="408" t="s">
        <v>2098</v>
      </c>
      <c r="G652" s="406" t="s">
        <v>2612</v>
      </c>
      <c r="H652" s="406">
        <v>16.0</v>
      </c>
      <c r="I652" s="410"/>
      <c r="J652" s="405"/>
      <c r="K652" s="405"/>
      <c r="L652" s="411"/>
      <c r="M652" s="412"/>
      <c r="N652" s="412"/>
      <c r="O652" s="412"/>
      <c r="P652" s="412"/>
      <c r="Q652" s="405"/>
      <c r="R652" s="405"/>
      <c r="S652" s="405"/>
      <c r="T652" s="405"/>
      <c r="U652" s="405"/>
      <c r="V652" s="405"/>
      <c r="W652" s="405"/>
      <c r="X652" s="405"/>
      <c r="Y652" s="405"/>
      <c r="Z652" s="405"/>
      <c r="AA652" s="405"/>
      <c r="AB652" s="405"/>
      <c r="AC652" s="405"/>
      <c r="AD652" s="405"/>
      <c r="AE652" s="405"/>
      <c r="AF652" s="405"/>
    </row>
    <row r="653" hidden="1">
      <c r="A653" s="406">
        <v>18.0</v>
      </c>
      <c r="B653" s="407" t="s">
        <v>2735</v>
      </c>
      <c r="C653" s="408" t="s">
        <v>1185</v>
      </c>
      <c r="D653" s="406" t="s">
        <v>2736</v>
      </c>
      <c r="E653" s="406" t="s">
        <v>2737</v>
      </c>
      <c r="F653" s="408" t="s">
        <v>2098</v>
      </c>
      <c r="G653" s="406" t="s">
        <v>2612</v>
      </c>
      <c r="H653" s="406">
        <v>16.0</v>
      </c>
      <c r="I653" s="410"/>
      <c r="J653" s="405"/>
      <c r="K653" s="405"/>
      <c r="L653" s="411"/>
      <c r="M653" s="412"/>
      <c r="N653" s="412"/>
      <c r="O653" s="412"/>
      <c r="P653" s="412"/>
      <c r="Q653" s="405"/>
      <c r="R653" s="405"/>
      <c r="S653" s="405"/>
      <c r="T653" s="405"/>
      <c r="U653" s="405"/>
      <c r="V653" s="405"/>
      <c r="W653" s="405"/>
      <c r="X653" s="405"/>
      <c r="Y653" s="405"/>
      <c r="Z653" s="405"/>
      <c r="AA653" s="405"/>
      <c r="AB653" s="405"/>
      <c r="AC653" s="405"/>
      <c r="AD653" s="405"/>
      <c r="AE653" s="405"/>
      <c r="AF653" s="405"/>
    </row>
    <row r="654" hidden="1">
      <c r="A654" s="406">
        <v>19.0</v>
      </c>
      <c r="B654" s="407" t="s">
        <v>2738</v>
      </c>
      <c r="C654" s="408" t="s">
        <v>1185</v>
      </c>
      <c r="D654" s="406" t="s">
        <v>2739</v>
      </c>
      <c r="E654" s="406" t="s">
        <v>2740</v>
      </c>
      <c r="F654" s="408" t="s">
        <v>2098</v>
      </c>
      <c r="G654" s="406" t="s">
        <v>2612</v>
      </c>
      <c r="H654" s="406">
        <v>16.0</v>
      </c>
      <c r="I654" s="410"/>
      <c r="J654" s="405"/>
      <c r="K654" s="405"/>
      <c r="L654" s="411"/>
      <c r="M654" s="412"/>
      <c r="N654" s="412"/>
      <c r="O654" s="412"/>
      <c r="P654" s="412"/>
      <c r="Q654" s="405"/>
      <c r="R654" s="405"/>
      <c r="S654" s="405"/>
      <c r="T654" s="405"/>
      <c r="U654" s="405"/>
      <c r="V654" s="405"/>
      <c r="W654" s="405"/>
      <c r="X654" s="405"/>
      <c r="Y654" s="405"/>
      <c r="Z654" s="405"/>
      <c r="AA654" s="405"/>
      <c r="AB654" s="405"/>
      <c r="AC654" s="405"/>
      <c r="AD654" s="405"/>
      <c r="AE654" s="405"/>
      <c r="AF654" s="405"/>
    </row>
    <row r="655" hidden="1">
      <c r="A655" s="406">
        <v>20.0</v>
      </c>
      <c r="B655" s="407" t="s">
        <v>2741</v>
      </c>
      <c r="C655" s="408" t="s">
        <v>1185</v>
      </c>
      <c r="D655" s="406" t="s">
        <v>2742</v>
      </c>
      <c r="E655" s="406" t="s">
        <v>2743</v>
      </c>
      <c r="F655" s="408" t="s">
        <v>2098</v>
      </c>
      <c r="G655" s="406" t="s">
        <v>2744</v>
      </c>
      <c r="H655" s="406">
        <v>17.0</v>
      </c>
      <c r="I655" s="410"/>
      <c r="J655" s="405"/>
      <c r="K655" s="405"/>
      <c r="L655" s="411"/>
      <c r="M655" s="412"/>
      <c r="N655" s="412"/>
      <c r="O655" s="412"/>
      <c r="P655" s="412"/>
      <c r="Q655" s="405"/>
      <c r="R655" s="405"/>
      <c r="S655" s="405"/>
      <c r="T655" s="405"/>
      <c r="U655" s="405"/>
      <c r="V655" s="405"/>
      <c r="W655" s="405"/>
      <c r="X655" s="405"/>
      <c r="Y655" s="405"/>
      <c r="Z655" s="405"/>
      <c r="AA655" s="405"/>
      <c r="AB655" s="405"/>
      <c r="AC655" s="405"/>
      <c r="AD655" s="405"/>
      <c r="AE655" s="405"/>
      <c r="AF655" s="405"/>
    </row>
    <row r="656" hidden="1">
      <c r="A656" s="406">
        <v>21.0</v>
      </c>
      <c r="B656" s="407" t="s">
        <v>2745</v>
      </c>
      <c r="C656" s="408" t="s">
        <v>80</v>
      </c>
      <c r="D656" s="406" t="s">
        <v>2746</v>
      </c>
      <c r="E656" s="406" t="s">
        <v>2747</v>
      </c>
      <c r="F656" s="408" t="s">
        <v>232</v>
      </c>
      <c r="G656" s="406" t="s">
        <v>2744</v>
      </c>
      <c r="H656" s="406">
        <v>17.0</v>
      </c>
      <c r="I656" s="410"/>
      <c r="J656" s="405"/>
      <c r="K656" s="405"/>
      <c r="L656" s="411"/>
      <c r="M656" s="412"/>
      <c r="N656" s="412"/>
      <c r="O656" s="412"/>
      <c r="P656" s="412"/>
      <c r="Q656" s="405"/>
      <c r="R656" s="405"/>
      <c r="S656" s="405"/>
      <c r="T656" s="405"/>
      <c r="U656" s="405"/>
      <c r="V656" s="405"/>
      <c r="W656" s="405"/>
      <c r="X656" s="405"/>
      <c r="Y656" s="405"/>
      <c r="Z656" s="405"/>
      <c r="AA656" s="405"/>
      <c r="AB656" s="405"/>
      <c r="AC656" s="405"/>
      <c r="AD656" s="405"/>
      <c r="AE656" s="405"/>
      <c r="AF656" s="405"/>
    </row>
    <row r="657" hidden="1">
      <c r="A657" s="406">
        <v>22.0</v>
      </c>
      <c r="B657" s="407" t="s">
        <v>2748</v>
      </c>
      <c r="C657" s="408" t="s">
        <v>80</v>
      </c>
      <c r="D657" s="406" t="s">
        <v>2749</v>
      </c>
      <c r="E657" s="406" t="s">
        <v>2750</v>
      </c>
      <c r="F657" s="408" t="s">
        <v>232</v>
      </c>
      <c r="G657" s="406" t="s">
        <v>2744</v>
      </c>
      <c r="H657" s="406">
        <v>17.0</v>
      </c>
      <c r="I657" s="410"/>
      <c r="J657" s="405"/>
      <c r="K657" s="405"/>
      <c r="L657" s="411"/>
      <c r="M657" s="412"/>
      <c r="N657" s="412"/>
      <c r="O657" s="412"/>
      <c r="P657" s="412"/>
      <c r="Q657" s="405"/>
      <c r="R657" s="405"/>
      <c r="S657" s="405"/>
      <c r="T657" s="405"/>
      <c r="U657" s="405"/>
      <c r="V657" s="405"/>
      <c r="W657" s="405"/>
      <c r="X657" s="405"/>
      <c r="Y657" s="405"/>
      <c r="Z657" s="405"/>
      <c r="AA657" s="405"/>
      <c r="AB657" s="405"/>
      <c r="AC657" s="405"/>
      <c r="AD657" s="405"/>
      <c r="AE657" s="405"/>
      <c r="AF657" s="405"/>
    </row>
    <row r="658" hidden="1">
      <c r="A658" s="406">
        <v>23.0</v>
      </c>
      <c r="B658" s="407" t="s">
        <v>2751</v>
      </c>
      <c r="C658" s="415" t="s">
        <v>938</v>
      </c>
      <c r="D658" s="406" t="s">
        <v>2752</v>
      </c>
      <c r="E658" s="406" t="s">
        <v>2753</v>
      </c>
      <c r="F658" s="408" t="s">
        <v>243</v>
      </c>
      <c r="G658" s="406" t="s">
        <v>2744</v>
      </c>
      <c r="H658" s="406">
        <v>17.0</v>
      </c>
      <c r="I658" s="410"/>
      <c r="J658" s="405"/>
      <c r="K658" s="405"/>
      <c r="L658" s="411"/>
      <c r="M658" s="412"/>
      <c r="N658" s="412"/>
      <c r="O658" s="412"/>
      <c r="P658" s="277"/>
      <c r="Q658" s="405"/>
      <c r="R658" s="405"/>
      <c r="S658" s="405"/>
      <c r="T658" s="405"/>
      <c r="U658" s="405"/>
      <c r="V658" s="405"/>
      <c r="W658" s="405"/>
      <c r="X658" s="405"/>
      <c r="Y658" s="405"/>
      <c r="Z658" s="405"/>
      <c r="AA658" s="405"/>
      <c r="AB658" s="405"/>
      <c r="AC658" s="405"/>
      <c r="AD658" s="405"/>
      <c r="AE658" s="405"/>
      <c r="AF658" s="405"/>
    </row>
    <row r="659" hidden="1">
      <c r="A659" s="406">
        <v>24.0</v>
      </c>
      <c r="B659" s="407" t="s">
        <v>2754</v>
      </c>
      <c r="C659" s="415" t="s">
        <v>938</v>
      </c>
      <c r="D659" s="406" t="s">
        <v>2755</v>
      </c>
      <c r="E659" s="406" t="s">
        <v>2756</v>
      </c>
      <c r="F659" s="408" t="s">
        <v>243</v>
      </c>
      <c r="G659" s="406" t="s">
        <v>2744</v>
      </c>
      <c r="H659" s="406">
        <v>17.0</v>
      </c>
      <c r="I659" s="410"/>
      <c r="J659" s="405"/>
      <c r="K659" s="405"/>
      <c r="L659" s="411"/>
      <c r="M659" s="412"/>
      <c r="N659" s="412"/>
      <c r="O659" s="412"/>
      <c r="P659" s="277"/>
      <c r="Q659" s="405"/>
      <c r="R659" s="405"/>
      <c r="S659" s="405"/>
      <c r="T659" s="405"/>
      <c r="U659" s="405"/>
      <c r="V659" s="405"/>
      <c r="W659" s="405"/>
      <c r="X659" s="405"/>
      <c r="Y659" s="405"/>
      <c r="Z659" s="405"/>
      <c r="AA659" s="405"/>
      <c r="AB659" s="405"/>
      <c r="AC659" s="405"/>
      <c r="AD659" s="405"/>
      <c r="AE659" s="405"/>
      <c r="AF659" s="405"/>
    </row>
    <row r="660" hidden="1">
      <c r="A660" s="406">
        <v>25.0</v>
      </c>
      <c r="B660" s="407" t="s">
        <v>2757</v>
      </c>
      <c r="C660" s="408" t="s">
        <v>80</v>
      </c>
      <c r="D660" s="406" t="s">
        <v>2758</v>
      </c>
      <c r="E660" s="406" t="s">
        <v>2759</v>
      </c>
      <c r="F660" s="408" t="s">
        <v>2760</v>
      </c>
      <c r="G660" s="406" t="s">
        <v>2547</v>
      </c>
      <c r="H660" s="406">
        <v>21.0</v>
      </c>
      <c r="I660" s="410"/>
      <c r="J660" s="405"/>
      <c r="K660" s="405"/>
      <c r="L660" s="411"/>
      <c r="M660" s="412"/>
      <c r="N660" s="412"/>
      <c r="O660" s="412"/>
      <c r="P660" s="277" t="s">
        <v>2761</v>
      </c>
      <c r="Q660" s="405"/>
      <c r="R660" s="405"/>
      <c r="S660" s="405"/>
      <c r="T660" s="405"/>
      <c r="U660" s="405"/>
      <c r="V660" s="405"/>
      <c r="W660" s="405"/>
      <c r="X660" s="405"/>
      <c r="Y660" s="405"/>
      <c r="Z660" s="405"/>
      <c r="AA660" s="405"/>
      <c r="AB660" s="405"/>
      <c r="AC660" s="405"/>
      <c r="AD660" s="405"/>
      <c r="AE660" s="405"/>
      <c r="AF660" s="405"/>
    </row>
    <row r="661" hidden="1">
      <c r="A661" s="406">
        <v>26.0</v>
      </c>
      <c r="B661" s="407" t="s">
        <v>2762</v>
      </c>
      <c r="C661" s="408" t="s">
        <v>80</v>
      </c>
      <c r="D661" s="406" t="s">
        <v>2763</v>
      </c>
      <c r="E661" s="406" t="s">
        <v>2764</v>
      </c>
      <c r="F661" s="408" t="s">
        <v>1234</v>
      </c>
      <c r="G661" s="409">
        <v>46000.0</v>
      </c>
      <c r="H661" s="406">
        <v>15.0</v>
      </c>
      <c r="I661" s="410"/>
      <c r="J661" s="405"/>
      <c r="K661" s="405"/>
      <c r="L661" s="411"/>
      <c r="M661" s="412"/>
      <c r="N661" s="412"/>
      <c r="O661" s="412"/>
      <c r="P661" s="277" t="s">
        <v>1798</v>
      </c>
      <c r="Q661" s="405"/>
      <c r="R661" s="405"/>
      <c r="S661" s="405"/>
      <c r="T661" s="405"/>
      <c r="U661" s="405"/>
      <c r="V661" s="405"/>
      <c r="W661" s="405"/>
      <c r="X661" s="405"/>
      <c r="Y661" s="405"/>
      <c r="Z661" s="405"/>
      <c r="AA661" s="405"/>
      <c r="AB661" s="405"/>
      <c r="AC661" s="405"/>
      <c r="AD661" s="405"/>
      <c r="AE661" s="405"/>
      <c r="AF661" s="405"/>
    </row>
    <row r="662" hidden="1">
      <c r="A662" s="406">
        <v>27.0</v>
      </c>
      <c r="B662" s="407" t="s">
        <v>2765</v>
      </c>
      <c r="C662" s="408" t="s">
        <v>80</v>
      </c>
      <c r="D662" s="406" t="s">
        <v>2766</v>
      </c>
      <c r="E662" s="406" t="s">
        <v>2767</v>
      </c>
      <c r="F662" s="408" t="s">
        <v>2768</v>
      </c>
      <c r="G662" s="406" t="s">
        <v>2744</v>
      </c>
      <c r="H662" s="406">
        <v>17.0</v>
      </c>
      <c r="I662" s="410"/>
      <c r="J662" s="405"/>
      <c r="K662" s="405"/>
      <c r="L662" s="411"/>
      <c r="M662" s="412"/>
      <c r="N662" s="412"/>
      <c r="O662" s="412"/>
      <c r="P662" s="416" t="s">
        <v>2769</v>
      </c>
      <c r="Q662" s="405"/>
      <c r="R662" s="405"/>
      <c r="S662" s="405"/>
      <c r="T662" s="405"/>
      <c r="U662" s="405"/>
      <c r="V662" s="405"/>
      <c r="W662" s="405"/>
      <c r="X662" s="405"/>
      <c r="Y662" s="405"/>
      <c r="Z662" s="405"/>
      <c r="AA662" s="405"/>
      <c r="AB662" s="405"/>
      <c r="AC662" s="405"/>
      <c r="AD662" s="405"/>
      <c r="AE662" s="405"/>
      <c r="AF662" s="405"/>
    </row>
    <row r="663" hidden="1">
      <c r="A663" s="406">
        <v>28.0</v>
      </c>
      <c r="B663" s="407" t="s">
        <v>2770</v>
      </c>
      <c r="C663" s="408" t="s">
        <v>80</v>
      </c>
      <c r="D663" s="406" t="s">
        <v>2771</v>
      </c>
      <c r="E663" s="406" t="s">
        <v>2772</v>
      </c>
      <c r="F663" s="408" t="s">
        <v>2768</v>
      </c>
      <c r="G663" s="406" t="s">
        <v>2744</v>
      </c>
      <c r="H663" s="406">
        <v>17.0</v>
      </c>
      <c r="I663" s="410"/>
      <c r="J663" s="405"/>
      <c r="K663" s="405"/>
      <c r="L663" s="411"/>
      <c r="M663" s="412"/>
      <c r="N663" s="412"/>
      <c r="O663" s="412"/>
      <c r="P663" s="416" t="s">
        <v>2769</v>
      </c>
      <c r="Q663" s="405"/>
      <c r="R663" s="405"/>
      <c r="S663" s="405"/>
      <c r="T663" s="405"/>
      <c r="U663" s="405"/>
      <c r="V663" s="405"/>
      <c r="W663" s="405"/>
      <c r="X663" s="405"/>
      <c r="Y663" s="405"/>
      <c r="Z663" s="405"/>
      <c r="AA663" s="405"/>
      <c r="AB663" s="405"/>
      <c r="AC663" s="405"/>
      <c r="AD663" s="405"/>
      <c r="AE663" s="405"/>
      <c r="AF663" s="405"/>
    </row>
    <row r="664" hidden="1">
      <c r="A664" s="406">
        <v>29.0</v>
      </c>
      <c r="B664" s="407" t="s">
        <v>2773</v>
      </c>
      <c r="C664" s="408" t="s">
        <v>80</v>
      </c>
      <c r="D664" s="406" t="s">
        <v>2774</v>
      </c>
      <c r="E664" s="406" t="s">
        <v>2775</v>
      </c>
      <c r="F664" s="408" t="s">
        <v>2776</v>
      </c>
      <c r="G664" s="406" t="s">
        <v>2620</v>
      </c>
      <c r="H664" s="406">
        <v>18.0</v>
      </c>
      <c r="I664" s="410"/>
      <c r="J664" s="405"/>
      <c r="K664" s="405"/>
      <c r="L664" s="411"/>
      <c r="M664" s="412"/>
      <c r="N664" s="412"/>
      <c r="O664" s="412"/>
      <c r="P664" s="277" t="s">
        <v>1798</v>
      </c>
      <c r="Q664" s="405"/>
      <c r="R664" s="405"/>
      <c r="S664" s="405"/>
      <c r="T664" s="405"/>
      <c r="U664" s="405"/>
      <c r="V664" s="405"/>
      <c r="W664" s="405"/>
      <c r="X664" s="405"/>
      <c r="Y664" s="405"/>
      <c r="Z664" s="405"/>
      <c r="AA664" s="405"/>
      <c r="AB664" s="405"/>
      <c r="AC664" s="405"/>
      <c r="AD664" s="405"/>
      <c r="AE664" s="405"/>
      <c r="AF664" s="405"/>
    </row>
    <row r="665" hidden="1">
      <c r="A665" s="406">
        <v>30.0</v>
      </c>
      <c r="B665" s="407" t="s">
        <v>2777</v>
      </c>
      <c r="C665" s="408" t="s">
        <v>80</v>
      </c>
      <c r="D665" s="406" t="s">
        <v>2778</v>
      </c>
      <c r="E665" s="406" t="s">
        <v>2779</v>
      </c>
      <c r="F665" s="408" t="s">
        <v>2599</v>
      </c>
      <c r="G665" s="406" t="s">
        <v>2620</v>
      </c>
      <c r="H665" s="406">
        <v>18.0</v>
      </c>
      <c r="I665" s="410"/>
      <c r="J665" s="405"/>
      <c r="K665" s="405"/>
      <c r="L665" s="411"/>
      <c r="M665" s="412"/>
      <c r="N665" s="412"/>
      <c r="O665" s="412"/>
      <c r="P665" s="416" t="s">
        <v>2780</v>
      </c>
      <c r="Q665" s="405"/>
      <c r="R665" s="405"/>
      <c r="S665" s="405"/>
      <c r="T665" s="405"/>
      <c r="U665" s="405"/>
      <c r="V665" s="405"/>
      <c r="W665" s="405"/>
      <c r="X665" s="405"/>
      <c r="Y665" s="405"/>
      <c r="Z665" s="405"/>
      <c r="AA665" s="405"/>
      <c r="AB665" s="405"/>
      <c r="AC665" s="405"/>
      <c r="AD665" s="405"/>
      <c r="AE665" s="405"/>
      <c r="AF665" s="405"/>
    </row>
    <row r="666" hidden="1">
      <c r="A666" s="406">
        <v>31.0</v>
      </c>
      <c r="B666" s="407" t="s">
        <v>2781</v>
      </c>
      <c r="C666" s="408" t="s">
        <v>80</v>
      </c>
      <c r="D666" s="406" t="s">
        <v>2782</v>
      </c>
      <c r="E666" s="406" t="s">
        <v>2783</v>
      </c>
      <c r="F666" s="417" t="s">
        <v>2599</v>
      </c>
      <c r="G666" s="406" t="s">
        <v>2620</v>
      </c>
      <c r="H666" s="406">
        <v>18.0</v>
      </c>
      <c r="I666" s="410"/>
      <c r="J666" s="405"/>
      <c r="K666" s="405"/>
      <c r="L666" s="411"/>
      <c r="M666" s="412"/>
      <c r="N666" s="412"/>
      <c r="O666" s="412"/>
      <c r="P666" s="416" t="s">
        <v>2780</v>
      </c>
      <c r="Q666" s="405"/>
      <c r="R666" s="405"/>
      <c r="S666" s="405"/>
      <c r="T666" s="405"/>
      <c r="U666" s="405"/>
      <c r="V666" s="405"/>
      <c r="W666" s="405"/>
      <c r="X666" s="405"/>
      <c r="Y666" s="405"/>
      <c r="Z666" s="405"/>
      <c r="AA666" s="405"/>
      <c r="AB666" s="405"/>
      <c r="AC666" s="405"/>
      <c r="AD666" s="405"/>
      <c r="AE666" s="405"/>
      <c r="AF666" s="405"/>
    </row>
    <row r="667" hidden="1">
      <c r="A667" s="406">
        <v>32.0</v>
      </c>
      <c r="B667" s="407" t="s">
        <v>2784</v>
      </c>
      <c r="C667" s="408" t="s">
        <v>1185</v>
      </c>
      <c r="D667" s="406" t="s">
        <v>2785</v>
      </c>
      <c r="E667" s="406" t="s">
        <v>2786</v>
      </c>
      <c r="F667" s="408" t="s">
        <v>25</v>
      </c>
      <c r="G667" s="406" t="s">
        <v>2787</v>
      </c>
      <c r="H667" s="406">
        <v>19.0</v>
      </c>
      <c r="I667" s="410"/>
      <c r="J667" s="405"/>
      <c r="K667" s="405"/>
      <c r="L667" s="411"/>
      <c r="M667" s="412"/>
      <c r="N667" s="412"/>
      <c r="O667" s="412"/>
      <c r="P667" s="416" t="s">
        <v>2780</v>
      </c>
      <c r="Q667" s="405"/>
      <c r="R667" s="405"/>
      <c r="S667" s="405"/>
      <c r="T667" s="405"/>
      <c r="U667" s="405"/>
      <c r="V667" s="405"/>
      <c r="W667" s="405"/>
      <c r="X667" s="405"/>
      <c r="Y667" s="405"/>
      <c r="Z667" s="405"/>
      <c r="AA667" s="405"/>
      <c r="AB667" s="405"/>
      <c r="AC667" s="405"/>
      <c r="AD667" s="405"/>
      <c r="AE667" s="405"/>
      <c r="AF667" s="405"/>
    </row>
    <row r="668" hidden="1">
      <c r="A668" s="406">
        <v>33.0</v>
      </c>
      <c r="B668" s="407" t="s">
        <v>2788</v>
      </c>
      <c r="C668" s="408" t="s">
        <v>1185</v>
      </c>
      <c r="D668" s="406" t="s">
        <v>2789</v>
      </c>
      <c r="E668" s="406" t="s">
        <v>2790</v>
      </c>
      <c r="F668" s="408" t="s">
        <v>25</v>
      </c>
      <c r="G668" s="406" t="s">
        <v>2620</v>
      </c>
      <c r="H668" s="406">
        <v>18.0</v>
      </c>
      <c r="I668" s="410"/>
      <c r="J668" s="405"/>
      <c r="K668" s="405"/>
      <c r="L668" s="411"/>
      <c r="M668" s="412"/>
      <c r="N668" s="412"/>
      <c r="O668" s="412"/>
      <c r="P668" s="416" t="s">
        <v>2780</v>
      </c>
      <c r="Q668" s="405"/>
      <c r="R668" s="405"/>
      <c r="S668" s="405"/>
      <c r="T668" s="405"/>
      <c r="U668" s="405"/>
      <c r="V668" s="405"/>
      <c r="W668" s="405"/>
      <c r="X668" s="405"/>
      <c r="Y668" s="405"/>
      <c r="Z668" s="405"/>
      <c r="AA668" s="405"/>
      <c r="AB668" s="405"/>
      <c r="AC668" s="405"/>
      <c r="AD668" s="405"/>
      <c r="AE668" s="405"/>
      <c r="AF668" s="405"/>
    </row>
    <row r="669" hidden="1">
      <c r="A669" s="406">
        <v>34.0</v>
      </c>
      <c r="B669" s="407" t="s">
        <v>2791</v>
      </c>
      <c r="C669" s="408" t="s">
        <v>1185</v>
      </c>
      <c r="D669" s="406" t="s">
        <v>2792</v>
      </c>
      <c r="E669" s="406" t="s">
        <v>2793</v>
      </c>
      <c r="F669" s="408" t="s">
        <v>25</v>
      </c>
      <c r="G669" s="406" t="s">
        <v>2620</v>
      </c>
      <c r="H669" s="406">
        <v>18.0</v>
      </c>
      <c r="I669" s="410"/>
      <c r="J669" s="405"/>
      <c r="K669" s="405"/>
      <c r="L669" s="411"/>
      <c r="M669" s="412"/>
      <c r="N669" s="412"/>
      <c r="O669" s="412"/>
      <c r="P669" s="416" t="s">
        <v>2780</v>
      </c>
      <c r="Q669" s="405"/>
      <c r="R669" s="405"/>
      <c r="S669" s="405"/>
      <c r="T669" s="405"/>
      <c r="U669" s="405"/>
      <c r="V669" s="405"/>
      <c r="W669" s="405"/>
      <c r="X669" s="405"/>
      <c r="Y669" s="405"/>
      <c r="Z669" s="405"/>
      <c r="AA669" s="405"/>
      <c r="AB669" s="405"/>
      <c r="AC669" s="405"/>
      <c r="AD669" s="405"/>
      <c r="AE669" s="405"/>
      <c r="AF669" s="405"/>
    </row>
    <row r="670" hidden="1">
      <c r="A670" s="406">
        <v>35.0</v>
      </c>
      <c r="B670" s="407" t="s">
        <v>2794</v>
      </c>
      <c r="C670" s="408" t="s">
        <v>1185</v>
      </c>
      <c r="D670" s="406" t="s">
        <v>2795</v>
      </c>
      <c r="E670" s="406" t="s">
        <v>2796</v>
      </c>
      <c r="F670" s="408" t="s">
        <v>25</v>
      </c>
      <c r="G670" s="406" t="s">
        <v>2620</v>
      </c>
      <c r="H670" s="406">
        <v>18.0</v>
      </c>
      <c r="I670" s="410"/>
      <c r="J670" s="405"/>
      <c r="K670" s="405"/>
      <c r="L670" s="411"/>
      <c r="M670" s="412"/>
      <c r="N670" s="412"/>
      <c r="O670" s="412"/>
      <c r="P670" s="416" t="s">
        <v>2780</v>
      </c>
      <c r="Q670" s="405"/>
      <c r="R670" s="405"/>
      <c r="S670" s="405"/>
      <c r="T670" s="405"/>
      <c r="U670" s="405"/>
      <c r="V670" s="405"/>
      <c r="W670" s="405"/>
      <c r="X670" s="405"/>
      <c r="Y670" s="405"/>
      <c r="Z670" s="405"/>
      <c r="AA670" s="405"/>
      <c r="AB670" s="405"/>
      <c r="AC670" s="405"/>
      <c r="AD670" s="405"/>
      <c r="AE670" s="405"/>
      <c r="AF670" s="405"/>
    </row>
    <row r="671" hidden="1">
      <c r="A671" s="406">
        <v>36.0</v>
      </c>
      <c r="B671" s="407" t="s">
        <v>2797</v>
      </c>
      <c r="C671" s="408" t="s">
        <v>80</v>
      </c>
      <c r="D671" s="406" t="s">
        <v>2798</v>
      </c>
      <c r="E671" s="406" t="s">
        <v>2799</v>
      </c>
      <c r="F671" s="408" t="s">
        <v>172</v>
      </c>
      <c r="G671" s="406" t="s">
        <v>2787</v>
      </c>
      <c r="H671" s="406">
        <v>19.0</v>
      </c>
      <c r="I671" s="410"/>
      <c r="J671" s="405"/>
      <c r="K671" s="405"/>
      <c r="L671" s="411"/>
      <c r="M671" s="412"/>
      <c r="N671" s="412"/>
      <c r="O671" s="412"/>
      <c r="P671" s="416" t="s">
        <v>2780</v>
      </c>
      <c r="Q671" s="405"/>
      <c r="R671" s="405"/>
      <c r="S671" s="405"/>
      <c r="T671" s="405"/>
      <c r="U671" s="405"/>
      <c r="V671" s="405"/>
      <c r="W671" s="405"/>
      <c r="X671" s="405"/>
      <c r="Y671" s="405"/>
      <c r="Z671" s="405"/>
      <c r="AA671" s="405"/>
      <c r="AB671" s="405"/>
      <c r="AC671" s="405"/>
      <c r="AD671" s="405"/>
      <c r="AE671" s="405"/>
      <c r="AF671" s="405"/>
    </row>
    <row r="672" hidden="1">
      <c r="A672" s="406">
        <v>37.0</v>
      </c>
      <c r="B672" s="407" t="s">
        <v>2800</v>
      </c>
      <c r="C672" s="408" t="s">
        <v>80</v>
      </c>
      <c r="D672" s="406" t="s">
        <v>2801</v>
      </c>
      <c r="E672" s="406" t="s">
        <v>2802</v>
      </c>
      <c r="F672" s="408" t="s">
        <v>172</v>
      </c>
      <c r="G672" s="406" t="s">
        <v>2787</v>
      </c>
      <c r="H672" s="406">
        <v>19.0</v>
      </c>
      <c r="I672" s="410"/>
      <c r="J672" s="405"/>
      <c r="K672" s="405"/>
      <c r="L672" s="411"/>
      <c r="M672" s="412"/>
      <c r="N672" s="412"/>
      <c r="O672" s="412"/>
      <c r="P672" s="277" t="s">
        <v>1798</v>
      </c>
      <c r="Q672" s="405"/>
      <c r="R672" s="405"/>
      <c r="S672" s="405"/>
      <c r="T672" s="405"/>
      <c r="U672" s="405"/>
      <c r="V672" s="405"/>
      <c r="W672" s="405"/>
      <c r="X672" s="405"/>
      <c r="Y672" s="405"/>
      <c r="Z672" s="405"/>
      <c r="AA672" s="405"/>
      <c r="AB672" s="405"/>
      <c r="AC672" s="405"/>
      <c r="AD672" s="405"/>
      <c r="AE672" s="405"/>
      <c r="AF672" s="405"/>
    </row>
    <row r="673" hidden="1">
      <c r="A673" s="406">
        <v>38.0</v>
      </c>
      <c r="B673" s="407" t="s">
        <v>2803</v>
      </c>
      <c r="C673" s="408" t="s">
        <v>80</v>
      </c>
      <c r="D673" s="406" t="s">
        <v>2804</v>
      </c>
      <c r="E673" s="406" t="s">
        <v>2805</v>
      </c>
      <c r="F673" s="408" t="s">
        <v>172</v>
      </c>
      <c r="G673" s="406" t="s">
        <v>2787</v>
      </c>
      <c r="H673" s="406">
        <v>19.0</v>
      </c>
      <c r="I673" s="410"/>
      <c r="J673" s="405"/>
      <c r="K673" s="405"/>
      <c r="L673" s="411"/>
      <c r="M673" s="412"/>
      <c r="N673" s="412"/>
      <c r="O673" s="412"/>
      <c r="P673" s="277" t="s">
        <v>1798</v>
      </c>
      <c r="Q673" s="405"/>
      <c r="R673" s="405"/>
      <c r="S673" s="405"/>
      <c r="T673" s="405"/>
      <c r="U673" s="405"/>
      <c r="V673" s="405"/>
      <c r="W673" s="405"/>
      <c r="X673" s="405"/>
      <c r="Y673" s="405"/>
      <c r="Z673" s="405"/>
      <c r="AA673" s="405"/>
      <c r="AB673" s="405"/>
      <c r="AC673" s="405"/>
      <c r="AD673" s="405"/>
      <c r="AE673" s="405"/>
      <c r="AF673" s="405"/>
    </row>
    <row r="674" hidden="1">
      <c r="A674" s="418">
        <v>39.0</v>
      </c>
      <c r="B674" s="419" t="s">
        <v>2806</v>
      </c>
      <c r="C674" s="418" t="s">
        <v>80</v>
      </c>
      <c r="D674" s="418" t="s">
        <v>2807</v>
      </c>
      <c r="E674" s="418" t="s">
        <v>2808</v>
      </c>
      <c r="F674" s="418" t="s">
        <v>207</v>
      </c>
      <c r="G674" s="418" t="s">
        <v>2491</v>
      </c>
      <c r="H674" s="418">
        <v>20.0</v>
      </c>
      <c r="I674" s="420"/>
      <c r="J674" s="405"/>
      <c r="K674" s="405"/>
      <c r="L674" s="411"/>
      <c r="M674" s="412"/>
      <c r="N674" s="412"/>
      <c r="O674" s="412"/>
      <c r="P674" s="385" t="s">
        <v>1432</v>
      </c>
      <c r="Q674" s="405"/>
      <c r="R674" s="405"/>
      <c r="S674" s="405"/>
      <c r="T674" s="405"/>
      <c r="U674" s="405"/>
      <c r="V674" s="405"/>
      <c r="W674" s="405"/>
      <c r="X674" s="405"/>
      <c r="Y674" s="405"/>
      <c r="Z674" s="405"/>
      <c r="AA674" s="405"/>
      <c r="AB674" s="405"/>
      <c r="AC674" s="405"/>
      <c r="AD674" s="405"/>
      <c r="AE674" s="405"/>
      <c r="AF674" s="405"/>
    </row>
    <row r="675" hidden="1">
      <c r="A675" s="406">
        <v>40.0</v>
      </c>
      <c r="B675" s="407" t="s">
        <v>2809</v>
      </c>
      <c r="C675" s="408" t="s">
        <v>1185</v>
      </c>
      <c r="D675" s="406" t="s">
        <v>2810</v>
      </c>
      <c r="E675" s="406" t="s">
        <v>2811</v>
      </c>
      <c r="F675" s="408" t="s">
        <v>25</v>
      </c>
      <c r="G675" s="406" t="s">
        <v>2547</v>
      </c>
      <c r="H675" s="406">
        <v>21.0</v>
      </c>
      <c r="I675" s="410"/>
      <c r="J675" s="405"/>
      <c r="K675" s="405"/>
      <c r="L675" s="411"/>
      <c r="M675" s="412"/>
      <c r="N675" s="412"/>
      <c r="O675" s="412"/>
      <c r="P675" s="416" t="s">
        <v>2780</v>
      </c>
      <c r="Q675" s="405"/>
      <c r="R675" s="405"/>
      <c r="S675" s="405"/>
      <c r="T675" s="405"/>
      <c r="U675" s="405"/>
      <c r="V675" s="405"/>
      <c r="W675" s="405"/>
      <c r="X675" s="405"/>
      <c r="Y675" s="405"/>
      <c r="Z675" s="405"/>
      <c r="AA675" s="405"/>
      <c r="AB675" s="405"/>
      <c r="AC675" s="405"/>
      <c r="AD675" s="405"/>
      <c r="AE675" s="405"/>
      <c r="AF675" s="405"/>
    </row>
    <row r="676" hidden="1">
      <c r="A676" s="406">
        <v>41.0</v>
      </c>
      <c r="B676" s="421" t="s">
        <v>2812</v>
      </c>
      <c r="C676" s="408" t="s">
        <v>80</v>
      </c>
      <c r="D676" s="406" t="s">
        <v>2813</v>
      </c>
      <c r="E676" s="406" t="s">
        <v>2814</v>
      </c>
      <c r="F676" s="417" t="s">
        <v>2599</v>
      </c>
      <c r="G676" s="409">
        <v>46000.0</v>
      </c>
      <c r="H676" s="406">
        <v>15.0</v>
      </c>
      <c r="I676" s="410"/>
      <c r="J676" s="405"/>
      <c r="K676" s="405"/>
      <c r="L676" s="411"/>
      <c r="M676" s="412"/>
      <c r="N676" s="412"/>
      <c r="O676" s="412"/>
      <c r="P676" s="277" t="s">
        <v>2815</v>
      </c>
      <c r="Q676" s="405"/>
      <c r="R676" s="405"/>
      <c r="S676" s="405"/>
      <c r="T676" s="405"/>
      <c r="U676" s="405"/>
      <c r="V676" s="405"/>
      <c r="W676" s="405"/>
      <c r="X676" s="405"/>
      <c r="Y676" s="405"/>
      <c r="Z676" s="405"/>
      <c r="AA676" s="405"/>
      <c r="AB676" s="405"/>
      <c r="AC676" s="405"/>
      <c r="AD676" s="405"/>
      <c r="AE676" s="405"/>
      <c r="AF676" s="405"/>
    </row>
    <row r="677" hidden="1">
      <c r="A677" s="406">
        <v>42.0</v>
      </c>
      <c r="B677" s="421" t="s">
        <v>2816</v>
      </c>
      <c r="C677" s="408" t="s">
        <v>80</v>
      </c>
      <c r="D677" s="406" t="s">
        <v>2817</v>
      </c>
      <c r="E677" s="406" t="s">
        <v>2818</v>
      </c>
      <c r="F677" s="408" t="s">
        <v>2819</v>
      </c>
      <c r="G677" s="406" t="s">
        <v>2612</v>
      </c>
      <c r="H677" s="406">
        <v>16.0</v>
      </c>
      <c r="I677" s="410"/>
      <c r="J677" s="405"/>
      <c r="K677" s="405"/>
      <c r="L677" s="411"/>
      <c r="M677" s="412"/>
      <c r="N677" s="412"/>
      <c r="O677" s="412"/>
      <c r="P677" s="277" t="s">
        <v>1798</v>
      </c>
      <c r="Q677" s="405"/>
      <c r="R677" s="405"/>
      <c r="S677" s="405"/>
      <c r="T677" s="405"/>
      <c r="U677" s="405"/>
      <c r="V677" s="405"/>
      <c r="W677" s="405"/>
      <c r="X677" s="405"/>
      <c r="Y677" s="405"/>
      <c r="Z677" s="405"/>
      <c r="AA677" s="405"/>
      <c r="AB677" s="405"/>
      <c r="AC677" s="405"/>
      <c r="AD677" s="405"/>
      <c r="AE677" s="405"/>
      <c r="AF677" s="405"/>
    </row>
    <row r="678" hidden="1">
      <c r="A678" s="406">
        <v>43.0</v>
      </c>
      <c r="B678" s="421" t="s">
        <v>2820</v>
      </c>
      <c r="C678" s="408" t="s">
        <v>80</v>
      </c>
      <c r="D678" s="406" t="s">
        <v>2821</v>
      </c>
      <c r="E678" s="406" t="s">
        <v>2822</v>
      </c>
      <c r="F678" s="417" t="s">
        <v>2599</v>
      </c>
      <c r="G678" s="406" t="s">
        <v>2744</v>
      </c>
      <c r="H678" s="406">
        <v>17.0</v>
      </c>
      <c r="I678" s="410"/>
      <c r="J678" s="405"/>
      <c r="K678" s="405"/>
      <c r="L678" s="411"/>
      <c r="M678" s="412"/>
      <c r="N678" s="412"/>
      <c r="O678" s="412"/>
      <c r="P678" s="277" t="s">
        <v>1798</v>
      </c>
      <c r="Q678" s="405"/>
      <c r="R678" s="405"/>
      <c r="S678" s="405"/>
      <c r="T678" s="405"/>
      <c r="U678" s="405"/>
      <c r="V678" s="405"/>
      <c r="W678" s="405"/>
      <c r="X678" s="405"/>
      <c r="Y678" s="405"/>
      <c r="Z678" s="405"/>
      <c r="AA678" s="405"/>
      <c r="AB678" s="405"/>
      <c r="AC678" s="405"/>
      <c r="AD678" s="405"/>
      <c r="AE678" s="405"/>
      <c r="AF678" s="405"/>
    </row>
    <row r="679" hidden="1">
      <c r="A679" s="406">
        <v>44.0</v>
      </c>
      <c r="B679" s="407" t="s">
        <v>2823</v>
      </c>
      <c r="C679" s="408" t="s">
        <v>80</v>
      </c>
      <c r="D679" s="406" t="s">
        <v>2824</v>
      </c>
      <c r="E679" s="406" t="s">
        <v>2825</v>
      </c>
      <c r="F679" s="408" t="s">
        <v>2486</v>
      </c>
      <c r="G679" s="406" t="s">
        <v>2787</v>
      </c>
      <c r="H679" s="406">
        <v>19.0</v>
      </c>
      <c r="I679" s="410"/>
      <c r="J679" s="405"/>
      <c r="K679" s="405"/>
      <c r="L679" s="411"/>
      <c r="M679" s="412"/>
      <c r="N679" s="412"/>
      <c r="O679" s="412"/>
      <c r="P679" s="277" t="s">
        <v>1798</v>
      </c>
      <c r="Q679" s="405"/>
      <c r="R679" s="405"/>
      <c r="S679" s="405"/>
      <c r="T679" s="405"/>
      <c r="U679" s="405"/>
      <c r="V679" s="405"/>
      <c r="W679" s="405"/>
      <c r="X679" s="405"/>
      <c r="Y679" s="405"/>
      <c r="Z679" s="405"/>
      <c r="AA679" s="405"/>
      <c r="AB679" s="405"/>
      <c r="AC679" s="405"/>
      <c r="AD679" s="405"/>
      <c r="AE679" s="405"/>
      <c r="AF679" s="405"/>
    </row>
    <row r="680" hidden="1">
      <c r="A680" s="406">
        <v>45.0</v>
      </c>
      <c r="B680" s="407" t="s">
        <v>2826</v>
      </c>
      <c r="C680" s="408" t="s">
        <v>80</v>
      </c>
      <c r="D680" s="406" t="s">
        <v>2827</v>
      </c>
      <c r="E680" s="406" t="s">
        <v>2828</v>
      </c>
      <c r="F680" s="408" t="s">
        <v>2829</v>
      </c>
      <c r="G680" s="406" t="s">
        <v>2547</v>
      </c>
      <c r="H680" s="406">
        <v>21.0</v>
      </c>
      <c r="I680" s="410"/>
      <c r="J680" s="405"/>
      <c r="K680" s="405"/>
      <c r="L680" s="411"/>
      <c r="M680" s="412"/>
      <c r="N680" s="412"/>
      <c r="O680" s="412"/>
      <c r="P680" s="385" t="s">
        <v>1432</v>
      </c>
      <c r="Q680" s="405"/>
      <c r="R680" s="405"/>
      <c r="S680" s="405"/>
      <c r="T680" s="405"/>
      <c r="U680" s="405"/>
      <c r="V680" s="405"/>
      <c r="W680" s="405"/>
      <c r="X680" s="405"/>
      <c r="Y680" s="405"/>
      <c r="Z680" s="405"/>
      <c r="AA680" s="405"/>
      <c r="AB680" s="405"/>
      <c r="AC680" s="405"/>
      <c r="AD680" s="405"/>
      <c r="AE680" s="405"/>
      <c r="AF680" s="405"/>
    </row>
    <row r="681" hidden="1">
      <c r="A681" s="339" t="s">
        <v>2830</v>
      </c>
    </row>
    <row r="682" hidden="1">
      <c r="A682" s="422" t="s">
        <v>47</v>
      </c>
      <c r="B682" s="423" t="s">
        <v>7</v>
      </c>
      <c r="C682" s="424" t="s">
        <v>9</v>
      </c>
      <c r="D682" s="424" t="s">
        <v>10</v>
      </c>
      <c r="E682" s="424" t="s">
        <v>11</v>
      </c>
      <c r="F682" s="424" t="s">
        <v>12</v>
      </c>
      <c r="G682" s="424" t="s">
        <v>2378</v>
      </c>
      <c r="H682" s="424" t="s">
        <v>2681</v>
      </c>
      <c r="I682" s="424"/>
      <c r="J682" s="8" t="s">
        <v>14</v>
      </c>
      <c r="K682" s="9" t="s">
        <v>16</v>
      </c>
      <c r="L682" s="9" t="s">
        <v>35</v>
      </c>
      <c r="M682" s="9" t="s">
        <v>18</v>
      </c>
      <c r="N682" s="9" t="s">
        <v>19</v>
      </c>
      <c r="O682" s="9" t="s">
        <v>20</v>
      </c>
      <c r="P682" s="9" t="s">
        <v>21</v>
      </c>
    </row>
    <row r="683" hidden="1">
      <c r="A683" s="29">
        <v>1.0</v>
      </c>
      <c r="B683" s="26" t="s">
        <v>2682</v>
      </c>
      <c r="C683" s="319" t="s">
        <v>80</v>
      </c>
      <c r="D683" s="29" t="s">
        <v>2683</v>
      </c>
      <c r="E683" s="29" t="s">
        <v>1477</v>
      </c>
      <c r="F683" s="365" t="s">
        <v>356</v>
      </c>
      <c r="G683" s="425">
        <v>45786.0</v>
      </c>
      <c r="H683" s="29">
        <v>8.0</v>
      </c>
      <c r="I683" s="29"/>
      <c r="J683" s="19"/>
      <c r="K683" s="19"/>
      <c r="L683" s="12" t="s">
        <v>374</v>
      </c>
      <c r="M683" s="19"/>
      <c r="N683" s="19"/>
      <c r="O683" s="19"/>
      <c r="P683" s="385" t="s">
        <v>1432</v>
      </c>
    </row>
    <row r="684" hidden="1">
      <c r="A684" s="29">
        <v>2.0</v>
      </c>
      <c r="B684" s="426" t="s">
        <v>2831</v>
      </c>
      <c r="C684" s="319" t="s">
        <v>80</v>
      </c>
      <c r="D684" s="29" t="s">
        <v>2685</v>
      </c>
      <c r="E684" s="29" t="s">
        <v>2686</v>
      </c>
      <c r="F684" s="365" t="s">
        <v>2687</v>
      </c>
      <c r="G684" s="425">
        <v>45878.0</v>
      </c>
      <c r="H684" s="29">
        <v>11.0</v>
      </c>
      <c r="I684" s="29"/>
      <c r="J684" s="34" t="s">
        <v>2541</v>
      </c>
      <c r="K684" s="19"/>
      <c r="L684" s="12" t="s">
        <v>374</v>
      </c>
      <c r="M684" s="19"/>
      <c r="N684" s="19"/>
      <c r="O684" s="34" t="s">
        <v>2832</v>
      </c>
      <c r="P684" s="385" t="s">
        <v>1432</v>
      </c>
    </row>
    <row r="685" hidden="1">
      <c r="A685" s="29">
        <v>3.0</v>
      </c>
      <c r="B685" s="426" t="s">
        <v>2833</v>
      </c>
      <c r="C685" s="319" t="s">
        <v>80</v>
      </c>
      <c r="D685" s="29" t="s">
        <v>2689</v>
      </c>
      <c r="E685" s="29" t="s">
        <v>2690</v>
      </c>
      <c r="F685" s="365" t="s">
        <v>2691</v>
      </c>
      <c r="G685" s="425">
        <v>45939.0</v>
      </c>
      <c r="H685" s="29">
        <v>13.0</v>
      </c>
      <c r="I685" s="29"/>
      <c r="J685" s="34" t="s">
        <v>2541</v>
      </c>
      <c r="K685" s="19"/>
      <c r="L685" s="12" t="s">
        <v>374</v>
      </c>
      <c r="M685" s="19"/>
      <c r="N685" s="19"/>
      <c r="O685" s="19"/>
      <c r="P685" s="385" t="s">
        <v>1432</v>
      </c>
    </row>
    <row r="686" hidden="1">
      <c r="A686" s="29">
        <v>4.0</v>
      </c>
      <c r="B686" s="26" t="s">
        <v>2692</v>
      </c>
      <c r="C686" s="319" t="s">
        <v>80</v>
      </c>
      <c r="D686" s="29" t="s">
        <v>2693</v>
      </c>
      <c r="E686" s="29" t="s">
        <v>2694</v>
      </c>
      <c r="F686" s="319" t="s">
        <v>708</v>
      </c>
      <c r="G686" s="425">
        <v>45970.0</v>
      </c>
      <c r="H686" s="29">
        <v>14.0</v>
      </c>
      <c r="I686" s="29"/>
      <c r="J686" s="34" t="s">
        <v>2541</v>
      </c>
      <c r="K686" s="19"/>
      <c r="L686" s="12" t="s">
        <v>374</v>
      </c>
      <c r="M686" s="19"/>
      <c r="N686" s="19"/>
      <c r="O686" s="34" t="s">
        <v>2676</v>
      </c>
      <c r="P686" s="385" t="s">
        <v>1432</v>
      </c>
    </row>
    <row r="687" hidden="1">
      <c r="A687" s="33">
        <v>5.0</v>
      </c>
      <c r="B687" s="270" t="s">
        <v>2695</v>
      </c>
      <c r="C687" s="382" t="s">
        <v>80</v>
      </c>
      <c r="D687" s="283" t="s">
        <v>2834</v>
      </c>
      <c r="E687" s="283" t="s">
        <v>2697</v>
      </c>
      <c r="F687" s="365" t="s">
        <v>356</v>
      </c>
      <c r="G687" s="425">
        <v>45999.0</v>
      </c>
      <c r="H687" s="29">
        <v>15.0</v>
      </c>
      <c r="I687" s="29"/>
      <c r="J687" s="34" t="s">
        <v>2541</v>
      </c>
      <c r="K687" s="34" t="s">
        <v>2835</v>
      </c>
      <c r="L687" s="12" t="s">
        <v>51</v>
      </c>
      <c r="M687" s="19"/>
      <c r="N687" s="19"/>
      <c r="O687" s="34" t="s">
        <v>2836</v>
      </c>
      <c r="P687" s="385" t="s">
        <v>1432</v>
      </c>
    </row>
    <row r="688" hidden="1">
      <c r="A688" s="29">
        <v>6.0</v>
      </c>
      <c r="B688" s="26" t="s">
        <v>2698</v>
      </c>
      <c r="C688" s="382" t="s">
        <v>80</v>
      </c>
      <c r="D688" s="29" t="s">
        <v>2699</v>
      </c>
      <c r="E688" s="29" t="s">
        <v>2700</v>
      </c>
      <c r="F688" s="365" t="s">
        <v>356</v>
      </c>
      <c r="G688" s="425">
        <v>46000.0</v>
      </c>
      <c r="H688" s="29">
        <v>15.0</v>
      </c>
      <c r="I688" s="29"/>
      <c r="J688" s="34" t="s">
        <v>2541</v>
      </c>
      <c r="K688" s="34" t="s">
        <v>2787</v>
      </c>
      <c r="L688" s="12" t="s">
        <v>51</v>
      </c>
      <c r="M688" s="19"/>
      <c r="N688" s="19"/>
      <c r="O688" s="34" t="s">
        <v>2832</v>
      </c>
      <c r="P688" s="385" t="s">
        <v>1432</v>
      </c>
    </row>
    <row r="689" hidden="1">
      <c r="A689" s="29">
        <v>7.0</v>
      </c>
      <c r="B689" s="26" t="s">
        <v>2701</v>
      </c>
      <c r="C689" s="382" t="s">
        <v>80</v>
      </c>
      <c r="D689" s="29" t="s">
        <v>2702</v>
      </c>
      <c r="E689" s="29" t="s">
        <v>2703</v>
      </c>
      <c r="F689" s="365" t="s">
        <v>356</v>
      </c>
      <c r="G689" s="425">
        <v>46000.0</v>
      </c>
      <c r="H689" s="29">
        <v>15.0</v>
      </c>
      <c r="I689" s="29"/>
      <c r="J689" s="34" t="s">
        <v>2541</v>
      </c>
      <c r="K689" s="34" t="s">
        <v>2837</v>
      </c>
      <c r="L689" s="12" t="s">
        <v>51</v>
      </c>
      <c r="M689" s="19"/>
      <c r="N689" s="19"/>
      <c r="O689" s="34" t="s">
        <v>2543</v>
      </c>
      <c r="P689" s="385" t="s">
        <v>1432</v>
      </c>
    </row>
    <row r="690" hidden="1">
      <c r="A690" s="29">
        <v>8.0</v>
      </c>
      <c r="B690" s="26" t="s">
        <v>2704</v>
      </c>
      <c r="C690" s="382" t="s">
        <v>80</v>
      </c>
      <c r="D690" s="29" t="s">
        <v>2705</v>
      </c>
      <c r="E690" s="29" t="s">
        <v>2706</v>
      </c>
      <c r="F690" s="365" t="s">
        <v>356</v>
      </c>
      <c r="G690" s="425">
        <v>46000.0</v>
      </c>
      <c r="H690" s="29">
        <v>15.0</v>
      </c>
      <c r="I690" s="29"/>
      <c r="J690" s="34" t="s">
        <v>2541</v>
      </c>
      <c r="K690" s="34" t="s">
        <v>2838</v>
      </c>
      <c r="L690" s="12" t="s">
        <v>51</v>
      </c>
      <c r="M690" s="19"/>
      <c r="N690" s="19"/>
      <c r="O690" s="34" t="s">
        <v>2832</v>
      </c>
      <c r="P690" s="385" t="s">
        <v>1432</v>
      </c>
    </row>
    <row r="691" hidden="1">
      <c r="A691" s="29">
        <v>9.0</v>
      </c>
      <c r="B691" s="26" t="s">
        <v>2707</v>
      </c>
      <c r="C691" s="319" t="s">
        <v>80</v>
      </c>
      <c r="D691" s="29" t="s">
        <v>2708</v>
      </c>
      <c r="E691" s="357" t="s">
        <v>2709</v>
      </c>
      <c r="F691" s="365" t="s">
        <v>2710</v>
      </c>
      <c r="G691" s="425">
        <v>46000.0</v>
      </c>
      <c r="H691" s="29">
        <v>15.0</v>
      </c>
      <c r="I691" s="29"/>
      <c r="J691" s="34" t="s">
        <v>2383</v>
      </c>
      <c r="K691" s="34" t="s">
        <v>2415</v>
      </c>
      <c r="L691" s="12" t="s">
        <v>100</v>
      </c>
      <c r="M691" s="19"/>
      <c r="N691" s="19"/>
      <c r="O691" s="34" t="s">
        <v>2839</v>
      </c>
      <c r="P691" s="385" t="s">
        <v>1432</v>
      </c>
    </row>
    <row r="692" hidden="1">
      <c r="A692" s="29">
        <v>10.0</v>
      </c>
      <c r="B692" s="26" t="s">
        <v>2711</v>
      </c>
      <c r="C692" s="319" t="s">
        <v>80</v>
      </c>
      <c r="D692" s="29" t="s">
        <v>2712</v>
      </c>
      <c r="E692" s="357" t="s">
        <v>2713</v>
      </c>
      <c r="F692" s="365" t="s">
        <v>2710</v>
      </c>
      <c r="G692" s="425">
        <v>46000.0</v>
      </c>
      <c r="H692" s="29">
        <v>15.0</v>
      </c>
      <c r="I692" s="29"/>
      <c r="J692" s="34" t="s">
        <v>2383</v>
      </c>
      <c r="K692" s="34" t="s">
        <v>2415</v>
      </c>
      <c r="L692" s="12" t="s">
        <v>100</v>
      </c>
      <c r="M692" s="19"/>
      <c r="N692" s="19"/>
      <c r="O692" s="34" t="s">
        <v>2839</v>
      </c>
      <c r="P692" s="385" t="s">
        <v>1432</v>
      </c>
    </row>
    <row r="693" hidden="1">
      <c r="A693" s="29">
        <v>11.0</v>
      </c>
      <c r="B693" s="26" t="s">
        <v>2714</v>
      </c>
      <c r="C693" s="319" t="s">
        <v>80</v>
      </c>
      <c r="D693" s="29" t="s">
        <v>2715</v>
      </c>
      <c r="E693" s="29" t="s">
        <v>2716</v>
      </c>
      <c r="F693" s="365" t="s">
        <v>243</v>
      </c>
      <c r="G693" s="425">
        <v>46000.0</v>
      </c>
      <c r="H693" s="29">
        <v>15.0</v>
      </c>
      <c r="I693" s="29"/>
      <c r="J693" s="34" t="s">
        <v>2541</v>
      </c>
      <c r="K693" s="19"/>
      <c r="L693" s="12" t="s">
        <v>100</v>
      </c>
      <c r="M693" s="19"/>
      <c r="N693" s="19"/>
      <c r="O693" s="34" t="s">
        <v>2840</v>
      </c>
      <c r="P693" s="385" t="s">
        <v>1432</v>
      </c>
    </row>
    <row r="694" hidden="1">
      <c r="A694" s="29">
        <v>12.0</v>
      </c>
      <c r="B694" s="26" t="s">
        <v>2717</v>
      </c>
      <c r="C694" s="319" t="s">
        <v>80</v>
      </c>
      <c r="D694" s="29" t="s">
        <v>2718</v>
      </c>
      <c r="E694" s="29" t="s">
        <v>2719</v>
      </c>
      <c r="F694" s="365" t="s">
        <v>928</v>
      </c>
      <c r="G694" s="425">
        <v>46000.0</v>
      </c>
      <c r="H694" s="29">
        <v>15.0</v>
      </c>
      <c r="I694" s="29"/>
      <c r="J694" s="34" t="s">
        <v>2541</v>
      </c>
      <c r="K694" s="19"/>
      <c r="L694" s="12" t="s">
        <v>374</v>
      </c>
      <c r="M694" s="19"/>
      <c r="N694" s="19"/>
      <c r="O694" s="34" t="s">
        <v>2841</v>
      </c>
      <c r="P694" s="385" t="s">
        <v>1432</v>
      </c>
    </row>
    <row r="695" hidden="1">
      <c r="A695" s="29">
        <v>13.0</v>
      </c>
      <c r="B695" s="26" t="s">
        <v>2720</v>
      </c>
      <c r="C695" s="319" t="s">
        <v>1185</v>
      </c>
      <c r="D695" s="29" t="s">
        <v>2721</v>
      </c>
      <c r="E695" s="29" t="s">
        <v>2722</v>
      </c>
      <c r="F695" s="365" t="s">
        <v>2098</v>
      </c>
      <c r="G695" s="425">
        <v>45970.0</v>
      </c>
      <c r="H695" s="29">
        <v>14.0</v>
      </c>
      <c r="I695" s="29"/>
      <c r="J695" s="34" t="s">
        <v>2383</v>
      </c>
      <c r="K695" s="34" t="s">
        <v>2787</v>
      </c>
      <c r="L695" s="12" t="s">
        <v>51</v>
      </c>
      <c r="M695" s="19"/>
      <c r="N695" s="19"/>
      <c r="O695" s="34" t="s">
        <v>2842</v>
      </c>
      <c r="P695" s="385" t="s">
        <v>1432</v>
      </c>
    </row>
    <row r="696" hidden="1">
      <c r="A696" s="29">
        <v>14.0</v>
      </c>
      <c r="B696" s="26" t="s">
        <v>2723</v>
      </c>
      <c r="C696" s="319" t="s">
        <v>1185</v>
      </c>
      <c r="D696" s="29" t="s">
        <v>2724</v>
      </c>
      <c r="E696" s="29" t="s">
        <v>2725</v>
      </c>
      <c r="F696" s="365" t="s">
        <v>2098</v>
      </c>
      <c r="G696" s="425">
        <v>45970.0</v>
      </c>
      <c r="H696" s="29">
        <v>14.0</v>
      </c>
      <c r="I696" s="29"/>
      <c r="J696" s="34" t="s">
        <v>2383</v>
      </c>
      <c r="K696" s="34" t="s">
        <v>2787</v>
      </c>
      <c r="L696" s="12" t="s">
        <v>51</v>
      </c>
      <c r="M696" s="19"/>
      <c r="N696" s="19"/>
      <c r="O696" s="34" t="s">
        <v>2841</v>
      </c>
      <c r="P696" s="385" t="s">
        <v>1432</v>
      </c>
    </row>
    <row r="697" hidden="1">
      <c r="A697" s="29">
        <v>15.0</v>
      </c>
      <c r="B697" s="26" t="s">
        <v>2726</v>
      </c>
      <c r="C697" s="319" t="s">
        <v>1185</v>
      </c>
      <c r="D697" s="29" t="s">
        <v>2727</v>
      </c>
      <c r="E697" s="29" t="s">
        <v>2728</v>
      </c>
      <c r="F697" s="365" t="s">
        <v>2098</v>
      </c>
      <c r="G697" s="425">
        <v>45970.0</v>
      </c>
      <c r="H697" s="29">
        <v>14.0</v>
      </c>
      <c r="I697" s="29"/>
      <c r="J697" s="34" t="s">
        <v>2383</v>
      </c>
      <c r="K697" s="34" t="s">
        <v>2491</v>
      </c>
      <c r="L697" s="12" t="s">
        <v>51</v>
      </c>
      <c r="M697" s="19"/>
      <c r="N697" s="19"/>
      <c r="O697" s="34" t="s">
        <v>2843</v>
      </c>
      <c r="P697" s="385" t="s">
        <v>1432</v>
      </c>
    </row>
    <row r="698" hidden="1">
      <c r="A698" s="29">
        <v>16.0</v>
      </c>
      <c r="B698" s="26" t="s">
        <v>2729</v>
      </c>
      <c r="C698" s="319" t="s">
        <v>1185</v>
      </c>
      <c r="D698" s="29" t="s">
        <v>2730</v>
      </c>
      <c r="E698" s="29" t="s">
        <v>2731</v>
      </c>
      <c r="F698" s="365" t="s">
        <v>2098</v>
      </c>
      <c r="G698" s="29" t="s">
        <v>2612</v>
      </c>
      <c r="H698" s="29">
        <v>16.0</v>
      </c>
      <c r="I698" s="29"/>
      <c r="J698" s="34" t="s">
        <v>2383</v>
      </c>
      <c r="K698" s="34" t="s">
        <v>2491</v>
      </c>
      <c r="L698" s="12" t="s">
        <v>51</v>
      </c>
      <c r="M698" s="19"/>
      <c r="N698" s="19"/>
      <c r="O698" s="34" t="s">
        <v>2841</v>
      </c>
      <c r="P698" s="385" t="s">
        <v>1432</v>
      </c>
    </row>
    <row r="699" hidden="1">
      <c r="A699" s="29">
        <v>17.0</v>
      </c>
      <c r="B699" s="26" t="s">
        <v>2732</v>
      </c>
      <c r="C699" s="319" t="s">
        <v>1185</v>
      </c>
      <c r="D699" s="29" t="s">
        <v>2733</v>
      </c>
      <c r="E699" s="29" t="s">
        <v>2734</v>
      </c>
      <c r="F699" s="365" t="s">
        <v>2098</v>
      </c>
      <c r="G699" s="29" t="s">
        <v>2612</v>
      </c>
      <c r="H699" s="29">
        <v>16.0</v>
      </c>
      <c r="I699" s="29"/>
      <c r="J699" s="34" t="s">
        <v>2383</v>
      </c>
      <c r="K699" s="34" t="s">
        <v>2547</v>
      </c>
      <c r="L699" s="12" t="s">
        <v>51</v>
      </c>
      <c r="M699" s="19"/>
      <c r="N699" s="19"/>
      <c r="O699" s="34" t="s">
        <v>2843</v>
      </c>
      <c r="P699" s="385" t="s">
        <v>1432</v>
      </c>
      <c r="Q699" s="143" t="s">
        <v>2844</v>
      </c>
    </row>
    <row r="700" hidden="1">
      <c r="A700" s="29">
        <v>18.0</v>
      </c>
      <c r="B700" s="26" t="s">
        <v>2735</v>
      </c>
      <c r="C700" s="319" t="s">
        <v>1185</v>
      </c>
      <c r="D700" s="29" t="s">
        <v>2736</v>
      </c>
      <c r="E700" s="29" t="s">
        <v>2737</v>
      </c>
      <c r="F700" s="365" t="s">
        <v>2098</v>
      </c>
      <c r="G700" s="29" t="s">
        <v>2612</v>
      </c>
      <c r="H700" s="29">
        <v>16.0</v>
      </c>
      <c r="I700" s="29"/>
      <c r="J700" s="34" t="s">
        <v>2383</v>
      </c>
      <c r="K700" s="34" t="s">
        <v>2547</v>
      </c>
      <c r="L700" s="12" t="s">
        <v>51</v>
      </c>
      <c r="M700" s="19"/>
      <c r="N700" s="19"/>
      <c r="O700" s="34" t="s">
        <v>2841</v>
      </c>
      <c r="P700" s="385" t="s">
        <v>1432</v>
      </c>
    </row>
    <row r="701" hidden="1">
      <c r="A701" s="29">
        <v>19.0</v>
      </c>
      <c r="B701" s="26" t="s">
        <v>2738</v>
      </c>
      <c r="C701" s="319" t="s">
        <v>1185</v>
      </c>
      <c r="D701" s="29" t="s">
        <v>2739</v>
      </c>
      <c r="E701" s="29" t="s">
        <v>2740</v>
      </c>
      <c r="F701" s="365" t="s">
        <v>2098</v>
      </c>
      <c r="G701" s="29" t="s">
        <v>2612</v>
      </c>
      <c r="H701" s="29">
        <v>16.0</v>
      </c>
      <c r="I701" s="29"/>
      <c r="J701" s="34" t="s">
        <v>2383</v>
      </c>
      <c r="K701" s="34" t="s">
        <v>2547</v>
      </c>
      <c r="L701" s="12" t="s">
        <v>51</v>
      </c>
      <c r="M701" s="19"/>
      <c r="N701" s="19"/>
      <c r="O701" s="34" t="s">
        <v>2843</v>
      </c>
      <c r="P701" s="385" t="s">
        <v>1432</v>
      </c>
    </row>
    <row r="702" hidden="1">
      <c r="A702" s="29">
        <v>20.0</v>
      </c>
      <c r="B702" s="26" t="s">
        <v>2741</v>
      </c>
      <c r="C702" s="319" t="s">
        <v>1185</v>
      </c>
      <c r="D702" s="29" t="s">
        <v>2742</v>
      </c>
      <c r="E702" s="29" t="s">
        <v>2743</v>
      </c>
      <c r="F702" s="365" t="s">
        <v>2098</v>
      </c>
      <c r="G702" s="29" t="s">
        <v>2744</v>
      </c>
      <c r="H702" s="29">
        <v>17.0</v>
      </c>
      <c r="I702" s="29"/>
      <c r="J702" s="34" t="s">
        <v>2383</v>
      </c>
      <c r="K702" s="19"/>
      <c r="L702" s="12" t="s">
        <v>51</v>
      </c>
      <c r="M702" s="19"/>
      <c r="N702" s="19"/>
      <c r="O702" s="34" t="s">
        <v>2845</v>
      </c>
      <c r="P702" s="385" t="s">
        <v>1432</v>
      </c>
    </row>
    <row r="703" hidden="1">
      <c r="A703" s="29">
        <v>21.0</v>
      </c>
      <c r="B703" s="26" t="s">
        <v>2745</v>
      </c>
      <c r="C703" s="319" t="s">
        <v>80</v>
      </c>
      <c r="D703" s="29" t="s">
        <v>2746</v>
      </c>
      <c r="E703" s="357" t="s">
        <v>2747</v>
      </c>
      <c r="F703" s="365" t="s">
        <v>232</v>
      </c>
      <c r="G703" s="29" t="s">
        <v>2744</v>
      </c>
      <c r="H703" s="29">
        <v>17.0</v>
      </c>
      <c r="I703" s="29"/>
      <c r="J703" s="34" t="s">
        <v>1640</v>
      </c>
      <c r="K703" s="71">
        <v>45970.0</v>
      </c>
      <c r="L703" s="12" t="s">
        <v>100</v>
      </c>
      <c r="M703" s="19"/>
      <c r="N703" s="19"/>
      <c r="O703" s="34" t="s">
        <v>2543</v>
      </c>
      <c r="P703" s="385" t="s">
        <v>1432</v>
      </c>
    </row>
    <row r="704" hidden="1">
      <c r="A704" s="29">
        <v>22.0</v>
      </c>
      <c r="B704" s="26" t="s">
        <v>2748</v>
      </c>
      <c r="C704" s="319" t="s">
        <v>80</v>
      </c>
      <c r="D704" s="29" t="s">
        <v>2749</v>
      </c>
      <c r="E704" s="357" t="s">
        <v>2750</v>
      </c>
      <c r="F704" s="365" t="s">
        <v>232</v>
      </c>
      <c r="G704" s="29" t="s">
        <v>2744</v>
      </c>
      <c r="H704" s="29">
        <v>17.0</v>
      </c>
      <c r="I704" s="29"/>
      <c r="J704" s="34" t="s">
        <v>1640</v>
      </c>
      <c r="K704" s="71">
        <v>45970.0</v>
      </c>
      <c r="L704" s="12" t="s">
        <v>100</v>
      </c>
      <c r="M704" s="19"/>
      <c r="N704" s="19"/>
      <c r="O704" s="34" t="s">
        <v>2543</v>
      </c>
      <c r="P704" s="385" t="s">
        <v>1432</v>
      </c>
    </row>
    <row r="705" hidden="1">
      <c r="A705" s="29">
        <v>23.0</v>
      </c>
      <c r="B705" s="26" t="s">
        <v>2751</v>
      </c>
      <c r="C705" s="354" t="s">
        <v>938</v>
      </c>
      <c r="D705" s="29" t="s">
        <v>2752</v>
      </c>
      <c r="E705" s="357" t="s">
        <v>2753</v>
      </c>
      <c r="F705" s="365" t="s">
        <v>243</v>
      </c>
      <c r="G705" s="29" t="s">
        <v>2744</v>
      </c>
      <c r="H705" s="29">
        <v>17.0</v>
      </c>
      <c r="I705" s="29"/>
      <c r="J705" s="34" t="s">
        <v>2541</v>
      </c>
      <c r="K705" s="34" t="s">
        <v>2433</v>
      </c>
      <c r="L705" s="12" t="s">
        <v>100</v>
      </c>
      <c r="M705" s="34" t="s">
        <v>2842</v>
      </c>
      <c r="N705" s="19"/>
      <c r="O705" s="19"/>
      <c r="P705" s="385" t="s">
        <v>1432</v>
      </c>
    </row>
    <row r="706" hidden="1">
      <c r="A706" s="29">
        <v>24.0</v>
      </c>
      <c r="B706" s="26" t="s">
        <v>2754</v>
      </c>
      <c r="C706" s="354" t="s">
        <v>938</v>
      </c>
      <c r="D706" s="29" t="s">
        <v>2755</v>
      </c>
      <c r="E706" s="357" t="s">
        <v>2756</v>
      </c>
      <c r="F706" s="365" t="s">
        <v>243</v>
      </c>
      <c r="G706" s="29" t="s">
        <v>2744</v>
      </c>
      <c r="H706" s="29">
        <v>17.0</v>
      </c>
      <c r="I706" s="29"/>
      <c r="J706" s="34" t="s">
        <v>2541</v>
      </c>
      <c r="K706" s="34" t="s">
        <v>2429</v>
      </c>
      <c r="L706" s="12" t="s">
        <v>100</v>
      </c>
      <c r="M706" s="34" t="s">
        <v>2842</v>
      </c>
      <c r="N706" s="19"/>
      <c r="O706" s="19"/>
      <c r="P706" s="385" t="s">
        <v>1432</v>
      </c>
    </row>
    <row r="707" hidden="1">
      <c r="A707" s="339" t="s">
        <v>2846</v>
      </c>
    </row>
    <row r="708" hidden="1">
      <c r="A708" s="427" t="s">
        <v>47</v>
      </c>
      <c r="B708" s="423" t="s">
        <v>7</v>
      </c>
      <c r="C708" s="424" t="s">
        <v>9</v>
      </c>
      <c r="D708" s="424" t="s">
        <v>10</v>
      </c>
      <c r="E708" s="424" t="s">
        <v>11</v>
      </c>
      <c r="F708" s="424" t="s">
        <v>12</v>
      </c>
      <c r="G708" s="424" t="s">
        <v>2378</v>
      </c>
      <c r="H708" s="424" t="s">
        <v>2681</v>
      </c>
      <c r="I708" s="428" t="s">
        <v>2847</v>
      </c>
      <c r="J708" s="8" t="s">
        <v>14</v>
      </c>
      <c r="K708" s="9" t="s">
        <v>16</v>
      </c>
      <c r="L708" s="9" t="s">
        <v>35</v>
      </c>
      <c r="M708" s="9" t="s">
        <v>18</v>
      </c>
      <c r="N708" s="9" t="s">
        <v>19</v>
      </c>
      <c r="O708" s="9" t="s">
        <v>20</v>
      </c>
      <c r="P708" s="9" t="s">
        <v>21</v>
      </c>
      <c r="Q708" s="9" t="s">
        <v>2848</v>
      </c>
    </row>
    <row r="709" hidden="1">
      <c r="A709" s="272"/>
      <c r="B709" s="276"/>
      <c r="C709" s="429"/>
      <c r="D709" s="272"/>
      <c r="E709" s="272"/>
      <c r="F709" s="430"/>
      <c r="G709" s="275"/>
      <c r="H709" s="275"/>
      <c r="I709" s="275"/>
      <c r="J709" s="34"/>
      <c r="K709" s="34"/>
      <c r="L709" s="12"/>
      <c r="M709" s="19"/>
      <c r="N709" s="19"/>
      <c r="O709" s="19"/>
      <c r="P709" s="385"/>
    </row>
    <row r="710" hidden="1">
      <c r="A710" s="272">
        <v>2.0</v>
      </c>
      <c r="B710" s="276" t="s">
        <v>2762</v>
      </c>
      <c r="C710" s="429" t="s">
        <v>80</v>
      </c>
      <c r="D710" s="272" t="s">
        <v>2849</v>
      </c>
      <c r="E710" s="272" t="s">
        <v>2764</v>
      </c>
      <c r="F710" s="430" t="s">
        <v>1234</v>
      </c>
      <c r="G710" s="431">
        <v>46000.0</v>
      </c>
      <c r="H710" s="275">
        <v>8.0</v>
      </c>
      <c r="I710" s="275"/>
      <c r="J710" s="34" t="s">
        <v>2541</v>
      </c>
      <c r="K710" s="34" t="s">
        <v>2415</v>
      </c>
      <c r="L710" s="12" t="s">
        <v>374</v>
      </c>
      <c r="M710" s="19"/>
      <c r="N710" s="19"/>
      <c r="O710" s="19"/>
      <c r="P710" s="385" t="s">
        <v>1432</v>
      </c>
    </row>
    <row r="711" hidden="1">
      <c r="A711" s="272">
        <v>3.0</v>
      </c>
      <c r="B711" s="143" t="s">
        <v>2765</v>
      </c>
      <c r="C711" s="429" t="s">
        <v>80</v>
      </c>
      <c r="D711" s="272" t="s">
        <v>2850</v>
      </c>
      <c r="E711" s="278" t="s">
        <v>2767</v>
      </c>
      <c r="F711" s="430" t="s">
        <v>2768</v>
      </c>
      <c r="G711" s="275" t="s">
        <v>2744</v>
      </c>
      <c r="H711" s="275">
        <v>10.0</v>
      </c>
      <c r="I711" s="275"/>
      <c r="J711" s="34" t="s">
        <v>2541</v>
      </c>
      <c r="K711" s="34" t="s">
        <v>2415</v>
      </c>
      <c r="L711" s="12" t="s">
        <v>100</v>
      </c>
      <c r="M711" s="19"/>
      <c r="N711" s="19"/>
      <c r="O711" s="34" t="s">
        <v>2543</v>
      </c>
      <c r="P711" s="385" t="s">
        <v>1432</v>
      </c>
    </row>
    <row r="712" hidden="1">
      <c r="A712" s="272">
        <v>4.0</v>
      </c>
      <c r="B712" s="276" t="s">
        <v>2770</v>
      </c>
      <c r="C712" s="429" t="s">
        <v>80</v>
      </c>
      <c r="D712" s="272" t="s">
        <v>2851</v>
      </c>
      <c r="E712" s="278" t="s">
        <v>2772</v>
      </c>
      <c r="F712" s="430" t="s">
        <v>2768</v>
      </c>
      <c r="G712" s="275" t="s">
        <v>2744</v>
      </c>
      <c r="H712" s="275">
        <v>10.0</v>
      </c>
      <c r="I712" s="275"/>
      <c r="J712" s="34" t="s">
        <v>2541</v>
      </c>
      <c r="K712" s="34" t="s">
        <v>2415</v>
      </c>
      <c r="L712" s="12" t="s">
        <v>100</v>
      </c>
      <c r="M712" s="19"/>
      <c r="N712" s="19"/>
      <c r="O712" s="34" t="s">
        <v>2543</v>
      </c>
      <c r="P712" s="385" t="s">
        <v>1432</v>
      </c>
    </row>
    <row r="713" hidden="1">
      <c r="A713" s="272">
        <v>5.0</v>
      </c>
      <c r="B713" s="276" t="s">
        <v>2773</v>
      </c>
      <c r="C713" s="429" t="s">
        <v>80</v>
      </c>
      <c r="D713" s="272" t="s">
        <v>2852</v>
      </c>
      <c r="E713" s="272" t="s">
        <v>2775</v>
      </c>
      <c r="F713" s="430" t="s">
        <v>2776</v>
      </c>
      <c r="G713" s="275" t="s">
        <v>2620</v>
      </c>
      <c r="H713" s="275">
        <v>11.0</v>
      </c>
      <c r="I713" s="275"/>
      <c r="J713" s="34" t="s">
        <v>2541</v>
      </c>
      <c r="K713" s="19"/>
      <c r="L713" s="12" t="s">
        <v>374</v>
      </c>
      <c r="M713" s="19"/>
      <c r="N713" s="19"/>
      <c r="O713" s="34" t="s">
        <v>2853</v>
      </c>
      <c r="P713" s="385" t="s">
        <v>1432</v>
      </c>
    </row>
    <row r="714" hidden="1">
      <c r="A714" s="272">
        <v>6.0</v>
      </c>
      <c r="B714" s="276" t="s">
        <v>2777</v>
      </c>
      <c r="C714" s="429" t="s">
        <v>80</v>
      </c>
      <c r="D714" s="272" t="s">
        <v>2854</v>
      </c>
      <c r="E714" s="278" t="s">
        <v>2779</v>
      </c>
      <c r="F714" s="430" t="s">
        <v>2599</v>
      </c>
      <c r="G714" s="275" t="s">
        <v>2620</v>
      </c>
      <c r="H714" s="275">
        <v>11.0</v>
      </c>
      <c r="I714" s="275"/>
      <c r="J714" s="34" t="s">
        <v>2065</v>
      </c>
      <c r="K714" s="34" t="s">
        <v>2853</v>
      </c>
      <c r="L714" s="12" t="s">
        <v>100</v>
      </c>
      <c r="M714" s="19"/>
      <c r="N714" s="19"/>
      <c r="O714" s="34" t="s">
        <v>2676</v>
      </c>
      <c r="P714" s="407" t="s">
        <v>2560</v>
      </c>
    </row>
    <row r="715" hidden="1">
      <c r="A715" s="272">
        <v>7.0</v>
      </c>
      <c r="B715" s="276" t="s">
        <v>2781</v>
      </c>
      <c r="C715" s="429" t="s">
        <v>80</v>
      </c>
      <c r="D715" s="272" t="s">
        <v>2855</v>
      </c>
      <c r="E715" s="278" t="s">
        <v>2783</v>
      </c>
      <c r="F715" s="430" t="s">
        <v>2599</v>
      </c>
      <c r="G715" s="275" t="s">
        <v>2620</v>
      </c>
      <c r="H715" s="275">
        <v>11.0</v>
      </c>
      <c r="I715" s="275"/>
      <c r="J715" s="34" t="s">
        <v>2065</v>
      </c>
      <c r="K715" s="34" t="s">
        <v>2853</v>
      </c>
      <c r="L715" s="12" t="s">
        <v>100</v>
      </c>
      <c r="M715" s="19"/>
      <c r="N715" s="19"/>
      <c r="O715" s="34" t="s">
        <v>2676</v>
      </c>
      <c r="P715" s="407" t="s">
        <v>2560</v>
      </c>
    </row>
    <row r="716" hidden="1">
      <c r="A716" s="272">
        <v>8.0</v>
      </c>
      <c r="B716" s="432" t="s">
        <v>2856</v>
      </c>
      <c r="C716" s="433" t="s">
        <v>1185</v>
      </c>
      <c r="D716" s="434" t="s">
        <v>2857</v>
      </c>
      <c r="E716" s="434" t="s">
        <v>2786</v>
      </c>
      <c r="F716" s="135" t="s">
        <v>25</v>
      </c>
      <c r="G716" s="275" t="s">
        <v>2787</v>
      </c>
      <c r="H716" s="275">
        <v>12.0</v>
      </c>
      <c r="I716" s="275"/>
      <c r="J716" s="34" t="s">
        <v>2065</v>
      </c>
      <c r="K716" s="34" t="s">
        <v>2858</v>
      </c>
      <c r="L716" s="12" t="s">
        <v>51</v>
      </c>
      <c r="M716" s="19"/>
      <c r="N716" s="19"/>
      <c r="O716" s="34" t="s">
        <v>2859</v>
      </c>
      <c r="P716" s="385" t="s">
        <v>1432</v>
      </c>
      <c r="Q716" s="143" t="s">
        <v>2860</v>
      </c>
    </row>
    <row r="717" hidden="1">
      <c r="A717" s="272">
        <v>9.0</v>
      </c>
      <c r="B717" s="432" t="s">
        <v>2861</v>
      </c>
      <c r="C717" s="433" t="s">
        <v>1185</v>
      </c>
      <c r="D717" s="434" t="s">
        <v>2862</v>
      </c>
      <c r="E717" s="434" t="s">
        <v>2790</v>
      </c>
      <c r="F717" s="135" t="s">
        <v>25</v>
      </c>
      <c r="G717" s="275" t="s">
        <v>2620</v>
      </c>
      <c r="H717" s="275">
        <v>11.0</v>
      </c>
      <c r="I717" s="275"/>
      <c r="J717" s="34" t="s">
        <v>2065</v>
      </c>
      <c r="K717" s="34" t="s">
        <v>2863</v>
      </c>
      <c r="L717" s="12" t="s">
        <v>51</v>
      </c>
      <c r="M717" s="19"/>
      <c r="N717" s="19"/>
      <c r="O717" s="34" t="s">
        <v>2859</v>
      </c>
      <c r="P717" s="385" t="s">
        <v>1432</v>
      </c>
      <c r="Q717" s="143" t="s">
        <v>2864</v>
      </c>
    </row>
    <row r="718" hidden="1">
      <c r="A718" s="272">
        <v>10.0</v>
      </c>
      <c r="B718" s="432" t="s">
        <v>2865</v>
      </c>
      <c r="C718" s="433" t="s">
        <v>1185</v>
      </c>
      <c r="D718" s="434" t="s">
        <v>2866</v>
      </c>
      <c r="E718" s="434" t="s">
        <v>2793</v>
      </c>
      <c r="F718" s="135" t="s">
        <v>25</v>
      </c>
      <c r="G718" s="275" t="s">
        <v>2620</v>
      </c>
      <c r="H718" s="275">
        <v>11.0</v>
      </c>
      <c r="I718" s="275"/>
      <c r="J718" s="34" t="s">
        <v>2065</v>
      </c>
      <c r="K718" s="34" t="s">
        <v>2867</v>
      </c>
      <c r="L718" s="12" t="s">
        <v>51</v>
      </c>
      <c r="M718" s="19"/>
      <c r="N718" s="19"/>
      <c r="O718" s="34" t="s">
        <v>2868</v>
      </c>
      <c r="P718" s="385" t="s">
        <v>1432</v>
      </c>
      <c r="Q718" s="143" t="s">
        <v>2869</v>
      </c>
    </row>
    <row r="719" hidden="1">
      <c r="A719" s="272">
        <v>11.0</v>
      </c>
      <c r="B719" s="432" t="s">
        <v>2870</v>
      </c>
      <c r="C719" s="433" t="s">
        <v>1185</v>
      </c>
      <c r="D719" s="434" t="s">
        <v>2871</v>
      </c>
      <c r="E719" s="434" t="s">
        <v>2796</v>
      </c>
      <c r="F719" s="135" t="s">
        <v>25</v>
      </c>
      <c r="G719" s="275" t="s">
        <v>2620</v>
      </c>
      <c r="H719" s="275">
        <v>11.0</v>
      </c>
      <c r="I719" s="275"/>
      <c r="J719" s="34" t="s">
        <v>2065</v>
      </c>
      <c r="K719" s="34" t="s">
        <v>2872</v>
      </c>
      <c r="L719" s="12" t="s">
        <v>51</v>
      </c>
      <c r="M719" s="19"/>
      <c r="N719" s="19"/>
      <c r="O719" s="435">
        <v>45726.0</v>
      </c>
      <c r="P719" s="385" t="s">
        <v>1432</v>
      </c>
      <c r="Q719" s="143" t="s">
        <v>2860</v>
      </c>
    </row>
    <row r="720" hidden="1">
      <c r="A720" s="272">
        <v>12.0</v>
      </c>
      <c r="B720" s="432" t="s">
        <v>2873</v>
      </c>
      <c r="C720" s="433" t="s">
        <v>80</v>
      </c>
      <c r="D720" s="434" t="s">
        <v>2874</v>
      </c>
      <c r="E720" s="434" t="s">
        <v>2799</v>
      </c>
      <c r="F720" s="135" t="s">
        <v>172</v>
      </c>
      <c r="G720" s="275" t="s">
        <v>2787</v>
      </c>
      <c r="H720" s="275">
        <v>12.0</v>
      </c>
      <c r="I720" s="275"/>
      <c r="J720" s="19"/>
      <c r="K720" s="19"/>
      <c r="L720" s="12" t="s">
        <v>374</v>
      </c>
      <c r="M720" s="19"/>
      <c r="N720" s="19"/>
      <c r="O720" s="34" t="s">
        <v>2547</v>
      </c>
      <c r="P720" s="407" t="s">
        <v>2560</v>
      </c>
      <c r="Q720" s="143" t="s">
        <v>2864</v>
      </c>
    </row>
    <row r="721" hidden="1">
      <c r="A721" s="272">
        <v>13.0</v>
      </c>
      <c r="B721" s="432" t="s">
        <v>2875</v>
      </c>
      <c r="C721" s="433" t="s">
        <v>80</v>
      </c>
      <c r="D721" s="434" t="s">
        <v>2876</v>
      </c>
      <c r="E721" s="434" t="s">
        <v>2802</v>
      </c>
      <c r="F721" s="135" t="s">
        <v>172</v>
      </c>
      <c r="G721" s="275" t="s">
        <v>2787</v>
      </c>
      <c r="H721" s="275">
        <v>12.0</v>
      </c>
      <c r="I721" s="275"/>
      <c r="J721" s="19"/>
      <c r="K721" s="19"/>
      <c r="L721" s="12" t="s">
        <v>374</v>
      </c>
      <c r="M721" s="19"/>
      <c r="N721" s="19"/>
      <c r="O721" s="34" t="s">
        <v>2543</v>
      </c>
      <c r="P721" s="407" t="s">
        <v>2560</v>
      </c>
      <c r="Q721" s="143" t="s">
        <v>2869</v>
      </c>
    </row>
    <row r="722" hidden="1">
      <c r="A722" s="272">
        <v>14.0</v>
      </c>
      <c r="B722" s="432" t="s">
        <v>2877</v>
      </c>
      <c r="C722" s="433" t="s">
        <v>80</v>
      </c>
      <c r="D722" s="434" t="s">
        <v>2878</v>
      </c>
      <c r="E722" s="434" t="s">
        <v>2805</v>
      </c>
      <c r="F722" s="135" t="s">
        <v>172</v>
      </c>
      <c r="G722" s="275" t="s">
        <v>2787</v>
      </c>
      <c r="H722" s="275">
        <v>12.0</v>
      </c>
      <c r="I722" s="275"/>
      <c r="J722" s="19"/>
      <c r="K722" s="19"/>
      <c r="L722" s="12" t="s">
        <v>374</v>
      </c>
      <c r="M722" s="19"/>
      <c r="N722" s="19"/>
      <c r="O722" s="34" t="s">
        <v>2543</v>
      </c>
      <c r="P722" s="407" t="s">
        <v>2560</v>
      </c>
      <c r="Q722" s="143" t="s">
        <v>2860</v>
      </c>
    </row>
    <row r="723" hidden="1">
      <c r="A723" s="279">
        <v>15.0</v>
      </c>
      <c r="B723" s="436" t="s">
        <v>2879</v>
      </c>
      <c r="C723" s="437" t="s">
        <v>80</v>
      </c>
      <c r="D723" s="437" t="s">
        <v>2880</v>
      </c>
      <c r="E723" s="437" t="s">
        <v>2808</v>
      </c>
      <c r="F723" s="438" t="s">
        <v>207</v>
      </c>
      <c r="G723" s="275" t="s">
        <v>2491</v>
      </c>
      <c r="H723" s="275">
        <v>13.0</v>
      </c>
      <c r="I723" s="275"/>
      <c r="J723" s="34" t="s">
        <v>100</v>
      </c>
      <c r="K723" s="148">
        <v>45786.0</v>
      </c>
      <c r="L723" s="12" t="s">
        <v>100</v>
      </c>
      <c r="M723" s="19"/>
      <c r="N723" s="19"/>
      <c r="O723" s="19"/>
      <c r="P723" s="385" t="s">
        <v>1432</v>
      </c>
      <c r="Q723" s="143" t="s">
        <v>2881</v>
      </c>
    </row>
    <row r="724" hidden="1">
      <c r="A724" s="272">
        <v>16.0</v>
      </c>
      <c r="B724" s="143" t="s">
        <v>2882</v>
      </c>
      <c r="C724" s="433" t="s">
        <v>1185</v>
      </c>
      <c r="D724" s="434" t="s">
        <v>2883</v>
      </c>
      <c r="E724" s="434" t="s">
        <v>2811</v>
      </c>
      <c r="F724" s="135" t="s">
        <v>25</v>
      </c>
      <c r="G724" s="275" t="s">
        <v>2547</v>
      </c>
      <c r="H724" s="275">
        <v>14.0</v>
      </c>
      <c r="I724" s="275"/>
      <c r="J724" s="34" t="s">
        <v>51</v>
      </c>
      <c r="K724" s="34" t="s">
        <v>2845</v>
      </c>
      <c r="L724" s="12" t="s">
        <v>51</v>
      </c>
      <c r="M724" s="19"/>
      <c r="N724" s="19"/>
      <c r="O724" s="71">
        <v>45698.0</v>
      </c>
      <c r="P724" s="385" t="s">
        <v>1432</v>
      </c>
      <c r="Q724" s="143" t="s">
        <v>2869</v>
      </c>
    </row>
    <row r="725" hidden="1">
      <c r="A725" s="272">
        <v>17.0</v>
      </c>
      <c r="B725" s="439" t="s">
        <v>2884</v>
      </c>
      <c r="C725" s="433" t="s">
        <v>80</v>
      </c>
      <c r="D725" s="434" t="s">
        <v>2885</v>
      </c>
      <c r="E725" s="434" t="s">
        <v>2814</v>
      </c>
      <c r="F725" s="135" t="s">
        <v>2599</v>
      </c>
      <c r="G725" s="431">
        <v>46000.0</v>
      </c>
      <c r="H725" s="275">
        <v>8.0</v>
      </c>
      <c r="I725" s="275"/>
      <c r="J725" s="34" t="s">
        <v>2065</v>
      </c>
      <c r="K725" s="19"/>
      <c r="L725" s="12" t="s">
        <v>374</v>
      </c>
      <c r="M725" s="19"/>
      <c r="N725" s="19"/>
      <c r="O725" s="34" t="s">
        <v>2841</v>
      </c>
      <c r="P725" s="385" t="s">
        <v>1432</v>
      </c>
      <c r="Q725" s="143" t="s">
        <v>2860</v>
      </c>
    </row>
    <row r="726" hidden="1">
      <c r="A726" s="272">
        <v>18.0</v>
      </c>
      <c r="B726" s="439" t="s">
        <v>2886</v>
      </c>
      <c r="C726" s="433" t="s">
        <v>80</v>
      </c>
      <c r="D726" s="434" t="s">
        <v>2887</v>
      </c>
      <c r="E726" s="434" t="s">
        <v>2818</v>
      </c>
      <c r="F726" s="135" t="s">
        <v>2819</v>
      </c>
      <c r="G726" s="275" t="s">
        <v>2612</v>
      </c>
      <c r="H726" s="275">
        <v>9.0</v>
      </c>
      <c r="I726" s="275"/>
      <c r="J726" s="34" t="s">
        <v>2065</v>
      </c>
      <c r="K726" s="19"/>
      <c r="L726" s="12" t="s">
        <v>374</v>
      </c>
      <c r="M726" s="19"/>
      <c r="N726" s="19"/>
      <c r="O726" s="34" t="s">
        <v>2676</v>
      </c>
      <c r="P726" s="385" t="s">
        <v>1432</v>
      </c>
      <c r="Q726" s="143" t="s">
        <v>2864</v>
      </c>
    </row>
    <row r="727" hidden="1">
      <c r="A727" s="272">
        <v>19.0</v>
      </c>
      <c r="B727" s="440" t="s">
        <v>2888</v>
      </c>
      <c r="C727" s="433" t="s">
        <v>80</v>
      </c>
      <c r="D727" s="433" t="s">
        <v>2889</v>
      </c>
      <c r="E727" s="433" t="s">
        <v>2822</v>
      </c>
      <c r="F727" s="135" t="s">
        <v>2599</v>
      </c>
      <c r="G727" s="275" t="s">
        <v>2744</v>
      </c>
      <c r="H727" s="275">
        <v>10.0</v>
      </c>
      <c r="I727" s="275" t="s">
        <v>2890</v>
      </c>
      <c r="J727" s="34" t="s">
        <v>2541</v>
      </c>
      <c r="K727" s="19"/>
      <c r="L727" s="12" t="s">
        <v>374</v>
      </c>
      <c r="M727" s="19"/>
      <c r="N727" s="19"/>
      <c r="O727" s="148">
        <v>45910.0</v>
      </c>
      <c r="P727" s="385" t="s">
        <v>1432</v>
      </c>
      <c r="Q727" s="143" t="s">
        <v>2869</v>
      </c>
    </row>
    <row r="728" hidden="1">
      <c r="A728" s="272">
        <v>20.0</v>
      </c>
      <c r="B728" s="432" t="s">
        <v>2891</v>
      </c>
      <c r="C728" s="433" t="s">
        <v>80</v>
      </c>
      <c r="D728" s="434" t="s">
        <v>2892</v>
      </c>
      <c r="E728" s="434" t="s">
        <v>2825</v>
      </c>
      <c r="F728" s="135" t="s">
        <v>2486</v>
      </c>
      <c r="G728" s="275" t="s">
        <v>2787</v>
      </c>
      <c r="H728" s="275">
        <v>12.0</v>
      </c>
      <c r="I728" s="275"/>
      <c r="J728" s="34" t="s">
        <v>2065</v>
      </c>
      <c r="K728" s="34" t="s">
        <v>2543</v>
      </c>
      <c r="L728" s="12" t="s">
        <v>374</v>
      </c>
      <c r="M728" s="19"/>
      <c r="N728" s="19"/>
      <c r="O728" s="34" t="s">
        <v>2859</v>
      </c>
      <c r="P728" s="385" t="s">
        <v>1432</v>
      </c>
      <c r="Q728" s="143" t="s">
        <v>2860</v>
      </c>
    </row>
    <row r="729" hidden="1">
      <c r="A729" s="272">
        <v>21.0</v>
      </c>
      <c r="B729" s="432" t="s">
        <v>2893</v>
      </c>
      <c r="C729" s="433" t="s">
        <v>80</v>
      </c>
      <c r="D729" s="434" t="s">
        <v>2894</v>
      </c>
      <c r="E729" s="434" t="s">
        <v>2828</v>
      </c>
      <c r="F729" s="135" t="s">
        <v>2829</v>
      </c>
      <c r="G729" s="275" t="s">
        <v>2547</v>
      </c>
      <c r="H729" s="275">
        <v>14.0</v>
      </c>
      <c r="I729" s="275"/>
      <c r="J729" s="34" t="s">
        <v>2065</v>
      </c>
      <c r="K729" s="19"/>
      <c r="L729" s="12" t="s">
        <v>51</v>
      </c>
      <c r="M729" s="19"/>
      <c r="N729" s="19"/>
      <c r="O729" s="19"/>
      <c r="P729" s="385" t="s">
        <v>1432</v>
      </c>
      <c r="Q729" s="143" t="s">
        <v>2864</v>
      </c>
    </row>
    <row r="730" hidden="1">
      <c r="A730" s="441">
        <v>22.0</v>
      </c>
      <c r="B730" s="442" t="s">
        <v>2682</v>
      </c>
      <c r="C730" s="443" t="s">
        <v>80</v>
      </c>
      <c r="D730" s="443" t="s">
        <v>2683</v>
      </c>
      <c r="E730" s="443" t="s">
        <v>1477</v>
      </c>
      <c r="F730" s="444" t="s">
        <v>356</v>
      </c>
      <c r="G730" s="431">
        <v>45786.0</v>
      </c>
      <c r="H730" s="275">
        <v>1.0</v>
      </c>
      <c r="I730" s="275"/>
      <c r="J730" s="19"/>
      <c r="K730" s="19"/>
      <c r="L730" s="14"/>
      <c r="M730" s="19"/>
      <c r="N730" s="19"/>
      <c r="O730" s="19"/>
      <c r="P730" s="385" t="s">
        <v>1432</v>
      </c>
      <c r="Q730" s="143" t="s">
        <v>2869</v>
      </c>
    </row>
    <row r="731" hidden="1">
      <c r="A731" s="272">
        <v>23.0</v>
      </c>
      <c r="B731" s="432" t="s">
        <v>2895</v>
      </c>
      <c r="C731" s="433" t="s">
        <v>1185</v>
      </c>
      <c r="D731" s="434" t="s">
        <v>2896</v>
      </c>
      <c r="E731" s="434" t="s">
        <v>2897</v>
      </c>
      <c r="F731" s="135" t="s">
        <v>25</v>
      </c>
      <c r="G731" s="275" t="s">
        <v>2591</v>
      </c>
      <c r="H731" s="275">
        <v>15.0</v>
      </c>
      <c r="I731" s="275"/>
      <c r="J731" s="34" t="s">
        <v>51</v>
      </c>
      <c r="K731" s="34" t="s">
        <v>2898</v>
      </c>
      <c r="L731" s="12" t="s">
        <v>51</v>
      </c>
      <c r="M731" s="19"/>
      <c r="N731" s="19"/>
      <c r="O731" s="71">
        <v>45698.0</v>
      </c>
      <c r="P731" s="385" t="s">
        <v>1432</v>
      </c>
      <c r="Q731" s="143" t="s">
        <v>2860</v>
      </c>
    </row>
    <row r="732" hidden="1">
      <c r="A732" s="272">
        <v>24.0</v>
      </c>
      <c r="B732" s="440" t="s">
        <v>2899</v>
      </c>
      <c r="C732" s="433" t="s">
        <v>80</v>
      </c>
      <c r="D732" s="433" t="s">
        <v>2900</v>
      </c>
      <c r="E732" s="433" t="s">
        <v>2901</v>
      </c>
      <c r="F732" s="135" t="s">
        <v>2599</v>
      </c>
      <c r="G732" s="275" t="s">
        <v>2787</v>
      </c>
      <c r="H732" s="275">
        <v>12.0</v>
      </c>
      <c r="I732" s="275"/>
      <c r="J732" s="143" t="s">
        <v>2541</v>
      </c>
      <c r="K732" s="19"/>
      <c r="L732" s="12" t="s">
        <v>374</v>
      </c>
      <c r="M732" s="19"/>
      <c r="N732" s="19"/>
      <c r="O732" s="19"/>
      <c r="P732" s="385" t="s">
        <v>1432</v>
      </c>
      <c r="Q732" s="143" t="s">
        <v>2864</v>
      </c>
    </row>
    <row r="733" hidden="1">
      <c r="A733" s="272">
        <v>25.0</v>
      </c>
      <c r="B733" s="432" t="s">
        <v>2902</v>
      </c>
      <c r="C733" s="433" t="s">
        <v>80</v>
      </c>
      <c r="D733" s="434" t="s">
        <v>2903</v>
      </c>
      <c r="E733" s="445" t="s">
        <v>2904</v>
      </c>
      <c r="F733" s="135" t="s">
        <v>207</v>
      </c>
      <c r="G733" s="275" t="s">
        <v>2591</v>
      </c>
      <c r="H733" s="275">
        <v>15.0</v>
      </c>
      <c r="I733" s="275"/>
      <c r="J733" s="34" t="s">
        <v>2905</v>
      </c>
      <c r="K733" s="34" t="s">
        <v>2853</v>
      </c>
      <c r="L733" s="12" t="s">
        <v>2906</v>
      </c>
      <c r="M733" s="19"/>
      <c r="N733" s="19"/>
      <c r="O733" s="19"/>
      <c r="P733" s="385" t="s">
        <v>1432</v>
      </c>
      <c r="Q733" s="143" t="s">
        <v>2869</v>
      </c>
    </row>
    <row r="734" hidden="1">
      <c r="A734" s="272">
        <v>26.0</v>
      </c>
      <c r="B734" s="432" t="s">
        <v>2907</v>
      </c>
      <c r="C734" s="433" t="s">
        <v>80</v>
      </c>
      <c r="D734" s="434" t="s">
        <v>2908</v>
      </c>
      <c r="E734" s="445" t="s">
        <v>2909</v>
      </c>
      <c r="F734" s="446" t="s">
        <v>207</v>
      </c>
      <c r="G734" s="275" t="s">
        <v>2591</v>
      </c>
      <c r="H734" s="275">
        <v>15.0</v>
      </c>
      <c r="I734" s="275"/>
      <c r="J734" s="34" t="s">
        <v>2905</v>
      </c>
      <c r="K734" s="34" t="s">
        <v>2853</v>
      </c>
      <c r="L734" s="12" t="s">
        <v>2906</v>
      </c>
      <c r="M734" s="19"/>
      <c r="N734" s="19"/>
      <c r="O734" s="19"/>
      <c r="P734" s="385" t="s">
        <v>1432</v>
      </c>
      <c r="Q734" s="143" t="s">
        <v>2869</v>
      </c>
    </row>
    <row r="735" hidden="1">
      <c r="A735" s="272">
        <v>27.0</v>
      </c>
      <c r="B735" s="432" t="s">
        <v>2910</v>
      </c>
      <c r="C735" s="433" t="s">
        <v>80</v>
      </c>
      <c r="D735" s="434" t="s">
        <v>2911</v>
      </c>
      <c r="E735" s="445" t="s">
        <v>2912</v>
      </c>
      <c r="F735" s="446" t="s">
        <v>2913</v>
      </c>
      <c r="G735" s="275" t="s">
        <v>2591</v>
      </c>
      <c r="H735" s="275">
        <v>15.0</v>
      </c>
      <c r="I735" s="275"/>
      <c r="J735" s="34" t="s">
        <v>2541</v>
      </c>
      <c r="K735" s="34" t="s">
        <v>2543</v>
      </c>
      <c r="L735" s="12" t="s">
        <v>2906</v>
      </c>
      <c r="N735" s="34"/>
      <c r="O735" s="435">
        <v>45726.0</v>
      </c>
      <c r="P735" s="407" t="s">
        <v>1798</v>
      </c>
      <c r="Q735" s="143" t="s">
        <v>2864</v>
      </c>
    </row>
    <row r="736" hidden="1">
      <c r="A736" s="272">
        <v>28.0</v>
      </c>
      <c r="B736" s="432" t="s">
        <v>2914</v>
      </c>
      <c r="C736" s="433" t="s">
        <v>80</v>
      </c>
      <c r="D736" s="434" t="s">
        <v>2915</v>
      </c>
      <c r="E736" s="445" t="s">
        <v>2916</v>
      </c>
      <c r="F736" s="446" t="s">
        <v>2913</v>
      </c>
      <c r="G736" s="275" t="s">
        <v>2591</v>
      </c>
      <c r="H736" s="275">
        <v>15.0</v>
      </c>
      <c r="I736" s="275"/>
      <c r="J736" s="34" t="s">
        <v>2541</v>
      </c>
      <c r="K736" s="34" t="s">
        <v>2543</v>
      </c>
      <c r="L736" s="12" t="s">
        <v>2906</v>
      </c>
      <c r="N736" s="34"/>
      <c r="O736" s="435">
        <v>45726.0</v>
      </c>
      <c r="P736" s="407" t="s">
        <v>1798</v>
      </c>
      <c r="Q736" s="143" t="s">
        <v>2864</v>
      </c>
    </row>
    <row r="737" hidden="1">
      <c r="A737" s="272">
        <v>29.0</v>
      </c>
      <c r="B737" s="432" t="s">
        <v>2917</v>
      </c>
      <c r="C737" s="433" t="s">
        <v>80</v>
      </c>
      <c r="D737" s="434" t="s">
        <v>2918</v>
      </c>
      <c r="E737" s="434" t="s">
        <v>2919</v>
      </c>
      <c r="F737" s="447" t="s">
        <v>2920</v>
      </c>
      <c r="G737" s="275" t="s">
        <v>2591</v>
      </c>
      <c r="H737" s="275">
        <v>15.0</v>
      </c>
      <c r="I737" s="275"/>
      <c r="J737" s="34" t="s">
        <v>2065</v>
      </c>
      <c r="K737" s="19"/>
      <c r="L737" s="12" t="s">
        <v>374</v>
      </c>
      <c r="M737" s="19"/>
      <c r="N737" s="19"/>
      <c r="O737" s="148">
        <v>45818.0</v>
      </c>
      <c r="P737" s="407" t="s">
        <v>1798</v>
      </c>
      <c r="Q737" s="143" t="s">
        <v>2864</v>
      </c>
    </row>
    <row r="738" hidden="1">
      <c r="A738" s="272">
        <v>30.0</v>
      </c>
      <c r="B738" s="448" t="s">
        <v>2921</v>
      </c>
      <c r="C738" s="433" t="s">
        <v>80</v>
      </c>
      <c r="D738" s="434" t="s">
        <v>2922</v>
      </c>
      <c r="E738" s="434" t="s">
        <v>2923</v>
      </c>
      <c r="F738" s="446" t="s">
        <v>2924</v>
      </c>
      <c r="G738" s="275" t="s">
        <v>2925</v>
      </c>
      <c r="H738" s="275">
        <v>16.0</v>
      </c>
      <c r="I738" s="275"/>
      <c r="J738" s="19"/>
      <c r="K738" s="19"/>
      <c r="L738" s="12" t="s">
        <v>2906</v>
      </c>
      <c r="M738" s="19"/>
      <c r="N738" s="19"/>
      <c r="O738" s="34" t="s">
        <v>2547</v>
      </c>
      <c r="P738" s="385" t="s">
        <v>1432</v>
      </c>
      <c r="Q738" s="143" t="s">
        <v>2869</v>
      </c>
    </row>
    <row r="739" hidden="1">
      <c r="A739" s="272">
        <v>31.0</v>
      </c>
      <c r="B739" s="432" t="s">
        <v>2926</v>
      </c>
      <c r="C739" s="433" t="s">
        <v>80</v>
      </c>
      <c r="D739" s="434" t="s">
        <v>2927</v>
      </c>
      <c r="E739" s="434" t="s">
        <v>2928</v>
      </c>
      <c r="F739" s="446" t="s">
        <v>1439</v>
      </c>
      <c r="G739" s="275" t="s">
        <v>2925</v>
      </c>
      <c r="H739" s="275">
        <v>16.0</v>
      </c>
      <c r="I739" s="275"/>
      <c r="J739" s="34" t="s">
        <v>2065</v>
      </c>
      <c r="K739" s="34" t="s">
        <v>2872</v>
      </c>
      <c r="L739" s="12" t="s">
        <v>374</v>
      </c>
      <c r="M739" s="19"/>
      <c r="N739" s="19"/>
      <c r="O739" s="34" t="s">
        <v>2859</v>
      </c>
      <c r="P739" s="385" t="s">
        <v>1432</v>
      </c>
      <c r="Q739" s="143" t="s">
        <v>2860</v>
      </c>
    </row>
    <row r="740" hidden="1">
      <c r="A740" s="272">
        <v>32.0</v>
      </c>
      <c r="B740" s="432" t="s">
        <v>2929</v>
      </c>
      <c r="C740" s="449" t="s">
        <v>397</v>
      </c>
      <c r="D740" s="434" t="s">
        <v>2930</v>
      </c>
      <c r="E740" s="434" t="s">
        <v>2931</v>
      </c>
      <c r="F740" s="446" t="s">
        <v>2490</v>
      </c>
      <c r="G740" s="275" t="s">
        <v>2925</v>
      </c>
      <c r="H740" s="275">
        <v>16.0</v>
      </c>
      <c r="I740" s="275"/>
      <c r="J740" s="34" t="s">
        <v>2541</v>
      </c>
      <c r="K740" s="19"/>
      <c r="L740" s="12" t="s">
        <v>2906</v>
      </c>
      <c r="M740" s="19"/>
      <c r="N740" s="19"/>
      <c r="O740" s="34" t="s">
        <v>2676</v>
      </c>
      <c r="P740" s="385" t="s">
        <v>1432</v>
      </c>
      <c r="Q740" s="143" t="s">
        <v>2864</v>
      </c>
    </row>
    <row r="741" hidden="1">
      <c r="A741" s="272">
        <v>33.0</v>
      </c>
      <c r="B741" s="432" t="s">
        <v>2932</v>
      </c>
      <c r="C741" s="433" t="s">
        <v>80</v>
      </c>
      <c r="D741" s="434" t="s">
        <v>2933</v>
      </c>
      <c r="E741" s="434" t="s">
        <v>2934</v>
      </c>
      <c r="F741" s="446" t="s">
        <v>1674</v>
      </c>
      <c r="G741" s="275" t="s">
        <v>2925</v>
      </c>
      <c r="H741" s="275">
        <v>16.0</v>
      </c>
      <c r="I741" s="275"/>
      <c r="J741" s="34" t="s">
        <v>51</v>
      </c>
      <c r="K741" s="34" t="s">
        <v>2836</v>
      </c>
      <c r="L741" s="12" t="s">
        <v>51</v>
      </c>
      <c r="M741" s="19"/>
      <c r="N741" s="19"/>
      <c r="O741" s="71">
        <v>45698.0</v>
      </c>
      <c r="P741" s="385" t="s">
        <v>1432</v>
      </c>
      <c r="Q741" s="143" t="s">
        <v>2869</v>
      </c>
    </row>
    <row r="742" hidden="1">
      <c r="A742" s="272">
        <v>34.0</v>
      </c>
      <c r="B742" s="432" t="s">
        <v>2935</v>
      </c>
      <c r="C742" s="433" t="s">
        <v>1185</v>
      </c>
      <c r="D742" s="434" t="s">
        <v>2936</v>
      </c>
      <c r="E742" s="434" t="s">
        <v>2937</v>
      </c>
      <c r="F742" s="446" t="s">
        <v>2098</v>
      </c>
      <c r="G742" s="275" t="s">
        <v>2925</v>
      </c>
      <c r="H742" s="275">
        <v>16.0</v>
      </c>
      <c r="I742" s="275"/>
      <c r="J742" s="34" t="s">
        <v>2541</v>
      </c>
      <c r="K742" s="34" t="s">
        <v>2938</v>
      </c>
      <c r="L742" s="12" t="s">
        <v>51</v>
      </c>
      <c r="M742" s="19"/>
      <c r="N742" s="19"/>
      <c r="O742" s="71">
        <v>45698.0</v>
      </c>
      <c r="P742" s="385" t="s">
        <v>1432</v>
      </c>
      <c r="Q742" s="143" t="s">
        <v>2860</v>
      </c>
    </row>
    <row r="743" hidden="1">
      <c r="A743" s="434">
        <v>35.0</v>
      </c>
      <c r="B743" s="432" t="s">
        <v>2939</v>
      </c>
      <c r="C743" s="433" t="s">
        <v>1185</v>
      </c>
      <c r="D743" s="434" t="s">
        <v>2940</v>
      </c>
      <c r="E743" s="434" t="s">
        <v>2941</v>
      </c>
      <c r="F743" s="446" t="s">
        <v>2098</v>
      </c>
      <c r="G743" s="275" t="s">
        <v>2942</v>
      </c>
      <c r="H743" s="275">
        <v>17.0</v>
      </c>
      <c r="I743" s="275"/>
      <c r="J743" s="34" t="s">
        <v>2541</v>
      </c>
      <c r="K743" s="34" t="s">
        <v>2938</v>
      </c>
      <c r="L743" s="12" t="s">
        <v>51</v>
      </c>
      <c r="M743" s="19"/>
      <c r="N743" s="19"/>
      <c r="O743" s="34" t="s">
        <v>2943</v>
      </c>
      <c r="P743" s="385" t="s">
        <v>1432</v>
      </c>
      <c r="Q743" s="143" t="s">
        <v>2864</v>
      </c>
    </row>
    <row r="744" hidden="1">
      <c r="A744" s="272">
        <v>36.0</v>
      </c>
      <c r="B744" s="432" t="s">
        <v>2944</v>
      </c>
      <c r="C744" s="433" t="s">
        <v>80</v>
      </c>
      <c r="D744" s="434" t="s">
        <v>2945</v>
      </c>
      <c r="E744" s="445" t="s">
        <v>2946</v>
      </c>
      <c r="F744" s="446" t="s">
        <v>149</v>
      </c>
      <c r="G744" s="275" t="s">
        <v>2591</v>
      </c>
      <c r="H744" s="275">
        <v>15.0</v>
      </c>
      <c r="I744" s="275"/>
      <c r="J744" s="34" t="s">
        <v>2541</v>
      </c>
      <c r="K744" s="34" t="s">
        <v>2858</v>
      </c>
      <c r="L744" s="12" t="s">
        <v>2906</v>
      </c>
      <c r="M744" s="19"/>
      <c r="N744" s="19"/>
      <c r="O744" s="143" t="s">
        <v>2836</v>
      </c>
      <c r="P744" s="385" t="s">
        <v>1432</v>
      </c>
      <c r="Q744" s="143" t="s">
        <v>2864</v>
      </c>
    </row>
    <row r="745" hidden="1">
      <c r="A745" s="272">
        <v>37.0</v>
      </c>
      <c r="B745" s="432" t="s">
        <v>2947</v>
      </c>
      <c r="C745" s="433" t="s">
        <v>80</v>
      </c>
      <c r="D745" s="434" t="s">
        <v>2948</v>
      </c>
      <c r="E745" s="445" t="s">
        <v>2949</v>
      </c>
      <c r="F745" s="446" t="s">
        <v>149</v>
      </c>
      <c r="G745" s="275" t="s">
        <v>2591</v>
      </c>
      <c r="H745" s="275">
        <v>15.0</v>
      </c>
      <c r="I745" s="275"/>
      <c r="J745" s="34" t="s">
        <v>2541</v>
      </c>
      <c r="K745" s="34" t="s">
        <v>2858</v>
      </c>
      <c r="L745" s="12" t="s">
        <v>2906</v>
      </c>
      <c r="M745" s="19"/>
      <c r="N745" s="19"/>
      <c r="O745" s="143" t="s">
        <v>2836</v>
      </c>
      <c r="P745" s="385" t="s">
        <v>1432</v>
      </c>
      <c r="Q745" s="143" t="s">
        <v>2864</v>
      </c>
    </row>
    <row r="746" hidden="1">
      <c r="A746" s="272">
        <v>38.0</v>
      </c>
      <c r="B746" s="432" t="s">
        <v>2950</v>
      </c>
      <c r="C746" s="433" t="s">
        <v>1185</v>
      </c>
      <c r="D746" s="434" t="s">
        <v>2951</v>
      </c>
      <c r="E746" s="434" t="s">
        <v>2952</v>
      </c>
      <c r="F746" s="446" t="s">
        <v>25</v>
      </c>
      <c r="G746" s="275" t="s">
        <v>2840</v>
      </c>
      <c r="H746" s="275">
        <v>18.0</v>
      </c>
      <c r="I746" s="275"/>
      <c r="J746" s="34" t="s">
        <v>2541</v>
      </c>
      <c r="K746" s="34" t="s">
        <v>2938</v>
      </c>
      <c r="L746" s="12" t="s">
        <v>51</v>
      </c>
      <c r="M746" s="19"/>
      <c r="N746" s="19"/>
      <c r="O746" s="71">
        <v>45757.0</v>
      </c>
      <c r="P746" s="385" t="s">
        <v>1432</v>
      </c>
      <c r="Q746" s="143" t="s">
        <v>2869</v>
      </c>
    </row>
    <row r="747" hidden="1">
      <c r="A747" s="272">
        <v>39.0</v>
      </c>
      <c r="B747" s="432" t="s">
        <v>2953</v>
      </c>
      <c r="C747" s="434" t="s">
        <v>2307</v>
      </c>
      <c r="D747" s="434" t="s">
        <v>2954</v>
      </c>
      <c r="E747" s="434" t="s">
        <v>2955</v>
      </c>
      <c r="F747" s="447" t="s">
        <v>148</v>
      </c>
      <c r="G747" s="275" t="s">
        <v>2942</v>
      </c>
      <c r="H747" s="275">
        <v>17.0</v>
      </c>
      <c r="I747" s="275"/>
      <c r="J747" s="34" t="s">
        <v>2956</v>
      </c>
      <c r="K747" s="34" t="s">
        <v>2872</v>
      </c>
      <c r="L747" s="12" t="s">
        <v>2906</v>
      </c>
      <c r="M747" s="19"/>
      <c r="N747" s="19"/>
      <c r="O747" s="19"/>
      <c r="P747" s="385" t="s">
        <v>1432</v>
      </c>
      <c r="Q747" s="143" t="s">
        <v>2860</v>
      </c>
    </row>
    <row r="748" hidden="1">
      <c r="A748" s="272">
        <v>40.0</v>
      </c>
      <c r="B748" s="432" t="s">
        <v>2957</v>
      </c>
      <c r="C748" s="449" t="s">
        <v>1318</v>
      </c>
      <c r="D748" s="434" t="s">
        <v>2958</v>
      </c>
      <c r="E748" s="445" t="s">
        <v>2959</v>
      </c>
      <c r="F748" s="446" t="s">
        <v>1439</v>
      </c>
      <c r="G748" s="275" t="s">
        <v>2942</v>
      </c>
      <c r="H748" s="275">
        <v>17.0</v>
      </c>
      <c r="I748" s="275"/>
      <c r="J748" s="34" t="s">
        <v>2905</v>
      </c>
      <c r="K748" s="34" t="s">
        <v>2960</v>
      </c>
      <c r="L748" s="12" t="s">
        <v>2906</v>
      </c>
      <c r="M748" s="19"/>
      <c r="N748" s="19"/>
      <c r="O748" s="34" t="s">
        <v>2832</v>
      </c>
      <c r="P748" s="385" t="s">
        <v>1432</v>
      </c>
      <c r="Q748" s="143" t="s">
        <v>2869</v>
      </c>
    </row>
    <row r="749" hidden="1">
      <c r="A749" s="272">
        <v>41.0</v>
      </c>
      <c r="B749" s="432" t="s">
        <v>2961</v>
      </c>
      <c r="C749" s="449" t="s">
        <v>1318</v>
      </c>
      <c r="D749" s="434" t="s">
        <v>2962</v>
      </c>
      <c r="E749" s="445" t="s">
        <v>2963</v>
      </c>
      <c r="F749" s="446" t="s">
        <v>1439</v>
      </c>
      <c r="G749" s="275" t="s">
        <v>2942</v>
      </c>
      <c r="H749" s="275">
        <v>17.0</v>
      </c>
      <c r="I749" s="275"/>
      <c r="J749" s="34" t="s">
        <v>2905</v>
      </c>
      <c r="K749" s="34" t="s">
        <v>2960</v>
      </c>
      <c r="L749" s="12" t="s">
        <v>2906</v>
      </c>
      <c r="M749" s="19"/>
      <c r="N749" s="19"/>
      <c r="O749" s="34" t="s">
        <v>2832</v>
      </c>
      <c r="P749" s="385" t="s">
        <v>1432</v>
      </c>
      <c r="Q749" s="143" t="s">
        <v>2869</v>
      </c>
    </row>
    <row r="750" hidden="1">
      <c r="A750" s="272">
        <v>42.0</v>
      </c>
      <c r="B750" s="432" t="s">
        <v>2964</v>
      </c>
      <c r="C750" s="433" t="s">
        <v>80</v>
      </c>
      <c r="D750" s="434" t="s">
        <v>2965</v>
      </c>
      <c r="E750" s="445" t="s">
        <v>2966</v>
      </c>
      <c r="F750" s="446" t="s">
        <v>1519</v>
      </c>
      <c r="G750" s="275" t="s">
        <v>2942</v>
      </c>
      <c r="H750" s="275">
        <v>17.0</v>
      </c>
      <c r="I750" s="275"/>
      <c r="J750" s="34" t="s">
        <v>2541</v>
      </c>
      <c r="K750" s="34" t="s">
        <v>2543</v>
      </c>
      <c r="L750" s="12" t="s">
        <v>2906</v>
      </c>
      <c r="M750" s="19"/>
      <c r="N750" s="19"/>
      <c r="O750" s="34" t="s">
        <v>2845</v>
      </c>
      <c r="P750" s="385" t="s">
        <v>1432</v>
      </c>
      <c r="Q750" s="143" t="s">
        <v>2860</v>
      </c>
    </row>
    <row r="751" hidden="1">
      <c r="A751" s="272">
        <v>43.0</v>
      </c>
      <c r="B751" s="432" t="s">
        <v>2967</v>
      </c>
      <c r="C751" s="433" t="s">
        <v>80</v>
      </c>
      <c r="D751" s="434" t="s">
        <v>2968</v>
      </c>
      <c r="E751" s="445" t="s">
        <v>2969</v>
      </c>
      <c r="F751" s="446" t="s">
        <v>1519</v>
      </c>
      <c r="G751" s="275" t="s">
        <v>2942</v>
      </c>
      <c r="H751" s="275">
        <v>17.0</v>
      </c>
      <c r="I751" s="275"/>
      <c r="J751" s="34" t="s">
        <v>2541</v>
      </c>
      <c r="K751" s="34" t="s">
        <v>2543</v>
      </c>
      <c r="L751" s="12" t="s">
        <v>2906</v>
      </c>
      <c r="M751" s="19"/>
      <c r="N751" s="19"/>
      <c r="O751" s="34" t="s">
        <v>2845</v>
      </c>
      <c r="P751" s="385" t="s">
        <v>1432</v>
      </c>
      <c r="Q751" s="143" t="s">
        <v>2860</v>
      </c>
    </row>
    <row r="752" hidden="1">
      <c r="A752" s="272">
        <v>44.0</v>
      </c>
      <c r="B752" s="450" t="s">
        <v>2970</v>
      </c>
      <c r="C752" s="433" t="s">
        <v>80</v>
      </c>
      <c r="D752" s="433" t="s">
        <v>2971</v>
      </c>
      <c r="E752" s="433" t="s">
        <v>2972</v>
      </c>
      <c r="F752" s="446" t="s">
        <v>958</v>
      </c>
      <c r="G752" s="275" t="s">
        <v>2942</v>
      </c>
      <c r="H752" s="275">
        <v>17.0</v>
      </c>
      <c r="I752" s="275"/>
      <c r="J752" s="34" t="s">
        <v>100</v>
      </c>
      <c r="K752" s="148">
        <v>45817.0</v>
      </c>
      <c r="L752" s="12" t="s">
        <v>2906</v>
      </c>
      <c r="M752" s="19"/>
      <c r="N752" s="19"/>
      <c r="O752" s="451">
        <v>45913.0</v>
      </c>
      <c r="P752" s="385" t="s">
        <v>1432</v>
      </c>
      <c r="Q752" s="143" t="s">
        <v>2864</v>
      </c>
    </row>
    <row r="753" hidden="1">
      <c r="A753" s="272">
        <v>45.0</v>
      </c>
      <c r="B753" s="432" t="s">
        <v>2973</v>
      </c>
      <c r="C753" s="433" t="s">
        <v>80</v>
      </c>
      <c r="D753" s="434" t="s">
        <v>2974</v>
      </c>
      <c r="E753" s="445" t="s">
        <v>2975</v>
      </c>
      <c r="F753" s="446" t="s">
        <v>2976</v>
      </c>
      <c r="G753" s="275" t="s">
        <v>2942</v>
      </c>
      <c r="H753" s="275">
        <v>17.0</v>
      </c>
      <c r="I753" s="275"/>
      <c r="J753" s="34" t="s">
        <v>1640</v>
      </c>
      <c r="K753" s="34" t="s">
        <v>2872</v>
      </c>
      <c r="L753" s="12" t="s">
        <v>2906</v>
      </c>
      <c r="M753" s="19"/>
      <c r="N753" s="19"/>
      <c r="O753" s="34" t="s">
        <v>2943</v>
      </c>
      <c r="P753" s="385" t="s">
        <v>1432</v>
      </c>
      <c r="Q753" s="143" t="s">
        <v>2869</v>
      </c>
    </row>
    <row r="754" hidden="1">
      <c r="A754" s="272">
        <v>46.0</v>
      </c>
      <c r="B754" s="432" t="s">
        <v>2977</v>
      </c>
      <c r="C754" s="433" t="s">
        <v>80</v>
      </c>
      <c r="D754" s="434" t="s">
        <v>2978</v>
      </c>
      <c r="E754" s="445" t="s">
        <v>2979</v>
      </c>
      <c r="F754" s="446" t="s">
        <v>2976</v>
      </c>
      <c r="G754" s="275" t="s">
        <v>2942</v>
      </c>
      <c r="H754" s="275">
        <v>17.0</v>
      </c>
      <c r="I754" s="275"/>
      <c r="J754" s="34" t="s">
        <v>1640</v>
      </c>
      <c r="K754" s="34" t="s">
        <v>2872</v>
      </c>
      <c r="L754" s="12" t="s">
        <v>2906</v>
      </c>
      <c r="M754" s="19"/>
      <c r="N754" s="19"/>
      <c r="O754" s="34" t="s">
        <v>2943</v>
      </c>
      <c r="P754" s="385" t="s">
        <v>1432</v>
      </c>
      <c r="Q754" s="143" t="s">
        <v>2869</v>
      </c>
    </row>
    <row r="755" hidden="1">
      <c r="A755" s="272">
        <v>47.0</v>
      </c>
      <c r="B755" s="432" t="s">
        <v>2980</v>
      </c>
      <c r="C755" s="433" t="s">
        <v>80</v>
      </c>
      <c r="D755" s="434" t="s">
        <v>2981</v>
      </c>
      <c r="E755" s="445" t="s">
        <v>2982</v>
      </c>
      <c r="F755" s="446" t="s">
        <v>2638</v>
      </c>
      <c r="G755" s="275" t="s">
        <v>2942</v>
      </c>
      <c r="H755" s="275">
        <v>17.0</v>
      </c>
      <c r="I755" s="275"/>
      <c r="J755" s="34" t="s">
        <v>2983</v>
      </c>
      <c r="K755" s="19"/>
      <c r="L755" s="12" t="s">
        <v>2906</v>
      </c>
      <c r="N755" s="34" t="s">
        <v>2984</v>
      </c>
      <c r="O755" s="148">
        <v>45848.0</v>
      </c>
      <c r="P755" s="416" t="s">
        <v>2985</v>
      </c>
      <c r="Q755" s="143" t="s">
        <v>2864</v>
      </c>
    </row>
    <row r="756" hidden="1">
      <c r="A756" s="272">
        <v>48.0</v>
      </c>
      <c r="B756" s="432" t="s">
        <v>2986</v>
      </c>
      <c r="C756" s="433" t="s">
        <v>80</v>
      </c>
      <c r="D756" s="434" t="s">
        <v>2987</v>
      </c>
      <c r="E756" s="445" t="s">
        <v>2988</v>
      </c>
      <c r="F756" s="446" t="s">
        <v>2638</v>
      </c>
      <c r="G756" s="275" t="s">
        <v>2942</v>
      </c>
      <c r="H756" s="275">
        <v>17.0</v>
      </c>
      <c r="I756" s="275"/>
      <c r="J756" s="34" t="s">
        <v>2983</v>
      </c>
      <c r="K756" s="19"/>
      <c r="L756" s="12" t="s">
        <v>2906</v>
      </c>
      <c r="N756" s="34" t="s">
        <v>2984</v>
      </c>
      <c r="O756" s="148">
        <v>45848.0</v>
      </c>
      <c r="P756" s="416" t="s">
        <v>2985</v>
      </c>
      <c r="Q756" s="143" t="s">
        <v>2864</v>
      </c>
    </row>
    <row r="757" hidden="1">
      <c r="A757" s="272">
        <v>49.0</v>
      </c>
      <c r="B757" s="432" t="s">
        <v>2989</v>
      </c>
      <c r="C757" s="433" t="s">
        <v>80</v>
      </c>
      <c r="D757" s="434" t="s">
        <v>2990</v>
      </c>
      <c r="E757" s="434" t="s">
        <v>2991</v>
      </c>
      <c r="F757" s="446" t="s">
        <v>25</v>
      </c>
      <c r="G757" s="275" t="s">
        <v>2832</v>
      </c>
      <c r="H757" s="275">
        <v>20.0</v>
      </c>
      <c r="I757" s="275"/>
      <c r="J757" s="34" t="s">
        <v>2541</v>
      </c>
      <c r="K757" s="34" t="s">
        <v>2938</v>
      </c>
      <c r="L757" s="12" t="s">
        <v>51</v>
      </c>
      <c r="M757" s="19"/>
      <c r="N757" s="19"/>
      <c r="O757" s="435">
        <v>45726.0</v>
      </c>
      <c r="P757" s="385" t="s">
        <v>1432</v>
      </c>
      <c r="Q757" s="143" t="s">
        <v>2864</v>
      </c>
    </row>
    <row r="758" hidden="1">
      <c r="A758" s="272">
        <v>50.0</v>
      </c>
      <c r="B758" s="432" t="s">
        <v>2992</v>
      </c>
      <c r="C758" s="433" t="s">
        <v>80</v>
      </c>
      <c r="D758" s="434" t="s">
        <v>2993</v>
      </c>
      <c r="E758" s="434" t="s">
        <v>2994</v>
      </c>
      <c r="F758" s="446" t="s">
        <v>2098</v>
      </c>
      <c r="G758" s="275" t="s">
        <v>2842</v>
      </c>
      <c r="H758" s="275">
        <v>21.0</v>
      </c>
      <c r="I758" s="275"/>
      <c r="J758" s="34" t="s">
        <v>2995</v>
      </c>
      <c r="K758" s="34" t="s">
        <v>2938</v>
      </c>
      <c r="L758" s="12" t="s">
        <v>51</v>
      </c>
      <c r="M758" s="19"/>
      <c r="N758" s="19"/>
      <c r="O758" s="71">
        <v>45757.0</v>
      </c>
      <c r="P758" s="385" t="s">
        <v>1432</v>
      </c>
      <c r="Q758" s="143" t="s">
        <v>2869</v>
      </c>
    </row>
    <row r="759" hidden="1">
      <c r="A759" s="272">
        <v>51.0</v>
      </c>
      <c r="B759" s="432" t="s">
        <v>2996</v>
      </c>
      <c r="C759" s="449" t="s">
        <v>938</v>
      </c>
      <c r="D759" s="434" t="s">
        <v>2997</v>
      </c>
      <c r="E759" s="445" t="s">
        <v>2998</v>
      </c>
      <c r="F759" s="446" t="s">
        <v>1836</v>
      </c>
      <c r="G759" s="275" t="s">
        <v>2676</v>
      </c>
      <c r="H759" s="275">
        <v>19.0</v>
      </c>
      <c r="I759" s="275"/>
      <c r="J759" s="34" t="s">
        <v>2541</v>
      </c>
      <c r="K759" s="34" t="s">
        <v>2839</v>
      </c>
      <c r="L759" s="12" t="s">
        <v>374</v>
      </c>
      <c r="M759" s="19"/>
      <c r="N759" s="19"/>
      <c r="O759" s="34" t="s">
        <v>2943</v>
      </c>
      <c r="P759" s="385" t="s">
        <v>1432</v>
      </c>
      <c r="Q759" s="143" t="s">
        <v>2860</v>
      </c>
    </row>
    <row r="760" hidden="1">
      <c r="A760" s="272">
        <v>52.0</v>
      </c>
      <c r="B760" s="432" t="s">
        <v>2999</v>
      </c>
      <c r="C760" s="449" t="s">
        <v>938</v>
      </c>
      <c r="D760" s="434" t="s">
        <v>3000</v>
      </c>
      <c r="E760" s="445" t="s">
        <v>3001</v>
      </c>
      <c r="F760" s="446" t="s">
        <v>1836</v>
      </c>
      <c r="G760" s="275" t="s">
        <v>2676</v>
      </c>
      <c r="H760" s="275">
        <v>19.0</v>
      </c>
      <c r="I760" s="275"/>
      <c r="J760" s="34" t="s">
        <v>2541</v>
      </c>
      <c r="K760" s="34" t="s">
        <v>2839</v>
      </c>
      <c r="L760" s="12" t="s">
        <v>374</v>
      </c>
      <c r="M760" s="19"/>
      <c r="N760" s="19"/>
      <c r="O760" s="34" t="s">
        <v>2943</v>
      </c>
      <c r="P760" s="385" t="s">
        <v>1432</v>
      </c>
      <c r="Q760" s="143" t="s">
        <v>2864</v>
      </c>
    </row>
    <row r="761" hidden="1">
      <c r="A761" s="272">
        <v>53.0</v>
      </c>
      <c r="B761" s="432" t="s">
        <v>3002</v>
      </c>
      <c r="C761" s="449" t="s">
        <v>3003</v>
      </c>
      <c r="D761" s="434" t="s">
        <v>3004</v>
      </c>
      <c r="E761" s="434" t="s">
        <v>3005</v>
      </c>
      <c r="F761" s="446" t="s">
        <v>2486</v>
      </c>
      <c r="G761" s="275" t="s">
        <v>2676</v>
      </c>
      <c r="H761" s="275">
        <v>19.0</v>
      </c>
      <c r="I761" s="275"/>
      <c r="J761" s="34" t="s">
        <v>2995</v>
      </c>
      <c r="K761" s="34" t="s">
        <v>2836</v>
      </c>
      <c r="L761" s="12" t="s">
        <v>374</v>
      </c>
      <c r="M761" s="19"/>
      <c r="N761" s="19"/>
      <c r="O761" s="71">
        <v>45848.0</v>
      </c>
      <c r="P761" s="385" t="s">
        <v>1432</v>
      </c>
      <c r="Q761" s="143" t="s">
        <v>2869</v>
      </c>
    </row>
    <row r="762" hidden="1">
      <c r="A762" s="272">
        <v>54.0</v>
      </c>
      <c r="B762" s="432" t="s">
        <v>3006</v>
      </c>
      <c r="C762" s="449" t="s">
        <v>3003</v>
      </c>
      <c r="D762" s="434" t="s">
        <v>3007</v>
      </c>
      <c r="E762" s="434" t="s">
        <v>3008</v>
      </c>
      <c r="F762" s="446" t="s">
        <v>2654</v>
      </c>
      <c r="G762" s="275" t="s">
        <v>2676</v>
      </c>
      <c r="H762" s="275">
        <v>19.0</v>
      </c>
      <c r="I762" s="275"/>
      <c r="J762" s="34" t="s">
        <v>2995</v>
      </c>
      <c r="K762" s="19"/>
      <c r="L762" s="12" t="s">
        <v>374</v>
      </c>
      <c r="M762" s="19"/>
      <c r="N762" s="19"/>
      <c r="O762" s="148">
        <v>45879.0</v>
      </c>
      <c r="P762" s="407" t="s">
        <v>2560</v>
      </c>
      <c r="Q762" s="143" t="s">
        <v>2860</v>
      </c>
    </row>
    <row r="763" hidden="1">
      <c r="A763" s="272">
        <v>55.0</v>
      </c>
      <c r="B763" s="432" t="s">
        <v>3009</v>
      </c>
      <c r="C763" s="433" t="s">
        <v>80</v>
      </c>
      <c r="D763" s="434" t="s">
        <v>3010</v>
      </c>
      <c r="E763" s="452" t="s">
        <v>3011</v>
      </c>
      <c r="F763" s="446" t="s">
        <v>3012</v>
      </c>
      <c r="G763" s="275" t="s">
        <v>2676</v>
      </c>
      <c r="H763" s="275">
        <v>19.0</v>
      </c>
      <c r="I763" s="275"/>
      <c r="J763" s="34" t="s">
        <v>2541</v>
      </c>
      <c r="K763" s="34" t="s">
        <v>2839</v>
      </c>
      <c r="L763" s="12" t="s">
        <v>374</v>
      </c>
      <c r="M763" s="19"/>
      <c r="N763" s="19"/>
      <c r="O763" s="34" t="s">
        <v>2859</v>
      </c>
      <c r="P763" s="385" t="s">
        <v>1432</v>
      </c>
      <c r="Q763" s="143" t="s">
        <v>2864</v>
      </c>
    </row>
    <row r="764" hidden="1">
      <c r="A764" s="272">
        <v>56.0</v>
      </c>
      <c r="B764" s="432" t="s">
        <v>3013</v>
      </c>
      <c r="C764" s="433" t="s">
        <v>80</v>
      </c>
      <c r="D764" s="434" t="s">
        <v>3014</v>
      </c>
      <c r="E764" s="452" t="s">
        <v>3015</v>
      </c>
      <c r="F764" s="446" t="s">
        <v>3012</v>
      </c>
      <c r="G764" s="275" t="s">
        <v>2676</v>
      </c>
      <c r="H764" s="275">
        <v>19.0</v>
      </c>
      <c r="I764" s="275"/>
      <c r="J764" s="34" t="s">
        <v>2541</v>
      </c>
      <c r="K764" s="34" t="s">
        <v>2839</v>
      </c>
      <c r="L764" s="12" t="s">
        <v>374</v>
      </c>
      <c r="M764" s="19"/>
      <c r="N764" s="19"/>
      <c r="O764" s="34" t="s">
        <v>2859</v>
      </c>
      <c r="P764" s="385" t="s">
        <v>1432</v>
      </c>
      <c r="Q764" s="143" t="s">
        <v>2869</v>
      </c>
    </row>
    <row r="765" hidden="1">
      <c r="A765" s="272">
        <v>57.0</v>
      </c>
      <c r="B765" s="432" t="s">
        <v>3016</v>
      </c>
      <c r="C765" s="433" t="s">
        <v>80</v>
      </c>
      <c r="D765" s="434" t="s">
        <v>3017</v>
      </c>
      <c r="E765" s="452" t="s">
        <v>3018</v>
      </c>
      <c r="F765" s="446" t="s">
        <v>3012</v>
      </c>
      <c r="G765" s="275" t="s">
        <v>2676</v>
      </c>
      <c r="H765" s="275">
        <v>19.0</v>
      </c>
      <c r="I765" s="275"/>
      <c r="J765" s="34" t="s">
        <v>2541</v>
      </c>
      <c r="K765" s="34" t="s">
        <v>2839</v>
      </c>
      <c r="L765" s="12" t="s">
        <v>374</v>
      </c>
      <c r="M765" s="19"/>
      <c r="N765" s="19"/>
      <c r="O765" s="34" t="s">
        <v>2859</v>
      </c>
      <c r="P765" s="407" t="s">
        <v>1798</v>
      </c>
      <c r="Q765" s="143" t="s">
        <v>2860</v>
      </c>
    </row>
    <row r="766" hidden="1">
      <c r="A766" s="272">
        <v>58.0</v>
      </c>
      <c r="B766" s="432" t="s">
        <v>3019</v>
      </c>
      <c r="C766" s="449" t="s">
        <v>1058</v>
      </c>
      <c r="D766" s="434" t="s">
        <v>3020</v>
      </c>
      <c r="E766" s="445" t="s">
        <v>3021</v>
      </c>
      <c r="F766" s="446" t="s">
        <v>2500</v>
      </c>
      <c r="G766" s="275" t="s">
        <v>2676</v>
      </c>
      <c r="H766" s="275">
        <v>19.0</v>
      </c>
      <c r="I766" s="275"/>
      <c r="J766" s="34" t="s">
        <v>2065</v>
      </c>
      <c r="K766" s="19"/>
      <c r="L766" s="12" t="s">
        <v>374</v>
      </c>
      <c r="M766" s="19"/>
      <c r="N766" s="19"/>
      <c r="O766" s="34" t="s">
        <v>3022</v>
      </c>
      <c r="P766" s="385" t="s">
        <v>1432</v>
      </c>
      <c r="Q766" s="143" t="s">
        <v>2864</v>
      </c>
    </row>
    <row r="767" hidden="1">
      <c r="A767" s="272">
        <v>59.0</v>
      </c>
      <c r="B767" s="432" t="s">
        <v>3023</v>
      </c>
      <c r="C767" s="449" t="s">
        <v>1058</v>
      </c>
      <c r="D767" s="434" t="s">
        <v>3024</v>
      </c>
      <c r="E767" s="445" t="s">
        <v>3025</v>
      </c>
      <c r="F767" s="446" t="s">
        <v>2500</v>
      </c>
      <c r="G767" s="275" t="s">
        <v>2676</v>
      </c>
      <c r="H767" s="275">
        <v>19.0</v>
      </c>
      <c r="I767" s="275"/>
      <c r="J767" s="34" t="s">
        <v>2065</v>
      </c>
      <c r="K767" s="19"/>
      <c r="L767" s="12" t="s">
        <v>374</v>
      </c>
      <c r="M767" s="19"/>
      <c r="N767" s="19"/>
      <c r="O767" s="34" t="s">
        <v>3022</v>
      </c>
      <c r="P767" s="385" t="s">
        <v>1432</v>
      </c>
      <c r="Q767" s="143" t="s">
        <v>2864</v>
      </c>
    </row>
    <row r="768" hidden="1">
      <c r="A768" s="272">
        <v>60.0</v>
      </c>
      <c r="B768" s="448" t="s">
        <v>3026</v>
      </c>
      <c r="C768" s="449" t="s">
        <v>1058</v>
      </c>
      <c r="D768" s="434" t="s">
        <v>3027</v>
      </c>
      <c r="E768" s="434" t="s">
        <v>3028</v>
      </c>
      <c r="F768" s="446" t="s">
        <v>3029</v>
      </c>
      <c r="G768" s="431">
        <v>45878.0</v>
      </c>
      <c r="H768" s="275">
        <v>4.0</v>
      </c>
      <c r="I768" s="275"/>
      <c r="J768" s="34" t="s">
        <v>2065</v>
      </c>
      <c r="K768" s="34" t="s">
        <v>2542</v>
      </c>
      <c r="L768" s="12" t="s">
        <v>2906</v>
      </c>
      <c r="M768" s="19"/>
      <c r="N768" s="19"/>
      <c r="O768" s="34" t="s">
        <v>2841</v>
      </c>
      <c r="P768" s="416" t="s">
        <v>3030</v>
      </c>
      <c r="Q768" s="143" t="s">
        <v>2864</v>
      </c>
    </row>
    <row r="769" hidden="1">
      <c r="A769" s="272">
        <v>61.0</v>
      </c>
      <c r="B769" s="432" t="s">
        <v>3031</v>
      </c>
      <c r="C769" s="433" t="s">
        <v>80</v>
      </c>
      <c r="D769" s="434" t="s">
        <v>3032</v>
      </c>
      <c r="E769" s="434" t="s">
        <v>3033</v>
      </c>
      <c r="F769" s="447" t="s">
        <v>3034</v>
      </c>
      <c r="G769" s="275" t="s">
        <v>2676</v>
      </c>
      <c r="H769" s="275">
        <v>19.0</v>
      </c>
      <c r="I769" s="275"/>
      <c r="J769" s="34" t="s">
        <v>2065</v>
      </c>
      <c r="K769" s="34" t="s">
        <v>2938</v>
      </c>
      <c r="L769" s="12" t="s">
        <v>374</v>
      </c>
      <c r="M769" s="19"/>
      <c r="N769" s="19"/>
      <c r="O769" s="435">
        <v>45726.0</v>
      </c>
      <c r="P769" s="385" t="s">
        <v>1432</v>
      </c>
      <c r="Q769" s="143" t="s">
        <v>2869</v>
      </c>
    </row>
    <row r="770" hidden="1">
      <c r="A770" s="453">
        <v>62.0</v>
      </c>
      <c r="B770" s="432" t="s">
        <v>3035</v>
      </c>
      <c r="C770" s="434" t="s">
        <v>3036</v>
      </c>
      <c r="D770" s="434" t="s">
        <v>3037</v>
      </c>
      <c r="E770" s="434" t="s">
        <v>3038</v>
      </c>
      <c r="F770" s="447" t="s">
        <v>148</v>
      </c>
      <c r="G770" s="453" t="s">
        <v>2832</v>
      </c>
      <c r="H770" s="453">
        <v>20.0</v>
      </c>
      <c r="I770" s="453"/>
      <c r="J770" s="454" t="s">
        <v>2541</v>
      </c>
      <c r="K770" s="454" t="s">
        <v>2872</v>
      </c>
      <c r="L770" s="455" t="s">
        <v>2906</v>
      </c>
      <c r="M770" s="456"/>
      <c r="N770" s="456"/>
      <c r="O770" s="435">
        <v>45726.0</v>
      </c>
      <c r="P770" s="457" t="s">
        <v>1432</v>
      </c>
      <c r="Q770" s="458" t="s">
        <v>2860</v>
      </c>
      <c r="R770" s="459"/>
      <c r="S770" s="459"/>
      <c r="T770" s="459"/>
      <c r="U770" s="459"/>
      <c r="V770" s="459"/>
      <c r="W770" s="459"/>
      <c r="X770" s="459"/>
      <c r="Y770" s="459"/>
      <c r="Z770" s="459"/>
      <c r="AA770" s="459"/>
      <c r="AB770" s="459"/>
      <c r="AC770" s="459"/>
      <c r="AD770" s="459"/>
      <c r="AE770" s="459"/>
      <c r="AF770" s="459"/>
    </row>
    <row r="771" hidden="1">
      <c r="A771" s="272">
        <v>63.0</v>
      </c>
      <c r="B771" s="432" t="s">
        <v>3039</v>
      </c>
      <c r="C771" s="433" t="s">
        <v>80</v>
      </c>
      <c r="D771" s="434" t="s">
        <v>3040</v>
      </c>
      <c r="E771" s="445" t="s">
        <v>3041</v>
      </c>
      <c r="F771" s="446" t="s">
        <v>3042</v>
      </c>
      <c r="G771" s="275" t="s">
        <v>2840</v>
      </c>
      <c r="H771" s="275">
        <v>18.0</v>
      </c>
      <c r="I771" s="275" t="s">
        <v>3043</v>
      </c>
      <c r="J771" s="34" t="s">
        <v>2065</v>
      </c>
      <c r="K771" s="34" t="s">
        <v>2836</v>
      </c>
      <c r="L771" s="12" t="s">
        <v>374</v>
      </c>
      <c r="M771" s="19"/>
      <c r="N771" s="34" t="s">
        <v>2984</v>
      </c>
      <c r="O771" s="460">
        <v>45940.0</v>
      </c>
      <c r="P771" s="407" t="s">
        <v>1798</v>
      </c>
      <c r="Q771" s="143" t="s">
        <v>2860</v>
      </c>
    </row>
    <row r="772" hidden="1">
      <c r="A772" s="272">
        <v>64.0</v>
      </c>
      <c r="B772" s="432" t="s">
        <v>3044</v>
      </c>
      <c r="C772" s="433" t="s">
        <v>80</v>
      </c>
      <c r="D772" s="434" t="s">
        <v>3045</v>
      </c>
      <c r="E772" s="445" t="s">
        <v>3046</v>
      </c>
      <c r="F772" s="446" t="s">
        <v>3042</v>
      </c>
      <c r="G772" s="275" t="s">
        <v>2840</v>
      </c>
      <c r="H772" s="275">
        <v>18.0</v>
      </c>
      <c r="I772" s="275" t="s">
        <v>2890</v>
      </c>
      <c r="J772" s="34" t="s">
        <v>2065</v>
      </c>
      <c r="K772" s="34" t="s">
        <v>2836</v>
      </c>
      <c r="L772" s="12" t="s">
        <v>374</v>
      </c>
      <c r="M772" s="19"/>
      <c r="N772" s="34" t="s">
        <v>2984</v>
      </c>
      <c r="O772" s="460">
        <v>45940.0</v>
      </c>
      <c r="P772" s="407" t="s">
        <v>1798</v>
      </c>
      <c r="Q772" s="143" t="s">
        <v>2860</v>
      </c>
    </row>
    <row r="773" hidden="1">
      <c r="A773" s="272">
        <v>65.0</v>
      </c>
      <c r="B773" s="432" t="s">
        <v>3047</v>
      </c>
      <c r="C773" s="433" t="s">
        <v>80</v>
      </c>
      <c r="D773" s="434" t="s">
        <v>3048</v>
      </c>
      <c r="E773" s="434" t="s">
        <v>3049</v>
      </c>
      <c r="F773" s="446" t="s">
        <v>3050</v>
      </c>
      <c r="G773" s="275" t="s">
        <v>2676</v>
      </c>
      <c r="H773" s="275">
        <v>19.0</v>
      </c>
      <c r="I773" s="275"/>
      <c r="J773" s="34" t="s">
        <v>2065</v>
      </c>
      <c r="K773" s="34" t="s">
        <v>2836</v>
      </c>
      <c r="L773" s="12" t="s">
        <v>374</v>
      </c>
      <c r="M773" s="19"/>
      <c r="N773" s="19"/>
      <c r="O773" s="435">
        <v>45726.0</v>
      </c>
      <c r="P773" s="385" t="s">
        <v>1432</v>
      </c>
      <c r="Q773" s="143" t="s">
        <v>2869</v>
      </c>
    </row>
    <row r="774" hidden="1">
      <c r="A774" s="461">
        <v>66.0</v>
      </c>
      <c r="B774" s="432" t="s">
        <v>3051</v>
      </c>
      <c r="C774" s="433" t="s">
        <v>80</v>
      </c>
      <c r="D774" s="434" t="s">
        <v>3052</v>
      </c>
      <c r="E774" s="445" t="s">
        <v>3053</v>
      </c>
      <c r="F774" s="447" t="s">
        <v>3054</v>
      </c>
      <c r="G774" s="434" t="s">
        <v>2676</v>
      </c>
      <c r="H774" s="275">
        <v>19.0</v>
      </c>
      <c r="I774" s="275"/>
      <c r="J774" s="34" t="s">
        <v>2065</v>
      </c>
      <c r="K774" s="462" t="s">
        <v>2839</v>
      </c>
      <c r="L774" s="12" t="s">
        <v>374</v>
      </c>
      <c r="M774" s="463"/>
      <c r="N774" s="463"/>
      <c r="O774" s="435">
        <v>45726.0</v>
      </c>
      <c r="P774" s="464" t="s">
        <v>1432</v>
      </c>
      <c r="Q774" s="465" t="s">
        <v>2864</v>
      </c>
      <c r="R774" s="466"/>
      <c r="S774" s="466"/>
      <c r="T774" s="466"/>
      <c r="U774" s="466"/>
      <c r="V774" s="466"/>
      <c r="W774" s="466"/>
      <c r="X774" s="466"/>
      <c r="Y774" s="466"/>
      <c r="Z774" s="466"/>
      <c r="AA774" s="466"/>
      <c r="AB774" s="466"/>
      <c r="AC774" s="466"/>
      <c r="AD774" s="466"/>
      <c r="AE774" s="466"/>
      <c r="AF774" s="466"/>
    </row>
    <row r="775" hidden="1">
      <c r="A775" s="272">
        <v>67.0</v>
      </c>
      <c r="B775" s="432" t="s">
        <v>3055</v>
      </c>
      <c r="C775" s="433" t="s">
        <v>80</v>
      </c>
      <c r="D775" s="434" t="s">
        <v>3056</v>
      </c>
      <c r="E775" s="445" t="s">
        <v>3057</v>
      </c>
      <c r="F775" s="447" t="s">
        <v>3054</v>
      </c>
      <c r="G775" s="275" t="s">
        <v>2676</v>
      </c>
      <c r="H775" s="275">
        <v>19.0</v>
      </c>
      <c r="I775" s="275"/>
      <c r="J775" s="34" t="s">
        <v>2065</v>
      </c>
      <c r="K775" s="462" t="s">
        <v>2839</v>
      </c>
      <c r="L775" s="12" t="s">
        <v>374</v>
      </c>
      <c r="M775" s="19"/>
      <c r="N775" s="19"/>
      <c r="O775" s="435">
        <v>45726.0</v>
      </c>
      <c r="P775" s="385" t="s">
        <v>1432</v>
      </c>
      <c r="Q775" s="143" t="s">
        <v>2869</v>
      </c>
    </row>
    <row r="776" hidden="1">
      <c r="A776" s="272">
        <v>68.0</v>
      </c>
      <c r="B776" s="448" t="s">
        <v>3058</v>
      </c>
      <c r="C776" s="433" t="s">
        <v>3059</v>
      </c>
      <c r="D776" s="434" t="s">
        <v>3060</v>
      </c>
      <c r="E776" s="434" t="s">
        <v>3061</v>
      </c>
      <c r="F776" s="447" t="s">
        <v>3062</v>
      </c>
      <c r="G776" s="431">
        <v>45817.0</v>
      </c>
      <c r="H776" s="275">
        <v>2.0</v>
      </c>
      <c r="I776" s="275"/>
      <c r="J776" s="19"/>
      <c r="K776" s="19"/>
      <c r="L776" s="12" t="s">
        <v>51</v>
      </c>
      <c r="M776" s="19"/>
      <c r="N776" s="19"/>
      <c r="O776" s="19"/>
      <c r="P776" s="385" t="s">
        <v>1432</v>
      </c>
      <c r="Q776" s="143" t="s">
        <v>2869</v>
      </c>
    </row>
    <row r="777" hidden="1">
      <c r="A777" s="272">
        <v>69.0</v>
      </c>
      <c r="B777" s="432" t="s">
        <v>3063</v>
      </c>
      <c r="C777" s="434" t="s">
        <v>2403</v>
      </c>
      <c r="D777" s="434" t="s">
        <v>3064</v>
      </c>
      <c r="E777" s="434" t="s">
        <v>3065</v>
      </c>
      <c r="F777" s="447" t="s">
        <v>148</v>
      </c>
      <c r="G777" s="275" t="s">
        <v>2832</v>
      </c>
      <c r="H777" s="275">
        <v>20.0</v>
      </c>
      <c r="I777" s="275"/>
      <c r="J777" s="34" t="s">
        <v>3066</v>
      </c>
      <c r="K777" s="34" t="s">
        <v>2836</v>
      </c>
      <c r="L777" s="12" t="s">
        <v>2906</v>
      </c>
      <c r="M777" s="19"/>
      <c r="N777" s="19"/>
      <c r="O777" s="148">
        <v>45818.0</v>
      </c>
      <c r="P777" s="407" t="s">
        <v>2560</v>
      </c>
      <c r="Q777" s="143" t="s">
        <v>2869</v>
      </c>
    </row>
    <row r="778" hidden="1">
      <c r="A778" s="279">
        <v>70.0</v>
      </c>
      <c r="B778" s="436" t="s">
        <v>3067</v>
      </c>
      <c r="C778" s="467"/>
      <c r="D778" s="437" t="s">
        <v>3068</v>
      </c>
      <c r="E778" s="437" t="s">
        <v>3069</v>
      </c>
      <c r="F778" s="468" t="s">
        <v>958</v>
      </c>
      <c r="G778" s="469"/>
      <c r="H778" s="469"/>
      <c r="I778" s="469"/>
      <c r="J778" s="34" t="s">
        <v>100</v>
      </c>
      <c r="K778" s="148">
        <v>45786.0</v>
      </c>
      <c r="L778" s="12" t="s">
        <v>2906</v>
      </c>
      <c r="M778" s="19"/>
      <c r="N778" s="19"/>
      <c r="O778" s="19"/>
      <c r="P778" s="385" t="s">
        <v>1432</v>
      </c>
      <c r="Q778" s="143" t="s">
        <v>2860</v>
      </c>
    </row>
    <row r="779" hidden="1">
      <c r="A779" s="429">
        <v>71.0</v>
      </c>
      <c r="B779" s="450" t="s">
        <v>3070</v>
      </c>
      <c r="C779" s="433" t="s">
        <v>80</v>
      </c>
      <c r="D779" s="433" t="s">
        <v>3071</v>
      </c>
      <c r="E779" s="433" t="s">
        <v>3072</v>
      </c>
      <c r="F779" s="446" t="s">
        <v>958</v>
      </c>
      <c r="G779" s="275" t="s">
        <v>2841</v>
      </c>
      <c r="H779" s="275">
        <v>22.0</v>
      </c>
      <c r="I779" s="275"/>
      <c r="J779" s="34" t="s">
        <v>100</v>
      </c>
      <c r="K779" s="148">
        <v>45786.0</v>
      </c>
      <c r="L779" s="12" t="s">
        <v>2906</v>
      </c>
      <c r="M779" s="19"/>
      <c r="N779" s="19"/>
      <c r="O779" s="451">
        <v>45913.0</v>
      </c>
      <c r="P779" s="385" t="s">
        <v>1432</v>
      </c>
      <c r="Q779" s="143" t="s">
        <v>2860</v>
      </c>
    </row>
    <row r="780" hidden="1">
      <c r="A780" s="272">
        <v>72.0</v>
      </c>
      <c r="B780" s="432" t="s">
        <v>3073</v>
      </c>
      <c r="C780" s="449" t="s">
        <v>938</v>
      </c>
      <c r="D780" s="434" t="s">
        <v>3074</v>
      </c>
      <c r="E780" s="445" t="s">
        <v>3075</v>
      </c>
      <c r="F780" s="446" t="s">
        <v>1836</v>
      </c>
      <c r="G780" s="275" t="s">
        <v>2842</v>
      </c>
      <c r="H780" s="275">
        <v>21.0</v>
      </c>
      <c r="I780" s="275"/>
      <c r="J780" s="34" t="s">
        <v>2541</v>
      </c>
      <c r="K780" s="34" t="s">
        <v>2845</v>
      </c>
      <c r="L780" s="12" t="s">
        <v>2906</v>
      </c>
      <c r="M780" s="19"/>
      <c r="N780" s="19"/>
      <c r="O780" s="148">
        <v>45818.0</v>
      </c>
      <c r="P780" s="385" t="s">
        <v>1432</v>
      </c>
      <c r="Q780" s="143" t="s">
        <v>2860</v>
      </c>
    </row>
    <row r="781" hidden="1">
      <c r="A781" s="272">
        <v>73.0</v>
      </c>
      <c r="B781" s="432" t="s">
        <v>3076</v>
      </c>
      <c r="C781" s="449" t="s">
        <v>938</v>
      </c>
      <c r="D781" s="434" t="s">
        <v>3077</v>
      </c>
      <c r="E781" s="445" t="s">
        <v>3078</v>
      </c>
      <c r="F781" s="446" t="s">
        <v>1836</v>
      </c>
      <c r="G781" s="275" t="s">
        <v>2842</v>
      </c>
      <c r="H781" s="275">
        <v>21.0</v>
      </c>
      <c r="I781" s="275"/>
      <c r="J781" s="34" t="s">
        <v>2541</v>
      </c>
      <c r="K781" s="34" t="s">
        <v>2845</v>
      </c>
      <c r="L781" s="12" t="s">
        <v>2906</v>
      </c>
      <c r="M781" s="19"/>
      <c r="N781" s="19"/>
      <c r="O781" s="148">
        <v>45818.0</v>
      </c>
      <c r="P781" s="385" t="s">
        <v>1432</v>
      </c>
      <c r="Q781" s="143" t="s">
        <v>2860</v>
      </c>
    </row>
    <row r="782" hidden="1">
      <c r="A782" s="272">
        <v>74.0</v>
      </c>
      <c r="B782" s="448" t="s">
        <v>3079</v>
      </c>
      <c r="C782" s="433" t="s">
        <v>80</v>
      </c>
      <c r="D782" s="434" t="s">
        <v>3080</v>
      </c>
      <c r="E782" s="445" t="s">
        <v>3081</v>
      </c>
      <c r="F782" s="446" t="s">
        <v>815</v>
      </c>
      <c r="G782" s="275" t="s">
        <v>2841</v>
      </c>
      <c r="H782" s="275">
        <v>22.0</v>
      </c>
      <c r="I782" s="275"/>
      <c r="J782" s="34" t="s">
        <v>2541</v>
      </c>
      <c r="K782" s="34" t="s">
        <v>2839</v>
      </c>
      <c r="L782" s="12" t="s">
        <v>2906</v>
      </c>
      <c r="M782" s="19"/>
      <c r="N782" s="19"/>
      <c r="O782" s="34" t="s">
        <v>2845</v>
      </c>
      <c r="P782" s="385" t="s">
        <v>1432</v>
      </c>
      <c r="Q782" s="143" t="s">
        <v>2869</v>
      </c>
    </row>
    <row r="783" hidden="1">
      <c r="A783" s="272">
        <v>75.0</v>
      </c>
      <c r="B783" s="448" t="s">
        <v>3082</v>
      </c>
      <c r="C783" s="433" t="s">
        <v>80</v>
      </c>
      <c r="D783" s="434" t="s">
        <v>3083</v>
      </c>
      <c r="E783" s="445" t="s">
        <v>3084</v>
      </c>
      <c r="F783" s="446" t="s">
        <v>815</v>
      </c>
      <c r="G783" s="275" t="s">
        <v>2841</v>
      </c>
      <c r="H783" s="275">
        <v>22.0</v>
      </c>
      <c r="I783" s="275"/>
      <c r="J783" s="34" t="s">
        <v>2541</v>
      </c>
      <c r="K783" s="34" t="s">
        <v>2839</v>
      </c>
      <c r="L783" s="12" t="s">
        <v>2906</v>
      </c>
      <c r="M783" s="19"/>
      <c r="N783" s="19"/>
      <c r="O783" s="34" t="s">
        <v>2845</v>
      </c>
      <c r="P783" s="385" t="s">
        <v>1432</v>
      </c>
      <c r="Q783" s="143" t="s">
        <v>2869</v>
      </c>
    </row>
    <row r="784" hidden="1">
      <c r="A784" s="272">
        <v>76.0</v>
      </c>
      <c r="B784" s="432" t="s">
        <v>3085</v>
      </c>
      <c r="C784" s="433" t="s">
        <v>80</v>
      </c>
      <c r="D784" s="434" t="s">
        <v>3086</v>
      </c>
      <c r="E784" s="434" t="s">
        <v>3087</v>
      </c>
      <c r="F784" s="446" t="s">
        <v>3088</v>
      </c>
      <c r="G784" s="275" t="s">
        <v>2841</v>
      </c>
      <c r="H784" s="275">
        <v>22.0</v>
      </c>
      <c r="I784" s="275"/>
      <c r="J784" s="34" t="s">
        <v>2065</v>
      </c>
      <c r="K784" s="34" t="s">
        <v>2836</v>
      </c>
      <c r="L784" s="12" t="s">
        <v>374</v>
      </c>
      <c r="M784" s="19"/>
      <c r="N784" s="19"/>
      <c r="O784" s="34" t="s">
        <v>2859</v>
      </c>
      <c r="P784" s="385" t="s">
        <v>1432</v>
      </c>
      <c r="Q784" s="143" t="s">
        <v>2860</v>
      </c>
    </row>
    <row r="785" hidden="1">
      <c r="A785" s="272">
        <v>77.0</v>
      </c>
      <c r="B785" s="432" t="s">
        <v>3089</v>
      </c>
      <c r="C785" s="433" t="s">
        <v>80</v>
      </c>
      <c r="D785" s="434" t="s">
        <v>3090</v>
      </c>
      <c r="E785" s="445" t="s">
        <v>3091</v>
      </c>
      <c r="F785" s="446" t="s">
        <v>3092</v>
      </c>
      <c r="G785" s="283" t="s">
        <v>2938</v>
      </c>
      <c r="H785" s="275">
        <v>22.0</v>
      </c>
      <c r="I785" s="275"/>
      <c r="J785" s="34" t="s">
        <v>2065</v>
      </c>
      <c r="K785" s="19"/>
      <c r="L785" s="12" t="s">
        <v>374</v>
      </c>
      <c r="M785" s="19"/>
      <c r="N785" s="19"/>
      <c r="O785" s="34" t="s">
        <v>2843</v>
      </c>
      <c r="P785" s="385" t="s">
        <v>1432</v>
      </c>
      <c r="Q785" s="143" t="s">
        <v>2864</v>
      </c>
    </row>
    <row r="786" hidden="1">
      <c r="A786" s="272">
        <v>78.0</v>
      </c>
      <c r="B786" s="432" t="s">
        <v>3093</v>
      </c>
      <c r="C786" s="433" t="s">
        <v>80</v>
      </c>
      <c r="D786" s="434" t="s">
        <v>3094</v>
      </c>
      <c r="E786" s="445" t="s">
        <v>3095</v>
      </c>
      <c r="F786" s="446" t="s">
        <v>3092</v>
      </c>
      <c r="G786" s="283" t="s">
        <v>2938</v>
      </c>
      <c r="H786" s="275">
        <v>22.0</v>
      </c>
      <c r="I786" s="275"/>
      <c r="J786" s="34" t="s">
        <v>2065</v>
      </c>
      <c r="K786" s="19"/>
      <c r="L786" s="12" t="s">
        <v>374</v>
      </c>
      <c r="M786" s="19"/>
      <c r="N786" s="19"/>
      <c r="O786" s="34" t="s">
        <v>2843</v>
      </c>
      <c r="P786" s="385" t="s">
        <v>1432</v>
      </c>
      <c r="Q786" s="143" t="s">
        <v>2864</v>
      </c>
    </row>
    <row r="787" hidden="1">
      <c r="A787" s="272">
        <v>79.0</v>
      </c>
      <c r="B787" s="432" t="s">
        <v>3096</v>
      </c>
      <c r="C787" s="433" t="s">
        <v>80</v>
      </c>
      <c r="D787" s="434" t="s">
        <v>3097</v>
      </c>
      <c r="E787" s="434" t="s">
        <v>3098</v>
      </c>
      <c r="F787" s="446" t="s">
        <v>356</v>
      </c>
      <c r="G787" s="275" t="s">
        <v>2843</v>
      </c>
      <c r="H787" s="275">
        <v>23.0</v>
      </c>
      <c r="I787" s="275"/>
      <c r="J787" s="34" t="s">
        <v>3099</v>
      </c>
      <c r="K787" s="19"/>
      <c r="L787" s="12" t="s">
        <v>51</v>
      </c>
      <c r="M787" s="19"/>
      <c r="N787" s="19"/>
      <c r="O787" s="34" t="s">
        <v>2843</v>
      </c>
      <c r="P787" s="385" t="s">
        <v>1432</v>
      </c>
      <c r="Q787" s="143" t="s">
        <v>2864</v>
      </c>
    </row>
    <row r="788" hidden="1">
      <c r="A788" s="272">
        <v>80.0</v>
      </c>
      <c r="B788" s="432" t="s">
        <v>3100</v>
      </c>
      <c r="C788" s="433" t="s">
        <v>80</v>
      </c>
      <c r="D788" s="434" t="s">
        <v>3101</v>
      </c>
      <c r="E788" s="434" t="s">
        <v>3102</v>
      </c>
      <c r="F788" s="446" t="s">
        <v>3103</v>
      </c>
      <c r="G788" s="275" t="s">
        <v>2843</v>
      </c>
      <c r="H788" s="275">
        <v>23.0</v>
      </c>
      <c r="I788" s="275"/>
      <c r="J788" s="34" t="s">
        <v>2541</v>
      </c>
      <c r="K788" s="275" t="s">
        <v>2843</v>
      </c>
      <c r="L788" s="12" t="s">
        <v>2906</v>
      </c>
      <c r="M788" s="19"/>
      <c r="N788" s="19"/>
      <c r="O788" s="34" t="s">
        <v>2859</v>
      </c>
      <c r="P788" s="385" t="s">
        <v>1432</v>
      </c>
      <c r="Q788" s="143" t="s">
        <v>2869</v>
      </c>
    </row>
    <row r="789" hidden="1">
      <c r="A789" s="272">
        <v>81.0</v>
      </c>
      <c r="B789" s="432" t="s">
        <v>3104</v>
      </c>
      <c r="C789" s="433" t="s">
        <v>80</v>
      </c>
      <c r="D789" s="434" t="s">
        <v>3105</v>
      </c>
      <c r="E789" s="434" t="s">
        <v>3106</v>
      </c>
      <c r="F789" s="446" t="s">
        <v>1602</v>
      </c>
      <c r="G789" s="275" t="s">
        <v>3107</v>
      </c>
      <c r="H789" s="275">
        <v>24.0</v>
      </c>
      <c r="I789" s="275" t="s">
        <v>2890</v>
      </c>
      <c r="J789" s="19"/>
      <c r="K789" s="19"/>
      <c r="L789" s="12" t="s">
        <v>374</v>
      </c>
      <c r="M789" s="19"/>
      <c r="N789" s="19"/>
      <c r="O789" s="148">
        <v>45910.0</v>
      </c>
      <c r="P789" s="407" t="s">
        <v>2560</v>
      </c>
      <c r="Q789" s="143" t="s">
        <v>2860</v>
      </c>
    </row>
    <row r="790" hidden="1">
      <c r="A790" s="272">
        <v>82.0</v>
      </c>
      <c r="B790" s="432" t="s">
        <v>3108</v>
      </c>
      <c r="C790" s="433" t="s">
        <v>80</v>
      </c>
      <c r="D790" s="434" t="s">
        <v>3109</v>
      </c>
      <c r="E790" s="434" t="s">
        <v>3110</v>
      </c>
      <c r="F790" s="446" t="s">
        <v>356</v>
      </c>
      <c r="G790" s="275" t="s">
        <v>3107</v>
      </c>
      <c r="H790" s="275">
        <v>24.0</v>
      </c>
      <c r="I790" s="275"/>
      <c r="J790" s="34" t="s">
        <v>2995</v>
      </c>
      <c r="K790" s="34" t="s">
        <v>2938</v>
      </c>
      <c r="L790" s="12" t="s">
        <v>51</v>
      </c>
      <c r="M790" s="19"/>
      <c r="N790" s="19"/>
      <c r="O790" s="148">
        <v>45879.0</v>
      </c>
      <c r="P790" s="385" t="s">
        <v>1432</v>
      </c>
      <c r="Q790" s="143" t="s">
        <v>2864</v>
      </c>
    </row>
    <row r="791" hidden="1">
      <c r="A791" s="272">
        <v>83.0</v>
      </c>
      <c r="B791" s="432" t="s">
        <v>3111</v>
      </c>
      <c r="C791" s="433" t="s">
        <v>80</v>
      </c>
      <c r="D791" s="434" t="s">
        <v>3112</v>
      </c>
      <c r="E791" s="434" t="s">
        <v>3113</v>
      </c>
      <c r="F791" s="446" t="s">
        <v>356</v>
      </c>
      <c r="G791" s="275" t="s">
        <v>3107</v>
      </c>
      <c r="H791" s="275">
        <v>23.0</v>
      </c>
      <c r="I791" s="275"/>
      <c r="J791" s="34" t="s">
        <v>2995</v>
      </c>
      <c r="K791" s="34" t="s">
        <v>2845</v>
      </c>
      <c r="L791" s="12" t="s">
        <v>51</v>
      </c>
      <c r="M791" s="19"/>
      <c r="N791" s="19"/>
      <c r="O791" s="460">
        <v>45940.0</v>
      </c>
      <c r="P791" s="385" t="s">
        <v>1432</v>
      </c>
      <c r="Q791" s="143" t="s">
        <v>2869</v>
      </c>
    </row>
    <row r="792" hidden="1">
      <c r="A792" s="272">
        <v>84.0</v>
      </c>
      <c r="B792" s="432" t="s">
        <v>3114</v>
      </c>
      <c r="C792" s="433" t="s">
        <v>80</v>
      </c>
      <c r="D792" s="434" t="s">
        <v>3115</v>
      </c>
      <c r="E792" s="434" t="s">
        <v>3116</v>
      </c>
      <c r="F792" s="446" t="s">
        <v>1263</v>
      </c>
      <c r="G792" s="275" t="s">
        <v>2843</v>
      </c>
      <c r="H792" s="140"/>
      <c r="I792" s="14"/>
      <c r="J792" s="34" t="s">
        <v>2995</v>
      </c>
      <c r="K792" s="19"/>
      <c r="L792" s="12" t="s">
        <v>374</v>
      </c>
      <c r="M792" s="19"/>
      <c r="N792" s="19"/>
      <c r="O792" s="71">
        <v>45757.0</v>
      </c>
      <c r="P792" s="407" t="s">
        <v>1798</v>
      </c>
      <c r="Q792" s="143" t="s">
        <v>2860</v>
      </c>
    </row>
    <row r="793" hidden="1">
      <c r="A793" s="272">
        <v>85.0</v>
      </c>
      <c r="B793" s="432" t="s">
        <v>3117</v>
      </c>
      <c r="C793" s="433" t="s">
        <v>80</v>
      </c>
      <c r="D793" s="434" t="s">
        <v>3118</v>
      </c>
      <c r="E793" s="445" t="s">
        <v>3119</v>
      </c>
      <c r="F793" s="446" t="s">
        <v>1316</v>
      </c>
      <c r="G793" s="275" t="s">
        <v>3107</v>
      </c>
      <c r="H793" s="275">
        <v>24.0</v>
      </c>
      <c r="I793" s="275"/>
      <c r="J793" s="34" t="s">
        <v>2541</v>
      </c>
      <c r="K793" s="34" t="s">
        <v>2836</v>
      </c>
      <c r="L793" s="12" t="s">
        <v>2906</v>
      </c>
      <c r="M793" s="19"/>
      <c r="N793" s="34" t="s">
        <v>2843</v>
      </c>
      <c r="O793" s="19"/>
      <c r="P793" s="385" t="s">
        <v>1432</v>
      </c>
      <c r="Q793" s="143" t="s">
        <v>2860</v>
      </c>
    </row>
    <row r="794" hidden="1">
      <c r="A794" s="272">
        <v>86.0</v>
      </c>
      <c r="B794" s="432" t="s">
        <v>3120</v>
      </c>
      <c r="C794" s="433" t="s">
        <v>80</v>
      </c>
      <c r="D794" s="434" t="s">
        <v>3121</v>
      </c>
      <c r="E794" s="445" t="s">
        <v>3122</v>
      </c>
      <c r="F794" s="446" t="s">
        <v>1316</v>
      </c>
      <c r="G794" s="275" t="s">
        <v>3107</v>
      </c>
      <c r="H794" s="275">
        <v>24.0</v>
      </c>
      <c r="I794" s="275"/>
      <c r="J794" s="34" t="s">
        <v>2541</v>
      </c>
      <c r="K794" s="34" t="s">
        <v>2836</v>
      </c>
      <c r="L794" s="12" t="s">
        <v>2906</v>
      </c>
      <c r="M794" s="19"/>
      <c r="N794" s="34" t="s">
        <v>2843</v>
      </c>
      <c r="O794" s="19"/>
      <c r="P794" s="385" t="s">
        <v>1432</v>
      </c>
      <c r="Q794" s="143" t="s">
        <v>2860</v>
      </c>
    </row>
    <row r="795" hidden="1">
      <c r="A795" s="272">
        <v>87.0</v>
      </c>
      <c r="B795" s="432" t="s">
        <v>3123</v>
      </c>
      <c r="C795" s="433" t="s">
        <v>80</v>
      </c>
      <c r="D795" s="434" t="s">
        <v>3124</v>
      </c>
      <c r="E795" s="434" t="s">
        <v>3125</v>
      </c>
      <c r="F795" s="446" t="s">
        <v>2209</v>
      </c>
      <c r="G795" s="275" t="s">
        <v>2843</v>
      </c>
      <c r="H795" s="275">
        <v>23.0</v>
      </c>
      <c r="I795" s="275"/>
      <c r="J795" s="34" t="s">
        <v>374</v>
      </c>
      <c r="K795" s="34" t="s">
        <v>2938</v>
      </c>
      <c r="L795" s="12" t="s">
        <v>374</v>
      </c>
      <c r="M795" s="19"/>
      <c r="N795" s="19"/>
      <c r="O795" s="34" t="s">
        <v>2943</v>
      </c>
      <c r="P795" s="385" t="s">
        <v>1432</v>
      </c>
      <c r="Q795" s="143" t="s">
        <v>2860</v>
      </c>
    </row>
    <row r="796" hidden="1">
      <c r="A796" s="272">
        <v>88.0</v>
      </c>
      <c r="B796" s="432" t="s">
        <v>3126</v>
      </c>
      <c r="C796" s="433" t="s">
        <v>80</v>
      </c>
      <c r="D796" s="434" t="s">
        <v>3127</v>
      </c>
      <c r="E796" s="445" t="s">
        <v>3128</v>
      </c>
      <c r="F796" s="446" t="s">
        <v>2466</v>
      </c>
      <c r="G796" s="275" t="s">
        <v>2843</v>
      </c>
      <c r="H796" s="275">
        <v>23.0</v>
      </c>
      <c r="I796" s="275" t="s">
        <v>2890</v>
      </c>
      <c r="J796" s="34" t="s">
        <v>2541</v>
      </c>
      <c r="K796" s="34" t="s">
        <v>2845</v>
      </c>
      <c r="L796" s="12" t="s">
        <v>374</v>
      </c>
      <c r="M796" s="19"/>
      <c r="N796" s="34" t="s">
        <v>2984</v>
      </c>
      <c r="O796" s="34" t="s">
        <v>3129</v>
      </c>
      <c r="P796" s="407" t="s">
        <v>1798</v>
      </c>
      <c r="Q796" s="143" t="s">
        <v>2864</v>
      </c>
    </row>
    <row r="797" hidden="1">
      <c r="A797" s="272">
        <v>89.0</v>
      </c>
      <c r="B797" s="432" t="s">
        <v>3130</v>
      </c>
      <c r="C797" s="433" t="s">
        <v>80</v>
      </c>
      <c r="D797" s="434" t="s">
        <v>3131</v>
      </c>
      <c r="E797" s="445" t="s">
        <v>3132</v>
      </c>
      <c r="F797" s="446" t="s">
        <v>2466</v>
      </c>
      <c r="G797" s="275" t="s">
        <v>2843</v>
      </c>
      <c r="H797" s="275">
        <v>23.0</v>
      </c>
      <c r="I797" s="275" t="s">
        <v>2890</v>
      </c>
      <c r="J797" s="34" t="s">
        <v>2541</v>
      </c>
      <c r="K797" s="34" t="s">
        <v>2845</v>
      </c>
      <c r="L797" s="12" t="s">
        <v>374</v>
      </c>
      <c r="M797" s="19"/>
      <c r="N797" s="34" t="s">
        <v>2984</v>
      </c>
      <c r="O797" s="34" t="s">
        <v>3129</v>
      </c>
      <c r="P797" s="407" t="s">
        <v>1798</v>
      </c>
      <c r="Q797" s="143" t="s">
        <v>2864</v>
      </c>
    </row>
    <row r="798" hidden="1">
      <c r="A798" s="339" t="s">
        <v>3133</v>
      </c>
    </row>
    <row r="799" hidden="1">
      <c r="A799" s="427" t="s">
        <v>47</v>
      </c>
      <c r="B799" s="423" t="s">
        <v>7</v>
      </c>
      <c r="C799" s="424" t="s">
        <v>9</v>
      </c>
      <c r="D799" s="424" t="s">
        <v>10</v>
      </c>
      <c r="E799" s="424" t="s">
        <v>11</v>
      </c>
      <c r="F799" s="424" t="s">
        <v>12</v>
      </c>
      <c r="G799" s="424" t="s">
        <v>2378</v>
      </c>
      <c r="H799" s="424" t="s">
        <v>2681</v>
      </c>
      <c r="I799" s="428" t="s">
        <v>2847</v>
      </c>
      <c r="J799" s="8" t="s">
        <v>14</v>
      </c>
      <c r="K799" s="9" t="s">
        <v>16</v>
      </c>
      <c r="L799" s="9" t="s">
        <v>35</v>
      </c>
      <c r="M799" s="9" t="s">
        <v>18</v>
      </c>
      <c r="N799" s="9" t="s">
        <v>19</v>
      </c>
      <c r="O799" s="9" t="s">
        <v>20</v>
      </c>
      <c r="P799" s="9" t="s">
        <v>21</v>
      </c>
      <c r="Q799" s="9" t="s">
        <v>2848</v>
      </c>
    </row>
    <row r="800" hidden="1">
      <c r="A800" s="12">
        <v>1.0</v>
      </c>
      <c r="B800" s="470" t="s">
        <v>3134</v>
      </c>
      <c r="C800" s="471" t="s">
        <v>1185</v>
      </c>
      <c r="D800" s="471" t="s">
        <v>3135</v>
      </c>
      <c r="E800" s="471" t="s">
        <v>3136</v>
      </c>
      <c r="F800" s="471" t="s">
        <v>25</v>
      </c>
      <c r="G800" s="472" t="s">
        <v>2859</v>
      </c>
      <c r="H800" s="12">
        <v>21.0</v>
      </c>
      <c r="I800" s="12"/>
      <c r="J800" s="34" t="s">
        <v>2065</v>
      </c>
      <c r="K800" s="34" t="s">
        <v>87</v>
      </c>
      <c r="L800" s="12" t="s">
        <v>51</v>
      </c>
      <c r="M800" s="19"/>
      <c r="N800" s="19"/>
      <c r="O800" s="148">
        <v>45879.0</v>
      </c>
      <c r="P800" s="385" t="s">
        <v>1432</v>
      </c>
      <c r="Q800" s="143" t="s">
        <v>3137</v>
      </c>
    </row>
    <row r="801" hidden="1">
      <c r="A801" s="12">
        <v>2.0</v>
      </c>
      <c r="B801" s="470" t="s">
        <v>3138</v>
      </c>
      <c r="C801" s="471" t="s">
        <v>1185</v>
      </c>
      <c r="D801" s="471" t="s">
        <v>3139</v>
      </c>
      <c r="E801" s="471" t="s">
        <v>3140</v>
      </c>
      <c r="F801" s="471" t="s">
        <v>25</v>
      </c>
      <c r="G801" s="472" t="s">
        <v>2859</v>
      </c>
      <c r="H801" s="12">
        <v>21.0</v>
      </c>
      <c r="I801" s="12"/>
      <c r="J801" s="34" t="s">
        <v>2065</v>
      </c>
      <c r="K801" s="148">
        <v>45726.0</v>
      </c>
      <c r="L801" s="12" t="s">
        <v>51</v>
      </c>
      <c r="M801" s="19"/>
      <c r="N801" s="19"/>
      <c r="O801" s="148">
        <v>45879.0</v>
      </c>
      <c r="P801" s="385" t="s">
        <v>1432</v>
      </c>
      <c r="Q801" s="143" t="s">
        <v>3137</v>
      </c>
    </row>
    <row r="802" hidden="1">
      <c r="A802" s="12">
        <v>3.0</v>
      </c>
      <c r="B802" s="470" t="s">
        <v>3141</v>
      </c>
      <c r="C802" s="471" t="s">
        <v>1185</v>
      </c>
      <c r="D802" s="471" t="s">
        <v>3142</v>
      </c>
      <c r="E802" s="471" t="s">
        <v>3143</v>
      </c>
      <c r="F802" s="471" t="s">
        <v>25</v>
      </c>
      <c r="G802" s="472" t="s">
        <v>2859</v>
      </c>
      <c r="H802" s="12">
        <v>21.0</v>
      </c>
      <c r="I802" s="12"/>
      <c r="J802" s="34" t="s">
        <v>2065</v>
      </c>
      <c r="K802" s="148">
        <v>45726.0</v>
      </c>
      <c r="L802" s="12" t="s">
        <v>51</v>
      </c>
      <c r="M802" s="19"/>
      <c r="N802" s="19"/>
      <c r="O802" s="148">
        <v>45879.0</v>
      </c>
      <c r="P802" s="385" t="s">
        <v>1432</v>
      </c>
      <c r="Q802" s="143" t="s">
        <v>3137</v>
      </c>
    </row>
    <row r="803" hidden="1">
      <c r="A803" s="12">
        <v>4.0</v>
      </c>
      <c r="B803" s="470" t="s">
        <v>3144</v>
      </c>
      <c r="C803" s="471" t="s">
        <v>80</v>
      </c>
      <c r="D803" s="471" t="s">
        <v>3145</v>
      </c>
      <c r="E803" s="471" t="s">
        <v>3146</v>
      </c>
      <c r="F803" s="471" t="s">
        <v>356</v>
      </c>
      <c r="G803" s="472" t="s">
        <v>2859</v>
      </c>
      <c r="H803" s="12">
        <v>21.0</v>
      </c>
      <c r="I803" s="12"/>
      <c r="J803" s="34" t="s">
        <v>51</v>
      </c>
      <c r="K803" s="148">
        <v>45726.0</v>
      </c>
      <c r="L803" s="12" t="s">
        <v>51</v>
      </c>
      <c r="M803" s="19"/>
      <c r="N803" s="19"/>
      <c r="O803" s="148">
        <v>45848.0</v>
      </c>
      <c r="P803" s="385" t="s">
        <v>1432</v>
      </c>
      <c r="Q803" s="143" t="s">
        <v>3137</v>
      </c>
    </row>
    <row r="804" hidden="1">
      <c r="A804" s="12">
        <v>5.0</v>
      </c>
      <c r="B804" s="470" t="s">
        <v>3147</v>
      </c>
      <c r="C804" s="471" t="s">
        <v>1058</v>
      </c>
      <c r="D804" s="471" t="s">
        <v>3148</v>
      </c>
      <c r="E804" s="473" t="s">
        <v>3149</v>
      </c>
      <c r="F804" s="471" t="s">
        <v>3150</v>
      </c>
      <c r="G804" s="472" t="s">
        <v>2859</v>
      </c>
      <c r="H804" s="12">
        <v>21.0</v>
      </c>
      <c r="I804" s="12"/>
      <c r="J804" s="34" t="s">
        <v>2541</v>
      </c>
      <c r="K804" s="34" t="s">
        <v>2836</v>
      </c>
      <c r="L804" s="12" t="s">
        <v>100</v>
      </c>
      <c r="M804" s="19"/>
      <c r="N804" s="19"/>
      <c r="O804" s="71">
        <v>45698.0</v>
      </c>
      <c r="P804" s="385" t="s">
        <v>1432</v>
      </c>
      <c r="Q804" s="143" t="s">
        <v>2864</v>
      </c>
    </row>
    <row r="805" hidden="1">
      <c r="A805" s="12">
        <v>6.0</v>
      </c>
      <c r="B805" s="470" t="s">
        <v>3151</v>
      </c>
      <c r="C805" s="471" t="s">
        <v>1058</v>
      </c>
      <c r="D805" s="471" t="s">
        <v>3152</v>
      </c>
      <c r="E805" s="473" t="s">
        <v>3153</v>
      </c>
      <c r="F805" s="471" t="s">
        <v>3150</v>
      </c>
      <c r="G805" s="472" t="s">
        <v>2859</v>
      </c>
      <c r="H805" s="12">
        <v>21.0</v>
      </c>
      <c r="I805" s="12"/>
      <c r="J805" s="34" t="s">
        <v>2541</v>
      </c>
      <c r="K805" s="34" t="s">
        <v>2836</v>
      </c>
      <c r="L805" s="12" t="s">
        <v>100</v>
      </c>
      <c r="M805" s="19"/>
      <c r="N805" s="19"/>
      <c r="O805" s="71">
        <v>45698.0</v>
      </c>
      <c r="P805" s="385" t="s">
        <v>1432</v>
      </c>
      <c r="Q805" s="143" t="s">
        <v>2864</v>
      </c>
    </row>
    <row r="806" hidden="1">
      <c r="A806" s="12">
        <v>7.0</v>
      </c>
      <c r="B806" s="470" t="s">
        <v>3154</v>
      </c>
      <c r="C806" s="471" t="s">
        <v>80</v>
      </c>
      <c r="D806" s="471" t="s">
        <v>3155</v>
      </c>
      <c r="E806" s="473" t="s">
        <v>3156</v>
      </c>
      <c r="F806" s="471" t="s">
        <v>3157</v>
      </c>
      <c r="G806" s="472" t="s">
        <v>2943</v>
      </c>
      <c r="H806" s="12">
        <v>22.0</v>
      </c>
      <c r="I806" s="12"/>
      <c r="J806" s="34" t="s">
        <v>2541</v>
      </c>
      <c r="K806" s="34" t="s">
        <v>2845</v>
      </c>
      <c r="L806" s="12" t="s">
        <v>100</v>
      </c>
      <c r="M806" s="19"/>
      <c r="N806" s="19"/>
      <c r="O806" s="71">
        <v>45757.0</v>
      </c>
      <c r="P806" s="385" t="s">
        <v>1432</v>
      </c>
      <c r="Q806" s="143" t="s">
        <v>2864</v>
      </c>
    </row>
    <row r="807" hidden="1">
      <c r="A807" s="12">
        <v>8.0</v>
      </c>
      <c r="B807" s="470" t="s">
        <v>3158</v>
      </c>
      <c r="C807" s="471" t="s">
        <v>80</v>
      </c>
      <c r="D807" s="471" t="s">
        <v>3159</v>
      </c>
      <c r="E807" s="473" t="s">
        <v>3160</v>
      </c>
      <c r="F807" s="471" t="s">
        <v>3157</v>
      </c>
      <c r="G807" s="472" t="s">
        <v>2943</v>
      </c>
      <c r="H807" s="12">
        <v>22.0</v>
      </c>
      <c r="I807" s="12"/>
      <c r="J807" s="34" t="s">
        <v>2541</v>
      </c>
      <c r="K807" s="34" t="s">
        <v>2845</v>
      </c>
      <c r="L807" s="12" t="s">
        <v>100</v>
      </c>
      <c r="M807" s="19"/>
      <c r="N807" s="19"/>
      <c r="O807" s="71">
        <v>45757.0</v>
      </c>
      <c r="P807" s="385" t="s">
        <v>1432</v>
      </c>
      <c r="Q807" s="143" t="s">
        <v>2864</v>
      </c>
    </row>
    <row r="808" ht="15.0" hidden="1" customHeight="1">
      <c r="A808" s="12">
        <v>9.0</v>
      </c>
      <c r="B808" s="470" t="s">
        <v>3161</v>
      </c>
      <c r="C808" s="471" t="s">
        <v>80</v>
      </c>
      <c r="D808" s="471" t="s">
        <v>3162</v>
      </c>
      <c r="E808" s="471" t="s">
        <v>3163</v>
      </c>
      <c r="F808" s="471" t="s">
        <v>958</v>
      </c>
      <c r="G808" s="474">
        <v>45698.0</v>
      </c>
      <c r="H808" s="12">
        <v>24.0</v>
      </c>
      <c r="I808" s="12"/>
      <c r="J808" s="34" t="s">
        <v>1640</v>
      </c>
      <c r="K808" s="71">
        <v>45909.0</v>
      </c>
      <c r="L808" s="12" t="s">
        <v>3164</v>
      </c>
      <c r="M808" s="19"/>
      <c r="N808" s="19"/>
      <c r="O808" s="475">
        <v>45920.0</v>
      </c>
      <c r="P808" s="385" t="s">
        <v>1432</v>
      </c>
      <c r="Q808" s="143" t="s">
        <v>2860</v>
      </c>
    </row>
    <row r="809" hidden="1">
      <c r="A809" s="12">
        <v>10.0</v>
      </c>
      <c r="B809" s="470" t="s">
        <v>3165</v>
      </c>
      <c r="C809" s="471" t="s">
        <v>80</v>
      </c>
      <c r="D809" s="471" t="s">
        <v>3166</v>
      </c>
      <c r="E809" s="471" t="s">
        <v>3167</v>
      </c>
      <c r="F809" s="471" t="s">
        <v>958</v>
      </c>
      <c r="G809" s="474">
        <v>45698.0</v>
      </c>
      <c r="H809" s="12">
        <v>24.0</v>
      </c>
      <c r="I809" s="12"/>
      <c r="J809" s="34" t="s">
        <v>1640</v>
      </c>
      <c r="K809" s="71">
        <v>45909.0</v>
      </c>
      <c r="L809" s="12" t="s">
        <v>3164</v>
      </c>
      <c r="M809" s="19"/>
      <c r="N809" s="19"/>
      <c r="O809" s="475">
        <v>45920.0</v>
      </c>
      <c r="P809" s="385" t="s">
        <v>1432</v>
      </c>
      <c r="Q809" s="143" t="s">
        <v>2860</v>
      </c>
    </row>
    <row r="810" hidden="1">
      <c r="A810" s="12">
        <v>11.0</v>
      </c>
      <c r="B810" s="470" t="s">
        <v>3168</v>
      </c>
      <c r="C810" s="471" t="s">
        <v>80</v>
      </c>
      <c r="D810" s="471" t="s">
        <v>3169</v>
      </c>
      <c r="E810" s="471" t="s">
        <v>3170</v>
      </c>
      <c r="F810" s="471" t="s">
        <v>958</v>
      </c>
      <c r="G810" s="474">
        <v>45698.0</v>
      </c>
      <c r="H810" s="12">
        <v>24.0</v>
      </c>
      <c r="I810" s="12"/>
      <c r="J810" s="34" t="s">
        <v>1640</v>
      </c>
      <c r="K810" s="71">
        <v>45909.0</v>
      </c>
      <c r="L810" s="12" t="s">
        <v>3164</v>
      </c>
      <c r="M810" s="19"/>
      <c r="N810" s="19"/>
      <c r="O810" s="475">
        <v>45920.0</v>
      </c>
      <c r="P810" s="385" t="s">
        <v>1432</v>
      </c>
      <c r="Q810" s="143" t="s">
        <v>2860</v>
      </c>
    </row>
    <row r="811" hidden="1">
      <c r="A811" s="12">
        <v>12.0</v>
      </c>
      <c r="B811" s="470" t="s">
        <v>3171</v>
      </c>
      <c r="C811" s="471" t="s">
        <v>397</v>
      </c>
      <c r="D811" s="471" t="s">
        <v>3172</v>
      </c>
      <c r="E811" s="471" t="s">
        <v>3173</v>
      </c>
      <c r="F811" s="471" t="s">
        <v>3174</v>
      </c>
      <c r="G811" s="474">
        <v>45698.0</v>
      </c>
      <c r="H811" s="12">
        <v>24.0</v>
      </c>
      <c r="I811" s="12"/>
      <c r="J811" s="34" t="s">
        <v>2541</v>
      </c>
      <c r="K811" s="34" t="s">
        <v>2845</v>
      </c>
      <c r="L811" s="12" t="s">
        <v>100</v>
      </c>
      <c r="M811" s="19"/>
      <c r="N811" s="19"/>
      <c r="O811" s="71">
        <v>45757.0</v>
      </c>
      <c r="P811" s="385" t="s">
        <v>1432</v>
      </c>
      <c r="Q811" s="143" t="s">
        <v>2860</v>
      </c>
    </row>
    <row r="812" hidden="1">
      <c r="A812" s="12">
        <v>13.0</v>
      </c>
      <c r="B812" s="470" t="s">
        <v>3175</v>
      </c>
      <c r="C812" s="471" t="s">
        <v>397</v>
      </c>
      <c r="D812" s="471" t="s">
        <v>3176</v>
      </c>
      <c r="E812" s="471" t="s">
        <v>3177</v>
      </c>
      <c r="F812" s="471" t="s">
        <v>2599</v>
      </c>
      <c r="G812" s="474">
        <v>45698.0</v>
      </c>
      <c r="H812" s="12">
        <v>24.0</v>
      </c>
      <c r="I812" s="12"/>
      <c r="J812" s="34" t="s">
        <v>2541</v>
      </c>
      <c r="K812" s="34" t="s">
        <v>2845</v>
      </c>
      <c r="L812" s="12" t="s">
        <v>100</v>
      </c>
      <c r="M812" s="19"/>
      <c r="N812" s="19"/>
      <c r="O812" s="148">
        <v>45818.0</v>
      </c>
      <c r="P812" s="385" t="s">
        <v>1432</v>
      </c>
      <c r="Q812" s="143" t="s">
        <v>2864</v>
      </c>
    </row>
    <row r="813" hidden="1">
      <c r="A813" s="12">
        <v>14.0</v>
      </c>
      <c r="B813" s="337" t="s">
        <v>3178</v>
      </c>
      <c r="C813" s="471" t="s">
        <v>80</v>
      </c>
      <c r="D813" s="471" t="s">
        <v>3179</v>
      </c>
      <c r="E813" s="471" t="s">
        <v>3180</v>
      </c>
      <c r="F813" s="471" t="s">
        <v>436</v>
      </c>
      <c r="G813" s="474">
        <v>45698.0</v>
      </c>
      <c r="H813" s="12">
        <v>24.0</v>
      </c>
      <c r="I813" s="275" t="s">
        <v>2890</v>
      </c>
      <c r="J813" s="34" t="s">
        <v>2995</v>
      </c>
      <c r="K813" s="34" t="s">
        <v>2845</v>
      </c>
      <c r="L813" s="12" t="s">
        <v>374</v>
      </c>
      <c r="M813" s="19"/>
      <c r="N813" s="19"/>
      <c r="O813" s="19"/>
      <c r="P813" s="385" t="s">
        <v>1432</v>
      </c>
      <c r="Q813" s="143" t="s">
        <v>2864</v>
      </c>
    </row>
    <row r="814" hidden="1">
      <c r="A814" s="12">
        <v>15.0</v>
      </c>
      <c r="B814" s="470" t="s">
        <v>3181</v>
      </c>
      <c r="C814" s="471" t="s">
        <v>80</v>
      </c>
      <c r="D814" s="471" t="s">
        <v>3182</v>
      </c>
      <c r="E814" s="471" t="s">
        <v>3183</v>
      </c>
      <c r="F814" s="471" t="s">
        <v>3184</v>
      </c>
      <c r="G814" s="474">
        <v>45698.0</v>
      </c>
      <c r="H814" s="12">
        <v>24.0</v>
      </c>
      <c r="I814" s="12"/>
      <c r="J814" s="34" t="s">
        <v>2995</v>
      </c>
      <c r="K814" s="34" t="s">
        <v>2845</v>
      </c>
      <c r="L814" s="12" t="s">
        <v>374</v>
      </c>
      <c r="M814" s="19"/>
      <c r="N814" s="19"/>
      <c r="O814" s="148">
        <v>45848.0</v>
      </c>
      <c r="P814" s="385" t="s">
        <v>1432</v>
      </c>
      <c r="Q814" s="143" t="s">
        <v>2864</v>
      </c>
    </row>
    <row r="815" hidden="1">
      <c r="A815" s="12">
        <v>16.0</v>
      </c>
      <c r="B815" s="476" t="s">
        <v>3185</v>
      </c>
      <c r="C815" s="471" t="s">
        <v>80</v>
      </c>
      <c r="D815" s="471" t="s">
        <v>3186</v>
      </c>
      <c r="E815" s="471" t="s">
        <v>3187</v>
      </c>
      <c r="F815" s="471" t="s">
        <v>3188</v>
      </c>
      <c r="G815" s="472" t="s">
        <v>2859</v>
      </c>
      <c r="H815" s="12">
        <v>21.0</v>
      </c>
      <c r="I815" s="275" t="s">
        <v>2890</v>
      </c>
      <c r="J815" s="19"/>
      <c r="K815" s="19"/>
      <c r="L815" s="12" t="s">
        <v>374</v>
      </c>
      <c r="M815" s="19"/>
      <c r="N815" s="19"/>
      <c r="O815" s="34" t="s">
        <v>3189</v>
      </c>
      <c r="P815" s="407" t="s">
        <v>1798</v>
      </c>
      <c r="Q815" s="143" t="s">
        <v>2864</v>
      </c>
    </row>
    <row r="816" hidden="1">
      <c r="A816" s="339" t="s">
        <v>3190</v>
      </c>
    </row>
    <row r="817" hidden="1">
      <c r="A817" s="422" t="s">
        <v>47</v>
      </c>
      <c r="B817" s="423" t="s">
        <v>7</v>
      </c>
      <c r="C817" s="424" t="s">
        <v>9</v>
      </c>
      <c r="D817" s="424" t="s">
        <v>10</v>
      </c>
      <c r="E817" s="424" t="s">
        <v>11</v>
      </c>
      <c r="F817" s="424" t="s">
        <v>12</v>
      </c>
      <c r="G817" s="424" t="s">
        <v>2378</v>
      </c>
      <c r="H817" s="424" t="s">
        <v>2681</v>
      </c>
      <c r="I817" s="428" t="s">
        <v>2847</v>
      </c>
      <c r="J817" s="8" t="s">
        <v>14</v>
      </c>
      <c r="K817" s="9" t="s">
        <v>16</v>
      </c>
      <c r="L817" s="9" t="s">
        <v>35</v>
      </c>
      <c r="M817" s="9" t="s">
        <v>18</v>
      </c>
      <c r="N817" s="9" t="s">
        <v>19</v>
      </c>
      <c r="O817" s="9" t="s">
        <v>20</v>
      </c>
      <c r="P817" s="9" t="s">
        <v>21</v>
      </c>
      <c r="Q817" s="9" t="s">
        <v>2848</v>
      </c>
    </row>
    <row r="818" hidden="1">
      <c r="A818" s="29">
        <v>1.0</v>
      </c>
      <c r="B818" s="26" t="s">
        <v>3191</v>
      </c>
      <c r="C818" s="477" t="s">
        <v>80</v>
      </c>
      <c r="D818" s="29" t="s">
        <v>3192</v>
      </c>
      <c r="E818" s="29" t="s">
        <v>3193</v>
      </c>
      <c r="F818" s="477" t="s">
        <v>3194</v>
      </c>
      <c r="G818" s="29" t="s">
        <v>2943</v>
      </c>
      <c r="H818" s="29">
        <v>18.0</v>
      </c>
      <c r="I818" s="29"/>
      <c r="J818" s="34" t="s">
        <v>2995</v>
      </c>
      <c r="K818" s="34" t="s">
        <v>2845</v>
      </c>
      <c r="L818" s="12" t="s">
        <v>374</v>
      </c>
      <c r="M818" s="19"/>
      <c r="N818" s="19"/>
      <c r="O818" s="148">
        <v>45879.0</v>
      </c>
      <c r="P818" s="385" t="s">
        <v>1432</v>
      </c>
      <c r="Q818" s="143" t="s">
        <v>2860</v>
      </c>
    </row>
    <row r="819" hidden="1">
      <c r="A819" s="29">
        <v>2.0</v>
      </c>
      <c r="B819" s="26" t="s">
        <v>3195</v>
      </c>
      <c r="C819" s="477" t="s">
        <v>80</v>
      </c>
      <c r="D819" s="29" t="s">
        <v>3196</v>
      </c>
      <c r="E819" s="473" t="s">
        <v>3197</v>
      </c>
      <c r="F819" s="477" t="s">
        <v>2599</v>
      </c>
      <c r="G819" s="29" t="s">
        <v>2943</v>
      </c>
      <c r="H819" s="29">
        <v>18.0</v>
      </c>
      <c r="I819" s="275" t="s">
        <v>2890</v>
      </c>
      <c r="J819" s="34" t="s">
        <v>100</v>
      </c>
      <c r="K819" s="148">
        <v>45818.0</v>
      </c>
      <c r="L819" s="12" t="s">
        <v>100</v>
      </c>
      <c r="M819" s="19"/>
      <c r="N819" s="34" t="s">
        <v>3198</v>
      </c>
      <c r="O819" s="34" t="s">
        <v>3189</v>
      </c>
      <c r="P819" s="407" t="s">
        <v>1798</v>
      </c>
      <c r="Q819" s="143" t="s">
        <v>3199</v>
      </c>
    </row>
    <row r="820" hidden="1">
      <c r="A820" s="29">
        <v>3.0</v>
      </c>
      <c r="B820" s="26" t="s">
        <v>3200</v>
      </c>
      <c r="C820" s="477" t="s">
        <v>80</v>
      </c>
      <c r="D820" s="29" t="s">
        <v>3201</v>
      </c>
      <c r="E820" s="473" t="s">
        <v>3202</v>
      </c>
      <c r="F820" s="477" t="s">
        <v>2599</v>
      </c>
      <c r="G820" s="29" t="s">
        <v>2943</v>
      </c>
      <c r="H820" s="29">
        <v>18.0</v>
      </c>
      <c r="I820" s="275" t="s">
        <v>2890</v>
      </c>
      <c r="J820" s="34" t="s">
        <v>100</v>
      </c>
      <c r="K820" s="148">
        <v>45818.0</v>
      </c>
      <c r="L820" s="12" t="s">
        <v>100</v>
      </c>
      <c r="M820" s="19"/>
      <c r="N820" s="34" t="s">
        <v>3198</v>
      </c>
      <c r="O820" s="34" t="s">
        <v>3203</v>
      </c>
      <c r="P820" s="407" t="s">
        <v>1798</v>
      </c>
      <c r="Q820" s="143" t="s">
        <v>3199</v>
      </c>
    </row>
    <row r="821" hidden="1">
      <c r="A821" s="29">
        <v>4.0</v>
      </c>
      <c r="B821" s="26" t="s">
        <v>3204</v>
      </c>
      <c r="C821" s="477" t="s">
        <v>80</v>
      </c>
      <c r="D821" s="29" t="s">
        <v>3205</v>
      </c>
      <c r="E821" s="29" t="s">
        <v>3206</v>
      </c>
      <c r="F821" s="477" t="s">
        <v>172</v>
      </c>
      <c r="G821" s="29" t="s">
        <v>2943</v>
      </c>
      <c r="H821" s="29">
        <v>18.0</v>
      </c>
      <c r="I821" s="275" t="s">
        <v>2890</v>
      </c>
      <c r="J821" s="19"/>
      <c r="K821" s="19"/>
      <c r="L821" s="12" t="s">
        <v>374</v>
      </c>
      <c r="M821" s="19"/>
      <c r="N821" s="19"/>
      <c r="O821" s="34" t="s">
        <v>3207</v>
      </c>
      <c r="P821" s="407" t="s">
        <v>1798</v>
      </c>
      <c r="Q821" s="143" t="s">
        <v>2864</v>
      </c>
    </row>
    <row r="822" hidden="1">
      <c r="A822" s="29">
        <v>5.0</v>
      </c>
      <c r="B822" s="26" t="s">
        <v>3208</v>
      </c>
      <c r="C822" s="477" t="s">
        <v>80</v>
      </c>
      <c r="D822" s="29" t="s">
        <v>3209</v>
      </c>
      <c r="E822" s="473" t="s">
        <v>3210</v>
      </c>
      <c r="F822" s="477" t="s">
        <v>436</v>
      </c>
      <c r="G822" s="425">
        <v>45667.0</v>
      </c>
      <c r="H822" s="29">
        <v>19.0</v>
      </c>
      <c r="I822" s="275" t="s">
        <v>2890</v>
      </c>
      <c r="J822" s="34" t="s">
        <v>100</v>
      </c>
      <c r="K822" s="148">
        <v>45848.0</v>
      </c>
      <c r="L822" s="12" t="s">
        <v>100</v>
      </c>
      <c r="M822" s="19"/>
      <c r="N822" s="34" t="s">
        <v>3198</v>
      </c>
      <c r="O822" s="34" t="s">
        <v>3211</v>
      </c>
      <c r="P822" s="407" t="s">
        <v>1798</v>
      </c>
      <c r="Q822" s="143" t="s">
        <v>2860</v>
      </c>
    </row>
    <row r="823" hidden="1">
      <c r="A823" s="29">
        <v>6.0</v>
      </c>
      <c r="B823" s="26" t="s">
        <v>3212</v>
      </c>
      <c r="C823" s="477" t="s">
        <v>80</v>
      </c>
      <c r="D823" s="29" t="s">
        <v>3213</v>
      </c>
      <c r="E823" s="473" t="s">
        <v>3214</v>
      </c>
      <c r="F823" s="477" t="s">
        <v>436</v>
      </c>
      <c r="G823" s="425">
        <v>45667.0</v>
      </c>
      <c r="H823" s="29">
        <v>19.0</v>
      </c>
      <c r="I823" s="275" t="s">
        <v>2890</v>
      </c>
      <c r="J823" s="34" t="s">
        <v>100</v>
      </c>
      <c r="K823" s="148">
        <v>45848.0</v>
      </c>
      <c r="L823" s="12" t="s">
        <v>100</v>
      </c>
      <c r="M823" s="19"/>
      <c r="N823" s="34" t="s">
        <v>3198</v>
      </c>
      <c r="O823" s="34" t="s">
        <v>3211</v>
      </c>
      <c r="P823" s="385" t="s">
        <v>1432</v>
      </c>
      <c r="Q823" s="143" t="s">
        <v>2860</v>
      </c>
    </row>
    <row r="824" hidden="1">
      <c r="A824" s="29">
        <v>7.0</v>
      </c>
      <c r="B824" s="26" t="s">
        <v>3215</v>
      </c>
      <c r="C824" s="477" t="s">
        <v>938</v>
      </c>
      <c r="D824" s="29" t="s">
        <v>3216</v>
      </c>
      <c r="E824" s="473" t="s">
        <v>3217</v>
      </c>
      <c r="F824" s="477" t="s">
        <v>1836</v>
      </c>
      <c r="G824" s="425">
        <v>45667.0</v>
      </c>
      <c r="H824" s="29">
        <v>19.0</v>
      </c>
      <c r="I824" s="29"/>
      <c r="J824" s="34" t="s">
        <v>2541</v>
      </c>
      <c r="K824" s="34" t="s">
        <v>2898</v>
      </c>
      <c r="L824" s="12" t="s">
        <v>100</v>
      </c>
      <c r="M824" s="19"/>
      <c r="N824" s="19"/>
      <c r="O824" s="148">
        <v>45848.0</v>
      </c>
      <c r="P824" s="385" t="s">
        <v>1432</v>
      </c>
      <c r="Q824" s="143" t="s">
        <v>2864</v>
      </c>
    </row>
    <row r="825" hidden="1">
      <c r="A825" s="29">
        <v>8.0</v>
      </c>
      <c r="B825" s="26" t="s">
        <v>3218</v>
      </c>
      <c r="C825" s="477" t="s">
        <v>938</v>
      </c>
      <c r="D825" s="29" t="s">
        <v>3219</v>
      </c>
      <c r="E825" s="473" t="s">
        <v>3220</v>
      </c>
      <c r="F825" s="477" t="s">
        <v>1836</v>
      </c>
      <c r="G825" s="425">
        <v>45667.0</v>
      </c>
      <c r="H825" s="29">
        <v>19.0</v>
      </c>
      <c r="I825" s="29"/>
      <c r="J825" s="34" t="s">
        <v>2541</v>
      </c>
      <c r="K825" s="34" t="s">
        <v>2898</v>
      </c>
      <c r="L825" s="12" t="s">
        <v>100</v>
      </c>
      <c r="M825" s="19"/>
      <c r="N825" s="19"/>
      <c r="O825" s="148">
        <v>45848.0</v>
      </c>
      <c r="P825" s="385" t="s">
        <v>1432</v>
      </c>
      <c r="Q825" s="143" t="s">
        <v>2864</v>
      </c>
    </row>
    <row r="826" hidden="1">
      <c r="A826" s="29">
        <v>9.0</v>
      </c>
      <c r="B826" s="26" t="s">
        <v>3221</v>
      </c>
      <c r="C826" s="477" t="s">
        <v>397</v>
      </c>
      <c r="D826" s="29" t="s">
        <v>3222</v>
      </c>
      <c r="E826" s="29" t="s">
        <v>3223</v>
      </c>
      <c r="F826" s="477" t="s">
        <v>1199</v>
      </c>
      <c r="G826" s="425">
        <v>45667.0</v>
      </c>
      <c r="H826" s="29">
        <v>19.0</v>
      </c>
      <c r="I826" s="275" t="s">
        <v>2890</v>
      </c>
      <c r="J826" s="34" t="s">
        <v>699</v>
      </c>
      <c r="K826" s="148">
        <v>45848.0</v>
      </c>
      <c r="L826" s="12" t="s">
        <v>100</v>
      </c>
      <c r="M826" s="19"/>
      <c r="N826" s="19"/>
      <c r="O826" s="478">
        <v>45940.0</v>
      </c>
      <c r="P826" s="385" t="s">
        <v>1432</v>
      </c>
      <c r="Q826" s="143" t="s">
        <v>3199</v>
      </c>
    </row>
    <row r="827" hidden="1">
      <c r="A827" s="29">
        <v>10.0</v>
      </c>
      <c r="B827" s="26" t="s">
        <v>3224</v>
      </c>
      <c r="C827" s="477" t="s">
        <v>938</v>
      </c>
      <c r="D827" s="29" t="s">
        <v>3225</v>
      </c>
      <c r="E827" s="473" t="s">
        <v>3226</v>
      </c>
      <c r="F827" s="477" t="s">
        <v>1836</v>
      </c>
      <c r="G827" s="425">
        <v>45726.0</v>
      </c>
      <c r="H827" s="29">
        <v>21.0</v>
      </c>
      <c r="I827" s="275" t="s">
        <v>2890</v>
      </c>
      <c r="J827" s="34" t="s">
        <v>2065</v>
      </c>
      <c r="K827" s="34" t="s">
        <v>2898</v>
      </c>
      <c r="L827" s="12" t="s">
        <v>3227</v>
      </c>
      <c r="M827" s="19"/>
      <c r="N827" s="19"/>
      <c r="O827" s="19"/>
      <c r="P827" s="385" t="s">
        <v>1432</v>
      </c>
      <c r="Q827" s="143" t="s">
        <v>2860</v>
      </c>
    </row>
    <row r="828" hidden="1">
      <c r="A828" s="29">
        <v>11.0</v>
      </c>
      <c r="B828" s="26" t="s">
        <v>3228</v>
      </c>
      <c r="C828" s="477" t="s">
        <v>938</v>
      </c>
      <c r="D828" s="29" t="s">
        <v>3229</v>
      </c>
      <c r="E828" s="473" t="s">
        <v>3230</v>
      </c>
      <c r="F828" s="477" t="s">
        <v>1836</v>
      </c>
      <c r="G828" s="425">
        <v>45726.0</v>
      </c>
      <c r="H828" s="29">
        <v>21.0</v>
      </c>
      <c r="I828" s="479" t="s">
        <v>3231</v>
      </c>
      <c r="J828" s="34" t="s">
        <v>2065</v>
      </c>
      <c r="K828" s="34" t="s">
        <v>2898</v>
      </c>
      <c r="L828" s="12" t="s">
        <v>3227</v>
      </c>
      <c r="M828" s="19"/>
      <c r="N828" s="19"/>
      <c r="O828" s="19"/>
      <c r="P828" s="385" t="s">
        <v>1432</v>
      </c>
      <c r="Q828" s="143" t="s">
        <v>2860</v>
      </c>
    </row>
    <row r="829" hidden="1">
      <c r="A829" s="29">
        <v>12.0</v>
      </c>
      <c r="B829" s="26" t="s">
        <v>3232</v>
      </c>
      <c r="C829" s="477" t="s">
        <v>2307</v>
      </c>
      <c r="D829" s="29" t="s">
        <v>3233</v>
      </c>
      <c r="E829" s="29" t="s">
        <v>3234</v>
      </c>
      <c r="F829" s="477" t="s">
        <v>2599</v>
      </c>
      <c r="G829" s="425">
        <v>45726.0</v>
      </c>
      <c r="H829" s="29">
        <v>21.0</v>
      </c>
      <c r="I829" s="275" t="s">
        <v>2890</v>
      </c>
      <c r="J829" s="34" t="s">
        <v>100</v>
      </c>
      <c r="K829" s="148">
        <v>45879.0</v>
      </c>
      <c r="L829" s="12" t="s">
        <v>100</v>
      </c>
      <c r="M829" s="19"/>
      <c r="N829" s="19"/>
      <c r="O829" s="460">
        <v>45940.0</v>
      </c>
      <c r="P829" s="385" t="s">
        <v>1432</v>
      </c>
      <c r="Q829" s="143" t="s">
        <v>2864</v>
      </c>
    </row>
    <row r="830" hidden="1">
      <c r="A830" s="29">
        <v>13.0</v>
      </c>
      <c r="B830" s="26" t="s">
        <v>3235</v>
      </c>
      <c r="C830" s="477" t="s">
        <v>1078</v>
      </c>
      <c r="D830" s="29" t="s">
        <v>3236</v>
      </c>
      <c r="E830" s="29" t="s">
        <v>3237</v>
      </c>
      <c r="F830" s="477" t="s">
        <v>356</v>
      </c>
      <c r="G830" s="425">
        <v>45698.0</v>
      </c>
      <c r="H830" s="29">
        <v>20.0</v>
      </c>
      <c r="I830" s="29"/>
      <c r="J830" s="34" t="s">
        <v>3238</v>
      </c>
      <c r="K830" s="148">
        <v>45726.0</v>
      </c>
      <c r="L830" s="12" t="s">
        <v>51</v>
      </c>
      <c r="M830" s="19"/>
      <c r="N830" s="19"/>
      <c r="O830" s="148">
        <v>45879.0</v>
      </c>
      <c r="P830" s="385" t="s">
        <v>1432</v>
      </c>
      <c r="Q830" s="143" t="s">
        <v>2860</v>
      </c>
    </row>
    <row r="831" hidden="1">
      <c r="A831" s="29">
        <v>14.0</v>
      </c>
      <c r="B831" s="26" t="s">
        <v>3239</v>
      </c>
      <c r="C831" s="480" t="s">
        <v>3240</v>
      </c>
      <c r="D831" s="29" t="s">
        <v>3241</v>
      </c>
      <c r="E831" s="29" t="s">
        <v>3242</v>
      </c>
      <c r="F831" s="480" t="s">
        <v>3243</v>
      </c>
      <c r="G831" s="425">
        <v>45726.0</v>
      </c>
      <c r="H831" s="29">
        <v>21.0</v>
      </c>
      <c r="I831" s="29"/>
      <c r="J831" s="19"/>
      <c r="K831" s="19"/>
      <c r="L831" s="14"/>
      <c r="M831" s="19"/>
      <c r="N831" s="19"/>
      <c r="O831" s="19"/>
      <c r="P831" s="407" t="s">
        <v>1798</v>
      </c>
      <c r="Q831" s="143" t="s">
        <v>3244</v>
      </c>
    </row>
    <row r="832" hidden="1">
      <c r="A832" s="29">
        <v>15.0</v>
      </c>
      <c r="B832" s="26" t="s">
        <v>3245</v>
      </c>
      <c r="C832" s="480" t="s">
        <v>3240</v>
      </c>
      <c r="D832" s="29" t="s">
        <v>3246</v>
      </c>
      <c r="E832" s="29" t="s">
        <v>3247</v>
      </c>
      <c r="F832" s="480" t="s">
        <v>1674</v>
      </c>
      <c r="G832" s="425">
        <v>45726.0</v>
      </c>
      <c r="H832" s="481">
        <v>21.0</v>
      </c>
      <c r="I832" s="481"/>
      <c r="J832" s="19"/>
      <c r="K832" s="19"/>
      <c r="L832" s="14"/>
      <c r="M832" s="19"/>
      <c r="N832" s="19"/>
      <c r="O832" s="19"/>
      <c r="P832" s="407" t="s">
        <v>1798</v>
      </c>
      <c r="Q832" s="143" t="s">
        <v>292</v>
      </c>
    </row>
    <row r="833" hidden="1">
      <c r="A833" s="29">
        <v>16.0</v>
      </c>
      <c r="B833" s="26" t="s">
        <v>3248</v>
      </c>
      <c r="C833" s="477" t="s">
        <v>80</v>
      </c>
      <c r="D833" s="29" t="s">
        <v>3249</v>
      </c>
      <c r="E833" s="473" t="s">
        <v>3250</v>
      </c>
      <c r="F833" s="480" t="s">
        <v>510</v>
      </c>
      <c r="G833" s="425">
        <v>45757.0</v>
      </c>
      <c r="H833" s="29">
        <v>22.0</v>
      </c>
      <c r="I833" s="275" t="s">
        <v>2890</v>
      </c>
      <c r="J833" s="34" t="s">
        <v>2065</v>
      </c>
      <c r="K833" s="34" t="s">
        <v>87</v>
      </c>
      <c r="L833" s="12" t="s">
        <v>374</v>
      </c>
      <c r="M833" s="19"/>
      <c r="N833" s="19"/>
      <c r="O833" s="478">
        <v>45971.0</v>
      </c>
      <c r="P833" s="385" t="s">
        <v>1432</v>
      </c>
      <c r="Q833" s="143" t="s">
        <v>3199</v>
      </c>
    </row>
    <row r="834" hidden="1">
      <c r="A834" s="29">
        <v>17.0</v>
      </c>
      <c r="B834" s="26" t="s">
        <v>3251</v>
      </c>
      <c r="C834" s="477" t="s">
        <v>80</v>
      </c>
      <c r="D834" s="29" t="s">
        <v>3252</v>
      </c>
      <c r="E834" s="473" t="s">
        <v>3253</v>
      </c>
      <c r="F834" s="480" t="s">
        <v>510</v>
      </c>
      <c r="G834" s="425">
        <v>45757.0</v>
      </c>
      <c r="H834" s="29">
        <v>22.0</v>
      </c>
      <c r="I834" s="479" t="s">
        <v>3043</v>
      </c>
      <c r="J834" s="34" t="s">
        <v>2065</v>
      </c>
      <c r="K834" s="34" t="s">
        <v>87</v>
      </c>
      <c r="L834" s="12" t="s">
        <v>374</v>
      </c>
      <c r="M834" s="19"/>
      <c r="N834" s="19"/>
      <c r="O834" s="478">
        <v>45971.0</v>
      </c>
      <c r="P834" s="385" t="s">
        <v>1432</v>
      </c>
      <c r="Q834" s="143" t="s">
        <v>3199</v>
      </c>
    </row>
    <row r="835" hidden="1">
      <c r="A835" s="29">
        <v>18.0</v>
      </c>
      <c r="B835" s="26" t="s">
        <v>3254</v>
      </c>
      <c r="C835" s="477" t="s">
        <v>2307</v>
      </c>
      <c r="D835" s="29" t="s">
        <v>3255</v>
      </c>
      <c r="E835" s="29" t="s">
        <v>3256</v>
      </c>
      <c r="F835" s="477" t="s">
        <v>2599</v>
      </c>
      <c r="G835" s="425">
        <v>45757.0</v>
      </c>
      <c r="H835" s="29">
        <v>22.0</v>
      </c>
      <c r="I835" s="29"/>
      <c r="J835" s="34" t="s">
        <v>699</v>
      </c>
      <c r="K835" s="71">
        <v>45757.0</v>
      </c>
      <c r="L835" s="12" t="s">
        <v>100</v>
      </c>
      <c r="M835" s="19"/>
      <c r="N835" s="19"/>
      <c r="O835" s="148">
        <v>45848.0</v>
      </c>
      <c r="P835" s="385" t="s">
        <v>1432</v>
      </c>
      <c r="Q835" s="143" t="s">
        <v>2860</v>
      </c>
    </row>
    <row r="836" hidden="1">
      <c r="A836" s="29">
        <v>19.0</v>
      </c>
      <c r="B836" s="26" t="s">
        <v>3257</v>
      </c>
      <c r="C836" s="477" t="s">
        <v>1078</v>
      </c>
      <c r="D836" s="29" t="s">
        <v>3258</v>
      </c>
      <c r="E836" s="29" t="s">
        <v>3259</v>
      </c>
      <c r="F836" s="480" t="s">
        <v>2098</v>
      </c>
      <c r="G836" s="425">
        <v>45726.0</v>
      </c>
      <c r="H836" s="29">
        <v>21.0</v>
      </c>
      <c r="I836" s="29"/>
      <c r="J836" s="34" t="s">
        <v>2065</v>
      </c>
      <c r="K836" s="148">
        <v>45726.0</v>
      </c>
      <c r="L836" s="12" t="s">
        <v>51</v>
      </c>
      <c r="M836" s="19"/>
      <c r="N836" s="19"/>
      <c r="O836" s="460">
        <v>45940.0</v>
      </c>
      <c r="P836" s="385" t="s">
        <v>1432</v>
      </c>
      <c r="Q836" s="143" t="s">
        <v>2864</v>
      </c>
    </row>
    <row r="837" hidden="1">
      <c r="A837" s="29">
        <v>20.0</v>
      </c>
      <c r="B837" s="26" t="s">
        <v>3260</v>
      </c>
      <c r="C837" s="477" t="s">
        <v>1078</v>
      </c>
      <c r="D837" s="29" t="s">
        <v>3261</v>
      </c>
      <c r="E837" s="29" t="s">
        <v>3262</v>
      </c>
      <c r="F837" s="480" t="s">
        <v>2098</v>
      </c>
      <c r="G837" s="425">
        <v>45818.0</v>
      </c>
      <c r="H837" s="29">
        <v>24.0</v>
      </c>
      <c r="I837" s="275" t="s">
        <v>2890</v>
      </c>
      <c r="J837" s="34" t="s">
        <v>2541</v>
      </c>
      <c r="K837" s="148">
        <v>45726.0</v>
      </c>
      <c r="L837" s="12" t="s">
        <v>51</v>
      </c>
      <c r="M837" s="19"/>
      <c r="N837" s="19"/>
      <c r="O837" s="460">
        <v>45940.0</v>
      </c>
      <c r="P837" s="385" t="s">
        <v>1432</v>
      </c>
      <c r="Q837" s="143" t="s">
        <v>3199</v>
      </c>
    </row>
    <row r="838" hidden="1">
      <c r="A838" s="29">
        <v>21.0</v>
      </c>
      <c r="B838" s="26" t="s">
        <v>3263</v>
      </c>
      <c r="C838" s="477" t="s">
        <v>1078</v>
      </c>
      <c r="D838" s="29" t="s">
        <v>3264</v>
      </c>
      <c r="E838" s="29" t="s">
        <v>3265</v>
      </c>
      <c r="F838" s="480" t="s">
        <v>2098</v>
      </c>
      <c r="G838" s="425">
        <v>45726.0</v>
      </c>
      <c r="H838" s="29">
        <v>21.0</v>
      </c>
      <c r="I838" s="29"/>
      <c r="J838" s="34" t="s">
        <v>2541</v>
      </c>
      <c r="K838" s="148">
        <v>45726.0</v>
      </c>
      <c r="L838" s="12" t="s">
        <v>51</v>
      </c>
      <c r="M838" s="19"/>
      <c r="N838" s="19"/>
      <c r="O838" s="148">
        <v>45879.0</v>
      </c>
      <c r="P838" s="385" t="s">
        <v>1432</v>
      </c>
      <c r="Q838" s="143" t="s">
        <v>2864</v>
      </c>
    </row>
    <row r="839" hidden="1">
      <c r="A839" s="29">
        <v>22.0</v>
      </c>
      <c r="B839" s="26" t="s">
        <v>3266</v>
      </c>
      <c r="C839" s="477" t="s">
        <v>1078</v>
      </c>
      <c r="D839" s="29" t="s">
        <v>3267</v>
      </c>
      <c r="E839" s="29" t="s">
        <v>3268</v>
      </c>
      <c r="F839" s="480" t="s">
        <v>2098</v>
      </c>
      <c r="G839" s="425">
        <v>45818.0</v>
      </c>
      <c r="H839" s="29">
        <v>24.0</v>
      </c>
      <c r="I839" s="29"/>
      <c r="J839" s="34" t="s">
        <v>2541</v>
      </c>
      <c r="K839" s="148">
        <v>45726.0</v>
      </c>
      <c r="L839" s="12" t="s">
        <v>51</v>
      </c>
      <c r="M839" s="19"/>
      <c r="N839" s="19"/>
      <c r="O839" s="148">
        <v>45879.0</v>
      </c>
      <c r="P839" s="385" t="s">
        <v>1432</v>
      </c>
      <c r="Q839" s="143" t="s">
        <v>3199</v>
      </c>
    </row>
    <row r="840" hidden="1">
      <c r="A840" s="339" t="s">
        <v>3269</v>
      </c>
    </row>
    <row r="841" hidden="1">
      <c r="A841" s="427" t="s">
        <v>47</v>
      </c>
      <c r="B841" s="482" t="s">
        <v>7</v>
      </c>
      <c r="C841" s="424" t="s">
        <v>9</v>
      </c>
      <c r="D841" s="424" t="s">
        <v>10</v>
      </c>
      <c r="E841" s="424" t="s">
        <v>11</v>
      </c>
      <c r="F841" s="424" t="s">
        <v>12</v>
      </c>
      <c r="G841" s="424" t="s">
        <v>2378</v>
      </c>
      <c r="H841" s="424" t="s">
        <v>2681</v>
      </c>
      <c r="I841" s="428" t="s">
        <v>2847</v>
      </c>
      <c r="J841" s="8" t="s">
        <v>14</v>
      </c>
      <c r="K841" s="9" t="s">
        <v>16</v>
      </c>
      <c r="L841" s="9" t="s">
        <v>35</v>
      </c>
      <c r="M841" s="9" t="s">
        <v>18</v>
      </c>
      <c r="N841" s="9" t="s">
        <v>19</v>
      </c>
      <c r="O841" s="9" t="s">
        <v>20</v>
      </c>
      <c r="P841" s="9" t="s">
        <v>21</v>
      </c>
      <c r="Q841" s="9" t="s">
        <v>2848</v>
      </c>
      <c r="R841" s="140"/>
      <c r="S841" s="140"/>
      <c r="T841" s="140"/>
      <c r="U841" s="140"/>
      <c r="V841" s="140"/>
      <c r="W841" s="140"/>
      <c r="X841" s="140"/>
      <c r="Y841" s="140"/>
      <c r="Z841" s="140"/>
      <c r="AA841" s="140"/>
      <c r="AB841" s="140"/>
      <c r="AC841" s="140"/>
      <c r="AD841" s="140"/>
      <c r="AE841" s="140"/>
      <c r="AF841" s="140"/>
    </row>
    <row r="842" hidden="1">
      <c r="A842" s="29">
        <v>1.0</v>
      </c>
      <c r="B842" s="26" t="s">
        <v>3270</v>
      </c>
      <c r="C842" s="327" t="s">
        <v>938</v>
      </c>
      <c r="D842" s="33" t="s">
        <v>3271</v>
      </c>
      <c r="E842" s="473" t="s">
        <v>3272</v>
      </c>
      <c r="F842" s="342" t="s">
        <v>1836</v>
      </c>
      <c r="G842" s="390">
        <v>45787.0</v>
      </c>
      <c r="H842" s="33">
        <v>20.0</v>
      </c>
      <c r="I842" s="342" t="s">
        <v>2890</v>
      </c>
      <c r="J842" s="34" t="s">
        <v>2065</v>
      </c>
      <c r="K842" s="148">
        <v>45757.0</v>
      </c>
      <c r="L842" s="12" t="s">
        <v>374</v>
      </c>
      <c r="M842" s="19"/>
      <c r="N842" s="19"/>
      <c r="O842" s="34" t="s">
        <v>3273</v>
      </c>
      <c r="P842" s="385" t="s">
        <v>1432</v>
      </c>
    </row>
    <row r="843" hidden="1">
      <c r="A843" s="29">
        <v>2.0</v>
      </c>
      <c r="B843" s="26" t="s">
        <v>3274</v>
      </c>
      <c r="C843" s="327" t="s">
        <v>938</v>
      </c>
      <c r="D843" s="33" t="s">
        <v>3275</v>
      </c>
      <c r="E843" s="473" t="s">
        <v>3276</v>
      </c>
      <c r="F843" s="342" t="s">
        <v>1836</v>
      </c>
      <c r="G843" s="390">
        <v>45787.0</v>
      </c>
      <c r="H843" s="33">
        <v>20.0</v>
      </c>
      <c r="I843" s="342" t="s">
        <v>2890</v>
      </c>
      <c r="J843" s="34" t="s">
        <v>2065</v>
      </c>
      <c r="K843" s="148">
        <v>45757.0</v>
      </c>
      <c r="L843" s="12" t="s">
        <v>374</v>
      </c>
      <c r="M843" s="19"/>
      <c r="N843" s="19"/>
      <c r="O843" s="34" t="s">
        <v>3273</v>
      </c>
      <c r="P843" s="385" t="s">
        <v>1432</v>
      </c>
    </row>
    <row r="844" hidden="1">
      <c r="A844" s="406">
        <v>3.0</v>
      </c>
      <c r="B844" s="483" t="s">
        <v>3277</v>
      </c>
      <c r="C844" s="484" t="s">
        <v>3278</v>
      </c>
      <c r="D844" s="485" t="s">
        <v>3279</v>
      </c>
      <c r="E844" s="485" t="s">
        <v>3280</v>
      </c>
      <c r="F844" s="486" t="s">
        <v>2098</v>
      </c>
      <c r="G844" s="487">
        <v>45818.0</v>
      </c>
      <c r="H844" s="485">
        <v>21.0</v>
      </c>
      <c r="I844" s="485"/>
      <c r="J844" s="412"/>
      <c r="K844" s="412"/>
      <c r="L844" s="411"/>
      <c r="M844" s="412"/>
      <c r="N844" s="412"/>
      <c r="O844" s="412"/>
      <c r="P844" s="407" t="s">
        <v>1798</v>
      </c>
      <c r="Q844" s="405"/>
      <c r="R844" s="405"/>
      <c r="S844" s="405"/>
      <c r="T844" s="405"/>
      <c r="U844" s="405"/>
      <c r="V844" s="405"/>
      <c r="W844" s="405"/>
      <c r="X844" s="405"/>
      <c r="Y844" s="405"/>
      <c r="Z844" s="405"/>
      <c r="AA844" s="405"/>
      <c r="AB844" s="405"/>
      <c r="AC844" s="405"/>
      <c r="AD844" s="405"/>
      <c r="AE844" s="405"/>
      <c r="AF844" s="405"/>
    </row>
    <row r="845" hidden="1">
      <c r="A845" s="29">
        <v>4.0</v>
      </c>
      <c r="B845" s="26" t="s">
        <v>3281</v>
      </c>
      <c r="C845" s="320" t="s">
        <v>80</v>
      </c>
      <c r="D845" s="33" t="s">
        <v>3282</v>
      </c>
      <c r="E845" s="33" t="s">
        <v>3283</v>
      </c>
      <c r="F845" s="342" t="s">
        <v>356</v>
      </c>
      <c r="G845" s="390">
        <v>45787.0</v>
      </c>
      <c r="H845" s="33">
        <v>20.0</v>
      </c>
      <c r="I845" s="33"/>
      <c r="J845" s="34" t="s">
        <v>2541</v>
      </c>
      <c r="K845" s="148">
        <v>45726.0</v>
      </c>
      <c r="L845" s="12" t="s">
        <v>51</v>
      </c>
      <c r="M845" s="19"/>
      <c r="N845" s="19"/>
      <c r="O845" s="148">
        <v>45818.0</v>
      </c>
      <c r="P845" s="385" t="s">
        <v>1432</v>
      </c>
      <c r="Q845" s="143" t="s">
        <v>3284</v>
      </c>
    </row>
    <row r="846" hidden="1">
      <c r="A846" s="29">
        <v>5.0</v>
      </c>
      <c r="B846" s="26" t="s">
        <v>3285</v>
      </c>
      <c r="C846" s="320" t="s">
        <v>80</v>
      </c>
      <c r="D846" s="33" t="s">
        <v>3286</v>
      </c>
      <c r="E846" s="473" t="s">
        <v>3287</v>
      </c>
      <c r="F846" s="342" t="s">
        <v>3288</v>
      </c>
      <c r="G846" s="390">
        <v>45787.0</v>
      </c>
      <c r="H846" s="33">
        <v>20.0</v>
      </c>
      <c r="I846" s="33"/>
      <c r="J846" s="34" t="s">
        <v>2541</v>
      </c>
      <c r="K846" s="148">
        <v>45757.0</v>
      </c>
      <c r="L846" s="12" t="s">
        <v>236</v>
      </c>
      <c r="M846" s="19"/>
      <c r="N846" s="19"/>
      <c r="O846" s="148">
        <v>45879.0</v>
      </c>
      <c r="P846" s="385" t="s">
        <v>1432</v>
      </c>
    </row>
    <row r="847" hidden="1">
      <c r="A847" s="29">
        <v>6.0</v>
      </c>
      <c r="B847" s="26" t="s">
        <v>3289</v>
      </c>
      <c r="C847" s="320" t="s">
        <v>80</v>
      </c>
      <c r="D847" s="33" t="s">
        <v>3290</v>
      </c>
      <c r="E847" s="473" t="s">
        <v>3291</v>
      </c>
      <c r="F847" s="342" t="s">
        <v>3288</v>
      </c>
      <c r="G847" s="390">
        <v>45787.0</v>
      </c>
      <c r="H847" s="33">
        <v>20.0</v>
      </c>
      <c r="I847" s="33"/>
      <c r="J847" s="34" t="s">
        <v>2541</v>
      </c>
      <c r="K847" s="148">
        <v>45757.0</v>
      </c>
      <c r="L847" s="12" t="s">
        <v>236</v>
      </c>
      <c r="M847" s="19"/>
      <c r="N847" s="19"/>
      <c r="O847" s="148">
        <v>45879.0</v>
      </c>
      <c r="P847" s="385" t="s">
        <v>1432</v>
      </c>
    </row>
    <row r="848" hidden="1">
      <c r="A848" s="29">
        <v>7.0</v>
      </c>
      <c r="B848" s="395" t="s">
        <v>3292</v>
      </c>
      <c r="C848" s="320" t="s">
        <v>80</v>
      </c>
      <c r="D848" s="33" t="s">
        <v>3293</v>
      </c>
      <c r="E848" s="488" t="s">
        <v>3294</v>
      </c>
      <c r="F848" s="342" t="s">
        <v>3295</v>
      </c>
      <c r="G848" s="390">
        <v>45757.0</v>
      </c>
      <c r="H848" s="33">
        <v>19.0</v>
      </c>
      <c r="I848" s="342" t="s">
        <v>2890</v>
      </c>
      <c r="J848" s="34" t="s">
        <v>100</v>
      </c>
      <c r="K848" s="34" t="s">
        <v>3296</v>
      </c>
      <c r="L848" s="12" t="s">
        <v>100</v>
      </c>
      <c r="M848" s="19"/>
      <c r="N848" s="19"/>
      <c r="O848" s="34" t="s">
        <v>3297</v>
      </c>
      <c r="P848" s="385" t="s">
        <v>1432</v>
      </c>
    </row>
    <row r="849" hidden="1">
      <c r="A849" s="29">
        <v>8.0</v>
      </c>
      <c r="B849" s="26" t="s">
        <v>3298</v>
      </c>
      <c r="C849" s="320" t="s">
        <v>1078</v>
      </c>
      <c r="D849" s="33" t="s">
        <v>3299</v>
      </c>
      <c r="E849" s="33" t="s">
        <v>3300</v>
      </c>
      <c r="F849" s="342" t="s">
        <v>3301</v>
      </c>
      <c r="G849" s="390">
        <v>45787.0</v>
      </c>
      <c r="H849" s="33">
        <v>20.0</v>
      </c>
      <c r="I849" s="342" t="s">
        <v>2890</v>
      </c>
      <c r="J849" s="34" t="s">
        <v>2065</v>
      </c>
      <c r="K849" s="19"/>
      <c r="L849" s="12" t="s">
        <v>374</v>
      </c>
      <c r="M849" s="19"/>
      <c r="N849" s="19"/>
      <c r="O849" s="34" t="s">
        <v>3302</v>
      </c>
      <c r="P849" s="385" t="s">
        <v>1432</v>
      </c>
      <c r="Q849" s="143" t="s">
        <v>3284</v>
      </c>
    </row>
    <row r="850" hidden="1">
      <c r="A850" s="29">
        <v>9.0</v>
      </c>
      <c r="B850" s="26" t="s">
        <v>3303</v>
      </c>
      <c r="C850" s="320" t="s">
        <v>1078</v>
      </c>
      <c r="D850" s="33" t="s">
        <v>3304</v>
      </c>
      <c r="E850" s="33" t="s">
        <v>3305</v>
      </c>
      <c r="F850" s="342" t="s">
        <v>3306</v>
      </c>
      <c r="G850" s="390">
        <v>45757.0</v>
      </c>
      <c r="H850" s="33">
        <v>19.0</v>
      </c>
      <c r="I850" s="342" t="s">
        <v>2890</v>
      </c>
      <c r="J850" s="34" t="s">
        <v>2541</v>
      </c>
      <c r="K850" s="148">
        <v>45757.0</v>
      </c>
      <c r="L850" s="12" t="s">
        <v>374</v>
      </c>
      <c r="M850" s="19"/>
      <c r="N850" s="19"/>
      <c r="O850" s="34" t="s">
        <v>3273</v>
      </c>
      <c r="P850" s="385" t="s">
        <v>1432</v>
      </c>
      <c r="Q850" s="143" t="s">
        <v>3284</v>
      </c>
    </row>
    <row r="851" hidden="1">
      <c r="A851" s="29">
        <v>10.0</v>
      </c>
      <c r="B851" s="26" t="s">
        <v>3307</v>
      </c>
      <c r="C851" s="320" t="s">
        <v>80</v>
      </c>
      <c r="D851" s="33" t="s">
        <v>3308</v>
      </c>
      <c r="E851" s="473" t="s">
        <v>3309</v>
      </c>
      <c r="F851" s="342" t="s">
        <v>3310</v>
      </c>
      <c r="G851" s="390">
        <v>45787.0</v>
      </c>
      <c r="H851" s="33">
        <v>20.0</v>
      </c>
      <c r="I851" s="342" t="s">
        <v>2890</v>
      </c>
      <c r="J851" s="34" t="s">
        <v>100</v>
      </c>
      <c r="K851" s="148">
        <v>45818.0</v>
      </c>
      <c r="L851" s="12" t="s">
        <v>100</v>
      </c>
      <c r="M851" s="19"/>
      <c r="N851" s="19"/>
      <c r="O851" s="19"/>
      <c r="P851" s="385" t="s">
        <v>1432</v>
      </c>
    </row>
    <row r="852" hidden="1">
      <c r="A852" s="29">
        <v>11.0</v>
      </c>
      <c r="B852" s="26" t="s">
        <v>3311</v>
      </c>
      <c r="C852" s="320" t="s">
        <v>80</v>
      </c>
      <c r="D852" s="33" t="s">
        <v>3312</v>
      </c>
      <c r="E852" s="473" t="s">
        <v>3313</v>
      </c>
      <c r="F852" s="342" t="s">
        <v>3042</v>
      </c>
      <c r="G852" s="390">
        <v>45787.0</v>
      </c>
      <c r="H852" s="33">
        <v>20.0</v>
      </c>
      <c r="I852" s="342" t="s">
        <v>2890</v>
      </c>
      <c r="J852" s="34" t="s">
        <v>100</v>
      </c>
      <c r="K852" s="148">
        <v>45818.0</v>
      </c>
      <c r="L852" s="12" t="s">
        <v>100</v>
      </c>
      <c r="M852" s="19"/>
      <c r="N852" s="19"/>
      <c r="O852" s="19"/>
      <c r="P852" s="385" t="s">
        <v>1432</v>
      </c>
    </row>
    <row r="853" hidden="1">
      <c r="A853" s="29">
        <v>12.0</v>
      </c>
      <c r="B853" s="26" t="s">
        <v>3314</v>
      </c>
      <c r="C853" s="320" t="s">
        <v>80</v>
      </c>
      <c r="D853" s="33" t="s">
        <v>3315</v>
      </c>
      <c r="E853" s="473" t="s">
        <v>3316</v>
      </c>
      <c r="F853" s="342" t="s">
        <v>1316</v>
      </c>
      <c r="G853" s="390">
        <v>45787.0</v>
      </c>
      <c r="H853" s="33">
        <v>20.0</v>
      </c>
      <c r="I853" s="342" t="s">
        <v>2890</v>
      </c>
      <c r="J853" s="34" t="s">
        <v>2541</v>
      </c>
      <c r="K853" s="148">
        <v>45757.0</v>
      </c>
      <c r="L853" s="12" t="s">
        <v>374</v>
      </c>
      <c r="M853" s="19"/>
      <c r="N853" s="19"/>
      <c r="O853" s="34" t="s">
        <v>3211</v>
      </c>
      <c r="P853" s="385" t="s">
        <v>1432</v>
      </c>
    </row>
    <row r="854" hidden="1">
      <c r="A854" s="29">
        <v>13.0</v>
      </c>
      <c r="B854" s="26" t="s">
        <v>3317</v>
      </c>
      <c r="C854" s="320" t="s">
        <v>80</v>
      </c>
      <c r="D854" s="33" t="s">
        <v>3318</v>
      </c>
      <c r="E854" s="473" t="s">
        <v>3319</v>
      </c>
      <c r="F854" s="342" t="s">
        <v>1316</v>
      </c>
      <c r="G854" s="390">
        <v>45787.0</v>
      </c>
      <c r="H854" s="33">
        <v>20.0</v>
      </c>
      <c r="I854" s="342" t="s">
        <v>2890</v>
      </c>
      <c r="J854" s="34" t="s">
        <v>2541</v>
      </c>
      <c r="K854" s="148">
        <v>45757.0</v>
      </c>
      <c r="L854" s="12" t="s">
        <v>374</v>
      </c>
      <c r="M854" s="19"/>
      <c r="N854" s="19"/>
      <c r="O854" s="34" t="s">
        <v>3211</v>
      </c>
      <c r="P854" s="385" t="s">
        <v>1432</v>
      </c>
    </row>
    <row r="855" hidden="1">
      <c r="A855" s="29">
        <v>14.0</v>
      </c>
      <c r="B855" s="26" t="s">
        <v>3320</v>
      </c>
      <c r="C855" s="489" t="s">
        <v>2403</v>
      </c>
      <c r="D855" s="33" t="s">
        <v>3321</v>
      </c>
      <c r="E855" s="33" t="s">
        <v>3322</v>
      </c>
      <c r="F855" s="342" t="s">
        <v>2599</v>
      </c>
      <c r="G855" s="390">
        <v>45818.0</v>
      </c>
      <c r="H855" s="33">
        <v>21.0</v>
      </c>
      <c r="I855" s="342" t="s">
        <v>2890</v>
      </c>
      <c r="J855" s="34" t="s">
        <v>100</v>
      </c>
      <c r="K855" s="148">
        <v>45879.0</v>
      </c>
      <c r="L855" s="12" t="s">
        <v>100</v>
      </c>
      <c r="M855" s="19"/>
      <c r="N855" s="19"/>
      <c r="O855" s="34" t="s">
        <v>3189</v>
      </c>
      <c r="P855" s="385" t="s">
        <v>1432</v>
      </c>
    </row>
    <row r="856" hidden="1">
      <c r="A856" s="29">
        <v>15.0</v>
      </c>
      <c r="B856" s="26" t="s">
        <v>3323</v>
      </c>
      <c r="C856" s="320" t="s">
        <v>1078</v>
      </c>
      <c r="D856" s="33" t="s">
        <v>3324</v>
      </c>
      <c r="E856" s="33" t="s">
        <v>3325</v>
      </c>
      <c r="F856" s="342" t="s">
        <v>2315</v>
      </c>
      <c r="G856" s="390">
        <v>45848.0</v>
      </c>
      <c r="H856" s="33">
        <v>22.0</v>
      </c>
      <c r="I856" s="342" t="s">
        <v>2890</v>
      </c>
      <c r="J856" s="34" t="s">
        <v>2541</v>
      </c>
      <c r="K856" s="19"/>
      <c r="L856" s="12" t="s">
        <v>51</v>
      </c>
      <c r="M856" s="19"/>
      <c r="N856" s="19"/>
      <c r="O856" s="460">
        <v>45940.0</v>
      </c>
      <c r="P856" s="385" t="s">
        <v>1432</v>
      </c>
      <c r="Q856" s="143" t="s">
        <v>3284</v>
      </c>
    </row>
    <row r="857" hidden="1">
      <c r="A857" s="29">
        <v>16.0</v>
      </c>
      <c r="B857" s="26" t="s">
        <v>3326</v>
      </c>
      <c r="C857" s="327" t="s">
        <v>688</v>
      </c>
      <c r="D857" s="33" t="s">
        <v>3327</v>
      </c>
      <c r="E857" s="33" t="s">
        <v>3328</v>
      </c>
      <c r="F857" s="342" t="s">
        <v>3329</v>
      </c>
      <c r="G857" s="390">
        <v>45848.0</v>
      </c>
      <c r="H857" s="33">
        <v>22.0</v>
      </c>
      <c r="I857" s="342" t="s">
        <v>2890</v>
      </c>
      <c r="J857" s="34" t="s">
        <v>100</v>
      </c>
      <c r="K857" s="148">
        <v>45910.0</v>
      </c>
      <c r="L857" s="12" t="s">
        <v>100</v>
      </c>
      <c r="M857" s="19"/>
      <c r="N857" s="19"/>
      <c r="O857" s="34" t="s">
        <v>3330</v>
      </c>
      <c r="P857" s="407" t="s">
        <v>2560</v>
      </c>
    </row>
    <row r="858" hidden="1">
      <c r="A858" s="29">
        <v>17.0</v>
      </c>
      <c r="B858" s="26" t="s">
        <v>3331</v>
      </c>
      <c r="C858" s="320" t="s">
        <v>80</v>
      </c>
      <c r="D858" s="33" t="s">
        <v>3332</v>
      </c>
      <c r="E858" s="473" t="s">
        <v>3333</v>
      </c>
      <c r="F858" s="342" t="s">
        <v>436</v>
      </c>
      <c r="G858" s="390">
        <v>45848.0</v>
      </c>
      <c r="H858" s="33">
        <v>22.0</v>
      </c>
      <c r="I858" s="342" t="s">
        <v>2890</v>
      </c>
      <c r="J858" s="34" t="s">
        <v>2541</v>
      </c>
      <c r="K858" s="148">
        <v>45848.0</v>
      </c>
      <c r="L858" s="12" t="s">
        <v>100</v>
      </c>
      <c r="M858" s="19"/>
      <c r="N858" s="19"/>
      <c r="O858" s="34" t="s">
        <v>3334</v>
      </c>
      <c r="P858" s="385" t="s">
        <v>1432</v>
      </c>
    </row>
    <row r="859" hidden="1">
      <c r="A859" s="29">
        <v>18.0</v>
      </c>
      <c r="B859" s="26" t="s">
        <v>3335</v>
      </c>
      <c r="C859" s="320" t="s">
        <v>80</v>
      </c>
      <c r="D859" s="33" t="s">
        <v>3336</v>
      </c>
      <c r="E859" s="473" t="s">
        <v>3337</v>
      </c>
      <c r="F859" s="342" t="s">
        <v>436</v>
      </c>
      <c r="G859" s="390">
        <v>45848.0</v>
      </c>
      <c r="H859" s="33">
        <v>22.0</v>
      </c>
      <c r="I859" s="342" t="s">
        <v>2890</v>
      </c>
      <c r="J859" s="34" t="s">
        <v>2541</v>
      </c>
      <c r="K859" s="148">
        <v>45848.0</v>
      </c>
      <c r="L859" s="12" t="s">
        <v>100</v>
      </c>
      <c r="M859" s="19"/>
      <c r="N859" s="19"/>
      <c r="O859" s="34" t="s">
        <v>3334</v>
      </c>
      <c r="P859" s="385" t="s">
        <v>1432</v>
      </c>
    </row>
    <row r="860" hidden="1">
      <c r="A860" s="29">
        <v>19.0</v>
      </c>
      <c r="B860" s="26" t="s">
        <v>3338</v>
      </c>
      <c r="C860" s="320" t="s">
        <v>80</v>
      </c>
      <c r="D860" s="33" t="s">
        <v>3339</v>
      </c>
      <c r="E860" s="33" t="s">
        <v>3340</v>
      </c>
      <c r="F860" s="342" t="s">
        <v>356</v>
      </c>
      <c r="G860" s="390">
        <v>45848.0</v>
      </c>
      <c r="H860" s="33">
        <v>22.0</v>
      </c>
      <c r="I860" s="33"/>
      <c r="J860" s="34" t="s">
        <v>2065</v>
      </c>
      <c r="K860" s="148">
        <v>45818.0</v>
      </c>
      <c r="L860" s="12" t="s">
        <v>51</v>
      </c>
      <c r="M860" s="19"/>
      <c r="N860" s="19"/>
      <c r="O860" s="460">
        <v>45940.0</v>
      </c>
      <c r="P860" s="385" t="s">
        <v>1432</v>
      </c>
      <c r="Q860" s="143" t="s">
        <v>3284</v>
      </c>
    </row>
    <row r="861" hidden="1">
      <c r="A861" s="29">
        <v>20.0</v>
      </c>
      <c r="B861" s="26" t="s">
        <v>3341</v>
      </c>
      <c r="C861" s="320" t="s">
        <v>80</v>
      </c>
      <c r="D861" s="33" t="s">
        <v>3342</v>
      </c>
      <c r="E861" s="33" t="s">
        <v>3343</v>
      </c>
      <c r="F861" s="342" t="s">
        <v>356</v>
      </c>
      <c r="G861" s="390">
        <v>45848.0</v>
      </c>
      <c r="H861" s="33">
        <v>22.0</v>
      </c>
      <c r="I861" s="342" t="s">
        <v>2890</v>
      </c>
      <c r="J861" s="34" t="s">
        <v>2541</v>
      </c>
      <c r="K861" s="148">
        <v>45848.0</v>
      </c>
      <c r="L861" s="12" t="s">
        <v>51</v>
      </c>
      <c r="M861" s="19"/>
      <c r="N861" s="19"/>
      <c r="O861" s="478">
        <v>45971.0</v>
      </c>
      <c r="P861" s="385" t="s">
        <v>1432</v>
      </c>
      <c r="Q861" s="143" t="s">
        <v>3284</v>
      </c>
    </row>
    <row r="862" hidden="1">
      <c r="A862" s="29">
        <v>21.0</v>
      </c>
      <c r="B862" s="26" t="s">
        <v>3344</v>
      </c>
      <c r="C862" s="320" t="s">
        <v>80</v>
      </c>
      <c r="D862" s="33" t="s">
        <v>3345</v>
      </c>
      <c r="E862" s="33" t="s">
        <v>3346</v>
      </c>
      <c r="F862" s="342" t="s">
        <v>579</v>
      </c>
      <c r="G862" s="390">
        <v>45848.0</v>
      </c>
      <c r="H862" s="33">
        <v>22.0</v>
      </c>
      <c r="I862" s="342" t="s">
        <v>2890</v>
      </c>
      <c r="J862" s="34" t="s">
        <v>2541</v>
      </c>
      <c r="K862" s="101" t="s">
        <v>114</v>
      </c>
      <c r="L862" s="12" t="s">
        <v>374</v>
      </c>
      <c r="M862" s="19"/>
      <c r="N862" s="19"/>
      <c r="O862" s="34" t="s">
        <v>3207</v>
      </c>
      <c r="P862" s="385" t="s">
        <v>1432</v>
      </c>
      <c r="Q862" s="143" t="s">
        <v>3284</v>
      </c>
    </row>
    <row r="863" hidden="1">
      <c r="A863" s="29">
        <v>22.0</v>
      </c>
      <c r="B863" s="26" t="s">
        <v>3347</v>
      </c>
      <c r="C863" s="320" t="s">
        <v>80</v>
      </c>
      <c r="D863" s="33" t="s">
        <v>3348</v>
      </c>
      <c r="E863" s="490" t="s">
        <v>3349</v>
      </c>
      <c r="F863" s="342" t="s">
        <v>436</v>
      </c>
      <c r="G863" s="390">
        <v>45848.0</v>
      </c>
      <c r="H863" s="33">
        <v>22.0</v>
      </c>
      <c r="I863" s="342" t="s">
        <v>2890</v>
      </c>
      <c r="J863" s="34" t="s">
        <v>374</v>
      </c>
      <c r="K863" s="19"/>
      <c r="L863" s="12" t="s">
        <v>374</v>
      </c>
      <c r="M863" s="19"/>
      <c r="N863" s="19"/>
      <c r="O863" s="478">
        <v>46002.0</v>
      </c>
      <c r="P863" s="385" t="s">
        <v>1432</v>
      </c>
    </row>
    <row r="864" hidden="1">
      <c r="A864" s="29">
        <v>23.0</v>
      </c>
      <c r="B864" s="26" t="s">
        <v>3350</v>
      </c>
      <c r="C864" s="320" t="s">
        <v>80</v>
      </c>
      <c r="D864" s="33" t="s">
        <v>3351</v>
      </c>
      <c r="E864" s="490" t="s">
        <v>3352</v>
      </c>
      <c r="F864" s="342" t="s">
        <v>436</v>
      </c>
      <c r="G864" s="390">
        <v>45848.0</v>
      </c>
      <c r="H864" s="33">
        <v>22.0</v>
      </c>
      <c r="I864" s="342" t="s">
        <v>2890</v>
      </c>
      <c r="J864" s="34" t="s">
        <v>374</v>
      </c>
      <c r="K864" s="19"/>
      <c r="L864" s="12" t="s">
        <v>374</v>
      </c>
      <c r="M864" s="19"/>
      <c r="N864" s="19"/>
      <c r="O864" s="478">
        <v>46002.0</v>
      </c>
      <c r="P864" s="385" t="s">
        <v>1432</v>
      </c>
    </row>
    <row r="865" hidden="1">
      <c r="A865" s="29">
        <v>24.0</v>
      </c>
      <c r="B865" s="26" t="s">
        <v>3353</v>
      </c>
      <c r="C865" s="320" t="s">
        <v>80</v>
      </c>
      <c r="D865" s="33" t="s">
        <v>3354</v>
      </c>
      <c r="E865" s="490" t="s">
        <v>3355</v>
      </c>
      <c r="F865" s="342" t="s">
        <v>436</v>
      </c>
      <c r="G865" s="390">
        <v>45848.0</v>
      </c>
      <c r="H865" s="33">
        <v>22.0</v>
      </c>
      <c r="I865" s="342" t="s">
        <v>2890</v>
      </c>
      <c r="J865" s="34" t="s">
        <v>374</v>
      </c>
      <c r="K865" s="19"/>
      <c r="L865" s="12" t="s">
        <v>374</v>
      </c>
      <c r="M865" s="19"/>
      <c r="N865" s="19"/>
      <c r="O865" s="478">
        <v>46002.0</v>
      </c>
      <c r="P865" s="385" t="s">
        <v>1432</v>
      </c>
    </row>
    <row r="866" hidden="1">
      <c r="A866" s="29">
        <v>25.0</v>
      </c>
      <c r="B866" s="26" t="s">
        <v>3356</v>
      </c>
      <c r="C866" s="320" t="s">
        <v>80</v>
      </c>
      <c r="D866" s="33" t="s">
        <v>3357</v>
      </c>
      <c r="E866" s="33" t="s">
        <v>3358</v>
      </c>
      <c r="F866" s="342" t="s">
        <v>3359</v>
      </c>
      <c r="G866" s="390">
        <v>45726.0</v>
      </c>
      <c r="H866" s="33">
        <v>18.0</v>
      </c>
      <c r="I866" s="33"/>
      <c r="J866" s="34" t="s">
        <v>51</v>
      </c>
      <c r="K866" s="148">
        <v>45787.0</v>
      </c>
      <c r="L866" s="12" t="s">
        <v>374</v>
      </c>
      <c r="M866" s="19"/>
      <c r="N866" s="19"/>
      <c r="O866" s="148">
        <v>45818.0</v>
      </c>
      <c r="P866" s="385" t="s">
        <v>1432</v>
      </c>
      <c r="Q866" s="143" t="s">
        <v>3360</v>
      </c>
    </row>
    <row r="867" hidden="1">
      <c r="A867" s="29">
        <v>26.0</v>
      </c>
      <c r="B867" s="26" t="s">
        <v>3361</v>
      </c>
      <c r="C867" s="489" t="s">
        <v>2307</v>
      </c>
      <c r="D867" s="33" t="s">
        <v>3362</v>
      </c>
      <c r="E867" s="33" t="s">
        <v>3363</v>
      </c>
      <c r="F867" s="342" t="s">
        <v>2599</v>
      </c>
      <c r="G867" s="390">
        <v>45757.0</v>
      </c>
      <c r="H867" s="33">
        <v>19.0</v>
      </c>
      <c r="I867" s="342" t="s">
        <v>2890</v>
      </c>
      <c r="J867" s="34" t="s">
        <v>100</v>
      </c>
      <c r="K867" s="148">
        <v>45910.0</v>
      </c>
      <c r="L867" s="12" t="s">
        <v>100</v>
      </c>
      <c r="M867" s="19"/>
      <c r="N867" s="19"/>
      <c r="O867" s="34" t="s">
        <v>3189</v>
      </c>
      <c r="P867" s="385" t="s">
        <v>1432</v>
      </c>
    </row>
    <row r="868" hidden="1">
      <c r="A868" s="29">
        <v>27.0</v>
      </c>
      <c r="B868" s="26" t="s">
        <v>3364</v>
      </c>
      <c r="C868" s="320" t="s">
        <v>80</v>
      </c>
      <c r="D868" s="33" t="s">
        <v>3365</v>
      </c>
      <c r="E868" s="33" t="s">
        <v>3366</v>
      </c>
      <c r="F868" s="342" t="s">
        <v>1439</v>
      </c>
      <c r="G868" s="390">
        <v>45848.0</v>
      </c>
      <c r="H868" s="33">
        <v>22.0</v>
      </c>
      <c r="I868" s="342" t="s">
        <v>2890</v>
      </c>
      <c r="J868" s="34" t="s">
        <v>2541</v>
      </c>
      <c r="K868" s="101" t="s">
        <v>114</v>
      </c>
      <c r="L868" s="12" t="s">
        <v>374</v>
      </c>
      <c r="M868" s="19"/>
      <c r="N868" s="19"/>
      <c r="O868" s="19"/>
      <c r="P868" s="407" t="s">
        <v>2560</v>
      </c>
      <c r="Q868" s="143" t="s">
        <v>3360</v>
      </c>
    </row>
    <row r="869" hidden="1">
      <c r="A869" s="29">
        <v>28.0</v>
      </c>
      <c r="B869" s="26" t="s">
        <v>3367</v>
      </c>
      <c r="C869" s="327" t="s">
        <v>1058</v>
      </c>
      <c r="D869" s="33" t="s">
        <v>3368</v>
      </c>
      <c r="E869" s="473" t="s">
        <v>3369</v>
      </c>
      <c r="F869" s="342" t="s">
        <v>3370</v>
      </c>
      <c r="G869" s="390">
        <v>45818.0</v>
      </c>
      <c r="H869" s="33">
        <v>21.0</v>
      </c>
      <c r="I869" s="342" t="s">
        <v>2890</v>
      </c>
      <c r="J869" s="34" t="s">
        <v>100</v>
      </c>
      <c r="K869" s="148">
        <v>45818.0</v>
      </c>
      <c r="L869" s="12" t="s">
        <v>100</v>
      </c>
      <c r="M869" s="19"/>
      <c r="N869" s="19"/>
      <c r="O869" s="478">
        <v>45971.0</v>
      </c>
      <c r="P869" s="407" t="s">
        <v>2560</v>
      </c>
    </row>
    <row r="870" hidden="1">
      <c r="A870" s="29">
        <v>29.0</v>
      </c>
      <c r="B870" s="26" t="s">
        <v>3371</v>
      </c>
      <c r="C870" s="327" t="s">
        <v>1058</v>
      </c>
      <c r="D870" s="33" t="s">
        <v>3372</v>
      </c>
      <c r="E870" s="473" t="s">
        <v>3373</v>
      </c>
      <c r="F870" s="342" t="s">
        <v>3370</v>
      </c>
      <c r="G870" s="390">
        <v>45818.0</v>
      </c>
      <c r="H870" s="33">
        <v>21.0</v>
      </c>
      <c r="I870" s="342" t="s">
        <v>2890</v>
      </c>
      <c r="J870" s="34" t="s">
        <v>100</v>
      </c>
      <c r="K870" s="148">
        <v>45818.0</v>
      </c>
      <c r="L870" s="12" t="s">
        <v>100</v>
      </c>
      <c r="M870" s="19"/>
      <c r="N870" s="19"/>
      <c r="O870" s="478">
        <v>45971.0</v>
      </c>
      <c r="P870" s="407" t="s">
        <v>2560</v>
      </c>
    </row>
    <row r="871" hidden="1">
      <c r="A871" s="29">
        <v>30.0</v>
      </c>
      <c r="B871" s="26" t="s">
        <v>3374</v>
      </c>
      <c r="C871" s="320" t="s">
        <v>80</v>
      </c>
      <c r="D871" s="33" t="s">
        <v>3375</v>
      </c>
      <c r="E871" s="473" t="s">
        <v>3376</v>
      </c>
      <c r="F871" s="342" t="s">
        <v>2599</v>
      </c>
      <c r="G871" s="390">
        <v>45848.0</v>
      </c>
      <c r="H871" s="33">
        <v>22.0</v>
      </c>
      <c r="I871" s="342" t="s">
        <v>2890</v>
      </c>
      <c r="J871" s="34" t="s">
        <v>100</v>
      </c>
      <c r="K871" s="148">
        <v>45848.0</v>
      </c>
      <c r="L871" s="12" t="s">
        <v>100</v>
      </c>
      <c r="M871" s="19"/>
      <c r="N871" s="19"/>
      <c r="O871" s="34" t="s">
        <v>3211</v>
      </c>
      <c r="P871" s="407" t="s">
        <v>1798</v>
      </c>
    </row>
    <row r="872" hidden="1">
      <c r="A872" s="29">
        <v>31.0</v>
      </c>
      <c r="B872" s="26" t="s">
        <v>3377</v>
      </c>
      <c r="C872" s="320" t="s">
        <v>80</v>
      </c>
      <c r="D872" s="33" t="s">
        <v>3378</v>
      </c>
      <c r="E872" s="473" t="s">
        <v>3379</v>
      </c>
      <c r="F872" s="342" t="s">
        <v>2599</v>
      </c>
      <c r="G872" s="390">
        <v>45848.0</v>
      </c>
      <c r="H872" s="33">
        <v>22.0</v>
      </c>
      <c r="I872" s="342" t="s">
        <v>2890</v>
      </c>
      <c r="J872" s="34" t="s">
        <v>100</v>
      </c>
      <c r="K872" s="148">
        <v>45848.0</v>
      </c>
      <c r="L872" s="12" t="s">
        <v>100</v>
      </c>
      <c r="M872" s="19"/>
      <c r="N872" s="19"/>
      <c r="O872" s="34" t="s">
        <v>3211</v>
      </c>
      <c r="P872" s="407" t="s">
        <v>1798</v>
      </c>
    </row>
    <row r="873" hidden="1">
      <c r="A873" s="29">
        <v>32.0</v>
      </c>
      <c r="B873" s="26" t="s">
        <v>3380</v>
      </c>
      <c r="C873" s="320" t="s">
        <v>80</v>
      </c>
      <c r="D873" s="33" t="s">
        <v>3381</v>
      </c>
      <c r="E873" s="33" t="s">
        <v>3382</v>
      </c>
      <c r="F873" s="342" t="s">
        <v>2599</v>
      </c>
      <c r="G873" s="390">
        <v>45848.0</v>
      </c>
      <c r="H873" s="33">
        <v>22.0</v>
      </c>
      <c r="I873" s="342" t="s">
        <v>2890</v>
      </c>
      <c r="J873" s="34" t="s">
        <v>2065</v>
      </c>
      <c r="K873" s="71">
        <v>45818.0</v>
      </c>
      <c r="L873" s="12" t="s">
        <v>374</v>
      </c>
      <c r="M873" s="19"/>
      <c r="N873" s="19"/>
      <c r="O873" s="34" t="s">
        <v>3330</v>
      </c>
      <c r="P873" s="385" t="s">
        <v>1432</v>
      </c>
      <c r="Q873" s="143" t="s">
        <v>3360</v>
      </c>
    </row>
    <row r="874" hidden="1">
      <c r="A874" s="29">
        <v>33.0</v>
      </c>
      <c r="B874" s="26" t="s">
        <v>3383</v>
      </c>
      <c r="C874" s="320" t="s">
        <v>80</v>
      </c>
      <c r="D874" s="33" t="s">
        <v>3384</v>
      </c>
      <c r="E874" s="473" t="s">
        <v>3385</v>
      </c>
      <c r="F874" s="342" t="s">
        <v>2599</v>
      </c>
      <c r="G874" s="390">
        <v>45848.0</v>
      </c>
      <c r="H874" s="33">
        <v>22.0</v>
      </c>
      <c r="I874" s="342" t="s">
        <v>2890</v>
      </c>
      <c r="J874" s="34" t="s">
        <v>100</v>
      </c>
      <c r="K874" s="148">
        <v>45879.0</v>
      </c>
      <c r="L874" s="12" t="s">
        <v>100</v>
      </c>
      <c r="M874" s="19"/>
      <c r="N874" s="19"/>
      <c r="O874" s="34" t="s">
        <v>3211</v>
      </c>
      <c r="P874" s="385" t="s">
        <v>1432</v>
      </c>
    </row>
    <row r="875" hidden="1">
      <c r="A875" s="29">
        <v>34.0</v>
      </c>
      <c r="B875" s="26" t="s">
        <v>3386</v>
      </c>
      <c r="C875" s="320" t="s">
        <v>80</v>
      </c>
      <c r="D875" s="33" t="s">
        <v>3387</v>
      </c>
      <c r="E875" s="473" t="s">
        <v>3388</v>
      </c>
      <c r="F875" s="342" t="s">
        <v>2599</v>
      </c>
      <c r="G875" s="390">
        <v>45848.0</v>
      </c>
      <c r="H875" s="33">
        <v>22.0</v>
      </c>
      <c r="I875" s="342" t="s">
        <v>2890</v>
      </c>
      <c r="J875" s="34" t="s">
        <v>100</v>
      </c>
      <c r="K875" s="148">
        <v>45879.0</v>
      </c>
      <c r="L875" s="12" t="s">
        <v>100</v>
      </c>
      <c r="M875" s="19"/>
      <c r="N875" s="19"/>
      <c r="O875" s="34" t="s">
        <v>3211</v>
      </c>
      <c r="P875" s="385" t="s">
        <v>1432</v>
      </c>
    </row>
    <row r="876" hidden="1">
      <c r="A876" s="29">
        <v>35.0</v>
      </c>
      <c r="B876" s="322" t="s">
        <v>3389</v>
      </c>
      <c r="C876" s="320" t="s">
        <v>80</v>
      </c>
      <c r="D876" s="33" t="s">
        <v>3390</v>
      </c>
      <c r="E876" s="33" t="s">
        <v>3391</v>
      </c>
      <c r="F876" s="342" t="s">
        <v>2599</v>
      </c>
      <c r="G876" s="390">
        <v>45818.0</v>
      </c>
      <c r="H876" s="33">
        <v>21.0</v>
      </c>
      <c r="I876" s="33"/>
      <c r="J876" s="34" t="s">
        <v>2541</v>
      </c>
      <c r="K876" s="34" t="s">
        <v>2542</v>
      </c>
      <c r="L876" s="14"/>
      <c r="M876" s="19"/>
      <c r="N876" s="19"/>
      <c r="O876" s="34" t="s">
        <v>2591</v>
      </c>
      <c r="P876" s="385" t="s">
        <v>1432</v>
      </c>
    </row>
    <row r="877" hidden="1">
      <c r="A877" s="29">
        <v>36.0</v>
      </c>
      <c r="B877" s="26" t="s">
        <v>3392</v>
      </c>
      <c r="C877" s="320" t="s">
        <v>80</v>
      </c>
      <c r="D877" s="33" t="s">
        <v>3393</v>
      </c>
      <c r="E877" s="33" t="s">
        <v>3394</v>
      </c>
      <c r="F877" s="342" t="s">
        <v>2098</v>
      </c>
      <c r="G877" s="390">
        <v>45879.0</v>
      </c>
      <c r="H877" s="33">
        <v>23.0</v>
      </c>
      <c r="I877" s="491" t="s">
        <v>3043</v>
      </c>
      <c r="J877" s="34" t="s">
        <v>2065</v>
      </c>
      <c r="K877" s="71">
        <v>45818.0</v>
      </c>
      <c r="L877" s="12" t="s">
        <v>51</v>
      </c>
      <c r="M877" s="19"/>
      <c r="N877" s="19"/>
      <c r="O877" s="478">
        <v>45971.0</v>
      </c>
      <c r="P877" s="385" t="s">
        <v>1432</v>
      </c>
      <c r="Q877" s="143" t="s">
        <v>3360</v>
      </c>
    </row>
    <row r="878" hidden="1">
      <c r="A878" s="29">
        <v>37.0</v>
      </c>
      <c r="B878" s="26" t="s">
        <v>3395</v>
      </c>
      <c r="C878" s="320" t="s">
        <v>80</v>
      </c>
      <c r="D878" s="33" t="s">
        <v>3396</v>
      </c>
      <c r="E878" s="33" t="s">
        <v>3397</v>
      </c>
      <c r="F878" s="342" t="s">
        <v>2098</v>
      </c>
      <c r="G878" s="390">
        <v>45879.0</v>
      </c>
      <c r="H878" s="33">
        <v>23.0</v>
      </c>
      <c r="I878" s="342" t="s">
        <v>2890</v>
      </c>
      <c r="J878" s="34" t="s">
        <v>2065</v>
      </c>
      <c r="K878" s="71">
        <v>45818.0</v>
      </c>
      <c r="L878" s="12" t="s">
        <v>51</v>
      </c>
      <c r="M878" s="19"/>
      <c r="N878" s="19"/>
      <c r="O878" s="34" t="s">
        <v>3398</v>
      </c>
      <c r="P878" s="385" t="s">
        <v>1432</v>
      </c>
      <c r="Q878" s="143" t="s">
        <v>3360</v>
      </c>
    </row>
    <row r="879" hidden="1">
      <c r="A879" s="29">
        <v>38.0</v>
      </c>
      <c r="B879" s="26" t="s">
        <v>3399</v>
      </c>
      <c r="C879" s="320" t="s">
        <v>80</v>
      </c>
      <c r="D879" s="33" t="s">
        <v>3400</v>
      </c>
      <c r="E879" s="33" t="s">
        <v>3401</v>
      </c>
      <c r="F879" s="342" t="s">
        <v>207</v>
      </c>
      <c r="G879" s="390">
        <v>45910.0</v>
      </c>
      <c r="H879" s="33">
        <v>24.0</v>
      </c>
      <c r="I879" s="342" t="s">
        <v>2890</v>
      </c>
      <c r="J879" s="34" t="s">
        <v>2065</v>
      </c>
      <c r="K879" s="71">
        <v>45879.0</v>
      </c>
      <c r="L879" s="12" t="s">
        <v>374</v>
      </c>
      <c r="M879" s="19"/>
      <c r="N879" s="19"/>
      <c r="O879" s="34" t="s">
        <v>3273</v>
      </c>
      <c r="P879" s="385" t="s">
        <v>1432</v>
      </c>
      <c r="Q879" s="143" t="s">
        <v>3360</v>
      </c>
    </row>
    <row r="880" hidden="1">
      <c r="A880" s="29">
        <v>39.0</v>
      </c>
      <c r="B880" s="26" t="s">
        <v>3402</v>
      </c>
      <c r="C880" s="320" t="s">
        <v>80</v>
      </c>
      <c r="D880" s="33" t="s">
        <v>3403</v>
      </c>
      <c r="E880" s="33" t="s">
        <v>3404</v>
      </c>
      <c r="F880" s="342" t="s">
        <v>3405</v>
      </c>
      <c r="G880" s="390">
        <v>45879.0</v>
      </c>
      <c r="H880" s="33">
        <v>23.0</v>
      </c>
      <c r="I880" s="342" t="s">
        <v>2890</v>
      </c>
      <c r="J880" s="34" t="s">
        <v>2065</v>
      </c>
      <c r="K880" s="71">
        <v>45818.0</v>
      </c>
      <c r="L880" s="12" t="s">
        <v>374</v>
      </c>
      <c r="M880" s="19"/>
      <c r="N880" s="19"/>
      <c r="O880" s="19"/>
      <c r="P880" s="385" t="s">
        <v>1432</v>
      </c>
      <c r="Q880" s="143" t="s">
        <v>3360</v>
      </c>
    </row>
    <row r="881" hidden="1">
      <c r="A881" s="29">
        <v>40.0</v>
      </c>
      <c r="B881" s="26" t="s">
        <v>3406</v>
      </c>
      <c r="C881" s="320" t="s">
        <v>80</v>
      </c>
      <c r="D881" s="33" t="s">
        <v>3407</v>
      </c>
      <c r="E881" s="33" t="s">
        <v>3408</v>
      </c>
      <c r="F881" s="342" t="s">
        <v>1454</v>
      </c>
      <c r="G881" s="390">
        <v>45910.0</v>
      </c>
      <c r="H881" s="33">
        <v>24.0</v>
      </c>
      <c r="I881" s="342" t="s">
        <v>2890</v>
      </c>
      <c r="J881" s="34" t="s">
        <v>2541</v>
      </c>
      <c r="K881" s="101" t="s">
        <v>114</v>
      </c>
      <c r="L881" s="12" t="s">
        <v>374</v>
      </c>
      <c r="M881" s="19"/>
      <c r="N881" s="19"/>
      <c r="O881" s="34" t="s">
        <v>3409</v>
      </c>
      <c r="P881" s="416" t="s">
        <v>2560</v>
      </c>
      <c r="Q881" s="143" t="s">
        <v>3360</v>
      </c>
    </row>
    <row r="882" hidden="1">
      <c r="A882" s="29">
        <v>41.0</v>
      </c>
      <c r="B882" s="26" t="s">
        <v>3410</v>
      </c>
      <c r="C882" s="320" t="s">
        <v>80</v>
      </c>
      <c r="D882" s="33" t="s">
        <v>3411</v>
      </c>
      <c r="E882" s="33" t="s">
        <v>44</v>
      </c>
      <c r="F882" s="342" t="s">
        <v>3412</v>
      </c>
      <c r="G882" s="390">
        <v>45910.0</v>
      </c>
      <c r="H882" s="33">
        <v>24.0</v>
      </c>
      <c r="I882" s="33"/>
      <c r="J882" s="19"/>
      <c r="K882" s="19"/>
      <c r="L882" s="14"/>
      <c r="M882" s="19"/>
      <c r="N882" s="19"/>
      <c r="O882" s="451">
        <v>45929.0</v>
      </c>
      <c r="P882" s="385" t="s">
        <v>1432</v>
      </c>
    </row>
    <row r="883" hidden="1">
      <c r="A883" s="29">
        <v>42.0</v>
      </c>
      <c r="B883" s="26" t="s">
        <v>3413</v>
      </c>
      <c r="C883" s="320" t="s">
        <v>80</v>
      </c>
      <c r="D883" s="33" t="s">
        <v>3414</v>
      </c>
      <c r="E883" s="33" t="s">
        <v>44</v>
      </c>
      <c r="F883" s="342" t="s">
        <v>3412</v>
      </c>
      <c r="G883" s="390">
        <v>45910.0</v>
      </c>
      <c r="H883" s="33">
        <v>24.0</v>
      </c>
      <c r="I883" s="492"/>
      <c r="J883" s="143" t="s">
        <v>3415</v>
      </c>
      <c r="K883" s="34" t="s">
        <v>2938</v>
      </c>
      <c r="L883" s="14"/>
      <c r="M883" s="19"/>
      <c r="N883" s="19"/>
      <c r="O883" s="451">
        <v>45929.0</v>
      </c>
      <c r="P883" s="385" t="s">
        <v>1432</v>
      </c>
    </row>
    <row r="884" hidden="1">
      <c r="A884" s="29">
        <v>43.0</v>
      </c>
      <c r="B884" s="26" t="s">
        <v>3416</v>
      </c>
      <c r="C884" s="320" t="s">
        <v>80</v>
      </c>
      <c r="D884" s="33" t="s">
        <v>3417</v>
      </c>
      <c r="E884" s="33" t="s">
        <v>44</v>
      </c>
      <c r="F884" s="342" t="s">
        <v>3412</v>
      </c>
      <c r="G884" s="390">
        <v>45910.0</v>
      </c>
      <c r="H884" s="33">
        <v>24.0</v>
      </c>
      <c r="I884" s="492"/>
      <c r="J884" s="143" t="s">
        <v>3415</v>
      </c>
      <c r="K884" s="34" t="s">
        <v>2938</v>
      </c>
      <c r="L884" s="14"/>
      <c r="M884" s="19"/>
      <c r="N884" s="19"/>
      <c r="O884" s="451">
        <v>45929.0</v>
      </c>
      <c r="P884" s="385" t="s">
        <v>1432</v>
      </c>
    </row>
    <row r="885" hidden="1">
      <c r="A885" s="29">
        <v>44.0</v>
      </c>
      <c r="B885" s="389" t="s">
        <v>3418</v>
      </c>
      <c r="C885" s="320" t="s">
        <v>1058</v>
      </c>
      <c r="D885" s="33" t="s">
        <v>3419</v>
      </c>
      <c r="E885" s="473" t="s">
        <v>3420</v>
      </c>
      <c r="F885" s="342" t="s">
        <v>3029</v>
      </c>
      <c r="G885" s="493">
        <v>45940.0</v>
      </c>
      <c r="H885" s="33">
        <v>25.0</v>
      </c>
      <c r="I885" s="342" t="s">
        <v>2890</v>
      </c>
      <c r="J885" s="34" t="s">
        <v>2065</v>
      </c>
      <c r="K885" s="71">
        <v>45879.0</v>
      </c>
      <c r="L885" s="12" t="s">
        <v>374</v>
      </c>
      <c r="M885" s="19"/>
      <c r="N885" s="19"/>
      <c r="O885" s="34" t="s">
        <v>3189</v>
      </c>
      <c r="P885" s="407" t="s">
        <v>2560</v>
      </c>
    </row>
    <row r="886" hidden="1">
      <c r="A886" s="29">
        <v>45.0</v>
      </c>
      <c r="B886" s="26" t="s">
        <v>3421</v>
      </c>
      <c r="C886" s="320" t="s">
        <v>1058</v>
      </c>
      <c r="D886" s="33" t="s">
        <v>3422</v>
      </c>
      <c r="E886" s="473" t="s">
        <v>3423</v>
      </c>
      <c r="F886" s="342" t="s">
        <v>3029</v>
      </c>
      <c r="G886" s="493">
        <v>45940.0</v>
      </c>
      <c r="H886" s="33">
        <v>25.0</v>
      </c>
      <c r="I886" s="342" t="s">
        <v>2890</v>
      </c>
      <c r="J886" s="34" t="s">
        <v>2065</v>
      </c>
      <c r="K886" s="71">
        <v>45879.0</v>
      </c>
      <c r="L886" s="12" t="s">
        <v>374</v>
      </c>
      <c r="M886" s="19"/>
      <c r="N886" s="19"/>
      <c r="O886" s="34" t="s">
        <v>3189</v>
      </c>
      <c r="P886" s="407" t="s">
        <v>2560</v>
      </c>
    </row>
    <row r="887" hidden="1">
      <c r="A887" s="29">
        <v>46.0</v>
      </c>
      <c r="B887" s="26" t="s">
        <v>3424</v>
      </c>
      <c r="C887" s="320" t="s">
        <v>80</v>
      </c>
      <c r="D887" s="33" t="s">
        <v>3425</v>
      </c>
      <c r="E887" s="33" t="s">
        <v>3426</v>
      </c>
      <c r="F887" s="342" t="s">
        <v>25</v>
      </c>
      <c r="G887" s="493">
        <v>45940.0</v>
      </c>
      <c r="H887" s="33">
        <v>25.0</v>
      </c>
      <c r="I887" s="342" t="s">
        <v>2890</v>
      </c>
      <c r="J887" s="34" t="s">
        <v>2065</v>
      </c>
      <c r="K887" s="148">
        <v>45848.0</v>
      </c>
      <c r="L887" s="12" t="s">
        <v>51</v>
      </c>
      <c r="M887" s="19"/>
      <c r="N887" s="19"/>
      <c r="O887" s="34" t="s">
        <v>3273</v>
      </c>
      <c r="P887" s="385" t="s">
        <v>1432</v>
      </c>
      <c r="Q887" s="143" t="s">
        <v>3360</v>
      </c>
    </row>
    <row r="888" hidden="1">
      <c r="A888" s="29">
        <v>47.0</v>
      </c>
      <c r="B888" s="26" t="s">
        <v>3427</v>
      </c>
      <c r="C888" s="320" t="s">
        <v>80</v>
      </c>
      <c r="D888" s="33" t="s">
        <v>3428</v>
      </c>
      <c r="E888" s="33" t="s">
        <v>3429</v>
      </c>
      <c r="F888" s="342" t="s">
        <v>25</v>
      </c>
      <c r="G888" s="493">
        <v>45940.0</v>
      </c>
      <c r="H888" s="33">
        <v>25.0</v>
      </c>
      <c r="I888" s="342" t="s">
        <v>2890</v>
      </c>
      <c r="J888" s="34" t="s">
        <v>2065</v>
      </c>
      <c r="K888" s="148">
        <v>45848.0</v>
      </c>
      <c r="L888" s="12" t="s">
        <v>51</v>
      </c>
      <c r="M888" s="19"/>
      <c r="N888" s="19"/>
      <c r="O888" s="34" t="s">
        <v>3273</v>
      </c>
      <c r="P888" s="385" t="s">
        <v>1432</v>
      </c>
      <c r="Q888" s="143" t="s">
        <v>3360</v>
      </c>
    </row>
    <row r="889" hidden="1">
      <c r="A889" s="29">
        <v>48.0</v>
      </c>
      <c r="B889" s="322" t="s">
        <v>3430</v>
      </c>
      <c r="C889" s="327" t="s">
        <v>1318</v>
      </c>
      <c r="D889" s="33" t="s">
        <v>3431</v>
      </c>
      <c r="E889" s="33" t="s">
        <v>3432</v>
      </c>
      <c r="F889" s="342" t="s">
        <v>731</v>
      </c>
      <c r="G889" s="390">
        <v>45787.0</v>
      </c>
      <c r="H889" s="33">
        <v>20.0</v>
      </c>
      <c r="I889" s="33"/>
      <c r="J889" s="34" t="s">
        <v>2541</v>
      </c>
      <c r="K889" s="34" t="s">
        <v>2542</v>
      </c>
      <c r="L889" s="14"/>
      <c r="M889" s="19"/>
      <c r="N889" s="19"/>
      <c r="O889" s="34" t="s">
        <v>2543</v>
      </c>
      <c r="P889" s="385" t="s">
        <v>1432</v>
      </c>
      <c r="Q889" s="143" t="s">
        <v>3360</v>
      </c>
    </row>
    <row r="890" hidden="1">
      <c r="A890" s="29">
        <v>49.0</v>
      </c>
      <c r="B890" s="395" t="s">
        <v>3433</v>
      </c>
      <c r="C890" s="320" t="s">
        <v>80</v>
      </c>
      <c r="D890" s="33" t="s">
        <v>3434</v>
      </c>
      <c r="E890" s="488" t="s">
        <v>3435</v>
      </c>
      <c r="F890" s="342" t="s">
        <v>2599</v>
      </c>
      <c r="G890" s="390">
        <v>45787.0</v>
      </c>
      <c r="H890" s="33">
        <v>20.0</v>
      </c>
      <c r="I890" s="342" t="s">
        <v>2890</v>
      </c>
      <c r="J890" s="34" t="s">
        <v>100</v>
      </c>
      <c r="K890" s="34" t="s">
        <v>3296</v>
      </c>
      <c r="L890" s="12" t="s">
        <v>100</v>
      </c>
      <c r="M890" s="19"/>
      <c r="N890" s="19"/>
      <c r="O890" s="34" t="s">
        <v>3297</v>
      </c>
      <c r="P890" s="385" t="s">
        <v>1432</v>
      </c>
      <c r="Q890" s="143" t="s">
        <v>3360</v>
      </c>
    </row>
    <row r="891" hidden="1">
      <c r="A891" s="29">
        <v>50.0</v>
      </c>
      <c r="B891" s="494" t="s">
        <v>3436</v>
      </c>
      <c r="C891" s="320" t="s">
        <v>80</v>
      </c>
      <c r="D891" s="33" t="s">
        <v>3437</v>
      </c>
      <c r="E891" s="33" t="s">
        <v>3438</v>
      </c>
      <c r="F891" s="342" t="s">
        <v>2599</v>
      </c>
      <c r="G891" s="390">
        <v>45787.0</v>
      </c>
      <c r="H891" s="33">
        <v>20.0</v>
      </c>
      <c r="I891" s="342" t="s">
        <v>2890</v>
      </c>
      <c r="J891" s="34" t="s">
        <v>2541</v>
      </c>
      <c r="K891" s="148">
        <v>45818.0</v>
      </c>
      <c r="L891" s="12" t="s">
        <v>100</v>
      </c>
      <c r="M891" s="19"/>
      <c r="N891" s="19"/>
      <c r="O891" s="478">
        <v>45971.0</v>
      </c>
      <c r="P891" s="385" t="s">
        <v>1432</v>
      </c>
      <c r="Q891" s="143" t="s">
        <v>3360</v>
      </c>
    </row>
    <row r="892" hidden="1">
      <c r="A892" s="339" t="s">
        <v>3439</v>
      </c>
    </row>
    <row r="893" hidden="1">
      <c r="A893" s="427" t="s">
        <v>47</v>
      </c>
      <c r="B893" s="482" t="s">
        <v>7</v>
      </c>
      <c r="C893" s="424" t="s">
        <v>9</v>
      </c>
      <c r="D893" s="424" t="s">
        <v>10</v>
      </c>
      <c r="E893" s="424" t="s">
        <v>11</v>
      </c>
      <c r="F893" s="424" t="s">
        <v>12</v>
      </c>
      <c r="G893" s="424" t="s">
        <v>2378</v>
      </c>
      <c r="H893" s="424" t="s">
        <v>2681</v>
      </c>
      <c r="I893" s="428" t="s">
        <v>2847</v>
      </c>
      <c r="J893" s="8" t="s">
        <v>14</v>
      </c>
      <c r="K893" s="9" t="s">
        <v>16</v>
      </c>
      <c r="L893" s="9" t="s">
        <v>35</v>
      </c>
      <c r="M893" s="9" t="s">
        <v>18</v>
      </c>
      <c r="N893" s="9" t="s">
        <v>19</v>
      </c>
      <c r="O893" s="9" t="s">
        <v>20</v>
      </c>
      <c r="P893" s="9" t="s">
        <v>21</v>
      </c>
    </row>
    <row r="894" hidden="1">
      <c r="A894" s="12">
        <v>1.0</v>
      </c>
      <c r="B894" s="129" t="s">
        <v>3440</v>
      </c>
      <c r="C894" s="12" t="s">
        <v>80</v>
      </c>
      <c r="D894" s="12" t="s">
        <v>3441</v>
      </c>
      <c r="E894" s="12" t="s">
        <v>3442</v>
      </c>
      <c r="F894" s="12" t="s">
        <v>3443</v>
      </c>
      <c r="G894" s="12" t="s">
        <v>3273</v>
      </c>
      <c r="H894" s="128">
        <v>23.0</v>
      </c>
      <c r="I894" s="12" t="s">
        <v>2890</v>
      </c>
      <c r="J894" s="34" t="s">
        <v>2065</v>
      </c>
      <c r="K894" s="19"/>
      <c r="L894" s="12" t="s">
        <v>374</v>
      </c>
      <c r="M894" s="19"/>
      <c r="N894" s="19"/>
      <c r="O894" s="34" t="s">
        <v>3189</v>
      </c>
      <c r="P894" s="416" t="s">
        <v>3444</v>
      </c>
      <c r="Q894" s="143" t="s">
        <v>3445</v>
      </c>
    </row>
    <row r="895" hidden="1">
      <c r="A895" s="12">
        <v>2.0</v>
      </c>
      <c r="B895" s="129" t="s">
        <v>3446</v>
      </c>
      <c r="C895" s="12" t="s">
        <v>80</v>
      </c>
      <c r="D895" s="12" t="s">
        <v>3447</v>
      </c>
      <c r="E895" s="12" t="s">
        <v>3448</v>
      </c>
      <c r="F895" s="12" t="s">
        <v>3449</v>
      </c>
      <c r="G895" s="12" t="s">
        <v>3273</v>
      </c>
      <c r="H895" s="128">
        <v>23.0</v>
      </c>
      <c r="I895" s="12" t="s">
        <v>2890</v>
      </c>
      <c r="J895" s="19"/>
      <c r="K895" s="19"/>
      <c r="L895" s="12" t="s">
        <v>374</v>
      </c>
      <c r="M895" s="19"/>
      <c r="N895" s="19"/>
      <c r="O895" s="34" t="s">
        <v>3207</v>
      </c>
      <c r="P895" s="407" t="s">
        <v>1798</v>
      </c>
      <c r="Q895" s="143" t="s">
        <v>3445</v>
      </c>
    </row>
    <row r="896" hidden="1">
      <c r="A896" s="495">
        <v>3.0</v>
      </c>
      <c r="B896" s="496" t="s">
        <v>3450</v>
      </c>
      <c r="C896" s="495" t="s">
        <v>80</v>
      </c>
      <c r="D896" s="495" t="s">
        <v>3451</v>
      </c>
      <c r="E896" s="495" t="s">
        <v>3452</v>
      </c>
      <c r="F896" s="495" t="s">
        <v>3453</v>
      </c>
      <c r="G896" s="497">
        <v>45971.0</v>
      </c>
      <c r="H896" s="498">
        <v>21.0</v>
      </c>
      <c r="I896" s="498"/>
      <c r="J896" s="34" t="s">
        <v>2541</v>
      </c>
      <c r="K896" s="34" t="s">
        <v>2836</v>
      </c>
      <c r="L896" s="12" t="s">
        <v>100</v>
      </c>
      <c r="M896" s="19"/>
      <c r="N896" s="19"/>
      <c r="O896" s="19"/>
      <c r="P896" s="407" t="s">
        <v>1798</v>
      </c>
      <c r="Q896" s="143" t="s">
        <v>3445</v>
      </c>
    </row>
    <row r="897" hidden="1">
      <c r="A897" s="12">
        <v>4.0</v>
      </c>
      <c r="B897" s="129" t="s">
        <v>3454</v>
      </c>
      <c r="C897" s="12" t="s">
        <v>397</v>
      </c>
      <c r="D897" s="12" t="s">
        <v>3455</v>
      </c>
      <c r="E897" s="12" t="s">
        <v>3456</v>
      </c>
      <c r="F897" s="12" t="s">
        <v>2490</v>
      </c>
      <c r="G897" s="233">
        <v>45971.0</v>
      </c>
      <c r="H897" s="128">
        <v>21.0</v>
      </c>
      <c r="I897" s="499" t="s">
        <v>3457</v>
      </c>
      <c r="J897" s="12" t="s">
        <v>100</v>
      </c>
      <c r="K897" s="478">
        <v>45971.0</v>
      </c>
      <c r="L897" s="12" t="s">
        <v>100</v>
      </c>
      <c r="M897" s="19"/>
      <c r="N897" s="19"/>
      <c r="O897" s="34" t="s">
        <v>3273</v>
      </c>
      <c r="P897" s="407" t="s">
        <v>2560</v>
      </c>
      <c r="Q897" s="143" t="s">
        <v>3445</v>
      </c>
    </row>
    <row r="898" hidden="1">
      <c r="A898" s="12">
        <v>5.0</v>
      </c>
      <c r="B898" s="129" t="s">
        <v>3458</v>
      </c>
      <c r="C898" s="12" t="s">
        <v>80</v>
      </c>
      <c r="D898" s="12" t="s">
        <v>3459</v>
      </c>
      <c r="E898" s="12" t="s">
        <v>3460</v>
      </c>
      <c r="F898" s="12" t="s">
        <v>172</v>
      </c>
      <c r="G898" s="233">
        <v>45971.0</v>
      </c>
      <c r="H898" s="128">
        <v>21.0</v>
      </c>
      <c r="I898" s="12" t="s">
        <v>3043</v>
      </c>
      <c r="J898" s="34" t="s">
        <v>2541</v>
      </c>
      <c r="K898" s="34" t="s">
        <v>3461</v>
      </c>
      <c r="L898" s="12" t="s">
        <v>374</v>
      </c>
      <c r="M898" s="19"/>
      <c r="N898" s="19"/>
      <c r="O898" s="19"/>
      <c r="P898" s="407" t="s">
        <v>2560</v>
      </c>
      <c r="Q898" s="143" t="s">
        <v>3445</v>
      </c>
    </row>
    <row r="899" hidden="1">
      <c r="A899" s="12">
        <v>6.0</v>
      </c>
      <c r="B899" s="129" t="s">
        <v>3462</v>
      </c>
      <c r="C899" s="12" t="s">
        <v>1185</v>
      </c>
      <c r="D899" s="12" t="s">
        <v>3463</v>
      </c>
      <c r="E899" s="12" t="s">
        <v>3464</v>
      </c>
      <c r="F899" s="12" t="s">
        <v>2315</v>
      </c>
      <c r="G899" s="233">
        <v>46001.0</v>
      </c>
      <c r="H899" s="128">
        <v>22.0</v>
      </c>
      <c r="I899" s="37" t="s">
        <v>3465</v>
      </c>
      <c r="J899" s="34" t="s">
        <v>2541</v>
      </c>
      <c r="K899" s="148">
        <v>45848.0</v>
      </c>
      <c r="L899" s="12" t="s">
        <v>51</v>
      </c>
      <c r="M899" s="19"/>
      <c r="N899" s="19"/>
      <c r="O899" s="34" t="s">
        <v>3330</v>
      </c>
      <c r="P899" s="385" t="s">
        <v>1432</v>
      </c>
      <c r="Q899" s="143" t="s">
        <v>3445</v>
      </c>
    </row>
    <row r="900" hidden="1">
      <c r="A900" s="12">
        <v>7.0</v>
      </c>
      <c r="B900" s="129" t="s">
        <v>3466</v>
      </c>
      <c r="C900" s="12" t="s">
        <v>1185</v>
      </c>
      <c r="D900" s="12" t="s">
        <v>3467</v>
      </c>
      <c r="E900" s="12" t="s">
        <v>3468</v>
      </c>
      <c r="F900" s="12" t="s">
        <v>310</v>
      </c>
      <c r="G900" s="233">
        <v>46001.0</v>
      </c>
      <c r="H900" s="128">
        <v>22.0</v>
      </c>
      <c r="I900" s="12" t="s">
        <v>2890</v>
      </c>
      <c r="J900" s="34" t="s">
        <v>2065</v>
      </c>
      <c r="K900" s="19"/>
      <c r="L900" s="12" t="s">
        <v>374</v>
      </c>
      <c r="M900" s="19"/>
      <c r="N900" s="19"/>
      <c r="O900" s="19"/>
      <c r="P900" s="385" t="s">
        <v>1432</v>
      </c>
      <c r="Q900" s="143" t="s">
        <v>3469</v>
      </c>
    </row>
    <row r="901" hidden="1">
      <c r="A901" s="495">
        <v>8.0</v>
      </c>
      <c r="B901" s="496" t="s">
        <v>3470</v>
      </c>
      <c r="C901" s="495" t="s">
        <v>80</v>
      </c>
      <c r="D901" s="495" t="s">
        <v>3471</v>
      </c>
      <c r="E901" s="495" t="s">
        <v>3472</v>
      </c>
      <c r="F901" s="495" t="s">
        <v>718</v>
      </c>
      <c r="G901" s="495" t="s">
        <v>3273</v>
      </c>
      <c r="H901" s="498">
        <v>23.0</v>
      </c>
      <c r="I901" s="498"/>
      <c r="J901" s="34" t="s">
        <v>2541</v>
      </c>
      <c r="K901" s="34" t="s">
        <v>2872</v>
      </c>
      <c r="L901" s="14"/>
      <c r="M901" s="19"/>
      <c r="N901" s="19"/>
      <c r="O901" s="34" t="s">
        <v>2832</v>
      </c>
      <c r="P901" s="19"/>
      <c r="Q901" s="143" t="s">
        <v>3469</v>
      </c>
    </row>
    <row r="902" hidden="1">
      <c r="A902" s="12">
        <v>9.0</v>
      </c>
      <c r="B902" s="129" t="s">
        <v>3473</v>
      </c>
      <c r="C902" s="12" t="s">
        <v>1185</v>
      </c>
      <c r="D902" s="12" t="s">
        <v>3474</v>
      </c>
      <c r="E902" s="12" t="s">
        <v>3475</v>
      </c>
      <c r="F902" s="12" t="s">
        <v>25</v>
      </c>
      <c r="G902" s="233">
        <v>45971.0</v>
      </c>
      <c r="H902" s="128">
        <v>21.0</v>
      </c>
      <c r="I902" s="12" t="s">
        <v>2890</v>
      </c>
      <c r="J902" s="34" t="s">
        <v>2541</v>
      </c>
      <c r="K902" s="148">
        <v>45879.0</v>
      </c>
      <c r="L902" s="12" t="s">
        <v>51</v>
      </c>
      <c r="M902" s="19"/>
      <c r="N902" s="19"/>
      <c r="O902" s="34" t="s">
        <v>3330</v>
      </c>
      <c r="P902" s="385" t="s">
        <v>1432</v>
      </c>
      <c r="Q902" s="143" t="s">
        <v>3469</v>
      </c>
    </row>
    <row r="903" hidden="1">
      <c r="A903" s="12">
        <v>10.0</v>
      </c>
      <c r="B903" s="129" t="s">
        <v>3476</v>
      </c>
      <c r="C903" s="12" t="s">
        <v>1185</v>
      </c>
      <c r="D903" s="12" t="s">
        <v>3477</v>
      </c>
      <c r="E903" s="12" t="s">
        <v>3478</v>
      </c>
      <c r="F903" s="12" t="s">
        <v>2098</v>
      </c>
      <c r="G903" s="164">
        <v>45818.0</v>
      </c>
      <c r="H903" s="128">
        <v>16.0</v>
      </c>
      <c r="I903" s="12" t="s">
        <v>2890</v>
      </c>
      <c r="J903" s="34" t="s">
        <v>2065</v>
      </c>
      <c r="K903" s="148">
        <v>45910.0</v>
      </c>
      <c r="L903" s="12" t="s">
        <v>51</v>
      </c>
      <c r="M903" s="19"/>
      <c r="N903" s="19"/>
      <c r="O903" s="34" t="s">
        <v>3479</v>
      </c>
      <c r="P903" s="385" t="s">
        <v>1432</v>
      </c>
      <c r="Q903" s="143" t="s">
        <v>3469</v>
      </c>
    </row>
    <row r="904" hidden="1">
      <c r="A904" s="12">
        <v>11.0</v>
      </c>
      <c r="B904" s="129" t="s">
        <v>3480</v>
      </c>
      <c r="C904" s="12" t="s">
        <v>1185</v>
      </c>
      <c r="D904" s="12" t="s">
        <v>3481</v>
      </c>
      <c r="E904" s="12" t="s">
        <v>3482</v>
      </c>
      <c r="F904" s="500" t="s">
        <v>25</v>
      </c>
      <c r="G904" s="164">
        <v>45910.0</v>
      </c>
      <c r="H904" s="128">
        <v>19.0</v>
      </c>
      <c r="I904" s="12" t="s">
        <v>2890</v>
      </c>
      <c r="J904" s="34" t="s">
        <v>2541</v>
      </c>
      <c r="K904" s="148">
        <v>45910.0</v>
      </c>
      <c r="L904" s="12" t="s">
        <v>51</v>
      </c>
      <c r="M904" s="19"/>
      <c r="N904" s="19"/>
      <c r="O904" s="34" t="s">
        <v>3398</v>
      </c>
      <c r="P904" s="385" t="s">
        <v>1432</v>
      </c>
      <c r="Q904" s="143" t="s">
        <v>3469</v>
      </c>
    </row>
    <row r="905" ht="18.75" hidden="1" customHeight="1">
      <c r="A905" s="12">
        <v>12.0</v>
      </c>
      <c r="B905" s="129" t="s">
        <v>3483</v>
      </c>
      <c r="C905" s="12" t="s">
        <v>1185</v>
      </c>
      <c r="D905" s="12" t="s">
        <v>3484</v>
      </c>
      <c r="E905" s="12" t="s">
        <v>3485</v>
      </c>
      <c r="F905" s="500" t="s">
        <v>25</v>
      </c>
      <c r="G905" s="12" t="s">
        <v>2843</v>
      </c>
      <c r="H905" s="128">
        <v>7.0</v>
      </c>
      <c r="I905" s="37" t="s">
        <v>3465</v>
      </c>
      <c r="J905" s="34" t="s">
        <v>2065</v>
      </c>
      <c r="K905" s="148">
        <v>45910.0</v>
      </c>
      <c r="L905" s="12" t="s">
        <v>51</v>
      </c>
      <c r="M905" s="19"/>
      <c r="N905" s="19"/>
      <c r="O905" s="34" t="s">
        <v>3398</v>
      </c>
      <c r="P905" s="385" t="s">
        <v>1432</v>
      </c>
      <c r="Q905" s="143" t="s">
        <v>3469</v>
      </c>
    </row>
    <row r="906" hidden="1">
      <c r="A906" s="12">
        <v>13.0</v>
      </c>
      <c r="B906" s="501" t="s">
        <v>3486</v>
      </c>
      <c r="C906" s="12" t="s">
        <v>1025</v>
      </c>
      <c r="D906" s="12" t="s">
        <v>3487</v>
      </c>
      <c r="E906" s="12" t="s">
        <v>3488</v>
      </c>
      <c r="F906" s="500" t="s">
        <v>1387</v>
      </c>
      <c r="G906" s="164">
        <v>45757.0</v>
      </c>
      <c r="H906" s="128">
        <v>14.0</v>
      </c>
      <c r="I906" s="499" t="s">
        <v>3043</v>
      </c>
      <c r="J906" s="34" t="s">
        <v>2065</v>
      </c>
      <c r="K906" s="148">
        <v>45848.0</v>
      </c>
      <c r="L906" s="12" t="s">
        <v>374</v>
      </c>
      <c r="M906" s="19"/>
      <c r="N906" s="19"/>
      <c r="O906" s="34" t="s">
        <v>3189</v>
      </c>
      <c r="P906" s="385" t="s">
        <v>1432</v>
      </c>
      <c r="Q906" s="143" t="s">
        <v>3469</v>
      </c>
    </row>
    <row r="907" hidden="1">
      <c r="A907" s="12">
        <v>14.0</v>
      </c>
      <c r="B907" s="129" t="s">
        <v>3489</v>
      </c>
      <c r="C907" s="12" t="s">
        <v>80</v>
      </c>
      <c r="D907" s="12" t="s">
        <v>3490</v>
      </c>
      <c r="E907" s="473" t="s">
        <v>3491</v>
      </c>
      <c r="F907" s="500" t="s">
        <v>535</v>
      </c>
      <c r="G907" s="233">
        <v>46001.0</v>
      </c>
      <c r="H907" s="128">
        <v>22.0</v>
      </c>
      <c r="I907" s="37" t="s">
        <v>3492</v>
      </c>
      <c r="J907" s="34" t="s">
        <v>2541</v>
      </c>
      <c r="K907" s="148">
        <v>45879.0</v>
      </c>
      <c r="L907" s="12" t="s">
        <v>374</v>
      </c>
      <c r="M907" s="19"/>
      <c r="N907" s="19"/>
      <c r="O907" s="34" t="s">
        <v>3493</v>
      </c>
      <c r="P907" s="385" t="s">
        <v>1432</v>
      </c>
      <c r="Q907" s="143" t="s">
        <v>3469</v>
      </c>
    </row>
    <row r="908" hidden="1">
      <c r="A908" s="12">
        <v>15.0</v>
      </c>
      <c r="B908" s="129" t="s">
        <v>3494</v>
      </c>
      <c r="C908" s="12" t="s">
        <v>80</v>
      </c>
      <c r="D908" s="12" t="s">
        <v>3495</v>
      </c>
      <c r="E908" s="473" t="s">
        <v>3496</v>
      </c>
      <c r="F908" s="500" t="s">
        <v>535</v>
      </c>
      <c r="G908" s="233">
        <v>46001.0</v>
      </c>
      <c r="H908" s="128">
        <v>22.0</v>
      </c>
      <c r="I908" s="12" t="s">
        <v>2890</v>
      </c>
      <c r="J908" s="34" t="s">
        <v>2541</v>
      </c>
      <c r="K908" s="148">
        <v>45879.0</v>
      </c>
      <c r="L908" s="12" t="s">
        <v>374</v>
      </c>
      <c r="M908" s="19"/>
      <c r="N908" s="19"/>
      <c r="O908" s="34" t="s">
        <v>3493</v>
      </c>
      <c r="P908" s="385" t="s">
        <v>1432</v>
      </c>
      <c r="Q908" s="143" t="s">
        <v>3469</v>
      </c>
    </row>
    <row r="909" hidden="1">
      <c r="A909" s="12">
        <v>16.0</v>
      </c>
      <c r="B909" s="129" t="s">
        <v>3497</v>
      </c>
      <c r="C909" s="128" t="s">
        <v>2307</v>
      </c>
      <c r="D909" s="12" t="s">
        <v>3498</v>
      </c>
      <c r="E909" s="471" t="s">
        <v>3499</v>
      </c>
      <c r="F909" s="128" t="s">
        <v>2599</v>
      </c>
      <c r="G909" s="12" t="s">
        <v>3211</v>
      </c>
      <c r="H909" s="128">
        <v>24.0</v>
      </c>
      <c r="I909" s="12" t="s">
        <v>2890</v>
      </c>
      <c r="J909" s="129" t="s">
        <v>100</v>
      </c>
      <c r="K909" s="478">
        <v>45971.0</v>
      </c>
      <c r="L909" s="12" t="s">
        <v>100</v>
      </c>
      <c r="M909" s="19"/>
      <c r="N909" s="19"/>
      <c r="O909" s="34" t="s">
        <v>3273</v>
      </c>
      <c r="P909" s="407" t="s">
        <v>2560</v>
      </c>
      <c r="Q909" s="143" t="s">
        <v>3469</v>
      </c>
    </row>
    <row r="910" hidden="1">
      <c r="A910" s="12">
        <v>17.0</v>
      </c>
      <c r="B910" s="129" t="s">
        <v>3500</v>
      </c>
      <c r="C910" s="128" t="s">
        <v>2403</v>
      </c>
      <c r="D910" s="12" t="s">
        <v>3501</v>
      </c>
      <c r="E910" s="471" t="s">
        <v>3502</v>
      </c>
      <c r="F910" s="128" t="s">
        <v>2599</v>
      </c>
      <c r="G910" s="12" t="s">
        <v>3211</v>
      </c>
      <c r="H910" s="128">
        <v>24.0</v>
      </c>
      <c r="I910" s="499" t="s">
        <v>3231</v>
      </c>
      <c r="J910" s="129" t="s">
        <v>100</v>
      </c>
      <c r="K910" s="478">
        <v>45971.0</v>
      </c>
      <c r="L910" s="12" t="s">
        <v>100</v>
      </c>
      <c r="M910" s="19"/>
      <c r="N910" s="19"/>
      <c r="O910" s="34" t="s">
        <v>3189</v>
      </c>
      <c r="P910" s="407" t="s">
        <v>2560</v>
      </c>
      <c r="Q910" s="143" t="s">
        <v>3469</v>
      </c>
    </row>
    <row r="911" hidden="1">
      <c r="A911" s="12">
        <v>18.0</v>
      </c>
      <c r="B911" s="129" t="s">
        <v>3503</v>
      </c>
      <c r="C911" s="12" t="s">
        <v>1185</v>
      </c>
      <c r="D911" s="12" t="s">
        <v>3504</v>
      </c>
      <c r="E911" s="12" t="s">
        <v>3505</v>
      </c>
      <c r="F911" s="500" t="s">
        <v>356</v>
      </c>
      <c r="G911" s="12" t="s">
        <v>3330</v>
      </c>
      <c r="H911" s="128">
        <v>25.0</v>
      </c>
      <c r="I911" s="12" t="s">
        <v>2890</v>
      </c>
      <c r="J911" s="34" t="s">
        <v>3099</v>
      </c>
      <c r="K911" s="148">
        <v>45910.0</v>
      </c>
      <c r="L911" s="12" t="s">
        <v>374</v>
      </c>
      <c r="M911" s="19"/>
      <c r="N911" s="19"/>
      <c r="O911" s="34" t="s">
        <v>99</v>
      </c>
      <c r="P911" s="385" t="s">
        <v>1432</v>
      </c>
      <c r="Q911" s="143" t="s">
        <v>3469</v>
      </c>
    </row>
    <row r="912" hidden="1">
      <c r="A912" s="12">
        <v>19.0</v>
      </c>
      <c r="B912" s="129" t="s">
        <v>3506</v>
      </c>
      <c r="C912" s="12" t="s">
        <v>1185</v>
      </c>
      <c r="D912" s="12" t="s">
        <v>3507</v>
      </c>
      <c r="E912" s="12" t="s">
        <v>3508</v>
      </c>
      <c r="F912" s="500" t="s">
        <v>356</v>
      </c>
      <c r="G912" s="12" t="s">
        <v>3330</v>
      </c>
      <c r="H912" s="128">
        <v>25.0</v>
      </c>
      <c r="I912" s="499" t="s">
        <v>3231</v>
      </c>
      <c r="J912" s="34" t="s">
        <v>3099</v>
      </c>
      <c r="K912" s="478">
        <v>45940.0</v>
      </c>
      <c r="L912" s="12" t="s">
        <v>374</v>
      </c>
      <c r="M912" s="19"/>
      <c r="N912" s="19"/>
      <c r="O912" s="34" t="s">
        <v>99</v>
      </c>
      <c r="P912" s="385" t="s">
        <v>1432</v>
      </c>
      <c r="Q912" s="143" t="s">
        <v>3469</v>
      </c>
    </row>
    <row r="913" hidden="1">
      <c r="A913" s="12">
        <v>20.0</v>
      </c>
      <c r="B913" s="129" t="s">
        <v>3509</v>
      </c>
      <c r="C913" s="12" t="s">
        <v>80</v>
      </c>
      <c r="D913" s="12" t="s">
        <v>3510</v>
      </c>
      <c r="E913" s="12" t="s">
        <v>3511</v>
      </c>
      <c r="F913" s="500" t="s">
        <v>3512</v>
      </c>
      <c r="G913" s="164">
        <v>45818.0</v>
      </c>
      <c r="H913" s="128">
        <v>16.0</v>
      </c>
      <c r="I913" s="128"/>
      <c r="J913" s="34" t="s">
        <v>2541</v>
      </c>
      <c r="K913" s="34" t="s">
        <v>2898</v>
      </c>
      <c r="L913" s="12" t="s">
        <v>778</v>
      </c>
      <c r="M913" s="19"/>
      <c r="N913" s="19"/>
      <c r="O913" s="451">
        <v>45938.0</v>
      </c>
      <c r="P913" s="19"/>
      <c r="Q913" s="143" t="s">
        <v>3469</v>
      </c>
    </row>
    <row r="914" hidden="1">
      <c r="A914" s="12">
        <v>21.0</v>
      </c>
      <c r="B914" s="129" t="s">
        <v>3513</v>
      </c>
      <c r="C914" s="12" t="s">
        <v>80</v>
      </c>
      <c r="D914" s="12" t="s">
        <v>3514</v>
      </c>
      <c r="E914" s="12" t="s">
        <v>3515</v>
      </c>
      <c r="F914" s="500" t="s">
        <v>3512</v>
      </c>
      <c r="G914" s="164">
        <v>45818.0</v>
      </c>
      <c r="H914" s="128">
        <v>16.0</v>
      </c>
      <c r="I914" s="128"/>
      <c r="J914" s="34" t="s">
        <v>2541</v>
      </c>
      <c r="K914" s="34" t="s">
        <v>2898</v>
      </c>
      <c r="L914" s="12" t="s">
        <v>778</v>
      </c>
      <c r="M914" s="19"/>
      <c r="N914" s="19"/>
      <c r="O914" s="451">
        <v>45938.0</v>
      </c>
      <c r="P914" s="19"/>
      <c r="Q914" s="143" t="s">
        <v>3469</v>
      </c>
    </row>
    <row r="915" hidden="1">
      <c r="A915" s="12">
        <v>22.0</v>
      </c>
      <c r="B915" s="129" t="s">
        <v>3516</v>
      </c>
      <c r="C915" s="12" t="s">
        <v>80</v>
      </c>
      <c r="D915" s="12" t="s">
        <v>3517</v>
      </c>
      <c r="E915" s="12" t="s">
        <v>3518</v>
      </c>
      <c r="F915" s="500" t="s">
        <v>3512</v>
      </c>
      <c r="G915" s="164">
        <v>45818.0</v>
      </c>
      <c r="H915" s="128">
        <v>16.0</v>
      </c>
      <c r="I915" s="128"/>
      <c r="J915" s="34" t="s">
        <v>2541</v>
      </c>
      <c r="K915" s="34" t="s">
        <v>2898</v>
      </c>
      <c r="L915" s="12" t="s">
        <v>778</v>
      </c>
      <c r="M915" s="19"/>
      <c r="N915" s="19"/>
      <c r="O915" s="451">
        <v>45938.0</v>
      </c>
      <c r="P915" s="19"/>
      <c r="Q915" s="143" t="s">
        <v>3469</v>
      </c>
    </row>
    <row r="916" hidden="1">
      <c r="A916" s="12">
        <v>23.0</v>
      </c>
      <c r="B916" s="129" t="s">
        <v>3519</v>
      </c>
      <c r="C916" s="12" t="s">
        <v>80</v>
      </c>
      <c r="D916" s="12" t="s">
        <v>3520</v>
      </c>
      <c r="E916" s="12" t="s">
        <v>3521</v>
      </c>
      <c r="F916" s="500" t="s">
        <v>3512</v>
      </c>
      <c r="G916" s="164">
        <v>45818.0</v>
      </c>
      <c r="H916" s="128">
        <v>16.0</v>
      </c>
      <c r="I916" s="128"/>
      <c r="J916" s="34" t="s">
        <v>2541</v>
      </c>
      <c r="K916" s="34" t="s">
        <v>87</v>
      </c>
      <c r="L916" s="12" t="s">
        <v>778</v>
      </c>
      <c r="M916" s="19"/>
      <c r="N916" s="19"/>
      <c r="O916" s="451">
        <v>45938.0</v>
      </c>
      <c r="P916" s="19"/>
      <c r="Q916" s="143" t="s">
        <v>3469</v>
      </c>
    </row>
    <row r="917" hidden="1">
      <c r="A917" s="12">
        <v>24.0</v>
      </c>
      <c r="B917" s="129" t="s">
        <v>3522</v>
      </c>
      <c r="C917" s="12" t="s">
        <v>80</v>
      </c>
      <c r="D917" s="12" t="s">
        <v>3523</v>
      </c>
      <c r="E917" s="12" t="s">
        <v>3524</v>
      </c>
      <c r="F917" s="500" t="s">
        <v>3512</v>
      </c>
      <c r="G917" s="164">
        <v>45818.0</v>
      </c>
      <c r="H917" s="128">
        <v>16.0</v>
      </c>
      <c r="I917" s="128"/>
      <c r="J917" s="34" t="s">
        <v>2541</v>
      </c>
      <c r="K917" s="34" t="s">
        <v>87</v>
      </c>
      <c r="L917" s="12" t="s">
        <v>778</v>
      </c>
      <c r="M917" s="19"/>
      <c r="N917" s="19"/>
      <c r="O917" s="451">
        <v>45938.0</v>
      </c>
      <c r="P917" s="19"/>
      <c r="Q917" s="143" t="s">
        <v>3469</v>
      </c>
    </row>
    <row r="918" hidden="1">
      <c r="A918" s="12">
        <v>25.0</v>
      </c>
      <c r="B918" s="129" t="s">
        <v>3525</v>
      </c>
      <c r="C918" s="12" t="s">
        <v>80</v>
      </c>
      <c r="D918" s="12" t="s">
        <v>3526</v>
      </c>
      <c r="E918" s="12" t="s">
        <v>3527</v>
      </c>
      <c r="F918" s="500" t="s">
        <v>3512</v>
      </c>
      <c r="G918" s="164">
        <v>45818.0</v>
      </c>
      <c r="H918" s="128">
        <v>16.0</v>
      </c>
      <c r="I918" s="128"/>
      <c r="J918" s="34" t="s">
        <v>2541</v>
      </c>
      <c r="K918" s="34" t="s">
        <v>87</v>
      </c>
      <c r="L918" s="12" t="s">
        <v>778</v>
      </c>
      <c r="M918" s="19"/>
      <c r="N918" s="19"/>
      <c r="O918" s="451">
        <v>45938.0</v>
      </c>
      <c r="P918" s="19"/>
      <c r="Q918" s="143" t="s">
        <v>3469</v>
      </c>
    </row>
    <row r="919" hidden="1">
      <c r="A919" s="12">
        <v>26.0</v>
      </c>
      <c r="B919" s="129" t="s">
        <v>3528</v>
      </c>
      <c r="C919" s="12" t="s">
        <v>80</v>
      </c>
      <c r="D919" s="12" t="s">
        <v>3529</v>
      </c>
      <c r="E919" s="12" t="s">
        <v>3530</v>
      </c>
      <c r="F919" s="500" t="s">
        <v>3512</v>
      </c>
      <c r="G919" s="164">
        <v>45818.0</v>
      </c>
      <c r="H919" s="128">
        <v>16.0</v>
      </c>
      <c r="I919" s="128"/>
      <c r="J919" s="34" t="s">
        <v>2541</v>
      </c>
      <c r="K919" s="34" t="s">
        <v>87</v>
      </c>
      <c r="L919" s="12" t="s">
        <v>778</v>
      </c>
      <c r="M919" s="19"/>
      <c r="N919" s="19"/>
      <c r="O919" s="451">
        <v>45938.0</v>
      </c>
      <c r="P919" s="19"/>
      <c r="Q919" s="143" t="s">
        <v>3469</v>
      </c>
    </row>
    <row r="920" hidden="1">
      <c r="A920" s="12">
        <v>27.0</v>
      </c>
      <c r="B920" s="129" t="s">
        <v>3531</v>
      </c>
      <c r="C920" s="12" t="s">
        <v>80</v>
      </c>
      <c r="D920" s="12" t="s">
        <v>3532</v>
      </c>
      <c r="E920" s="12" t="s">
        <v>3533</v>
      </c>
      <c r="F920" s="500" t="s">
        <v>3512</v>
      </c>
      <c r="G920" s="164">
        <v>45818.0</v>
      </c>
      <c r="H920" s="128">
        <v>16.0</v>
      </c>
      <c r="I920" s="128"/>
      <c r="J920" s="34" t="s">
        <v>2541</v>
      </c>
      <c r="K920" s="34" t="s">
        <v>87</v>
      </c>
      <c r="L920" s="12" t="s">
        <v>778</v>
      </c>
      <c r="M920" s="19"/>
      <c r="N920" s="19"/>
      <c r="O920" s="451">
        <v>45938.0</v>
      </c>
      <c r="P920" s="19"/>
      <c r="Q920" s="143" t="s">
        <v>3469</v>
      </c>
    </row>
    <row r="921" hidden="1">
      <c r="A921" s="12">
        <v>28.0</v>
      </c>
      <c r="B921" s="129" t="s">
        <v>3534</v>
      </c>
      <c r="C921" s="12" t="s">
        <v>80</v>
      </c>
      <c r="D921" s="12" t="s">
        <v>3535</v>
      </c>
      <c r="E921" s="12" t="s">
        <v>3536</v>
      </c>
      <c r="F921" s="500" t="s">
        <v>3512</v>
      </c>
      <c r="G921" s="164">
        <v>45818.0</v>
      </c>
      <c r="H921" s="128">
        <v>16.0</v>
      </c>
      <c r="I921" s="128"/>
      <c r="J921" s="34" t="s">
        <v>778</v>
      </c>
      <c r="K921" s="34" t="s">
        <v>87</v>
      </c>
      <c r="L921" s="12" t="s">
        <v>778</v>
      </c>
      <c r="M921" s="19"/>
      <c r="N921" s="19"/>
      <c r="O921" s="451">
        <v>45938.0</v>
      </c>
      <c r="P921" s="19"/>
      <c r="Q921" s="143" t="s">
        <v>3469</v>
      </c>
    </row>
    <row r="922" hidden="1">
      <c r="A922" s="12">
        <v>29.0</v>
      </c>
      <c r="B922" s="129" t="s">
        <v>3537</v>
      </c>
      <c r="C922" s="12" t="s">
        <v>80</v>
      </c>
      <c r="D922" s="12" t="s">
        <v>3538</v>
      </c>
      <c r="E922" s="12" t="s">
        <v>3539</v>
      </c>
      <c r="F922" s="500" t="s">
        <v>3512</v>
      </c>
      <c r="G922" s="164">
        <v>45818.0</v>
      </c>
      <c r="H922" s="128">
        <v>16.0</v>
      </c>
      <c r="I922" s="128"/>
      <c r="J922" s="34" t="s">
        <v>778</v>
      </c>
      <c r="K922" s="34" t="s">
        <v>87</v>
      </c>
      <c r="L922" s="12" t="s">
        <v>778</v>
      </c>
      <c r="M922" s="19"/>
      <c r="N922" s="19"/>
      <c r="O922" s="451">
        <v>45938.0</v>
      </c>
      <c r="P922" s="19"/>
      <c r="Q922" s="143" t="s">
        <v>3469</v>
      </c>
    </row>
    <row r="923" hidden="1">
      <c r="A923" s="12">
        <v>30.0</v>
      </c>
      <c r="B923" s="129" t="s">
        <v>3540</v>
      </c>
      <c r="C923" s="12" t="s">
        <v>80</v>
      </c>
      <c r="D923" s="12" t="s">
        <v>3541</v>
      </c>
      <c r="E923" s="12" t="s">
        <v>3542</v>
      </c>
      <c r="F923" s="500" t="s">
        <v>3512</v>
      </c>
      <c r="G923" s="164">
        <v>45818.0</v>
      </c>
      <c r="H923" s="128">
        <v>16.0</v>
      </c>
      <c r="I923" s="128"/>
      <c r="J923" s="34" t="s">
        <v>2541</v>
      </c>
      <c r="K923" s="34" t="s">
        <v>87</v>
      </c>
      <c r="L923" s="12" t="s">
        <v>778</v>
      </c>
      <c r="M923" s="19"/>
      <c r="N923" s="19"/>
      <c r="O923" s="451">
        <v>45938.0</v>
      </c>
      <c r="P923" s="19"/>
      <c r="Q923" s="143" t="s">
        <v>3469</v>
      </c>
    </row>
    <row r="924" hidden="1">
      <c r="A924" s="12">
        <v>31.0</v>
      </c>
      <c r="B924" s="129" t="s">
        <v>3543</v>
      </c>
      <c r="C924" s="12" t="s">
        <v>80</v>
      </c>
      <c r="D924" s="12" t="s">
        <v>3544</v>
      </c>
      <c r="E924" s="12" t="s">
        <v>3545</v>
      </c>
      <c r="F924" s="500" t="s">
        <v>3512</v>
      </c>
      <c r="G924" s="164">
        <v>45818.0</v>
      </c>
      <c r="H924" s="128">
        <v>16.0</v>
      </c>
      <c r="I924" s="128"/>
      <c r="J924" s="34" t="s">
        <v>2541</v>
      </c>
      <c r="K924" s="34" t="s">
        <v>87</v>
      </c>
      <c r="L924" s="12" t="s">
        <v>778</v>
      </c>
      <c r="M924" s="19"/>
      <c r="N924" s="19"/>
      <c r="O924" s="451">
        <v>45938.0</v>
      </c>
      <c r="P924" s="19"/>
      <c r="Q924" s="143" t="s">
        <v>3469</v>
      </c>
    </row>
    <row r="925" hidden="1">
      <c r="A925" s="12">
        <v>32.0</v>
      </c>
      <c r="B925" s="129" t="s">
        <v>3546</v>
      </c>
      <c r="C925" s="12" t="s">
        <v>80</v>
      </c>
      <c r="D925" s="12" t="s">
        <v>3547</v>
      </c>
      <c r="E925" s="12" t="s">
        <v>3548</v>
      </c>
      <c r="F925" s="500" t="s">
        <v>3512</v>
      </c>
      <c r="G925" s="164">
        <v>45818.0</v>
      </c>
      <c r="H925" s="128">
        <v>16.0</v>
      </c>
      <c r="I925" s="128"/>
      <c r="J925" s="34" t="s">
        <v>778</v>
      </c>
      <c r="K925" s="34" t="s">
        <v>87</v>
      </c>
      <c r="L925" s="12" t="s">
        <v>778</v>
      </c>
      <c r="M925" s="19"/>
      <c r="N925" s="19"/>
      <c r="O925" s="451">
        <v>45938.0</v>
      </c>
      <c r="P925" s="19"/>
      <c r="Q925" s="143" t="s">
        <v>3469</v>
      </c>
    </row>
    <row r="926" hidden="1">
      <c r="A926" s="12">
        <v>33.0</v>
      </c>
      <c r="B926" s="129" t="s">
        <v>3549</v>
      </c>
      <c r="C926" s="12" t="s">
        <v>80</v>
      </c>
      <c r="D926" s="12" t="s">
        <v>3550</v>
      </c>
      <c r="E926" s="12" t="s">
        <v>3551</v>
      </c>
      <c r="F926" s="500" t="s">
        <v>3512</v>
      </c>
      <c r="G926" s="164">
        <v>45818.0</v>
      </c>
      <c r="H926" s="128">
        <v>16.0</v>
      </c>
      <c r="I926" s="128"/>
      <c r="J926" s="34" t="s">
        <v>778</v>
      </c>
      <c r="K926" s="148">
        <v>45726.0</v>
      </c>
      <c r="L926" s="12" t="s">
        <v>778</v>
      </c>
      <c r="M926" s="19"/>
      <c r="N926" s="19"/>
      <c r="O926" s="451">
        <v>45938.0</v>
      </c>
      <c r="P926" s="19"/>
      <c r="Q926" s="143" t="s">
        <v>3469</v>
      </c>
    </row>
    <row r="927" hidden="1">
      <c r="A927" s="12">
        <v>34.0</v>
      </c>
      <c r="B927" s="129" t="s">
        <v>3552</v>
      </c>
      <c r="C927" s="12" t="s">
        <v>80</v>
      </c>
      <c r="D927" s="12" t="s">
        <v>3553</v>
      </c>
      <c r="E927" s="12" t="s">
        <v>3554</v>
      </c>
      <c r="F927" s="500" t="s">
        <v>3512</v>
      </c>
      <c r="G927" s="164">
        <v>45818.0</v>
      </c>
      <c r="H927" s="128">
        <v>16.0</v>
      </c>
      <c r="I927" s="128"/>
      <c r="J927" s="19"/>
      <c r="K927" s="19"/>
      <c r="L927" s="12" t="s">
        <v>778</v>
      </c>
      <c r="M927" s="19"/>
      <c r="N927" s="19"/>
      <c r="O927" s="451">
        <v>45938.0</v>
      </c>
      <c r="P927" s="19"/>
      <c r="Q927" s="143" t="s">
        <v>3469</v>
      </c>
    </row>
    <row r="928" hidden="1">
      <c r="A928" s="12">
        <v>35.0</v>
      </c>
      <c r="B928" s="129" t="s">
        <v>3555</v>
      </c>
      <c r="C928" s="12" t="s">
        <v>80</v>
      </c>
      <c r="D928" s="12" t="s">
        <v>3556</v>
      </c>
      <c r="E928" s="12" t="s">
        <v>3557</v>
      </c>
      <c r="F928" s="500" t="s">
        <v>3512</v>
      </c>
      <c r="G928" s="164">
        <v>45818.0</v>
      </c>
      <c r="H928" s="128">
        <v>16.0</v>
      </c>
      <c r="I928" s="128"/>
      <c r="J928" s="19"/>
      <c r="K928" s="19"/>
      <c r="L928" s="12" t="s">
        <v>778</v>
      </c>
      <c r="M928" s="19"/>
      <c r="N928" s="19"/>
      <c r="O928" s="451">
        <v>45938.0</v>
      </c>
      <c r="P928" s="19"/>
      <c r="Q928" s="143" t="s">
        <v>3469</v>
      </c>
    </row>
    <row r="929" hidden="1">
      <c r="A929" s="12">
        <v>36.0</v>
      </c>
      <c r="B929" s="129" t="s">
        <v>3558</v>
      </c>
      <c r="C929" s="12" t="s">
        <v>80</v>
      </c>
      <c r="D929" s="12" t="s">
        <v>3559</v>
      </c>
      <c r="E929" s="12" t="s">
        <v>3560</v>
      </c>
      <c r="F929" s="500" t="s">
        <v>3512</v>
      </c>
      <c r="G929" s="164">
        <v>45818.0</v>
      </c>
      <c r="H929" s="128">
        <v>16.0</v>
      </c>
      <c r="I929" s="128"/>
      <c r="J929" s="19"/>
      <c r="K929" s="19"/>
      <c r="L929" s="12" t="s">
        <v>778</v>
      </c>
      <c r="M929" s="19"/>
      <c r="N929" s="19"/>
      <c r="O929" s="451">
        <v>45938.0</v>
      </c>
      <c r="P929" s="19"/>
      <c r="Q929" s="143" t="s">
        <v>3469</v>
      </c>
    </row>
    <row r="930" hidden="1">
      <c r="A930" s="12">
        <v>37.0</v>
      </c>
      <c r="B930" s="129" t="s">
        <v>3561</v>
      </c>
      <c r="C930" s="12" t="s">
        <v>80</v>
      </c>
      <c r="D930" s="12" t="s">
        <v>3562</v>
      </c>
      <c r="E930" s="12" t="s">
        <v>3563</v>
      </c>
      <c r="F930" s="500" t="s">
        <v>3512</v>
      </c>
      <c r="G930" s="164">
        <v>45818.0</v>
      </c>
      <c r="H930" s="128">
        <v>16.0</v>
      </c>
      <c r="I930" s="128"/>
      <c r="J930" s="34" t="s">
        <v>51</v>
      </c>
      <c r="K930" s="148">
        <v>45698.0</v>
      </c>
      <c r="L930" s="12" t="s">
        <v>778</v>
      </c>
      <c r="M930" s="19"/>
      <c r="N930" s="19"/>
      <c r="O930" s="451">
        <v>45938.0</v>
      </c>
      <c r="P930" s="19"/>
      <c r="Q930" s="143" t="s">
        <v>3469</v>
      </c>
    </row>
    <row r="931" hidden="1">
      <c r="A931" s="12">
        <v>38.0</v>
      </c>
      <c r="B931" s="129" t="s">
        <v>3564</v>
      </c>
      <c r="C931" s="12" t="s">
        <v>80</v>
      </c>
      <c r="D931" s="12" t="s">
        <v>3565</v>
      </c>
      <c r="E931" s="12" t="s">
        <v>3566</v>
      </c>
      <c r="F931" s="500" t="s">
        <v>3512</v>
      </c>
      <c r="G931" s="164">
        <v>45818.0</v>
      </c>
      <c r="H931" s="128">
        <v>16.0</v>
      </c>
      <c r="I931" s="128"/>
      <c r="J931" s="34" t="s">
        <v>51</v>
      </c>
      <c r="K931" s="148">
        <v>45698.0</v>
      </c>
      <c r="L931" s="12" t="s">
        <v>778</v>
      </c>
      <c r="M931" s="19"/>
      <c r="N931" s="19"/>
      <c r="O931" s="451">
        <v>45938.0</v>
      </c>
      <c r="P931" s="19"/>
      <c r="Q931" s="143" t="s">
        <v>3469</v>
      </c>
    </row>
    <row r="932" hidden="1">
      <c r="A932" s="12">
        <v>39.0</v>
      </c>
      <c r="B932" s="129" t="s">
        <v>3567</v>
      </c>
      <c r="C932" s="12" t="s">
        <v>80</v>
      </c>
      <c r="D932" s="12" t="s">
        <v>3568</v>
      </c>
      <c r="E932" s="12" t="s">
        <v>3569</v>
      </c>
      <c r="F932" s="500" t="s">
        <v>3512</v>
      </c>
      <c r="G932" s="164">
        <v>45818.0</v>
      </c>
      <c r="H932" s="128">
        <v>16.0</v>
      </c>
      <c r="I932" s="128"/>
      <c r="J932" s="34" t="s">
        <v>51</v>
      </c>
      <c r="K932" s="148">
        <v>45698.0</v>
      </c>
      <c r="L932" s="12" t="s">
        <v>778</v>
      </c>
      <c r="M932" s="19"/>
      <c r="N932" s="19"/>
      <c r="O932" s="451">
        <v>45938.0</v>
      </c>
      <c r="P932" s="19"/>
      <c r="Q932" s="143" t="s">
        <v>3469</v>
      </c>
    </row>
    <row r="933" hidden="1">
      <c r="A933" s="12">
        <v>40.0</v>
      </c>
      <c r="B933" s="129" t="s">
        <v>3570</v>
      </c>
      <c r="C933" s="12" t="s">
        <v>80</v>
      </c>
      <c r="D933" s="12" t="s">
        <v>3571</v>
      </c>
      <c r="E933" s="12" t="s">
        <v>3572</v>
      </c>
      <c r="F933" s="500" t="s">
        <v>3512</v>
      </c>
      <c r="G933" s="164">
        <v>45818.0</v>
      </c>
      <c r="H933" s="128">
        <v>16.0</v>
      </c>
      <c r="I933" s="128"/>
      <c r="J933" s="34" t="s">
        <v>51</v>
      </c>
      <c r="K933" s="148">
        <v>45698.0</v>
      </c>
      <c r="L933" s="12" t="s">
        <v>778</v>
      </c>
      <c r="M933" s="19"/>
      <c r="N933" s="19"/>
      <c r="O933" s="451">
        <v>45938.0</v>
      </c>
      <c r="P933" s="19"/>
      <c r="Q933" s="143" t="s">
        <v>3469</v>
      </c>
    </row>
    <row r="934" hidden="1">
      <c r="A934" s="12">
        <v>41.0</v>
      </c>
      <c r="B934" s="129" t="s">
        <v>3573</v>
      </c>
      <c r="C934" s="12" t="s">
        <v>80</v>
      </c>
      <c r="D934" s="12" t="s">
        <v>3574</v>
      </c>
      <c r="E934" s="12" t="s">
        <v>3575</v>
      </c>
      <c r="F934" s="500" t="s">
        <v>3512</v>
      </c>
      <c r="G934" s="164">
        <v>45818.0</v>
      </c>
      <c r="H934" s="128">
        <v>16.0</v>
      </c>
      <c r="I934" s="128"/>
      <c r="J934" s="34" t="s">
        <v>51</v>
      </c>
      <c r="K934" s="148">
        <v>45698.0</v>
      </c>
      <c r="L934" s="12" t="s">
        <v>778</v>
      </c>
      <c r="M934" s="19"/>
      <c r="N934" s="19"/>
      <c r="O934" s="451">
        <v>45938.0</v>
      </c>
      <c r="P934" s="19"/>
      <c r="Q934" s="143" t="s">
        <v>3469</v>
      </c>
    </row>
    <row r="935" hidden="1">
      <c r="A935" s="12">
        <v>42.0</v>
      </c>
      <c r="B935" s="501" t="s">
        <v>3576</v>
      </c>
      <c r="C935" s="12" t="s">
        <v>80</v>
      </c>
      <c r="D935" s="12" t="s">
        <v>3577</v>
      </c>
      <c r="E935" s="12" t="s">
        <v>3578</v>
      </c>
      <c r="F935" s="500" t="s">
        <v>1002</v>
      </c>
      <c r="G935" s="164">
        <v>45787.0</v>
      </c>
      <c r="H935" s="128">
        <v>15.0</v>
      </c>
      <c r="I935" s="342" t="s">
        <v>2890</v>
      </c>
      <c r="J935" s="34" t="s">
        <v>2065</v>
      </c>
      <c r="K935" s="148">
        <v>45879.0</v>
      </c>
      <c r="L935" s="12" t="s">
        <v>3579</v>
      </c>
      <c r="M935" s="19"/>
      <c r="N935" s="19"/>
      <c r="O935" s="19"/>
      <c r="P935" s="385" t="s">
        <v>1432</v>
      </c>
      <c r="Q935" s="143" t="s">
        <v>3469</v>
      </c>
    </row>
    <row r="936" hidden="1">
      <c r="A936" s="12">
        <v>43.0</v>
      </c>
      <c r="B936" s="129" t="s">
        <v>3580</v>
      </c>
      <c r="C936" s="12" t="s">
        <v>80</v>
      </c>
      <c r="D936" s="12" t="s">
        <v>3581</v>
      </c>
      <c r="E936" s="12" t="s">
        <v>3582</v>
      </c>
      <c r="F936" s="500" t="s">
        <v>3583</v>
      </c>
      <c r="G936" s="164">
        <v>45667.0</v>
      </c>
      <c r="H936" s="128">
        <v>11.0</v>
      </c>
      <c r="I936" s="128"/>
      <c r="J936" s="34" t="s">
        <v>778</v>
      </c>
      <c r="K936" s="34" t="s">
        <v>87</v>
      </c>
      <c r="L936" s="12" t="s">
        <v>778</v>
      </c>
      <c r="M936" s="19"/>
      <c r="N936" s="19"/>
      <c r="O936" s="451">
        <v>45938.0</v>
      </c>
      <c r="P936" s="19"/>
    </row>
    <row r="937" hidden="1">
      <c r="A937" s="339" t="s">
        <v>3584</v>
      </c>
    </row>
    <row r="938" hidden="1">
      <c r="A938" s="427" t="s">
        <v>47</v>
      </c>
      <c r="B938" s="482" t="s">
        <v>7</v>
      </c>
      <c r="C938" s="424" t="s">
        <v>9</v>
      </c>
      <c r="D938" s="424" t="s">
        <v>10</v>
      </c>
      <c r="E938" s="424" t="s">
        <v>11</v>
      </c>
      <c r="F938" s="424" t="s">
        <v>12</v>
      </c>
      <c r="G938" s="424" t="s">
        <v>2378</v>
      </c>
      <c r="H938" s="424" t="s">
        <v>2681</v>
      </c>
      <c r="I938" s="428" t="s">
        <v>2847</v>
      </c>
      <c r="J938" s="8" t="s">
        <v>14</v>
      </c>
      <c r="K938" s="9" t="s">
        <v>16</v>
      </c>
      <c r="L938" s="9" t="s">
        <v>35</v>
      </c>
      <c r="M938" s="9" t="s">
        <v>18</v>
      </c>
      <c r="N938" s="9" t="s">
        <v>19</v>
      </c>
      <c r="O938" s="9" t="s">
        <v>20</v>
      </c>
      <c r="P938" s="9" t="s">
        <v>21</v>
      </c>
    </row>
    <row r="939" hidden="1">
      <c r="A939" s="495">
        <v>1.0</v>
      </c>
      <c r="B939" s="496" t="s">
        <v>3585</v>
      </c>
      <c r="C939" s="495" t="s">
        <v>80</v>
      </c>
      <c r="D939" s="495" t="s">
        <v>3586</v>
      </c>
      <c r="E939" s="502" t="s">
        <v>3587</v>
      </c>
      <c r="F939" s="495" t="s">
        <v>3453</v>
      </c>
      <c r="G939" s="503">
        <v>45848.0</v>
      </c>
      <c r="H939" s="495">
        <v>8.0</v>
      </c>
      <c r="I939" s="495"/>
      <c r="J939" s="34" t="s">
        <v>3588</v>
      </c>
      <c r="K939" s="148">
        <v>45698.0</v>
      </c>
      <c r="L939" s="14"/>
      <c r="M939" s="19"/>
      <c r="N939" s="19"/>
      <c r="O939" s="71">
        <v>45757.0</v>
      </c>
      <c r="P939" s="385" t="s">
        <v>1432</v>
      </c>
    </row>
    <row r="940" hidden="1">
      <c r="A940" s="495">
        <v>2.0</v>
      </c>
      <c r="B940" s="496" t="s">
        <v>1622</v>
      </c>
      <c r="C940" s="495" t="s">
        <v>651</v>
      </c>
      <c r="D940" s="495" t="s">
        <v>3589</v>
      </c>
      <c r="E940" s="498" t="s">
        <v>3590</v>
      </c>
      <c r="F940" s="495" t="s">
        <v>3591</v>
      </c>
      <c r="G940" s="502" t="s">
        <v>3461</v>
      </c>
      <c r="H940" s="495">
        <v>14.0</v>
      </c>
      <c r="I940" s="504" t="s">
        <v>2890</v>
      </c>
      <c r="J940" s="34" t="s">
        <v>100</v>
      </c>
      <c r="K940" s="148">
        <v>45757.0</v>
      </c>
      <c r="L940" s="12" t="s">
        <v>100</v>
      </c>
      <c r="M940" s="19"/>
      <c r="N940" s="19"/>
      <c r="O940" s="148">
        <v>45757.0</v>
      </c>
      <c r="P940" s="385" t="s">
        <v>1432</v>
      </c>
      <c r="Q940" s="143" t="s">
        <v>3445</v>
      </c>
    </row>
    <row r="941" hidden="1">
      <c r="A941" s="12">
        <v>3.0</v>
      </c>
      <c r="B941" s="129" t="s">
        <v>3592</v>
      </c>
      <c r="C941" s="12" t="s">
        <v>1185</v>
      </c>
      <c r="D941" s="12" t="s">
        <v>3593</v>
      </c>
      <c r="E941" s="12" t="s">
        <v>3594</v>
      </c>
      <c r="F941" s="12" t="s">
        <v>2098</v>
      </c>
      <c r="G941" s="283" t="s">
        <v>3409</v>
      </c>
      <c r="H941" s="12">
        <v>19.0</v>
      </c>
      <c r="I941" s="12" t="s">
        <v>2890</v>
      </c>
      <c r="J941" s="34" t="s">
        <v>3099</v>
      </c>
      <c r="K941" s="148">
        <v>45848.0</v>
      </c>
      <c r="L941" s="12" t="s">
        <v>374</v>
      </c>
      <c r="M941" s="19"/>
      <c r="N941" s="19"/>
      <c r="O941" s="19"/>
      <c r="P941" s="385" t="s">
        <v>1432</v>
      </c>
      <c r="Q941" s="143" t="s">
        <v>3445</v>
      </c>
    </row>
    <row r="942" hidden="1">
      <c r="A942" s="12">
        <v>4.0</v>
      </c>
      <c r="B942" s="129" t="s">
        <v>3595</v>
      </c>
      <c r="C942" s="12" t="s">
        <v>1185</v>
      </c>
      <c r="D942" s="12" t="s">
        <v>3596</v>
      </c>
      <c r="E942" s="12" t="s">
        <v>3597</v>
      </c>
      <c r="F942" s="12" t="s">
        <v>2098</v>
      </c>
      <c r="G942" s="283" t="s">
        <v>3409</v>
      </c>
      <c r="H942" s="12">
        <v>19.0</v>
      </c>
      <c r="I942" s="12" t="s">
        <v>2890</v>
      </c>
      <c r="J942" s="34" t="s">
        <v>3099</v>
      </c>
      <c r="K942" s="148">
        <v>45818.0</v>
      </c>
      <c r="L942" s="12" t="s">
        <v>374</v>
      </c>
      <c r="M942" s="19"/>
      <c r="N942" s="19"/>
      <c r="O942" s="34" t="s">
        <v>3598</v>
      </c>
      <c r="P942" s="385" t="s">
        <v>1432</v>
      </c>
      <c r="Q942" s="143" t="s">
        <v>3445</v>
      </c>
    </row>
    <row r="943" hidden="1">
      <c r="A943" s="12">
        <v>5.0</v>
      </c>
      <c r="B943" s="129" t="s">
        <v>3599</v>
      </c>
      <c r="C943" s="12" t="s">
        <v>80</v>
      </c>
      <c r="D943" s="12" t="s">
        <v>3600</v>
      </c>
      <c r="E943" s="473" t="s">
        <v>3601</v>
      </c>
      <c r="F943" s="12" t="s">
        <v>3602</v>
      </c>
      <c r="G943" s="283" t="s">
        <v>3603</v>
      </c>
      <c r="H943" s="12">
        <v>16.0</v>
      </c>
      <c r="I943" s="12" t="s">
        <v>2890</v>
      </c>
      <c r="J943" s="34" t="s">
        <v>2541</v>
      </c>
      <c r="K943" s="148">
        <v>45879.0</v>
      </c>
      <c r="L943" s="12" t="s">
        <v>374</v>
      </c>
      <c r="M943" s="19"/>
      <c r="N943" s="19"/>
      <c r="O943" s="34" t="s">
        <v>3189</v>
      </c>
      <c r="P943" s="407" t="s">
        <v>1798</v>
      </c>
      <c r="Q943" s="143" t="s">
        <v>3445</v>
      </c>
    </row>
    <row r="944" hidden="1">
      <c r="A944" s="12">
        <v>6.0</v>
      </c>
      <c r="B944" s="129" t="s">
        <v>3604</v>
      </c>
      <c r="C944" s="12" t="s">
        <v>80</v>
      </c>
      <c r="D944" s="12" t="s">
        <v>3605</v>
      </c>
      <c r="E944" s="473" t="s">
        <v>3606</v>
      </c>
      <c r="F944" s="12" t="s">
        <v>3602</v>
      </c>
      <c r="G944" s="283" t="s">
        <v>3603</v>
      </c>
      <c r="H944" s="12">
        <v>16.0</v>
      </c>
      <c r="I944" s="12" t="s">
        <v>2890</v>
      </c>
      <c r="J944" s="34" t="s">
        <v>2541</v>
      </c>
      <c r="K944" s="148">
        <v>45879.0</v>
      </c>
      <c r="L944" s="12" t="s">
        <v>374</v>
      </c>
      <c r="M944" s="19"/>
      <c r="N944" s="19"/>
      <c r="O944" s="34" t="s">
        <v>3189</v>
      </c>
      <c r="P944" s="407" t="s">
        <v>1798</v>
      </c>
      <c r="Q944" s="143" t="s">
        <v>3445</v>
      </c>
    </row>
    <row r="945" hidden="1">
      <c r="A945" s="12">
        <v>7.0</v>
      </c>
      <c r="B945" s="129" t="s">
        <v>3607</v>
      </c>
      <c r="C945" s="12" t="s">
        <v>80</v>
      </c>
      <c r="D945" s="12" t="s">
        <v>3608</v>
      </c>
      <c r="E945" s="12" t="s">
        <v>3609</v>
      </c>
      <c r="F945" s="12" t="s">
        <v>356</v>
      </c>
      <c r="G945" s="283" t="s">
        <v>3603</v>
      </c>
      <c r="H945" s="12">
        <v>16.0</v>
      </c>
      <c r="I945" s="12" t="s">
        <v>2890</v>
      </c>
      <c r="J945" s="34" t="s">
        <v>2541</v>
      </c>
      <c r="K945" s="148">
        <v>45910.0</v>
      </c>
      <c r="L945" s="12" t="s">
        <v>51</v>
      </c>
      <c r="M945" s="19"/>
      <c r="N945" s="19"/>
      <c r="O945" s="34" t="s">
        <v>3211</v>
      </c>
      <c r="P945" s="407" t="s">
        <v>2560</v>
      </c>
      <c r="Q945" s="143" t="s">
        <v>3445</v>
      </c>
    </row>
    <row r="946" hidden="1">
      <c r="A946" s="12">
        <v>8.0</v>
      </c>
      <c r="B946" s="129" t="s">
        <v>3610</v>
      </c>
      <c r="C946" s="12" t="s">
        <v>80</v>
      </c>
      <c r="D946" s="12" t="s">
        <v>3611</v>
      </c>
      <c r="E946" s="12" t="s">
        <v>3612</v>
      </c>
      <c r="F946" s="12" t="s">
        <v>356</v>
      </c>
      <c r="G946" s="283" t="s">
        <v>3603</v>
      </c>
      <c r="H946" s="12">
        <v>16.0</v>
      </c>
      <c r="I946" s="12" t="s">
        <v>2890</v>
      </c>
      <c r="J946" s="34" t="s">
        <v>2065</v>
      </c>
      <c r="K946" s="478">
        <v>45940.0</v>
      </c>
      <c r="L946" s="12" t="s">
        <v>51</v>
      </c>
      <c r="M946" s="19"/>
      <c r="N946" s="19"/>
      <c r="O946" s="34" t="s">
        <v>3330</v>
      </c>
      <c r="P946" s="407" t="s">
        <v>2560</v>
      </c>
      <c r="Q946" s="143" t="s">
        <v>3445</v>
      </c>
    </row>
    <row r="947" hidden="1">
      <c r="A947" s="12">
        <v>9.0</v>
      </c>
      <c r="B947" s="129" t="s">
        <v>3613</v>
      </c>
      <c r="C947" s="12" t="s">
        <v>80</v>
      </c>
      <c r="D947" s="12" t="s">
        <v>3614</v>
      </c>
      <c r="E947" s="12" t="s">
        <v>3615</v>
      </c>
      <c r="F947" s="12" t="s">
        <v>356</v>
      </c>
      <c r="G947" s="283" t="s">
        <v>3603</v>
      </c>
      <c r="H947" s="12">
        <v>16.0</v>
      </c>
      <c r="I947" s="12" t="s">
        <v>2890</v>
      </c>
      <c r="J947" s="34" t="s">
        <v>2065</v>
      </c>
      <c r="K947" s="478">
        <v>45940.0</v>
      </c>
      <c r="L947" s="12" t="s">
        <v>51</v>
      </c>
      <c r="M947" s="19"/>
      <c r="N947" s="19"/>
      <c r="O947" s="34" t="s">
        <v>3189</v>
      </c>
      <c r="P947" s="407" t="s">
        <v>2560</v>
      </c>
      <c r="Q947" s="143" t="s">
        <v>3616</v>
      </c>
    </row>
    <row r="948" hidden="1">
      <c r="A948" s="12">
        <v>10.0</v>
      </c>
      <c r="B948" s="129" t="s">
        <v>3617</v>
      </c>
      <c r="C948" s="12" t="s">
        <v>80</v>
      </c>
      <c r="D948" s="12" t="s">
        <v>3618</v>
      </c>
      <c r="E948" s="12" t="s">
        <v>3619</v>
      </c>
      <c r="F948" s="12" t="s">
        <v>25</v>
      </c>
      <c r="G948" s="283" t="s">
        <v>99</v>
      </c>
      <c r="H948" s="12">
        <v>17.0</v>
      </c>
      <c r="I948" s="12" t="s">
        <v>2890</v>
      </c>
      <c r="J948" s="34" t="s">
        <v>2541</v>
      </c>
      <c r="K948" s="148">
        <v>45910.0</v>
      </c>
      <c r="L948" s="12" t="s">
        <v>51</v>
      </c>
      <c r="M948" s="19"/>
      <c r="N948" s="19"/>
      <c r="O948" s="34" t="s">
        <v>3598</v>
      </c>
      <c r="P948" s="385" t="s">
        <v>1432</v>
      </c>
      <c r="Q948" s="143" t="s">
        <v>3620</v>
      </c>
    </row>
    <row r="949" hidden="1">
      <c r="A949" s="12">
        <v>11.0</v>
      </c>
      <c r="B949" s="129" t="s">
        <v>3621</v>
      </c>
      <c r="C949" s="12" t="s">
        <v>1185</v>
      </c>
      <c r="D949" s="12" t="s">
        <v>3622</v>
      </c>
      <c r="E949" s="12" t="s">
        <v>3623</v>
      </c>
      <c r="F949" s="12" t="s">
        <v>3583</v>
      </c>
      <c r="G949" s="505">
        <v>45818.0</v>
      </c>
      <c r="H949" s="12">
        <v>17.0</v>
      </c>
      <c r="I949" s="12" t="s">
        <v>2890</v>
      </c>
      <c r="J949" s="19"/>
      <c r="K949" s="19"/>
      <c r="L949" s="12" t="s">
        <v>778</v>
      </c>
      <c r="M949" s="19"/>
      <c r="N949" s="19"/>
      <c r="O949" s="451">
        <v>45939.0</v>
      </c>
      <c r="P949" s="19"/>
    </row>
    <row r="950" hidden="1">
      <c r="A950" s="12">
        <v>12.0</v>
      </c>
      <c r="B950" s="129" t="s">
        <v>3624</v>
      </c>
      <c r="C950" s="12" t="s">
        <v>80</v>
      </c>
      <c r="D950" s="12" t="s">
        <v>3625</v>
      </c>
      <c r="E950" s="473" t="s">
        <v>3626</v>
      </c>
      <c r="F950" s="12" t="s">
        <v>3088</v>
      </c>
      <c r="G950" s="283" t="s">
        <v>3398</v>
      </c>
      <c r="H950" s="12">
        <v>18.0</v>
      </c>
      <c r="I950" s="12" t="s">
        <v>2890</v>
      </c>
      <c r="J950" s="34" t="s">
        <v>2065</v>
      </c>
      <c r="K950" s="101" t="s">
        <v>3603</v>
      </c>
      <c r="L950" s="12" t="s">
        <v>374</v>
      </c>
      <c r="M950" s="19"/>
      <c r="N950" s="19"/>
      <c r="O950" s="34" t="s">
        <v>3627</v>
      </c>
      <c r="P950" s="385" t="s">
        <v>1432</v>
      </c>
      <c r="Q950" s="143" t="s">
        <v>3620</v>
      </c>
    </row>
    <row r="951" hidden="1">
      <c r="A951" s="12">
        <v>13.0</v>
      </c>
      <c r="B951" s="129" t="s">
        <v>3628</v>
      </c>
      <c r="C951" s="12" t="s">
        <v>80</v>
      </c>
      <c r="D951" s="12" t="s">
        <v>3629</v>
      </c>
      <c r="E951" s="12" t="s">
        <v>3630</v>
      </c>
      <c r="F951" s="12" t="s">
        <v>3631</v>
      </c>
      <c r="G951" s="283" t="s">
        <v>3409</v>
      </c>
      <c r="H951" s="12">
        <v>19.0</v>
      </c>
      <c r="I951" s="12" t="s">
        <v>2890</v>
      </c>
      <c r="J951" s="34" t="s">
        <v>1696</v>
      </c>
      <c r="K951" s="19"/>
      <c r="L951" s="12" t="s">
        <v>374</v>
      </c>
      <c r="M951" s="19"/>
      <c r="N951" s="19"/>
      <c r="O951" s="34" t="s">
        <v>3493</v>
      </c>
      <c r="P951" s="385" t="s">
        <v>1432</v>
      </c>
      <c r="Q951" s="143" t="s">
        <v>3620</v>
      </c>
    </row>
    <row r="952" hidden="1">
      <c r="A952" s="12">
        <v>14.0</v>
      </c>
      <c r="B952" s="129" t="s">
        <v>3632</v>
      </c>
      <c r="C952" s="12" t="s">
        <v>80</v>
      </c>
      <c r="D952" s="12" t="s">
        <v>3633</v>
      </c>
      <c r="E952" s="12" t="s">
        <v>3634</v>
      </c>
      <c r="F952" s="12" t="s">
        <v>3635</v>
      </c>
      <c r="G952" s="283" t="s">
        <v>3409</v>
      </c>
      <c r="H952" s="12">
        <v>19.0</v>
      </c>
      <c r="I952" s="37" t="s">
        <v>3465</v>
      </c>
      <c r="J952" s="34" t="s">
        <v>2065</v>
      </c>
      <c r="K952" s="101" t="s">
        <v>3603</v>
      </c>
      <c r="L952" s="12" t="s">
        <v>374</v>
      </c>
      <c r="M952" s="19"/>
      <c r="N952" s="19"/>
      <c r="O952" s="34" t="s">
        <v>3493</v>
      </c>
      <c r="P952" s="385" t="s">
        <v>1432</v>
      </c>
      <c r="Q952" s="143" t="s">
        <v>3620</v>
      </c>
    </row>
    <row r="953" hidden="1">
      <c r="A953" s="12">
        <v>15.0</v>
      </c>
      <c r="B953" s="129" t="s">
        <v>3636</v>
      </c>
      <c r="C953" s="12" t="s">
        <v>80</v>
      </c>
      <c r="D953" s="12" t="s">
        <v>3637</v>
      </c>
      <c r="E953" s="12" t="s">
        <v>3638</v>
      </c>
      <c r="F953" s="12" t="s">
        <v>3583</v>
      </c>
      <c r="G953" s="505">
        <v>45879.0</v>
      </c>
      <c r="H953" s="12">
        <v>19.0</v>
      </c>
      <c r="I953" s="12" t="s">
        <v>2890</v>
      </c>
      <c r="J953" s="19"/>
      <c r="K953" s="19"/>
      <c r="L953" s="12" t="s">
        <v>778</v>
      </c>
      <c r="M953" s="19"/>
      <c r="N953" s="19"/>
      <c r="O953" s="451">
        <v>45939.0</v>
      </c>
      <c r="P953" s="19"/>
      <c r="Q953" s="143" t="s">
        <v>3620</v>
      </c>
    </row>
    <row r="954" hidden="1">
      <c r="A954" s="12">
        <v>16.0</v>
      </c>
      <c r="B954" s="129" t="s">
        <v>3639</v>
      </c>
      <c r="C954" s="12" t="s">
        <v>80</v>
      </c>
      <c r="D954" s="12" t="s">
        <v>3640</v>
      </c>
      <c r="E954" s="12" t="s">
        <v>3641</v>
      </c>
      <c r="F954" s="12" t="s">
        <v>3583</v>
      </c>
      <c r="G954" s="505">
        <v>45879.0</v>
      </c>
      <c r="H954" s="12">
        <v>19.0</v>
      </c>
      <c r="I954" s="12" t="s">
        <v>2890</v>
      </c>
      <c r="J954" s="19"/>
      <c r="K954" s="19"/>
      <c r="L954" s="12" t="s">
        <v>778</v>
      </c>
      <c r="M954" s="19"/>
      <c r="N954" s="19"/>
      <c r="O954" s="451">
        <v>45939.0</v>
      </c>
      <c r="P954" s="19"/>
      <c r="Q954" s="143" t="s">
        <v>3620</v>
      </c>
    </row>
    <row r="955" hidden="1">
      <c r="A955" s="495">
        <v>17.0</v>
      </c>
      <c r="B955" s="496" t="s">
        <v>3642</v>
      </c>
      <c r="C955" s="495" t="s">
        <v>80</v>
      </c>
      <c r="D955" s="495" t="s">
        <v>3643</v>
      </c>
      <c r="E955" s="498" t="s">
        <v>3644</v>
      </c>
      <c r="F955" s="495" t="s">
        <v>2599</v>
      </c>
      <c r="G955" s="495" t="s">
        <v>2841</v>
      </c>
      <c r="H955" s="495">
        <v>-3.0</v>
      </c>
      <c r="I955" s="495"/>
      <c r="J955" s="34" t="s">
        <v>100</v>
      </c>
      <c r="K955" s="34" t="s">
        <v>87</v>
      </c>
      <c r="L955" s="14"/>
      <c r="M955" s="19"/>
      <c r="N955" s="19"/>
      <c r="O955" s="148">
        <v>45818.0</v>
      </c>
      <c r="P955" s="385" t="s">
        <v>1432</v>
      </c>
      <c r="Q955" s="143" t="s">
        <v>3620</v>
      </c>
    </row>
    <row r="956" hidden="1">
      <c r="A956" s="495">
        <v>18.0</v>
      </c>
      <c r="B956" s="496" t="s">
        <v>3645</v>
      </c>
      <c r="C956" s="495" t="s">
        <v>80</v>
      </c>
      <c r="D956" s="495" t="s">
        <v>3646</v>
      </c>
      <c r="E956" s="498" t="s">
        <v>3647</v>
      </c>
      <c r="F956" s="495" t="s">
        <v>3648</v>
      </c>
      <c r="G956" s="497">
        <v>45971.0</v>
      </c>
      <c r="H956" s="495">
        <v>12.0</v>
      </c>
      <c r="I956" s="495"/>
      <c r="J956" s="34" t="s">
        <v>100</v>
      </c>
      <c r="K956" s="148">
        <v>45726.0</v>
      </c>
      <c r="L956" s="14"/>
      <c r="M956" s="19"/>
      <c r="N956" s="19"/>
      <c r="O956" s="71">
        <v>45757.0</v>
      </c>
      <c r="P956" s="385" t="s">
        <v>1432</v>
      </c>
      <c r="Q956" s="143" t="s">
        <v>3620</v>
      </c>
    </row>
    <row r="957" hidden="1">
      <c r="A957" s="12">
        <v>19.0</v>
      </c>
      <c r="B957" s="506" t="s">
        <v>3649</v>
      </c>
      <c r="C957" s="12" t="s">
        <v>80</v>
      </c>
      <c r="D957" s="12" t="s">
        <v>3650</v>
      </c>
      <c r="E957" s="12" t="s">
        <v>3651</v>
      </c>
      <c r="F957" s="12" t="s">
        <v>815</v>
      </c>
      <c r="G957" s="283" t="s">
        <v>3652</v>
      </c>
      <c r="H957" s="12">
        <v>25.0</v>
      </c>
      <c r="I957" s="12" t="s">
        <v>2890</v>
      </c>
      <c r="J957" s="34" t="s">
        <v>2065</v>
      </c>
      <c r="K957" s="101" t="s">
        <v>3603</v>
      </c>
      <c r="L957" s="12" t="s">
        <v>374</v>
      </c>
      <c r="M957" s="19"/>
      <c r="N957" s="19"/>
      <c r="O957" s="34" t="s">
        <v>3297</v>
      </c>
      <c r="P957" s="407" t="s">
        <v>2560</v>
      </c>
      <c r="Q957" s="143" t="s">
        <v>3620</v>
      </c>
    </row>
    <row r="958" hidden="1">
      <c r="A958" s="12">
        <v>20.0</v>
      </c>
      <c r="B958" s="129" t="s">
        <v>3653</v>
      </c>
      <c r="C958" s="12" t="s">
        <v>1058</v>
      </c>
      <c r="D958" s="12" t="s">
        <v>3654</v>
      </c>
      <c r="E958" s="473" t="s">
        <v>3655</v>
      </c>
      <c r="F958" s="12" t="s">
        <v>3656</v>
      </c>
      <c r="G958" s="283" t="s">
        <v>3657</v>
      </c>
      <c r="H958" s="12">
        <v>20.0</v>
      </c>
      <c r="I958" s="12" t="s">
        <v>2890</v>
      </c>
      <c r="J958" s="34" t="s">
        <v>2541</v>
      </c>
      <c r="K958" s="148">
        <v>45910.0</v>
      </c>
      <c r="L958" s="12" t="s">
        <v>374</v>
      </c>
      <c r="M958" s="19"/>
      <c r="N958" s="19"/>
      <c r="O958" s="34" t="s">
        <v>3302</v>
      </c>
      <c r="P958" s="385" t="s">
        <v>1432</v>
      </c>
      <c r="Q958" s="143" t="s">
        <v>3616</v>
      </c>
    </row>
    <row r="959" hidden="1">
      <c r="A959" s="12">
        <v>21.0</v>
      </c>
      <c r="B959" s="129" t="s">
        <v>3658</v>
      </c>
      <c r="C959" s="12" t="s">
        <v>1058</v>
      </c>
      <c r="D959" s="12" t="s">
        <v>3659</v>
      </c>
      <c r="E959" s="473" t="s">
        <v>3660</v>
      </c>
      <c r="F959" s="12" t="s">
        <v>3656</v>
      </c>
      <c r="G959" s="283" t="s">
        <v>3657</v>
      </c>
      <c r="H959" s="12">
        <v>20.0</v>
      </c>
      <c r="I959" s="12" t="s">
        <v>2890</v>
      </c>
      <c r="J959" s="34" t="s">
        <v>2541</v>
      </c>
      <c r="K959" s="148">
        <v>45910.0</v>
      </c>
      <c r="L959" s="12" t="s">
        <v>374</v>
      </c>
      <c r="M959" s="19"/>
      <c r="N959" s="19"/>
      <c r="O959" s="34" t="s">
        <v>3297</v>
      </c>
      <c r="P959" s="385" t="s">
        <v>1432</v>
      </c>
      <c r="Q959" s="143" t="s">
        <v>3616</v>
      </c>
    </row>
    <row r="960" hidden="1">
      <c r="A960" s="12">
        <v>22.0</v>
      </c>
      <c r="B960" s="129" t="s">
        <v>3661</v>
      </c>
      <c r="C960" s="12" t="s">
        <v>397</v>
      </c>
      <c r="D960" s="12" t="s">
        <v>3662</v>
      </c>
      <c r="E960" s="473" t="s">
        <v>3663</v>
      </c>
      <c r="F960" s="12" t="s">
        <v>3656</v>
      </c>
      <c r="G960" s="283" t="s">
        <v>3657</v>
      </c>
      <c r="H960" s="12">
        <v>20.0</v>
      </c>
      <c r="I960" s="12" t="s">
        <v>2890</v>
      </c>
      <c r="J960" s="34" t="s">
        <v>699</v>
      </c>
      <c r="K960" s="101" t="s">
        <v>114</v>
      </c>
      <c r="L960" s="12" t="s">
        <v>100</v>
      </c>
      <c r="M960" s="19"/>
      <c r="N960" s="19"/>
      <c r="O960" s="34" t="s">
        <v>3598</v>
      </c>
      <c r="P960" s="385" t="s">
        <v>1432</v>
      </c>
    </row>
    <row r="961" hidden="1">
      <c r="A961" s="12">
        <v>23.0</v>
      </c>
      <c r="B961" s="129" t="s">
        <v>3664</v>
      </c>
      <c r="C961" s="12" t="s">
        <v>688</v>
      </c>
      <c r="D961" s="12" t="s">
        <v>3665</v>
      </c>
      <c r="E961" s="473" t="s">
        <v>3666</v>
      </c>
      <c r="F961" s="12" t="s">
        <v>3656</v>
      </c>
      <c r="G961" s="283" t="s">
        <v>3657</v>
      </c>
      <c r="H961" s="12">
        <v>20.0</v>
      </c>
      <c r="I961" s="12" t="s">
        <v>2890</v>
      </c>
      <c r="J961" s="34" t="s">
        <v>699</v>
      </c>
      <c r="K961" s="101" t="s">
        <v>114</v>
      </c>
      <c r="L961" s="12" t="s">
        <v>100</v>
      </c>
      <c r="M961" s="19"/>
      <c r="N961" s="19"/>
      <c r="O961" s="34" t="s">
        <v>3598</v>
      </c>
      <c r="P961" s="385" t="s">
        <v>1432</v>
      </c>
    </row>
    <row r="962" hidden="1">
      <c r="A962" s="12">
        <v>24.0</v>
      </c>
      <c r="B962" s="129" t="s">
        <v>3667</v>
      </c>
      <c r="C962" s="12" t="s">
        <v>1185</v>
      </c>
      <c r="D962" s="12" t="s">
        <v>3668</v>
      </c>
      <c r="E962" s="12" t="s">
        <v>3669</v>
      </c>
      <c r="F962" s="12" t="s">
        <v>2098</v>
      </c>
      <c r="G962" s="283" t="s">
        <v>3657</v>
      </c>
      <c r="H962" s="12">
        <v>20.0</v>
      </c>
      <c r="I962" s="12" t="s">
        <v>2890</v>
      </c>
      <c r="J962" s="34" t="s">
        <v>2065</v>
      </c>
      <c r="K962" s="478">
        <v>45940.0</v>
      </c>
      <c r="L962" s="12" t="s">
        <v>51</v>
      </c>
      <c r="M962" s="19"/>
      <c r="N962" s="19"/>
      <c r="O962" s="34" t="s">
        <v>3409</v>
      </c>
      <c r="P962" s="385" t="s">
        <v>1432</v>
      </c>
      <c r="Q962" s="143" t="s">
        <v>3469</v>
      </c>
    </row>
    <row r="963" hidden="1">
      <c r="A963" s="12">
        <v>25.0</v>
      </c>
      <c r="B963" s="129" t="s">
        <v>3670</v>
      </c>
      <c r="C963" s="12" t="s">
        <v>1185</v>
      </c>
      <c r="D963" s="12" t="s">
        <v>3671</v>
      </c>
      <c r="E963" s="12" t="s">
        <v>3672</v>
      </c>
      <c r="F963" s="12" t="s">
        <v>2098</v>
      </c>
      <c r="G963" s="283" t="s">
        <v>3673</v>
      </c>
      <c r="H963" s="12">
        <v>23.0</v>
      </c>
      <c r="I963" s="12" t="s">
        <v>2890</v>
      </c>
      <c r="J963" s="34" t="s">
        <v>2541</v>
      </c>
      <c r="K963" s="148">
        <v>45910.0</v>
      </c>
      <c r="L963" s="12" t="s">
        <v>51</v>
      </c>
      <c r="M963" s="19"/>
      <c r="N963" s="19"/>
      <c r="O963" s="34" t="s">
        <v>3479</v>
      </c>
      <c r="P963" s="385" t="s">
        <v>1432</v>
      </c>
      <c r="Q963" s="143" t="s">
        <v>3620</v>
      </c>
    </row>
    <row r="964" hidden="1">
      <c r="A964" s="12">
        <v>26.0</v>
      </c>
      <c r="B964" s="129" t="s">
        <v>3674</v>
      </c>
      <c r="C964" s="12" t="s">
        <v>1185</v>
      </c>
      <c r="D964" s="12" t="s">
        <v>3675</v>
      </c>
      <c r="E964" s="12" t="s">
        <v>3676</v>
      </c>
      <c r="F964" s="12" t="s">
        <v>2098</v>
      </c>
      <c r="G964" s="283" t="s">
        <v>3673</v>
      </c>
      <c r="H964" s="12">
        <v>23.0</v>
      </c>
      <c r="I964" s="12" t="s">
        <v>2890</v>
      </c>
      <c r="J964" s="34" t="s">
        <v>2541</v>
      </c>
      <c r="K964" s="478">
        <v>45940.0</v>
      </c>
      <c r="L964" s="12" t="s">
        <v>51</v>
      </c>
      <c r="M964" s="19"/>
      <c r="N964" s="19"/>
      <c r="O964" s="34" t="s">
        <v>3598</v>
      </c>
      <c r="P964" s="385" t="s">
        <v>1432</v>
      </c>
      <c r="Q964" s="143" t="s">
        <v>3620</v>
      </c>
    </row>
    <row r="965" hidden="1">
      <c r="A965" s="12">
        <v>27.0</v>
      </c>
      <c r="B965" s="129" t="s">
        <v>3677</v>
      </c>
      <c r="C965" s="12" t="s">
        <v>1185</v>
      </c>
      <c r="D965" s="12" t="s">
        <v>3678</v>
      </c>
      <c r="E965" s="12" t="s">
        <v>3679</v>
      </c>
      <c r="F965" s="12" t="s">
        <v>2098</v>
      </c>
      <c r="G965" s="283" t="s">
        <v>3673</v>
      </c>
      <c r="H965" s="12">
        <v>23.0</v>
      </c>
      <c r="I965" s="37" t="s">
        <v>3465</v>
      </c>
      <c r="J965" s="34" t="s">
        <v>2541</v>
      </c>
      <c r="K965" s="148">
        <v>45910.0</v>
      </c>
      <c r="L965" s="12" t="s">
        <v>51</v>
      </c>
      <c r="M965" s="19"/>
      <c r="N965" s="19"/>
      <c r="O965" s="34" t="s">
        <v>3598</v>
      </c>
      <c r="P965" s="385" t="s">
        <v>1432</v>
      </c>
      <c r="Q965" s="143" t="s">
        <v>3620</v>
      </c>
    </row>
    <row r="966" hidden="1">
      <c r="A966" s="12">
        <v>28.0</v>
      </c>
      <c r="B966" s="129" t="s">
        <v>3680</v>
      </c>
      <c r="C966" s="12" t="s">
        <v>80</v>
      </c>
      <c r="D966" s="12" t="s">
        <v>3681</v>
      </c>
      <c r="E966" s="12" t="s">
        <v>3682</v>
      </c>
      <c r="F966" s="12" t="s">
        <v>172</v>
      </c>
      <c r="G966" s="283" t="s">
        <v>3683</v>
      </c>
      <c r="H966" s="12">
        <v>21.0</v>
      </c>
      <c r="I966" s="12" t="s">
        <v>2890</v>
      </c>
      <c r="J966" s="34" t="s">
        <v>3684</v>
      </c>
      <c r="K966" s="101" t="s">
        <v>3603</v>
      </c>
      <c r="L966" s="12" t="s">
        <v>374</v>
      </c>
      <c r="M966" s="19"/>
      <c r="N966" s="19"/>
      <c r="O966" s="34" t="s">
        <v>3207</v>
      </c>
      <c r="P966" s="407" t="s">
        <v>2560</v>
      </c>
      <c r="Q966" s="143" t="s">
        <v>3620</v>
      </c>
    </row>
    <row r="967" hidden="1">
      <c r="A967" s="12">
        <v>29.0</v>
      </c>
      <c r="B967" s="129" t="s">
        <v>3685</v>
      </c>
      <c r="C967" s="12" t="s">
        <v>80</v>
      </c>
      <c r="D967" s="12" t="s">
        <v>3686</v>
      </c>
      <c r="E967" s="12" t="s">
        <v>3687</v>
      </c>
      <c r="F967" s="12" t="s">
        <v>436</v>
      </c>
      <c r="G967" s="283" t="s">
        <v>3598</v>
      </c>
      <c r="H967" s="12">
        <v>22.0</v>
      </c>
      <c r="I967" s="12" t="s">
        <v>2890</v>
      </c>
      <c r="J967" s="34" t="s">
        <v>2541</v>
      </c>
      <c r="K967" s="101" t="s">
        <v>3603</v>
      </c>
      <c r="L967" s="12" t="s">
        <v>374</v>
      </c>
      <c r="M967" s="19"/>
      <c r="N967" s="19"/>
      <c r="O967" s="478">
        <v>46002.0</v>
      </c>
      <c r="P967" s="385" t="s">
        <v>1432</v>
      </c>
      <c r="Q967" s="143" t="s">
        <v>3620</v>
      </c>
    </row>
    <row r="968" hidden="1">
      <c r="A968" s="12">
        <v>30.0</v>
      </c>
      <c r="B968" s="129" t="s">
        <v>3688</v>
      </c>
      <c r="C968" s="12" t="s">
        <v>80</v>
      </c>
      <c r="D968" s="12" t="s">
        <v>3689</v>
      </c>
      <c r="E968" s="12" t="s">
        <v>3690</v>
      </c>
      <c r="F968" s="12" t="s">
        <v>2599</v>
      </c>
      <c r="G968" s="283" t="s">
        <v>3598</v>
      </c>
      <c r="H968" s="12">
        <v>22.0</v>
      </c>
      <c r="I968" s="12" t="s">
        <v>2890</v>
      </c>
      <c r="J968" s="34" t="s">
        <v>51</v>
      </c>
      <c r="K968" s="101" t="s">
        <v>3461</v>
      </c>
      <c r="L968" s="12" t="s">
        <v>51</v>
      </c>
      <c r="M968" s="19"/>
      <c r="N968" s="19"/>
      <c r="O968" s="34" t="s">
        <v>3207</v>
      </c>
      <c r="P968" s="385" t="s">
        <v>1432</v>
      </c>
      <c r="Q968" s="143" t="s">
        <v>3469</v>
      </c>
    </row>
    <row r="969" hidden="1">
      <c r="A969" s="12">
        <v>31.0</v>
      </c>
      <c r="B969" s="129" t="s">
        <v>3691</v>
      </c>
      <c r="C969" s="12" t="s">
        <v>2307</v>
      </c>
      <c r="D969" s="12" t="s">
        <v>3692</v>
      </c>
      <c r="E969" s="473" t="s">
        <v>3693</v>
      </c>
      <c r="F969" s="12" t="s">
        <v>2599</v>
      </c>
      <c r="G969" s="283" t="s">
        <v>3598</v>
      </c>
      <c r="H969" s="12">
        <v>22.0</v>
      </c>
      <c r="I969" s="12" t="s">
        <v>2890</v>
      </c>
      <c r="J969" s="34" t="s">
        <v>699</v>
      </c>
      <c r="K969" s="101" t="s">
        <v>3398</v>
      </c>
      <c r="L969" s="12" t="s">
        <v>100</v>
      </c>
      <c r="M969" s="19"/>
      <c r="N969" s="19"/>
      <c r="O969" s="34" t="s">
        <v>3129</v>
      </c>
      <c r="P969" s="385" t="s">
        <v>1432</v>
      </c>
      <c r="Q969" s="143" t="s">
        <v>3616</v>
      </c>
    </row>
    <row r="970" hidden="1">
      <c r="A970" s="12">
        <v>32.0</v>
      </c>
      <c r="B970" s="129" t="s">
        <v>3694</v>
      </c>
      <c r="C970" s="12" t="s">
        <v>2403</v>
      </c>
      <c r="D970" s="12" t="s">
        <v>3695</v>
      </c>
      <c r="E970" s="473" t="s">
        <v>3696</v>
      </c>
      <c r="F970" s="12" t="s">
        <v>2599</v>
      </c>
      <c r="G970" s="283" t="s">
        <v>3598</v>
      </c>
      <c r="H970" s="12">
        <v>22.0</v>
      </c>
      <c r="I970" s="12" t="s">
        <v>2890</v>
      </c>
      <c r="J970" s="34" t="s">
        <v>699</v>
      </c>
      <c r="K970" s="101" t="s">
        <v>3398</v>
      </c>
      <c r="L970" s="12" t="s">
        <v>100</v>
      </c>
      <c r="M970" s="19"/>
      <c r="N970" s="19"/>
      <c r="O970" s="34" t="s">
        <v>3129</v>
      </c>
      <c r="P970" s="385" t="s">
        <v>1432</v>
      </c>
      <c r="Q970" s="143" t="s">
        <v>3616</v>
      </c>
    </row>
    <row r="971" hidden="1">
      <c r="A971" s="12">
        <v>33.0</v>
      </c>
      <c r="B971" s="129" t="s">
        <v>3697</v>
      </c>
      <c r="C971" s="12" t="s">
        <v>1185</v>
      </c>
      <c r="D971" s="12" t="s">
        <v>3698</v>
      </c>
      <c r="E971" s="12" t="s">
        <v>3699</v>
      </c>
      <c r="F971" s="12" t="s">
        <v>356</v>
      </c>
      <c r="G971" s="283" t="s">
        <v>3673</v>
      </c>
      <c r="H971" s="12">
        <v>23.0</v>
      </c>
      <c r="I971" s="12" t="s">
        <v>2890</v>
      </c>
      <c r="J971" s="34" t="s">
        <v>2541</v>
      </c>
      <c r="K971" s="478">
        <v>45940.0</v>
      </c>
      <c r="L971" s="12" t="s">
        <v>51</v>
      </c>
      <c r="M971" s="19"/>
      <c r="N971" s="19"/>
      <c r="O971" s="34" t="s">
        <v>3129</v>
      </c>
      <c r="P971" s="385" t="s">
        <v>1432</v>
      </c>
      <c r="Q971" s="143" t="s">
        <v>3620</v>
      </c>
    </row>
    <row r="972" hidden="1">
      <c r="A972" s="12">
        <v>34.0</v>
      </c>
      <c r="B972" s="129" t="s">
        <v>3700</v>
      </c>
      <c r="C972" s="12" t="s">
        <v>1185</v>
      </c>
      <c r="D972" s="12" t="s">
        <v>3701</v>
      </c>
      <c r="E972" s="12" t="s">
        <v>3702</v>
      </c>
      <c r="F972" s="12" t="s">
        <v>356</v>
      </c>
      <c r="G972" s="283" t="s">
        <v>3673</v>
      </c>
      <c r="H972" s="12">
        <v>23.0</v>
      </c>
      <c r="I972" s="12" t="s">
        <v>2890</v>
      </c>
      <c r="J972" s="34" t="s">
        <v>2541</v>
      </c>
      <c r="K972" s="478">
        <v>45971.0</v>
      </c>
      <c r="L972" s="12" t="s">
        <v>51</v>
      </c>
      <c r="M972" s="19"/>
      <c r="N972" s="19"/>
      <c r="O972" s="34" t="s">
        <v>3598</v>
      </c>
      <c r="P972" s="385" t="s">
        <v>1432</v>
      </c>
      <c r="Q972" s="143" t="s">
        <v>3620</v>
      </c>
    </row>
    <row r="973" hidden="1">
      <c r="A973" s="12">
        <v>35.0</v>
      </c>
      <c r="B973" s="129" t="s">
        <v>3703</v>
      </c>
      <c r="C973" s="12" t="s">
        <v>1185</v>
      </c>
      <c r="D973" s="12" t="s">
        <v>3704</v>
      </c>
      <c r="E973" s="12" t="s">
        <v>3705</v>
      </c>
      <c r="F973" s="12" t="s">
        <v>356</v>
      </c>
      <c r="G973" s="283" t="s">
        <v>3673</v>
      </c>
      <c r="H973" s="12">
        <v>23.0</v>
      </c>
      <c r="I973" s="12" t="s">
        <v>2890</v>
      </c>
      <c r="J973" s="34" t="s">
        <v>2541</v>
      </c>
      <c r="K973" s="478">
        <v>45940.0</v>
      </c>
      <c r="L973" s="12" t="s">
        <v>51</v>
      </c>
      <c r="M973" s="19"/>
      <c r="N973" s="19"/>
      <c r="O973" s="34" t="s">
        <v>3129</v>
      </c>
      <c r="P973" s="385" t="s">
        <v>1432</v>
      </c>
      <c r="Q973" s="143" t="s">
        <v>3620</v>
      </c>
    </row>
    <row r="974" hidden="1">
      <c r="A974" s="12">
        <v>36.0</v>
      </c>
      <c r="B974" s="507" t="s">
        <v>3706</v>
      </c>
      <c r="C974" s="12" t="s">
        <v>80</v>
      </c>
      <c r="D974" s="12" t="s">
        <v>3707</v>
      </c>
      <c r="E974" s="508" t="s">
        <v>3708</v>
      </c>
      <c r="F974" s="12" t="s">
        <v>3709</v>
      </c>
      <c r="G974" s="509" t="s">
        <v>3461</v>
      </c>
      <c r="H974" s="12">
        <v>14.0</v>
      </c>
      <c r="I974" s="12" t="s">
        <v>2890</v>
      </c>
      <c r="J974" s="34" t="s">
        <v>2541</v>
      </c>
      <c r="K974" s="19"/>
      <c r="L974" s="12" t="s">
        <v>374</v>
      </c>
      <c r="M974" s="19"/>
      <c r="N974" s="19"/>
      <c r="O974" s="34" t="s">
        <v>3330</v>
      </c>
      <c r="P974" s="385" t="s">
        <v>1432</v>
      </c>
      <c r="Q974" s="143" t="s">
        <v>3620</v>
      </c>
    </row>
    <row r="975" hidden="1">
      <c r="A975" s="12">
        <v>37.0</v>
      </c>
      <c r="B975" s="129" t="s">
        <v>3710</v>
      </c>
      <c r="C975" s="12" t="s">
        <v>80</v>
      </c>
      <c r="D975" s="12" t="s">
        <v>3711</v>
      </c>
      <c r="E975" s="12" t="s">
        <v>3712</v>
      </c>
      <c r="F975" s="12" t="s">
        <v>3713</v>
      </c>
      <c r="G975" s="283" t="s">
        <v>3673</v>
      </c>
      <c r="H975" s="12">
        <v>23.0</v>
      </c>
      <c r="I975" s="12" t="s">
        <v>2890</v>
      </c>
      <c r="J975" s="34" t="s">
        <v>100</v>
      </c>
      <c r="K975" s="101" t="s">
        <v>3603</v>
      </c>
      <c r="L975" s="12" t="s">
        <v>100</v>
      </c>
      <c r="M975" s="19"/>
      <c r="N975" s="19"/>
      <c r="O975" s="34" t="s">
        <v>3409</v>
      </c>
      <c r="P975" s="385" t="s">
        <v>1432</v>
      </c>
      <c r="Q975" s="143" t="s">
        <v>3620</v>
      </c>
    </row>
    <row r="976" hidden="1">
      <c r="A976" s="12">
        <v>38.0</v>
      </c>
      <c r="B976" s="129" t="s">
        <v>3714</v>
      </c>
      <c r="C976" s="12" t="s">
        <v>80</v>
      </c>
      <c r="D976" s="12" t="s">
        <v>3715</v>
      </c>
      <c r="E976" s="12" t="s">
        <v>3716</v>
      </c>
      <c r="F976" s="12" t="s">
        <v>149</v>
      </c>
      <c r="G976" s="283" t="s">
        <v>3717</v>
      </c>
      <c r="H976" s="12">
        <v>24.0</v>
      </c>
      <c r="I976" s="12" t="s">
        <v>2890</v>
      </c>
      <c r="J976" s="34" t="s">
        <v>100</v>
      </c>
      <c r="K976" s="101" t="s">
        <v>3603</v>
      </c>
      <c r="L976" s="12" t="s">
        <v>100</v>
      </c>
      <c r="M976" s="19"/>
      <c r="N976" s="19"/>
      <c r="O976" s="34" t="s">
        <v>3598</v>
      </c>
      <c r="P976" s="385" t="s">
        <v>1432</v>
      </c>
      <c r="Q976" s="143" t="s">
        <v>3620</v>
      </c>
    </row>
    <row r="977" hidden="1">
      <c r="A977" s="12">
        <v>39.0</v>
      </c>
      <c r="B977" s="129" t="s">
        <v>3718</v>
      </c>
      <c r="C977" s="12" t="s">
        <v>80</v>
      </c>
      <c r="D977" s="12" t="s">
        <v>3719</v>
      </c>
      <c r="E977" s="12" t="s">
        <v>3720</v>
      </c>
      <c r="F977" s="12" t="s">
        <v>2205</v>
      </c>
      <c r="G977" s="283" t="s">
        <v>3717</v>
      </c>
      <c r="H977" s="12">
        <v>24.0</v>
      </c>
      <c r="I977" s="37" t="s">
        <v>3465</v>
      </c>
      <c r="J977" s="34" t="s">
        <v>3099</v>
      </c>
      <c r="K977" s="101" t="s">
        <v>3398</v>
      </c>
      <c r="L977" s="12" t="s">
        <v>374</v>
      </c>
      <c r="M977" s="19"/>
      <c r="N977" s="19"/>
      <c r="O977" s="34" t="s">
        <v>3673</v>
      </c>
      <c r="P977" s="385" t="s">
        <v>1432</v>
      </c>
      <c r="Q977" s="143" t="s">
        <v>3620</v>
      </c>
    </row>
    <row r="978" hidden="1">
      <c r="A978" s="12">
        <v>40.0</v>
      </c>
      <c r="B978" s="129" t="s">
        <v>3721</v>
      </c>
      <c r="C978" s="12" t="s">
        <v>1185</v>
      </c>
      <c r="D978" s="12" t="s">
        <v>3722</v>
      </c>
      <c r="E978" s="12" t="s">
        <v>3723</v>
      </c>
      <c r="F978" s="12" t="s">
        <v>356</v>
      </c>
      <c r="G978" s="283" t="s">
        <v>3717</v>
      </c>
      <c r="H978" s="12">
        <v>24.0</v>
      </c>
      <c r="I978" s="12" t="s">
        <v>2890</v>
      </c>
      <c r="J978" s="34" t="s">
        <v>2065</v>
      </c>
      <c r="K978" s="101" t="s">
        <v>114</v>
      </c>
      <c r="L978" s="12" t="s">
        <v>51</v>
      </c>
      <c r="M978" s="19"/>
      <c r="N978" s="19"/>
      <c r="O978" s="34" t="s">
        <v>3724</v>
      </c>
      <c r="P978" s="385" t="s">
        <v>1432</v>
      </c>
      <c r="Q978" s="143" t="s">
        <v>3616</v>
      </c>
    </row>
    <row r="979" hidden="1">
      <c r="A979" s="12">
        <v>41.0</v>
      </c>
      <c r="B979" s="507" t="s">
        <v>3725</v>
      </c>
      <c r="C979" s="12" t="s">
        <v>1185</v>
      </c>
      <c r="D979" s="12" t="s">
        <v>3726</v>
      </c>
      <c r="E979" s="510" t="s">
        <v>3727</v>
      </c>
      <c r="F979" s="12" t="s">
        <v>2098</v>
      </c>
      <c r="G979" s="283" t="s">
        <v>3717</v>
      </c>
      <c r="H979" s="12">
        <v>24.0</v>
      </c>
      <c r="I979" s="12" t="s">
        <v>2890</v>
      </c>
      <c r="J979" s="34" t="s">
        <v>2065</v>
      </c>
      <c r="K979" s="19"/>
      <c r="L979" s="12" t="s">
        <v>374</v>
      </c>
      <c r="M979" s="19"/>
      <c r="N979" s="19"/>
      <c r="O979" s="34" t="s">
        <v>3728</v>
      </c>
      <c r="P979" s="385" t="s">
        <v>1432</v>
      </c>
      <c r="Q979" s="143" t="s">
        <v>3616</v>
      </c>
    </row>
    <row r="980" hidden="1">
      <c r="A980" s="12">
        <v>42.0</v>
      </c>
      <c r="B980" s="129" t="s">
        <v>3729</v>
      </c>
      <c r="C980" s="12" t="s">
        <v>1185</v>
      </c>
      <c r="D980" s="12" t="s">
        <v>3730</v>
      </c>
      <c r="E980" s="12" t="s">
        <v>274</v>
      </c>
      <c r="F980" s="12" t="s">
        <v>356</v>
      </c>
      <c r="G980" s="283" t="s">
        <v>3717</v>
      </c>
      <c r="H980" s="12">
        <v>24.0</v>
      </c>
      <c r="I980" s="12" t="s">
        <v>2890</v>
      </c>
      <c r="J980" s="34" t="s">
        <v>2065</v>
      </c>
      <c r="K980" s="478">
        <v>45940.0</v>
      </c>
      <c r="L980" s="12" t="s">
        <v>51</v>
      </c>
      <c r="M980" s="19"/>
      <c r="N980" s="19"/>
      <c r="O980" s="34" t="s">
        <v>3129</v>
      </c>
      <c r="P980" s="385" t="s">
        <v>1432</v>
      </c>
      <c r="Q980" s="143" t="s">
        <v>3616</v>
      </c>
    </row>
    <row r="981" hidden="1">
      <c r="A981" s="12">
        <v>43.0</v>
      </c>
      <c r="B981" s="129" t="s">
        <v>3731</v>
      </c>
      <c r="C981" s="12" t="s">
        <v>1185</v>
      </c>
      <c r="D981" s="12" t="s">
        <v>3732</v>
      </c>
      <c r="E981" s="12" t="s">
        <v>3733</v>
      </c>
      <c r="F981" s="12" t="s">
        <v>25</v>
      </c>
      <c r="G981" s="283" t="s">
        <v>3652</v>
      </c>
      <c r="H981" s="12">
        <v>25.0</v>
      </c>
      <c r="I981" s="12" t="s">
        <v>2890</v>
      </c>
      <c r="J981" s="34" t="s">
        <v>2065</v>
      </c>
      <c r="K981" s="478">
        <v>45971.0</v>
      </c>
      <c r="L981" s="12" t="s">
        <v>51</v>
      </c>
      <c r="M981" s="19"/>
      <c r="N981" s="19"/>
      <c r="O981" s="71">
        <v>45788.0</v>
      </c>
      <c r="P981" s="385" t="s">
        <v>1432</v>
      </c>
      <c r="Q981" s="143" t="s">
        <v>3616</v>
      </c>
    </row>
    <row r="982" hidden="1">
      <c r="A982" s="12">
        <v>44.0</v>
      </c>
      <c r="B982" s="129" t="s">
        <v>3734</v>
      </c>
      <c r="C982" s="12" t="s">
        <v>1185</v>
      </c>
      <c r="D982" s="12" t="s">
        <v>3735</v>
      </c>
      <c r="E982" s="12" t="s">
        <v>3736</v>
      </c>
      <c r="F982" s="12" t="s">
        <v>25</v>
      </c>
      <c r="G982" s="283" t="s">
        <v>3717</v>
      </c>
      <c r="H982" s="12">
        <v>24.0</v>
      </c>
      <c r="I982" s="12" t="s">
        <v>2890</v>
      </c>
      <c r="J982" s="34" t="s">
        <v>2065</v>
      </c>
      <c r="K982" s="478">
        <v>45971.0</v>
      </c>
      <c r="L982" s="12" t="s">
        <v>51</v>
      </c>
      <c r="M982" s="19"/>
      <c r="N982" s="19"/>
      <c r="O982" s="34" t="s">
        <v>3598</v>
      </c>
      <c r="P982" s="385" t="s">
        <v>1432</v>
      </c>
      <c r="Q982" s="143" t="s">
        <v>3616</v>
      </c>
    </row>
    <row r="983" hidden="1">
      <c r="A983" s="339" t="s">
        <v>3737</v>
      </c>
    </row>
    <row r="984" hidden="1">
      <c r="A984" s="427" t="s">
        <v>47</v>
      </c>
      <c r="B984" s="482" t="s">
        <v>7</v>
      </c>
      <c r="C984" s="424" t="s">
        <v>9</v>
      </c>
      <c r="D984" s="424" t="s">
        <v>10</v>
      </c>
      <c r="E984" s="424" t="s">
        <v>11</v>
      </c>
      <c r="F984" s="424" t="s">
        <v>12</v>
      </c>
      <c r="G984" s="424" t="s">
        <v>2378</v>
      </c>
      <c r="H984" s="424" t="s">
        <v>2681</v>
      </c>
      <c r="I984" s="428" t="s">
        <v>2847</v>
      </c>
      <c r="J984" s="8" t="s">
        <v>14</v>
      </c>
      <c r="K984" s="9" t="s">
        <v>16</v>
      </c>
      <c r="L984" s="9" t="s">
        <v>35</v>
      </c>
      <c r="M984" s="9" t="s">
        <v>18</v>
      </c>
      <c r="N984" s="9" t="s">
        <v>19</v>
      </c>
      <c r="O984" s="9" t="s">
        <v>20</v>
      </c>
      <c r="P984" s="9" t="s">
        <v>21</v>
      </c>
    </row>
    <row r="985" hidden="1">
      <c r="A985" s="33">
        <v>1.0</v>
      </c>
      <c r="B985" s="476" t="s">
        <v>3738</v>
      </c>
      <c r="C985" s="342" t="s">
        <v>80</v>
      </c>
      <c r="D985" s="342" t="s">
        <v>3739</v>
      </c>
      <c r="E985" s="342" t="s">
        <v>3740</v>
      </c>
      <c r="F985" s="342" t="s">
        <v>3741</v>
      </c>
      <c r="G985" s="283" t="s">
        <v>3717</v>
      </c>
      <c r="H985" s="342">
        <v>17.0</v>
      </c>
      <c r="I985" s="306" t="s">
        <v>2890</v>
      </c>
      <c r="J985" s="34" t="s">
        <v>51</v>
      </c>
      <c r="K985" s="34" t="s">
        <v>114</v>
      </c>
      <c r="L985" s="12" t="s">
        <v>51</v>
      </c>
      <c r="M985" s="19"/>
      <c r="N985" s="19"/>
      <c r="O985" s="34" t="s">
        <v>3742</v>
      </c>
      <c r="P985" s="385" t="s">
        <v>1432</v>
      </c>
    </row>
    <row r="986" hidden="1">
      <c r="A986" s="361">
        <v>2.0</v>
      </c>
      <c r="B986" s="511" t="s">
        <v>3743</v>
      </c>
      <c r="C986" s="504" t="s">
        <v>80</v>
      </c>
      <c r="D986" s="504" t="s">
        <v>3744</v>
      </c>
      <c r="E986" s="504" t="s">
        <v>3745</v>
      </c>
      <c r="F986" s="504" t="s">
        <v>207</v>
      </c>
      <c r="G986" s="504" t="s">
        <v>3273</v>
      </c>
      <c r="H986" s="504">
        <v>7.0</v>
      </c>
      <c r="I986" s="504"/>
      <c r="J986" s="34" t="s">
        <v>2541</v>
      </c>
      <c r="K986" s="148">
        <v>45848.0</v>
      </c>
      <c r="L986" s="12" t="s">
        <v>100</v>
      </c>
      <c r="M986" s="19"/>
      <c r="N986" s="19"/>
      <c r="O986" s="148">
        <v>45879.0</v>
      </c>
      <c r="P986" s="407" t="s">
        <v>2560</v>
      </c>
    </row>
    <row r="987" hidden="1">
      <c r="A987" s="33">
        <v>3.0</v>
      </c>
      <c r="B987" s="476" t="s">
        <v>3746</v>
      </c>
      <c r="C987" s="342" t="s">
        <v>80</v>
      </c>
      <c r="D987" s="342" t="s">
        <v>3747</v>
      </c>
      <c r="E987" s="342" t="s">
        <v>3748</v>
      </c>
      <c r="F987" s="342" t="s">
        <v>3749</v>
      </c>
      <c r="G987" s="283" t="s">
        <v>3652</v>
      </c>
      <c r="H987" s="342">
        <v>18.0</v>
      </c>
      <c r="I987" s="306" t="s">
        <v>2890</v>
      </c>
      <c r="J987" s="34" t="s">
        <v>2541</v>
      </c>
      <c r="K987" s="101" t="s">
        <v>3603</v>
      </c>
      <c r="L987" s="12" t="s">
        <v>374</v>
      </c>
      <c r="M987" s="19"/>
      <c r="N987" s="19"/>
      <c r="O987" s="34" t="s">
        <v>3302</v>
      </c>
      <c r="P987" s="385" t="s">
        <v>1432</v>
      </c>
    </row>
    <row r="988" hidden="1">
      <c r="A988" s="33">
        <v>4.0</v>
      </c>
      <c r="B988" s="512" t="s">
        <v>3750</v>
      </c>
      <c r="C988" s="342" t="s">
        <v>80</v>
      </c>
      <c r="D988" s="342" t="s">
        <v>3751</v>
      </c>
      <c r="E988" s="342" t="s">
        <v>3752</v>
      </c>
      <c r="F988" s="342" t="s">
        <v>3753</v>
      </c>
      <c r="G988" s="283" t="s">
        <v>3296</v>
      </c>
      <c r="H988" s="342">
        <v>19.0</v>
      </c>
      <c r="I988" s="306" t="s">
        <v>2890</v>
      </c>
      <c r="J988" s="34" t="s">
        <v>2541</v>
      </c>
      <c r="K988" s="101" t="s">
        <v>3603</v>
      </c>
      <c r="L988" s="12" t="s">
        <v>374</v>
      </c>
      <c r="M988" s="19"/>
      <c r="N988" s="19"/>
      <c r="O988" s="34" t="s">
        <v>3302</v>
      </c>
      <c r="P988" s="385" t="s">
        <v>1432</v>
      </c>
    </row>
    <row r="989" hidden="1">
      <c r="A989" s="33">
        <v>5.0</v>
      </c>
      <c r="B989" s="512" t="s">
        <v>3754</v>
      </c>
      <c r="C989" s="342" t="s">
        <v>80</v>
      </c>
      <c r="D989" s="342" t="s">
        <v>3755</v>
      </c>
      <c r="E989" s="342" t="s">
        <v>3756</v>
      </c>
      <c r="F989" s="342" t="s">
        <v>172</v>
      </c>
      <c r="G989" s="283" t="s">
        <v>3296</v>
      </c>
      <c r="H989" s="342">
        <v>19.0</v>
      </c>
      <c r="I989" s="306" t="s">
        <v>2890</v>
      </c>
      <c r="J989" s="34" t="s">
        <v>2541</v>
      </c>
      <c r="K989" s="478">
        <v>7350821.0</v>
      </c>
      <c r="L989" s="12" t="s">
        <v>374</v>
      </c>
      <c r="M989" s="19"/>
      <c r="N989" s="19"/>
      <c r="O989" s="34" t="s">
        <v>3598</v>
      </c>
      <c r="P989" s="385" t="s">
        <v>1432</v>
      </c>
    </row>
    <row r="990" hidden="1">
      <c r="A990" s="33">
        <v>6.0</v>
      </c>
      <c r="B990" s="512" t="s">
        <v>3757</v>
      </c>
      <c r="C990" s="342" t="s">
        <v>80</v>
      </c>
      <c r="D990" s="342" t="s">
        <v>3758</v>
      </c>
      <c r="E990" s="342" t="s">
        <v>3759</v>
      </c>
      <c r="F990" s="342" t="s">
        <v>3760</v>
      </c>
      <c r="G990" s="283" t="s">
        <v>3296</v>
      </c>
      <c r="H990" s="342">
        <v>19.0</v>
      </c>
      <c r="I990" s="306" t="s">
        <v>2890</v>
      </c>
      <c r="J990" s="34" t="s">
        <v>2065</v>
      </c>
      <c r="K990" s="34" t="s">
        <v>3461</v>
      </c>
      <c r="L990" s="12" t="s">
        <v>51</v>
      </c>
      <c r="M990" s="19"/>
      <c r="N990" s="19"/>
      <c r="O990" s="34" t="s">
        <v>3493</v>
      </c>
      <c r="P990" s="385" t="s">
        <v>1432</v>
      </c>
    </row>
    <row r="991" hidden="1">
      <c r="A991" s="33">
        <v>7.0</v>
      </c>
      <c r="B991" s="512" t="s">
        <v>3761</v>
      </c>
      <c r="C991" s="342" t="s">
        <v>80</v>
      </c>
      <c r="D991" s="342" t="s">
        <v>3762</v>
      </c>
      <c r="E991" s="342" t="s">
        <v>3763</v>
      </c>
      <c r="F991" s="342" t="s">
        <v>172</v>
      </c>
      <c r="G991" s="283" t="s">
        <v>3296</v>
      </c>
      <c r="H991" s="342">
        <v>19.0</v>
      </c>
      <c r="I991" s="306" t="s">
        <v>2890</v>
      </c>
      <c r="J991" s="34" t="s">
        <v>2541</v>
      </c>
      <c r="K991" s="478">
        <v>45971.0</v>
      </c>
      <c r="L991" s="12" t="s">
        <v>374</v>
      </c>
      <c r="M991" s="19"/>
      <c r="N991" s="19"/>
      <c r="O991" s="34" t="s">
        <v>3493</v>
      </c>
      <c r="P991" s="407" t="s">
        <v>2560</v>
      </c>
    </row>
    <row r="992" hidden="1">
      <c r="A992" s="33">
        <v>8.0</v>
      </c>
      <c r="B992" s="512" t="s">
        <v>3764</v>
      </c>
      <c r="C992" s="342" t="s">
        <v>80</v>
      </c>
      <c r="D992" s="342" t="s">
        <v>3765</v>
      </c>
      <c r="E992" s="342" t="s">
        <v>3766</v>
      </c>
      <c r="F992" s="342" t="s">
        <v>3767</v>
      </c>
      <c r="G992" s="283" t="s">
        <v>3742</v>
      </c>
      <c r="H992" s="342">
        <v>20.0</v>
      </c>
      <c r="I992" s="306" t="s">
        <v>2890</v>
      </c>
      <c r="J992" s="34" t="s">
        <v>2065</v>
      </c>
      <c r="K992" s="19"/>
      <c r="L992" s="12" t="s">
        <v>374</v>
      </c>
      <c r="M992" s="19"/>
      <c r="N992" s="19"/>
      <c r="O992" s="478">
        <v>45941.0</v>
      </c>
      <c r="P992" s="385" t="s">
        <v>1432</v>
      </c>
    </row>
    <row r="993" hidden="1">
      <c r="A993" s="361">
        <v>9.0</v>
      </c>
      <c r="B993" s="511" t="s">
        <v>3768</v>
      </c>
      <c r="C993" s="504" t="s">
        <v>80</v>
      </c>
      <c r="D993" s="504" t="s">
        <v>3769</v>
      </c>
      <c r="E993" s="504" t="s">
        <v>3770</v>
      </c>
      <c r="F993" s="504" t="s">
        <v>3771</v>
      </c>
      <c r="G993" s="502" t="s">
        <v>3742</v>
      </c>
      <c r="H993" s="342">
        <v>20.0</v>
      </c>
      <c r="I993" s="342"/>
      <c r="J993" s="34" t="s">
        <v>2541</v>
      </c>
      <c r="K993" s="148">
        <v>45848.0</v>
      </c>
      <c r="L993" s="12" t="s">
        <v>374</v>
      </c>
      <c r="M993" s="19"/>
      <c r="N993" s="19"/>
      <c r="O993" s="148">
        <v>45910.0</v>
      </c>
      <c r="P993" s="407" t="s">
        <v>2560</v>
      </c>
    </row>
    <row r="994" hidden="1">
      <c r="A994" s="33">
        <v>10.0</v>
      </c>
      <c r="B994" s="512" t="s">
        <v>3772</v>
      </c>
      <c r="C994" s="342" t="s">
        <v>80</v>
      </c>
      <c r="D994" s="342" t="s">
        <v>3773</v>
      </c>
      <c r="E994" s="342" t="s">
        <v>3774</v>
      </c>
      <c r="F994" s="342" t="s">
        <v>243</v>
      </c>
      <c r="G994" s="283" t="s">
        <v>3742</v>
      </c>
      <c r="H994" s="342">
        <v>20.0</v>
      </c>
      <c r="I994" s="306" t="s">
        <v>2890</v>
      </c>
      <c r="J994" s="34" t="s">
        <v>2541</v>
      </c>
      <c r="K994" s="101" t="s">
        <v>3603</v>
      </c>
      <c r="L994" s="12" t="s">
        <v>374</v>
      </c>
      <c r="M994" s="19"/>
      <c r="N994" s="19"/>
      <c r="O994" s="148">
        <v>45758.0</v>
      </c>
      <c r="P994" s="385" t="s">
        <v>1432</v>
      </c>
    </row>
    <row r="995" hidden="1">
      <c r="A995" s="33">
        <v>11.0</v>
      </c>
      <c r="B995" s="512" t="s">
        <v>3775</v>
      </c>
      <c r="C995" s="342" t="s">
        <v>80</v>
      </c>
      <c r="D995" s="342" t="s">
        <v>3776</v>
      </c>
      <c r="E995" s="473" t="s">
        <v>3777</v>
      </c>
      <c r="F995" s="342" t="s">
        <v>510</v>
      </c>
      <c r="G995" s="283" t="s">
        <v>3742</v>
      </c>
      <c r="H995" s="342">
        <v>20.0</v>
      </c>
      <c r="I995" s="306" t="s">
        <v>2890</v>
      </c>
      <c r="J995" s="12" t="s">
        <v>100</v>
      </c>
      <c r="K995" s="34" t="s">
        <v>99</v>
      </c>
      <c r="L995" s="12" t="s">
        <v>100</v>
      </c>
      <c r="M995" s="19"/>
      <c r="N995" s="19"/>
      <c r="O995" s="19"/>
      <c r="P995" s="385" t="s">
        <v>1432</v>
      </c>
    </row>
    <row r="996" hidden="1">
      <c r="A996" s="33">
        <v>12.0</v>
      </c>
      <c r="B996" s="512" t="s">
        <v>3778</v>
      </c>
      <c r="C996" s="342" t="s">
        <v>80</v>
      </c>
      <c r="D996" s="342" t="s">
        <v>3779</v>
      </c>
      <c r="E996" s="473" t="s">
        <v>3780</v>
      </c>
      <c r="F996" s="342" t="s">
        <v>510</v>
      </c>
      <c r="G996" s="283" t="s">
        <v>3742</v>
      </c>
      <c r="H996" s="342">
        <v>20.0</v>
      </c>
      <c r="I996" s="306" t="s">
        <v>2890</v>
      </c>
      <c r="J996" s="12" t="s">
        <v>100</v>
      </c>
      <c r="K996" s="34" t="s">
        <v>99</v>
      </c>
      <c r="L996" s="12" t="s">
        <v>100</v>
      </c>
      <c r="M996" s="19"/>
      <c r="N996" s="19"/>
      <c r="O996" s="19"/>
      <c r="P996" s="385" t="s">
        <v>1432</v>
      </c>
    </row>
    <row r="997" hidden="1">
      <c r="A997" s="33">
        <v>13.0</v>
      </c>
      <c r="B997" s="476" t="s">
        <v>3781</v>
      </c>
      <c r="C997" s="342" t="s">
        <v>80</v>
      </c>
      <c r="D997" s="342" t="s">
        <v>3782</v>
      </c>
      <c r="E997" s="342" t="s">
        <v>3783</v>
      </c>
      <c r="F997" s="342" t="s">
        <v>2599</v>
      </c>
      <c r="G997" s="283" t="s">
        <v>3784</v>
      </c>
      <c r="H997" s="342">
        <v>23.0</v>
      </c>
      <c r="I997" s="306" t="s">
        <v>2890</v>
      </c>
      <c r="J997" s="34" t="s">
        <v>2065</v>
      </c>
      <c r="K997" s="34" t="s">
        <v>99</v>
      </c>
      <c r="L997" s="12" t="s">
        <v>374</v>
      </c>
      <c r="M997" s="19"/>
      <c r="N997" s="19"/>
      <c r="O997" s="34" t="s">
        <v>3785</v>
      </c>
      <c r="P997" s="385" t="s">
        <v>1432</v>
      </c>
    </row>
    <row r="998" hidden="1">
      <c r="A998" s="33">
        <v>14.0</v>
      </c>
      <c r="B998" s="512" t="s">
        <v>3786</v>
      </c>
      <c r="C998" s="342" t="s">
        <v>2307</v>
      </c>
      <c r="D998" s="342" t="s">
        <v>3787</v>
      </c>
      <c r="E998" s="342" t="s">
        <v>3788</v>
      </c>
      <c r="F998" s="342" t="s">
        <v>2599</v>
      </c>
      <c r="G998" s="283" t="s">
        <v>3784</v>
      </c>
      <c r="H998" s="342">
        <v>23.0</v>
      </c>
      <c r="I998" s="306" t="s">
        <v>2890</v>
      </c>
      <c r="J998" s="34" t="s">
        <v>699</v>
      </c>
      <c r="K998" s="34" t="s">
        <v>3789</v>
      </c>
      <c r="L998" s="12" t="s">
        <v>236</v>
      </c>
      <c r="M998" s="19"/>
      <c r="N998" s="19"/>
      <c r="O998" s="34" t="s">
        <v>3728</v>
      </c>
      <c r="P998" s="407" t="s">
        <v>1798</v>
      </c>
    </row>
    <row r="999" hidden="1">
      <c r="A999" s="33">
        <v>15.0</v>
      </c>
      <c r="B999" s="512" t="s">
        <v>3790</v>
      </c>
      <c r="C999" s="342" t="s">
        <v>80</v>
      </c>
      <c r="D999" s="342" t="s">
        <v>3791</v>
      </c>
      <c r="E999" s="342" t="s">
        <v>3792</v>
      </c>
      <c r="F999" s="342" t="s">
        <v>2976</v>
      </c>
      <c r="G999" s="283" t="s">
        <v>3793</v>
      </c>
      <c r="H999" s="342">
        <v>21.0</v>
      </c>
      <c r="I999" s="306" t="s">
        <v>2890</v>
      </c>
      <c r="J999" s="34" t="s">
        <v>2065</v>
      </c>
      <c r="K999" s="101" t="s">
        <v>99</v>
      </c>
      <c r="L999" s="12" t="s">
        <v>374</v>
      </c>
      <c r="M999" s="19"/>
      <c r="N999" s="19"/>
      <c r="O999" s="71">
        <v>45758.0</v>
      </c>
      <c r="P999" s="416" t="s">
        <v>3794</v>
      </c>
    </row>
    <row r="1000" hidden="1">
      <c r="A1000" s="33">
        <v>16.0</v>
      </c>
      <c r="B1000" s="512" t="s">
        <v>3795</v>
      </c>
      <c r="C1000" s="342" t="s">
        <v>80</v>
      </c>
      <c r="D1000" s="342" t="s">
        <v>3796</v>
      </c>
      <c r="E1000" s="342" t="s">
        <v>3797</v>
      </c>
      <c r="F1000" s="342" t="s">
        <v>356</v>
      </c>
      <c r="G1000" s="283" t="s">
        <v>3793</v>
      </c>
      <c r="H1000" s="342">
        <v>21.0</v>
      </c>
      <c r="I1000" s="485" t="s">
        <v>3465</v>
      </c>
      <c r="J1000" s="34" t="s">
        <v>2065</v>
      </c>
      <c r="K1000" s="34" t="s">
        <v>3461</v>
      </c>
      <c r="L1000" s="12" t="s">
        <v>51</v>
      </c>
      <c r="M1000" s="19"/>
      <c r="N1000" s="19"/>
      <c r="O1000" s="34" t="s">
        <v>3598</v>
      </c>
      <c r="P1000" s="385" t="s">
        <v>1432</v>
      </c>
    </row>
    <row r="1001" hidden="1">
      <c r="A1001" s="33">
        <v>17.0</v>
      </c>
      <c r="B1001" s="513" t="s">
        <v>3798</v>
      </c>
      <c r="C1001" s="342" t="s">
        <v>80</v>
      </c>
      <c r="D1001" s="342" t="s">
        <v>3799</v>
      </c>
      <c r="E1001" s="473" t="s">
        <v>3800</v>
      </c>
      <c r="F1001" s="342" t="s">
        <v>207</v>
      </c>
      <c r="G1001" s="283" t="s">
        <v>3717</v>
      </c>
      <c r="H1001" s="342">
        <v>17.0</v>
      </c>
      <c r="I1001" s="306" t="s">
        <v>2890</v>
      </c>
      <c r="J1001" s="12" t="s">
        <v>100</v>
      </c>
      <c r="K1001" s="34" t="s">
        <v>3409</v>
      </c>
      <c r="L1001" s="12" t="s">
        <v>100</v>
      </c>
      <c r="M1001" s="19"/>
      <c r="N1001" s="19"/>
      <c r="O1001" s="34" t="s">
        <v>3129</v>
      </c>
      <c r="P1001" s="407" t="s">
        <v>2560</v>
      </c>
    </row>
    <row r="1002" hidden="1">
      <c r="A1002" s="33">
        <v>18.0</v>
      </c>
      <c r="B1002" s="513" t="s">
        <v>3801</v>
      </c>
      <c r="C1002" s="342" t="s">
        <v>80</v>
      </c>
      <c r="D1002" s="342" t="s">
        <v>3802</v>
      </c>
      <c r="E1002" s="473" t="s">
        <v>3803</v>
      </c>
      <c r="F1002" s="342" t="s">
        <v>207</v>
      </c>
      <c r="G1002" s="283" t="s">
        <v>3717</v>
      </c>
      <c r="H1002" s="342">
        <v>17.0</v>
      </c>
      <c r="I1002" s="306" t="s">
        <v>2890</v>
      </c>
      <c r="J1002" s="12" t="s">
        <v>100</v>
      </c>
      <c r="K1002" s="34" t="s">
        <v>3409</v>
      </c>
      <c r="L1002" s="12" t="s">
        <v>100</v>
      </c>
      <c r="M1002" s="19"/>
      <c r="N1002" s="19"/>
      <c r="O1002" s="34" t="s">
        <v>3129</v>
      </c>
      <c r="P1002" s="407" t="s">
        <v>2560</v>
      </c>
    </row>
    <row r="1003" hidden="1">
      <c r="A1003" s="33">
        <v>19.0</v>
      </c>
      <c r="B1003" s="512" t="s">
        <v>3804</v>
      </c>
      <c r="C1003" s="342" t="s">
        <v>1078</v>
      </c>
      <c r="D1003" s="342" t="s">
        <v>3805</v>
      </c>
      <c r="E1003" s="342" t="s">
        <v>3806</v>
      </c>
      <c r="F1003" s="342" t="s">
        <v>2098</v>
      </c>
      <c r="G1003" s="283" t="s">
        <v>3297</v>
      </c>
      <c r="H1003" s="342">
        <v>22.0</v>
      </c>
      <c r="I1003" s="306" t="s">
        <v>2890</v>
      </c>
      <c r="J1003" s="129" t="s">
        <v>2065</v>
      </c>
      <c r="K1003" s="34" t="s">
        <v>114</v>
      </c>
      <c r="L1003" s="12" t="s">
        <v>51</v>
      </c>
      <c r="M1003" s="19"/>
      <c r="N1003" s="19"/>
      <c r="O1003" s="34" t="s">
        <v>3742</v>
      </c>
      <c r="P1003" s="385" t="s">
        <v>1432</v>
      </c>
    </row>
    <row r="1004" hidden="1">
      <c r="A1004" s="33">
        <v>20.0</v>
      </c>
      <c r="B1004" s="512" t="s">
        <v>3807</v>
      </c>
      <c r="C1004" s="342" t="s">
        <v>80</v>
      </c>
      <c r="D1004" s="342" t="s">
        <v>3808</v>
      </c>
      <c r="E1004" s="342" t="s">
        <v>3809</v>
      </c>
      <c r="F1004" s="140"/>
      <c r="G1004" s="283" t="s">
        <v>3784</v>
      </c>
      <c r="H1004" s="342">
        <v>23.0</v>
      </c>
      <c r="I1004" s="306" t="s">
        <v>2890</v>
      </c>
      <c r="J1004" s="34" t="s">
        <v>2065</v>
      </c>
      <c r="K1004" s="34" t="s">
        <v>114</v>
      </c>
      <c r="L1004" s="12" t="s">
        <v>51</v>
      </c>
      <c r="M1004" s="19"/>
      <c r="N1004" s="19"/>
      <c r="O1004" s="34" t="s">
        <v>3673</v>
      </c>
      <c r="P1004" s="385" t="s">
        <v>1432</v>
      </c>
    </row>
    <row r="1005" hidden="1">
      <c r="A1005" s="33">
        <v>21.0</v>
      </c>
      <c r="B1005" s="512" t="s">
        <v>3810</v>
      </c>
      <c r="C1005" s="342" t="s">
        <v>80</v>
      </c>
      <c r="D1005" s="342" t="s">
        <v>3811</v>
      </c>
      <c r="E1005" s="342" t="s">
        <v>3812</v>
      </c>
      <c r="F1005" s="342" t="s">
        <v>356</v>
      </c>
      <c r="G1005" s="283" t="s">
        <v>3784</v>
      </c>
      <c r="H1005" s="342">
        <v>23.0</v>
      </c>
      <c r="I1005" s="306" t="s">
        <v>2890</v>
      </c>
      <c r="J1005" s="34" t="s">
        <v>2065</v>
      </c>
      <c r="K1005" s="34" t="s">
        <v>3461</v>
      </c>
      <c r="L1005" s="12" t="s">
        <v>51</v>
      </c>
      <c r="M1005" s="19"/>
      <c r="N1005" s="19"/>
      <c r="O1005" s="34" t="s">
        <v>3784</v>
      </c>
      <c r="P1005" s="385" t="s">
        <v>1432</v>
      </c>
    </row>
    <row r="1006" hidden="1">
      <c r="A1006" s="33">
        <v>22.0</v>
      </c>
      <c r="B1006" s="512" t="s">
        <v>3813</v>
      </c>
      <c r="C1006" s="342" t="s">
        <v>1078</v>
      </c>
      <c r="D1006" s="342" t="s">
        <v>3814</v>
      </c>
      <c r="E1006" s="342" t="s">
        <v>3815</v>
      </c>
      <c r="F1006" s="342" t="s">
        <v>2098</v>
      </c>
      <c r="G1006" s="283" t="s">
        <v>3793</v>
      </c>
      <c r="H1006" s="342">
        <v>21.0</v>
      </c>
      <c r="I1006" s="306" t="s">
        <v>2890</v>
      </c>
      <c r="J1006" s="34" t="s">
        <v>2065</v>
      </c>
      <c r="K1006" s="34" t="s">
        <v>114</v>
      </c>
      <c r="L1006" s="12" t="s">
        <v>51</v>
      </c>
      <c r="M1006" s="19"/>
      <c r="N1006" s="19"/>
      <c r="O1006" s="34" t="s">
        <v>3785</v>
      </c>
      <c r="P1006" s="385" t="s">
        <v>1432</v>
      </c>
    </row>
    <row r="1007" hidden="1">
      <c r="A1007" s="33">
        <v>23.0</v>
      </c>
      <c r="B1007" s="512" t="s">
        <v>3816</v>
      </c>
      <c r="C1007" s="342" t="s">
        <v>80</v>
      </c>
      <c r="D1007" s="342" t="s">
        <v>3817</v>
      </c>
      <c r="E1007" s="342" t="s">
        <v>3818</v>
      </c>
      <c r="F1007" s="342" t="s">
        <v>1674</v>
      </c>
      <c r="G1007" s="283" t="s">
        <v>124</v>
      </c>
      <c r="H1007" s="342">
        <v>24.0</v>
      </c>
      <c r="I1007" s="306" t="s">
        <v>2890</v>
      </c>
      <c r="J1007" s="34" t="s">
        <v>2541</v>
      </c>
      <c r="K1007" s="34" t="s">
        <v>3793</v>
      </c>
      <c r="L1007" s="12" t="s">
        <v>51</v>
      </c>
      <c r="M1007" s="19"/>
      <c r="N1007" s="19"/>
      <c r="O1007" s="34" t="s">
        <v>3785</v>
      </c>
      <c r="P1007" s="416" t="s">
        <v>3794</v>
      </c>
    </row>
    <row r="1008" hidden="1">
      <c r="A1008" s="33">
        <v>24.0</v>
      </c>
      <c r="B1008" s="512" t="s">
        <v>3819</v>
      </c>
      <c r="C1008" s="342" t="s">
        <v>80</v>
      </c>
      <c r="D1008" s="342" t="s">
        <v>3820</v>
      </c>
      <c r="E1008" s="342" t="s">
        <v>3821</v>
      </c>
      <c r="F1008" s="342" t="s">
        <v>172</v>
      </c>
      <c r="G1008" s="283" t="s">
        <v>3784</v>
      </c>
      <c r="H1008" s="342">
        <v>23.0</v>
      </c>
      <c r="I1008" s="306" t="s">
        <v>2890</v>
      </c>
      <c r="J1008" s="34" t="s">
        <v>2541</v>
      </c>
      <c r="K1008" s="478">
        <v>45971.0</v>
      </c>
      <c r="L1008" s="12" t="s">
        <v>374</v>
      </c>
      <c r="M1008" s="19"/>
      <c r="N1008" s="19"/>
      <c r="O1008" s="34" t="s">
        <v>3302</v>
      </c>
      <c r="P1008" s="407" t="s">
        <v>2560</v>
      </c>
    </row>
    <row r="1009" hidden="1">
      <c r="A1009" s="33">
        <v>25.0</v>
      </c>
      <c r="B1009" s="512" t="s">
        <v>3822</v>
      </c>
      <c r="C1009" s="342" t="s">
        <v>80</v>
      </c>
      <c r="D1009" s="342" t="s">
        <v>3823</v>
      </c>
      <c r="E1009" s="342" t="s">
        <v>3824</v>
      </c>
      <c r="F1009" s="342" t="s">
        <v>3825</v>
      </c>
      <c r="G1009" s="283" t="s">
        <v>3297</v>
      </c>
      <c r="H1009" s="342">
        <v>22.0</v>
      </c>
      <c r="I1009" s="306" t="s">
        <v>2890</v>
      </c>
      <c r="J1009" s="19"/>
      <c r="K1009" s="19"/>
      <c r="L1009" s="12" t="s">
        <v>374</v>
      </c>
      <c r="M1009" s="19"/>
      <c r="N1009" s="19"/>
      <c r="O1009" s="478">
        <v>45941.0</v>
      </c>
      <c r="P1009" s="407" t="s">
        <v>2560</v>
      </c>
    </row>
    <row r="1010" hidden="1">
      <c r="A1010" s="33">
        <v>26.0</v>
      </c>
      <c r="B1010" s="512" t="s">
        <v>3826</v>
      </c>
      <c r="C1010" s="342" t="s">
        <v>651</v>
      </c>
      <c r="D1010" s="342" t="s">
        <v>3827</v>
      </c>
      <c r="E1010" s="342" t="s">
        <v>3828</v>
      </c>
      <c r="F1010" s="342" t="s">
        <v>1674</v>
      </c>
      <c r="G1010" s="283" t="s">
        <v>3297</v>
      </c>
      <c r="H1010" s="342">
        <v>22.0</v>
      </c>
      <c r="I1010" s="306" t="s">
        <v>2890</v>
      </c>
      <c r="J1010" s="34" t="s">
        <v>2541</v>
      </c>
      <c r="K1010" s="19"/>
      <c r="L1010" s="12" t="s">
        <v>51</v>
      </c>
      <c r="M1010" s="19"/>
      <c r="N1010" s="19"/>
      <c r="O1010" s="34" t="s">
        <v>3302</v>
      </c>
      <c r="P1010" s="407" t="s">
        <v>2560</v>
      </c>
    </row>
    <row r="1011" hidden="1">
      <c r="A1011" s="33">
        <v>27.0</v>
      </c>
      <c r="B1011" s="512" t="s">
        <v>3829</v>
      </c>
      <c r="C1011" s="342" t="s">
        <v>80</v>
      </c>
      <c r="D1011" s="342" t="s">
        <v>3830</v>
      </c>
      <c r="E1011" s="342" t="s">
        <v>3831</v>
      </c>
      <c r="F1011" s="342" t="s">
        <v>3832</v>
      </c>
      <c r="G1011" s="283" t="s">
        <v>3784</v>
      </c>
      <c r="H1011" s="342">
        <v>23.0</v>
      </c>
      <c r="I1011" s="514" t="s">
        <v>3043</v>
      </c>
      <c r="J1011" s="34" t="s">
        <v>3099</v>
      </c>
      <c r="K1011" s="101" t="s">
        <v>3603</v>
      </c>
      <c r="L1011" s="12" t="s">
        <v>374</v>
      </c>
      <c r="M1011" s="19"/>
      <c r="N1011" s="19"/>
      <c r="O1011" s="34" t="s">
        <v>3785</v>
      </c>
      <c r="P1011" s="385" t="s">
        <v>1432</v>
      </c>
    </row>
    <row r="1012" hidden="1">
      <c r="A1012" s="33">
        <v>28.0</v>
      </c>
      <c r="B1012" s="512" t="s">
        <v>3833</v>
      </c>
      <c r="C1012" s="342" t="s">
        <v>80</v>
      </c>
      <c r="D1012" s="342" t="s">
        <v>3834</v>
      </c>
      <c r="E1012" s="515" t="s">
        <v>3835</v>
      </c>
      <c r="F1012" s="342" t="s">
        <v>1973</v>
      </c>
      <c r="G1012" s="283" t="s">
        <v>3784</v>
      </c>
      <c r="H1012" s="342">
        <v>23.0</v>
      </c>
      <c r="I1012" s="306" t="s">
        <v>2890</v>
      </c>
      <c r="J1012" s="34" t="s">
        <v>2065</v>
      </c>
      <c r="K1012" s="19"/>
      <c r="L1012" s="12" t="s">
        <v>374</v>
      </c>
      <c r="M1012" s="19"/>
      <c r="N1012" s="19"/>
      <c r="O1012" s="71">
        <v>45757.0</v>
      </c>
      <c r="P1012" s="416" t="s">
        <v>3794</v>
      </c>
    </row>
    <row r="1013" hidden="1">
      <c r="A1013" s="33">
        <v>29.0</v>
      </c>
      <c r="B1013" s="512" t="s">
        <v>3836</v>
      </c>
      <c r="C1013" s="342" t="s">
        <v>80</v>
      </c>
      <c r="D1013" s="342" t="s">
        <v>3837</v>
      </c>
      <c r="E1013" s="473" t="s">
        <v>3838</v>
      </c>
      <c r="F1013" s="342" t="s">
        <v>2019</v>
      </c>
      <c r="G1013" s="283" t="s">
        <v>3784</v>
      </c>
      <c r="H1013" s="342">
        <v>23.0</v>
      </c>
      <c r="I1013" s="306" t="s">
        <v>2890</v>
      </c>
      <c r="J1013" s="34" t="s">
        <v>100</v>
      </c>
      <c r="K1013" s="34" t="s">
        <v>3598</v>
      </c>
      <c r="L1013" s="12" t="s">
        <v>100</v>
      </c>
      <c r="M1013" s="19"/>
      <c r="N1013" s="19"/>
      <c r="O1013" s="34" t="s">
        <v>3742</v>
      </c>
      <c r="P1013" s="385" t="s">
        <v>1432</v>
      </c>
    </row>
    <row r="1014" hidden="1">
      <c r="A1014" s="33">
        <v>30.0</v>
      </c>
      <c r="B1014" s="512" t="s">
        <v>3839</v>
      </c>
      <c r="C1014" s="342" t="s">
        <v>80</v>
      </c>
      <c r="D1014" s="342" t="s">
        <v>3840</v>
      </c>
      <c r="E1014" s="473" t="s">
        <v>3841</v>
      </c>
      <c r="F1014" s="342" t="s">
        <v>2019</v>
      </c>
      <c r="G1014" s="283" t="s">
        <v>3784</v>
      </c>
      <c r="H1014" s="342">
        <v>23.0</v>
      </c>
      <c r="I1014" s="306" t="s">
        <v>2890</v>
      </c>
      <c r="J1014" s="34" t="s">
        <v>100</v>
      </c>
      <c r="K1014" s="34" t="s">
        <v>3598</v>
      </c>
      <c r="L1014" s="12" t="s">
        <v>100</v>
      </c>
      <c r="M1014" s="19"/>
      <c r="N1014" s="19"/>
      <c r="O1014" s="34" t="s">
        <v>3742</v>
      </c>
      <c r="P1014" s="385" t="s">
        <v>1432</v>
      </c>
    </row>
    <row r="1015" hidden="1">
      <c r="A1015" s="33">
        <v>31.0</v>
      </c>
      <c r="B1015" s="512" t="s">
        <v>3842</v>
      </c>
      <c r="C1015" s="342" t="s">
        <v>2307</v>
      </c>
      <c r="D1015" s="342" t="s">
        <v>3843</v>
      </c>
      <c r="E1015" s="342" t="s">
        <v>3844</v>
      </c>
      <c r="F1015" s="342" t="s">
        <v>2599</v>
      </c>
      <c r="G1015" s="283" t="s">
        <v>124</v>
      </c>
      <c r="H1015" s="342">
        <v>24.0</v>
      </c>
      <c r="I1015" s="306" t="s">
        <v>2890</v>
      </c>
      <c r="J1015" s="34" t="s">
        <v>100</v>
      </c>
      <c r="K1015" s="34" t="s">
        <v>3717</v>
      </c>
      <c r="L1015" s="12" t="s">
        <v>100</v>
      </c>
      <c r="M1015" s="19"/>
      <c r="N1015" s="19"/>
      <c r="O1015" s="34" t="s">
        <v>3742</v>
      </c>
      <c r="P1015" s="385" t="s">
        <v>1432</v>
      </c>
    </row>
    <row r="1016" hidden="1">
      <c r="A1016" s="33">
        <v>32.0</v>
      </c>
      <c r="B1016" s="512" t="s">
        <v>3845</v>
      </c>
      <c r="C1016" s="342" t="s">
        <v>80</v>
      </c>
      <c r="D1016" s="342" t="s">
        <v>3846</v>
      </c>
      <c r="E1016" s="342" t="s">
        <v>264</v>
      </c>
      <c r="F1016" s="342" t="s">
        <v>356</v>
      </c>
      <c r="G1016" s="283" t="s">
        <v>124</v>
      </c>
      <c r="H1016" s="342">
        <v>24.0</v>
      </c>
      <c r="I1016" s="306" t="s">
        <v>2890</v>
      </c>
      <c r="J1016" s="34" t="s">
        <v>2541</v>
      </c>
      <c r="K1016" s="19"/>
      <c r="L1016" s="12" t="s">
        <v>51</v>
      </c>
      <c r="M1016" s="19"/>
      <c r="N1016" s="19"/>
      <c r="O1016" s="34" t="s">
        <v>3742</v>
      </c>
      <c r="P1016" s="416" t="s">
        <v>3794</v>
      </c>
    </row>
    <row r="1017" hidden="1">
      <c r="A1017" s="33">
        <v>33.0</v>
      </c>
      <c r="B1017" s="513" t="s">
        <v>3847</v>
      </c>
      <c r="C1017" s="342" t="s">
        <v>80</v>
      </c>
      <c r="D1017" s="342" t="s">
        <v>3848</v>
      </c>
      <c r="E1017" s="515" t="s">
        <v>3849</v>
      </c>
      <c r="F1017" s="342" t="s">
        <v>356</v>
      </c>
      <c r="G1017" s="283" t="s">
        <v>124</v>
      </c>
      <c r="H1017" s="342">
        <v>24.0</v>
      </c>
      <c r="I1017" s="306" t="s">
        <v>2890</v>
      </c>
      <c r="J1017" s="34" t="s">
        <v>2065</v>
      </c>
      <c r="K1017" s="34" t="s">
        <v>3673</v>
      </c>
      <c r="L1017" s="12" t="s">
        <v>374</v>
      </c>
      <c r="M1017" s="19"/>
      <c r="N1017" s="19"/>
      <c r="O1017" s="34" t="s">
        <v>3728</v>
      </c>
      <c r="P1017" s="385" t="s">
        <v>1432</v>
      </c>
    </row>
    <row r="1018" hidden="1">
      <c r="A1018" s="33">
        <v>34.0</v>
      </c>
      <c r="B1018" s="512" t="s">
        <v>3850</v>
      </c>
      <c r="C1018" s="342" t="s">
        <v>80</v>
      </c>
      <c r="D1018" s="342" t="s">
        <v>3851</v>
      </c>
      <c r="E1018" s="342" t="s">
        <v>3852</v>
      </c>
      <c r="F1018" s="342" t="s">
        <v>3853</v>
      </c>
      <c r="G1018" s="283" t="s">
        <v>124</v>
      </c>
      <c r="H1018" s="342">
        <v>24.0</v>
      </c>
      <c r="I1018" s="306" t="s">
        <v>2890</v>
      </c>
      <c r="J1018" s="34" t="s">
        <v>2065</v>
      </c>
      <c r="K1018" s="34" t="s">
        <v>3603</v>
      </c>
      <c r="L1018" s="12" t="s">
        <v>374</v>
      </c>
      <c r="M1018" s="19"/>
      <c r="N1018" s="19"/>
      <c r="O1018" s="34" t="s">
        <v>3785</v>
      </c>
      <c r="P1018" s="385" t="s">
        <v>1432</v>
      </c>
    </row>
    <row r="1019" hidden="1">
      <c r="A1019" s="33">
        <v>35.0</v>
      </c>
      <c r="B1019" s="512" t="s">
        <v>3854</v>
      </c>
      <c r="C1019" s="342" t="s">
        <v>80</v>
      </c>
      <c r="D1019" s="342" t="s">
        <v>3855</v>
      </c>
      <c r="E1019" s="342" t="s">
        <v>3856</v>
      </c>
      <c r="F1019" s="342" t="s">
        <v>1978</v>
      </c>
      <c r="G1019" s="283" t="s">
        <v>3857</v>
      </c>
      <c r="H1019" s="342">
        <v>25.0</v>
      </c>
      <c r="I1019" s="306" t="s">
        <v>2890</v>
      </c>
      <c r="J1019" s="34" t="s">
        <v>2541</v>
      </c>
      <c r="K1019" s="34" t="s">
        <v>3409</v>
      </c>
      <c r="L1019" s="12" t="s">
        <v>374</v>
      </c>
      <c r="M1019" s="19"/>
      <c r="N1019" s="19"/>
      <c r="O1019" s="71">
        <v>45880.0</v>
      </c>
      <c r="P1019" s="416" t="s">
        <v>3794</v>
      </c>
    </row>
    <row r="1020" hidden="1">
      <c r="A1020" s="33">
        <v>36.0</v>
      </c>
      <c r="B1020" s="512" t="s">
        <v>3858</v>
      </c>
      <c r="C1020" s="342" t="s">
        <v>80</v>
      </c>
      <c r="D1020" s="342" t="s">
        <v>3859</v>
      </c>
      <c r="E1020" s="473" t="s">
        <v>3860</v>
      </c>
      <c r="F1020" s="342" t="s">
        <v>2599</v>
      </c>
      <c r="G1020" s="283" t="s">
        <v>3857</v>
      </c>
      <c r="H1020" s="342">
        <v>25.0</v>
      </c>
      <c r="I1020" s="306" t="s">
        <v>2890</v>
      </c>
      <c r="J1020" s="34" t="s">
        <v>2065</v>
      </c>
      <c r="K1020" s="34" t="s">
        <v>3398</v>
      </c>
      <c r="L1020" s="12" t="s">
        <v>374</v>
      </c>
      <c r="M1020" s="19"/>
      <c r="N1020" s="19"/>
      <c r="O1020" s="71">
        <v>45727.0</v>
      </c>
      <c r="P1020" s="385" t="s">
        <v>1432</v>
      </c>
    </row>
    <row r="1021" hidden="1">
      <c r="A1021" s="33">
        <v>37.0</v>
      </c>
      <c r="B1021" s="512" t="s">
        <v>3861</v>
      </c>
      <c r="C1021" s="342" t="s">
        <v>80</v>
      </c>
      <c r="D1021" s="342" t="s">
        <v>3862</v>
      </c>
      <c r="E1021" s="473" t="s">
        <v>3863</v>
      </c>
      <c r="F1021" s="342" t="s">
        <v>2599</v>
      </c>
      <c r="G1021" s="283" t="s">
        <v>3857</v>
      </c>
      <c r="H1021" s="342">
        <v>25.0</v>
      </c>
      <c r="I1021" s="306" t="s">
        <v>2890</v>
      </c>
      <c r="J1021" s="34" t="s">
        <v>2065</v>
      </c>
      <c r="K1021" s="34" t="s">
        <v>3398</v>
      </c>
      <c r="L1021" s="12" t="s">
        <v>374</v>
      </c>
      <c r="M1021" s="19"/>
      <c r="N1021" s="19"/>
      <c r="O1021" s="71">
        <v>45727.0</v>
      </c>
      <c r="P1021" s="385" t="s">
        <v>1432</v>
      </c>
    </row>
    <row r="1022" hidden="1">
      <c r="A1022" s="33">
        <v>38.0</v>
      </c>
      <c r="B1022" s="512" t="s">
        <v>3864</v>
      </c>
      <c r="C1022" s="342" t="s">
        <v>80</v>
      </c>
      <c r="D1022" s="342" t="s">
        <v>3865</v>
      </c>
      <c r="E1022" s="516" t="s">
        <v>3866</v>
      </c>
      <c r="F1022" s="342" t="s">
        <v>2466</v>
      </c>
      <c r="G1022" s="283" t="s">
        <v>3784</v>
      </c>
      <c r="H1022" s="342">
        <v>23.0</v>
      </c>
      <c r="I1022" s="306" t="s">
        <v>2890</v>
      </c>
      <c r="J1022" s="34" t="s">
        <v>100</v>
      </c>
      <c r="K1022" s="34" t="s">
        <v>3409</v>
      </c>
      <c r="L1022" s="12" t="s">
        <v>100</v>
      </c>
      <c r="M1022" s="19"/>
      <c r="N1022" s="19"/>
      <c r="O1022" s="34" t="s">
        <v>3302</v>
      </c>
      <c r="P1022" s="385" t="s">
        <v>1432</v>
      </c>
    </row>
    <row r="1023" hidden="1">
      <c r="A1023" s="33">
        <v>39.0</v>
      </c>
      <c r="B1023" s="512" t="s">
        <v>3867</v>
      </c>
      <c r="C1023" s="342" t="s">
        <v>80</v>
      </c>
      <c r="D1023" s="342" t="s">
        <v>3868</v>
      </c>
      <c r="E1023" s="516" t="s">
        <v>3869</v>
      </c>
      <c r="F1023" s="342" t="s">
        <v>2466</v>
      </c>
      <c r="G1023" s="283" t="s">
        <v>3784</v>
      </c>
      <c r="H1023" s="342">
        <v>23.0</v>
      </c>
      <c r="I1023" s="306" t="s">
        <v>2890</v>
      </c>
      <c r="J1023" s="34" t="s">
        <v>100</v>
      </c>
      <c r="K1023" s="34" t="s">
        <v>3409</v>
      </c>
      <c r="L1023" s="12" t="s">
        <v>100</v>
      </c>
      <c r="M1023" s="19"/>
      <c r="N1023" s="19"/>
      <c r="O1023" s="34" t="s">
        <v>3302</v>
      </c>
      <c r="P1023" s="385" t="s">
        <v>1432</v>
      </c>
    </row>
    <row r="1024" hidden="1">
      <c r="A1024" s="35"/>
      <c r="B1024" s="339" t="s">
        <v>3870</v>
      </c>
    </row>
    <row r="1025" hidden="1">
      <c r="A1025" s="427" t="s">
        <v>47</v>
      </c>
      <c r="B1025" s="482" t="s">
        <v>7</v>
      </c>
      <c r="C1025" s="424" t="s">
        <v>9</v>
      </c>
      <c r="D1025" s="424" t="s">
        <v>10</v>
      </c>
      <c r="E1025" s="424" t="s">
        <v>11</v>
      </c>
      <c r="F1025" s="424" t="s">
        <v>12</v>
      </c>
      <c r="G1025" s="424" t="s">
        <v>2378</v>
      </c>
      <c r="H1025" s="424" t="s">
        <v>2681</v>
      </c>
      <c r="I1025" s="428" t="s">
        <v>2847</v>
      </c>
      <c r="J1025" s="8" t="s">
        <v>14</v>
      </c>
      <c r="K1025" s="9" t="s">
        <v>16</v>
      </c>
      <c r="L1025" s="9" t="s">
        <v>35</v>
      </c>
      <c r="M1025" s="9" t="s">
        <v>18</v>
      </c>
      <c r="N1025" s="9" t="s">
        <v>19</v>
      </c>
      <c r="O1025" s="9" t="s">
        <v>20</v>
      </c>
      <c r="P1025" s="9" t="s">
        <v>21</v>
      </c>
    </row>
    <row r="1026" hidden="1">
      <c r="A1026" s="12">
        <v>1.0</v>
      </c>
      <c r="B1026" s="129" t="s">
        <v>3871</v>
      </c>
      <c r="C1026" s="12" t="s">
        <v>80</v>
      </c>
      <c r="D1026" s="12" t="s">
        <v>3872</v>
      </c>
      <c r="E1026" s="12" t="s">
        <v>3873</v>
      </c>
      <c r="F1026" s="12" t="s">
        <v>3874</v>
      </c>
      <c r="G1026" s="12" t="s">
        <v>3728</v>
      </c>
      <c r="H1026" s="12">
        <v>19.0</v>
      </c>
      <c r="I1026" s="472" t="s">
        <v>2890</v>
      </c>
      <c r="J1026" s="19"/>
      <c r="K1026" s="19"/>
      <c r="L1026" s="14"/>
      <c r="M1026" s="19"/>
      <c r="N1026" s="19"/>
      <c r="O1026" s="34" t="s">
        <v>3330</v>
      </c>
      <c r="P1026" s="19"/>
    </row>
    <row r="1027" hidden="1">
      <c r="A1027" s="115">
        <v>2.0</v>
      </c>
      <c r="B1027" s="517" t="s">
        <v>3875</v>
      </c>
      <c r="C1027" s="115" t="s">
        <v>1078</v>
      </c>
      <c r="D1027" s="115" t="s">
        <v>3876</v>
      </c>
      <c r="E1027" s="115" t="s">
        <v>3877</v>
      </c>
      <c r="F1027" s="115" t="s">
        <v>2098</v>
      </c>
      <c r="G1027" s="115" t="s">
        <v>2744</v>
      </c>
      <c r="H1027" s="115">
        <v>-28.0</v>
      </c>
      <c r="I1027" s="472" t="s">
        <v>2890</v>
      </c>
      <c r="J1027" s="34" t="s">
        <v>2541</v>
      </c>
      <c r="K1027" s="34" t="s">
        <v>3273</v>
      </c>
      <c r="L1027" s="14"/>
      <c r="M1027" s="19"/>
      <c r="N1027" s="19"/>
      <c r="O1027" s="34" t="s">
        <v>3189</v>
      </c>
      <c r="P1027" s="407" t="s">
        <v>2560</v>
      </c>
      <c r="Q1027" s="377"/>
      <c r="R1027" s="377"/>
      <c r="S1027" s="377"/>
      <c r="T1027" s="377"/>
      <c r="U1027" s="377"/>
      <c r="V1027" s="377"/>
      <c r="W1027" s="377"/>
      <c r="X1027" s="377"/>
      <c r="Y1027" s="377"/>
      <c r="Z1027" s="377"/>
      <c r="AA1027" s="377"/>
      <c r="AB1027" s="377"/>
      <c r="AC1027" s="377"/>
      <c r="AD1027" s="377"/>
      <c r="AE1027" s="377"/>
      <c r="AF1027" s="377"/>
    </row>
    <row r="1028" hidden="1">
      <c r="A1028" s="115">
        <v>3.0</v>
      </c>
      <c r="B1028" s="517" t="s">
        <v>3878</v>
      </c>
      <c r="C1028" s="115" t="s">
        <v>1078</v>
      </c>
      <c r="D1028" s="115" t="s">
        <v>3879</v>
      </c>
      <c r="E1028" s="115" t="s">
        <v>3880</v>
      </c>
      <c r="F1028" s="115" t="s">
        <v>2098</v>
      </c>
      <c r="G1028" s="518">
        <v>45725.0</v>
      </c>
      <c r="H1028" s="115">
        <v>-39.0</v>
      </c>
      <c r="I1028" s="472" t="s">
        <v>2890</v>
      </c>
      <c r="J1028" s="34" t="s">
        <v>2541</v>
      </c>
      <c r="K1028" s="34" t="s">
        <v>3273</v>
      </c>
      <c r="L1028" s="14"/>
      <c r="M1028" s="19"/>
      <c r="N1028" s="19"/>
      <c r="O1028" s="34" t="s">
        <v>3330</v>
      </c>
      <c r="P1028" s="19"/>
      <c r="Q1028" s="377"/>
      <c r="R1028" s="377"/>
      <c r="S1028" s="377"/>
      <c r="T1028" s="377"/>
      <c r="U1028" s="377"/>
      <c r="V1028" s="377"/>
      <c r="W1028" s="377"/>
      <c r="X1028" s="377"/>
      <c r="Y1028" s="377"/>
      <c r="Z1028" s="377"/>
      <c r="AA1028" s="377"/>
      <c r="AB1028" s="377"/>
      <c r="AC1028" s="377"/>
      <c r="AD1028" s="377"/>
      <c r="AE1028" s="377"/>
      <c r="AF1028" s="377"/>
    </row>
    <row r="1029" hidden="1">
      <c r="A1029" s="115">
        <v>4.0</v>
      </c>
      <c r="B1029" s="517" t="s">
        <v>3881</v>
      </c>
      <c r="C1029" s="115" t="s">
        <v>1078</v>
      </c>
      <c r="D1029" s="115" t="s">
        <v>3882</v>
      </c>
      <c r="E1029" s="115" t="s">
        <v>3883</v>
      </c>
      <c r="F1029" s="115" t="s">
        <v>2098</v>
      </c>
      <c r="G1029" s="518">
        <v>45725.0</v>
      </c>
      <c r="H1029" s="115">
        <v>-39.0</v>
      </c>
      <c r="I1029" s="519" t="s">
        <v>3465</v>
      </c>
      <c r="J1029" s="34" t="s">
        <v>2541</v>
      </c>
      <c r="K1029" s="34" t="s">
        <v>3273</v>
      </c>
      <c r="L1029" s="14"/>
      <c r="M1029" s="19"/>
      <c r="N1029" s="19"/>
      <c r="O1029" s="34" t="s">
        <v>3189</v>
      </c>
      <c r="P1029" s="407" t="s">
        <v>2560</v>
      </c>
      <c r="Q1029" s="377"/>
      <c r="R1029" s="377"/>
      <c r="S1029" s="377"/>
      <c r="T1029" s="377"/>
      <c r="U1029" s="377"/>
      <c r="V1029" s="377"/>
      <c r="W1029" s="377"/>
      <c r="X1029" s="377"/>
      <c r="Y1029" s="377"/>
      <c r="Z1029" s="377"/>
      <c r="AA1029" s="377"/>
      <c r="AB1029" s="377"/>
      <c r="AC1029" s="377"/>
      <c r="AD1029" s="377"/>
      <c r="AE1029" s="377"/>
      <c r="AF1029" s="377"/>
    </row>
    <row r="1030" hidden="1">
      <c r="A1030" s="12">
        <v>5.0</v>
      </c>
      <c r="B1030" s="129" t="s">
        <v>3884</v>
      </c>
      <c r="C1030" s="12" t="s">
        <v>80</v>
      </c>
      <c r="D1030" s="12" t="s">
        <v>3885</v>
      </c>
      <c r="E1030" s="12" t="s">
        <v>3886</v>
      </c>
      <c r="F1030" s="12" t="s">
        <v>3887</v>
      </c>
      <c r="G1030" s="12" t="s">
        <v>3728</v>
      </c>
      <c r="H1030" s="12">
        <v>19.0</v>
      </c>
      <c r="I1030" s="472" t="s">
        <v>2890</v>
      </c>
      <c r="J1030" s="34" t="s">
        <v>2541</v>
      </c>
      <c r="K1030" s="34" t="s">
        <v>3273</v>
      </c>
      <c r="L1030" s="14"/>
      <c r="M1030" s="19"/>
      <c r="N1030" s="19"/>
      <c r="O1030" s="34" t="s">
        <v>3330</v>
      </c>
      <c r="P1030" s="19"/>
    </row>
    <row r="1031" hidden="1">
      <c r="A1031" s="12">
        <v>6.0</v>
      </c>
      <c r="B1031" s="129" t="s">
        <v>3888</v>
      </c>
      <c r="C1031" s="12" t="s">
        <v>80</v>
      </c>
      <c r="D1031" s="12" t="s">
        <v>3889</v>
      </c>
      <c r="E1031" s="12" t="s">
        <v>3890</v>
      </c>
      <c r="F1031" s="12" t="s">
        <v>3583</v>
      </c>
      <c r="G1031" s="12" t="s">
        <v>3891</v>
      </c>
      <c r="H1031" s="12">
        <v>10.0</v>
      </c>
      <c r="I1031" s="472" t="s">
        <v>2890</v>
      </c>
      <c r="J1031" s="19"/>
      <c r="K1031" s="19"/>
      <c r="L1031" s="12" t="s">
        <v>778</v>
      </c>
      <c r="M1031" s="19"/>
      <c r="N1031" s="19"/>
      <c r="O1031" s="520">
        <v>45948.0</v>
      </c>
      <c r="P1031" s="385" t="s">
        <v>1432</v>
      </c>
    </row>
    <row r="1032" hidden="1">
      <c r="A1032" s="12">
        <v>7.0</v>
      </c>
      <c r="B1032" s="129" t="s">
        <v>3892</v>
      </c>
      <c r="C1032" s="12" t="s">
        <v>80</v>
      </c>
      <c r="D1032" s="12" t="s">
        <v>3893</v>
      </c>
      <c r="E1032" s="12" t="s">
        <v>3894</v>
      </c>
      <c r="F1032" s="12" t="s">
        <v>270</v>
      </c>
      <c r="G1032" s="164">
        <v>45668.0</v>
      </c>
      <c r="H1032" s="12">
        <v>20.0</v>
      </c>
      <c r="I1032" s="472" t="s">
        <v>2890</v>
      </c>
      <c r="J1032" s="34" t="s">
        <v>2065</v>
      </c>
      <c r="K1032" s="148">
        <v>45727.0</v>
      </c>
      <c r="L1032" s="12" t="s">
        <v>374</v>
      </c>
      <c r="M1032" s="19"/>
      <c r="N1032" s="19"/>
      <c r="O1032" s="478">
        <v>45941.0</v>
      </c>
      <c r="P1032" s="385" t="s">
        <v>1432</v>
      </c>
    </row>
    <row r="1033" hidden="1">
      <c r="A1033" s="12">
        <v>8.0</v>
      </c>
      <c r="B1033" s="129" t="s">
        <v>3895</v>
      </c>
      <c r="C1033" s="12" t="s">
        <v>1185</v>
      </c>
      <c r="D1033" s="12" t="s">
        <v>3896</v>
      </c>
      <c r="E1033" s="12" t="s">
        <v>3897</v>
      </c>
      <c r="F1033" s="12" t="s">
        <v>2098</v>
      </c>
      <c r="G1033" s="164">
        <v>45699.0</v>
      </c>
      <c r="H1033" s="12">
        <v>21.0</v>
      </c>
      <c r="I1033" s="472" t="s">
        <v>2890</v>
      </c>
      <c r="J1033" s="34" t="s">
        <v>2065</v>
      </c>
      <c r="K1033" s="34" t="s">
        <v>3784</v>
      </c>
      <c r="L1033" s="12" t="s">
        <v>51</v>
      </c>
      <c r="M1033" s="19"/>
      <c r="N1033" s="19"/>
      <c r="O1033" s="478">
        <v>45941.0</v>
      </c>
      <c r="P1033" s="385" t="s">
        <v>1432</v>
      </c>
    </row>
    <row r="1034" hidden="1">
      <c r="A1034" s="12">
        <v>9.0</v>
      </c>
      <c r="B1034" s="129" t="s">
        <v>3898</v>
      </c>
      <c r="C1034" s="12" t="s">
        <v>80</v>
      </c>
      <c r="D1034" s="12" t="s">
        <v>3899</v>
      </c>
      <c r="E1034" s="473" t="s">
        <v>3900</v>
      </c>
      <c r="F1034" s="12" t="s">
        <v>2599</v>
      </c>
      <c r="G1034" s="164">
        <v>45699.0</v>
      </c>
      <c r="H1034" s="12">
        <v>21.0</v>
      </c>
      <c r="I1034" s="472" t="s">
        <v>2890</v>
      </c>
      <c r="J1034" s="34" t="s">
        <v>100</v>
      </c>
      <c r="K1034" s="34" t="s">
        <v>3717</v>
      </c>
      <c r="L1034" s="12" t="s">
        <v>100</v>
      </c>
      <c r="M1034" s="19"/>
      <c r="N1034" s="19"/>
      <c r="O1034" s="19"/>
      <c r="P1034" s="385" t="s">
        <v>1432</v>
      </c>
    </row>
    <row r="1035" hidden="1">
      <c r="A1035" s="12">
        <v>10.0</v>
      </c>
      <c r="B1035" s="129" t="s">
        <v>3901</v>
      </c>
      <c r="C1035" s="12" t="s">
        <v>80</v>
      </c>
      <c r="D1035" s="12" t="s">
        <v>3902</v>
      </c>
      <c r="E1035" s="473" t="s">
        <v>3903</v>
      </c>
      <c r="F1035" s="12" t="s">
        <v>2599</v>
      </c>
      <c r="G1035" s="164">
        <v>45699.0</v>
      </c>
      <c r="H1035" s="12">
        <v>21.0</v>
      </c>
      <c r="I1035" s="472" t="s">
        <v>2890</v>
      </c>
      <c r="J1035" s="34" t="s">
        <v>100</v>
      </c>
      <c r="K1035" s="34" t="s">
        <v>3717</v>
      </c>
      <c r="L1035" s="12" t="s">
        <v>100</v>
      </c>
      <c r="M1035" s="19"/>
      <c r="N1035" s="19"/>
      <c r="O1035" s="19"/>
      <c r="P1035" s="385" t="s">
        <v>1432</v>
      </c>
    </row>
    <row r="1036" hidden="1">
      <c r="A1036" s="12">
        <v>11.0</v>
      </c>
      <c r="B1036" s="129" t="s">
        <v>3904</v>
      </c>
      <c r="C1036" s="12" t="s">
        <v>80</v>
      </c>
      <c r="D1036" s="12" t="s">
        <v>3905</v>
      </c>
      <c r="E1036" s="473" t="s">
        <v>3906</v>
      </c>
      <c r="F1036" s="12" t="s">
        <v>3443</v>
      </c>
      <c r="G1036" s="164">
        <v>45727.0</v>
      </c>
      <c r="H1036" s="12">
        <v>22.0</v>
      </c>
      <c r="I1036" s="472" t="s">
        <v>2890</v>
      </c>
      <c r="J1036" s="34" t="s">
        <v>2065</v>
      </c>
      <c r="K1036" s="34" t="s">
        <v>3409</v>
      </c>
      <c r="L1036" s="12" t="s">
        <v>374</v>
      </c>
      <c r="M1036" s="19"/>
      <c r="N1036" s="19"/>
      <c r="O1036" s="148">
        <v>45758.0</v>
      </c>
      <c r="P1036" s="385" t="s">
        <v>1432</v>
      </c>
    </row>
    <row r="1037" hidden="1">
      <c r="A1037" s="12">
        <v>12.0</v>
      </c>
      <c r="B1037" s="129" t="s">
        <v>3907</v>
      </c>
      <c r="C1037" s="12" t="s">
        <v>80</v>
      </c>
      <c r="D1037" s="12" t="s">
        <v>3908</v>
      </c>
      <c r="E1037" s="473" t="s">
        <v>3909</v>
      </c>
      <c r="F1037" s="12" t="s">
        <v>3443</v>
      </c>
      <c r="G1037" s="164">
        <v>45727.0</v>
      </c>
      <c r="H1037" s="12">
        <v>22.0</v>
      </c>
      <c r="I1037" s="472" t="s">
        <v>2890</v>
      </c>
      <c r="J1037" s="34" t="s">
        <v>2065</v>
      </c>
      <c r="K1037" s="34" t="s">
        <v>3409</v>
      </c>
      <c r="L1037" s="12" t="s">
        <v>374</v>
      </c>
      <c r="M1037" s="19"/>
      <c r="N1037" s="19"/>
      <c r="O1037" s="34" t="s">
        <v>3910</v>
      </c>
      <c r="P1037" s="385" t="s">
        <v>1432</v>
      </c>
    </row>
    <row r="1038" hidden="1">
      <c r="A1038" s="115">
        <v>13.0</v>
      </c>
      <c r="B1038" s="517" t="s">
        <v>3911</v>
      </c>
      <c r="C1038" s="115" t="s">
        <v>3912</v>
      </c>
      <c r="D1038" s="115" t="s">
        <v>3913</v>
      </c>
      <c r="E1038" s="115" t="s">
        <v>3914</v>
      </c>
      <c r="F1038" s="115" t="s">
        <v>2098</v>
      </c>
      <c r="G1038" s="115" t="s">
        <v>2612</v>
      </c>
      <c r="H1038" s="115">
        <v>-29.0</v>
      </c>
      <c r="I1038" s="472" t="s">
        <v>2890</v>
      </c>
      <c r="J1038" s="34" t="s">
        <v>2541</v>
      </c>
      <c r="K1038" s="34" t="s">
        <v>3273</v>
      </c>
      <c r="L1038" s="14"/>
      <c r="M1038" s="19"/>
      <c r="N1038" s="19"/>
      <c r="O1038" s="34" t="s">
        <v>3330</v>
      </c>
      <c r="P1038" s="385" t="s">
        <v>1432</v>
      </c>
      <c r="Q1038" s="377"/>
      <c r="R1038" s="377"/>
      <c r="S1038" s="377"/>
      <c r="T1038" s="377"/>
      <c r="U1038" s="377"/>
      <c r="V1038" s="377"/>
      <c r="W1038" s="377"/>
      <c r="X1038" s="377"/>
      <c r="Y1038" s="377"/>
      <c r="Z1038" s="377"/>
      <c r="AA1038" s="377"/>
      <c r="AB1038" s="377"/>
      <c r="AC1038" s="377"/>
      <c r="AD1038" s="377"/>
      <c r="AE1038" s="377"/>
      <c r="AF1038" s="377"/>
    </row>
    <row r="1039" hidden="1">
      <c r="A1039" s="12">
        <v>14.0</v>
      </c>
      <c r="B1039" s="129" t="s">
        <v>3915</v>
      </c>
      <c r="C1039" s="12" t="s">
        <v>80</v>
      </c>
      <c r="D1039" s="12" t="s">
        <v>3916</v>
      </c>
      <c r="E1039" s="473" t="s">
        <v>3917</v>
      </c>
      <c r="F1039" s="12" t="s">
        <v>3918</v>
      </c>
      <c r="G1039" s="164">
        <v>45758.0</v>
      </c>
      <c r="H1039" s="12">
        <v>23.0</v>
      </c>
      <c r="I1039" s="472" t="s">
        <v>2890</v>
      </c>
      <c r="J1039" s="34" t="s">
        <v>2541</v>
      </c>
      <c r="K1039" s="34" t="s">
        <v>3409</v>
      </c>
      <c r="L1039" s="12" t="s">
        <v>374</v>
      </c>
      <c r="M1039" s="19"/>
      <c r="N1039" s="19"/>
      <c r="O1039" s="478">
        <v>45972.0</v>
      </c>
      <c r="P1039" s="407" t="s">
        <v>1798</v>
      </c>
    </row>
    <row r="1040" ht="17.25" hidden="1" customHeight="1">
      <c r="A1040" s="12">
        <v>15.0</v>
      </c>
      <c r="B1040" s="129" t="s">
        <v>3919</v>
      </c>
      <c r="C1040" s="12" t="s">
        <v>80</v>
      </c>
      <c r="D1040" s="12" t="s">
        <v>3920</v>
      </c>
      <c r="E1040" s="473" t="s">
        <v>3921</v>
      </c>
      <c r="F1040" s="12" t="s">
        <v>3918</v>
      </c>
      <c r="G1040" s="164">
        <v>45758.0</v>
      </c>
      <c r="H1040" s="12">
        <v>23.0</v>
      </c>
      <c r="I1040" s="472" t="s">
        <v>2890</v>
      </c>
      <c r="J1040" s="34" t="s">
        <v>2541</v>
      </c>
      <c r="K1040" s="34" t="s">
        <v>3409</v>
      </c>
      <c r="L1040" s="12" t="s">
        <v>374</v>
      </c>
      <c r="M1040" s="19"/>
      <c r="N1040" s="19"/>
      <c r="O1040" s="478">
        <v>45972.0</v>
      </c>
      <c r="P1040" s="407" t="s">
        <v>1798</v>
      </c>
    </row>
    <row r="1041" hidden="1">
      <c r="A1041" s="12">
        <v>16.0</v>
      </c>
      <c r="B1041" s="129" t="s">
        <v>3922</v>
      </c>
      <c r="C1041" s="12" t="s">
        <v>80</v>
      </c>
      <c r="D1041" s="12" t="s">
        <v>3923</v>
      </c>
      <c r="E1041" s="521" t="s">
        <v>3924</v>
      </c>
      <c r="F1041" s="12" t="s">
        <v>1316</v>
      </c>
      <c r="G1041" s="164">
        <v>45758.0</v>
      </c>
      <c r="H1041" s="12">
        <v>23.0</v>
      </c>
      <c r="I1041" s="472" t="s">
        <v>2890</v>
      </c>
      <c r="J1041" s="34" t="s">
        <v>2065</v>
      </c>
      <c r="K1041" s="34" t="s">
        <v>3657</v>
      </c>
      <c r="L1041" s="12" t="s">
        <v>374</v>
      </c>
      <c r="M1041" s="19"/>
      <c r="N1041" s="19"/>
      <c r="O1041" s="34" t="s">
        <v>115</v>
      </c>
      <c r="P1041" s="385" t="s">
        <v>1432</v>
      </c>
    </row>
    <row r="1042" hidden="1">
      <c r="A1042" s="12">
        <v>17.0</v>
      </c>
      <c r="B1042" s="129" t="s">
        <v>3925</v>
      </c>
      <c r="C1042" s="12" t="s">
        <v>80</v>
      </c>
      <c r="D1042" s="12" t="s">
        <v>3926</v>
      </c>
      <c r="E1042" s="12" t="s">
        <v>3927</v>
      </c>
      <c r="F1042" s="12" t="s">
        <v>3928</v>
      </c>
      <c r="G1042" s="12" t="s">
        <v>3302</v>
      </c>
      <c r="H1042" s="12">
        <v>16.0</v>
      </c>
      <c r="I1042" s="472" t="s">
        <v>2890</v>
      </c>
      <c r="J1042" s="19"/>
      <c r="K1042" s="34" t="s">
        <v>3461</v>
      </c>
      <c r="L1042" s="12" t="s">
        <v>778</v>
      </c>
      <c r="M1042" s="19"/>
      <c r="N1042" s="19"/>
      <c r="O1042" s="148">
        <v>45668.0</v>
      </c>
      <c r="P1042" s="19"/>
    </row>
    <row r="1043" hidden="1">
      <c r="A1043" s="12">
        <v>18.0</v>
      </c>
      <c r="B1043" s="129" t="s">
        <v>3929</v>
      </c>
      <c r="C1043" s="12" t="s">
        <v>80</v>
      </c>
      <c r="D1043" s="12" t="s">
        <v>3930</v>
      </c>
      <c r="E1043" s="12" t="s">
        <v>3931</v>
      </c>
      <c r="F1043" s="12" t="s">
        <v>3928</v>
      </c>
      <c r="G1043" s="12" t="s">
        <v>3302</v>
      </c>
      <c r="H1043" s="12">
        <v>16.0</v>
      </c>
      <c r="I1043" s="472" t="s">
        <v>2890</v>
      </c>
      <c r="J1043" s="19"/>
      <c r="K1043" s="34" t="s">
        <v>3461</v>
      </c>
      <c r="L1043" s="12" t="s">
        <v>778</v>
      </c>
      <c r="M1043" s="19"/>
      <c r="N1043" s="19"/>
      <c r="O1043" s="148">
        <v>45668.0</v>
      </c>
      <c r="P1043" s="19"/>
    </row>
    <row r="1044" hidden="1">
      <c r="A1044" s="12">
        <v>19.0</v>
      </c>
      <c r="B1044" s="129" t="s">
        <v>3932</v>
      </c>
      <c r="C1044" s="12" t="s">
        <v>80</v>
      </c>
      <c r="D1044" s="12" t="s">
        <v>3933</v>
      </c>
      <c r="E1044" s="12" t="s">
        <v>3934</v>
      </c>
      <c r="F1044" s="12" t="s">
        <v>3928</v>
      </c>
      <c r="G1044" s="12" t="s">
        <v>3302</v>
      </c>
      <c r="H1044" s="12">
        <v>16.0</v>
      </c>
      <c r="I1044" s="472" t="s">
        <v>2890</v>
      </c>
      <c r="J1044" s="19"/>
      <c r="K1044" s="34" t="s">
        <v>3461</v>
      </c>
      <c r="L1044" s="12" t="s">
        <v>778</v>
      </c>
      <c r="M1044" s="19"/>
      <c r="N1044" s="19"/>
      <c r="O1044" s="148">
        <v>45668.0</v>
      </c>
      <c r="P1044" s="19"/>
    </row>
    <row r="1045" hidden="1">
      <c r="A1045" s="12">
        <v>20.0</v>
      </c>
      <c r="B1045" s="129" t="s">
        <v>3935</v>
      </c>
      <c r="C1045" s="12" t="s">
        <v>80</v>
      </c>
      <c r="D1045" s="12" t="s">
        <v>3936</v>
      </c>
      <c r="E1045" s="12" t="s">
        <v>3937</v>
      </c>
      <c r="F1045" s="12" t="s">
        <v>3928</v>
      </c>
      <c r="G1045" s="12" t="s">
        <v>3302</v>
      </c>
      <c r="H1045" s="12">
        <v>16.0</v>
      </c>
      <c r="I1045" s="472" t="s">
        <v>2890</v>
      </c>
      <c r="J1045" s="19"/>
      <c r="K1045" s="34" t="s">
        <v>3461</v>
      </c>
      <c r="L1045" s="12" t="s">
        <v>778</v>
      </c>
      <c r="M1045" s="19"/>
      <c r="N1045" s="19"/>
      <c r="O1045" s="148">
        <v>45668.0</v>
      </c>
      <c r="P1045" s="19"/>
    </row>
    <row r="1046" hidden="1">
      <c r="A1046" s="12">
        <v>21.0</v>
      </c>
      <c r="B1046" s="129" t="s">
        <v>3938</v>
      </c>
      <c r="C1046" s="12" t="s">
        <v>80</v>
      </c>
      <c r="D1046" s="12" t="s">
        <v>3939</v>
      </c>
      <c r="E1046" s="12" t="s">
        <v>3940</v>
      </c>
      <c r="F1046" s="12" t="s">
        <v>3928</v>
      </c>
      <c r="G1046" s="12" t="s">
        <v>3302</v>
      </c>
      <c r="H1046" s="12">
        <v>16.0</v>
      </c>
      <c r="I1046" s="522" t="s">
        <v>3231</v>
      </c>
      <c r="J1046" s="19"/>
      <c r="K1046" s="34" t="s">
        <v>3461</v>
      </c>
      <c r="L1046" s="12" t="s">
        <v>778</v>
      </c>
      <c r="M1046" s="19"/>
      <c r="N1046" s="19"/>
      <c r="O1046" s="148">
        <v>45668.0</v>
      </c>
      <c r="P1046" s="19"/>
    </row>
    <row r="1047" hidden="1">
      <c r="A1047" s="12">
        <v>22.0</v>
      </c>
      <c r="B1047" s="129" t="s">
        <v>3941</v>
      </c>
      <c r="C1047" s="12" t="s">
        <v>80</v>
      </c>
      <c r="D1047" s="12" t="s">
        <v>3942</v>
      </c>
      <c r="E1047" s="12" t="s">
        <v>3943</v>
      </c>
      <c r="F1047" s="12" t="s">
        <v>3928</v>
      </c>
      <c r="G1047" s="12" t="s">
        <v>3302</v>
      </c>
      <c r="H1047" s="12">
        <v>16.0</v>
      </c>
      <c r="I1047" s="472" t="s">
        <v>2890</v>
      </c>
      <c r="J1047" s="19"/>
      <c r="K1047" s="34" t="s">
        <v>3461</v>
      </c>
      <c r="L1047" s="12" t="s">
        <v>778</v>
      </c>
      <c r="M1047" s="19"/>
      <c r="N1047" s="19"/>
      <c r="O1047" s="148">
        <v>45668.0</v>
      </c>
      <c r="P1047" s="19"/>
    </row>
    <row r="1048" hidden="1">
      <c r="A1048" s="12">
        <v>23.0</v>
      </c>
      <c r="B1048" s="129" t="s">
        <v>3944</v>
      </c>
      <c r="C1048" s="12" t="s">
        <v>80</v>
      </c>
      <c r="D1048" s="12" t="s">
        <v>3945</v>
      </c>
      <c r="E1048" s="12" t="s">
        <v>3946</v>
      </c>
      <c r="F1048" s="12" t="s">
        <v>3583</v>
      </c>
      <c r="G1048" s="12" t="s">
        <v>3302</v>
      </c>
      <c r="H1048" s="12">
        <v>16.0</v>
      </c>
      <c r="I1048" s="472" t="s">
        <v>2890</v>
      </c>
      <c r="J1048" s="19"/>
      <c r="K1048" s="34" t="s">
        <v>114</v>
      </c>
      <c r="L1048" s="12" t="s">
        <v>778</v>
      </c>
      <c r="M1048" s="19"/>
      <c r="N1048" s="19"/>
      <c r="O1048" s="34" t="s">
        <v>3857</v>
      </c>
      <c r="P1048" s="19"/>
    </row>
    <row r="1049" hidden="1">
      <c r="A1049" s="12">
        <v>24.0</v>
      </c>
      <c r="B1049" s="129" t="s">
        <v>3947</v>
      </c>
      <c r="C1049" s="12" t="s">
        <v>80</v>
      </c>
      <c r="D1049" s="12" t="s">
        <v>3948</v>
      </c>
      <c r="E1049" s="12" t="s">
        <v>3949</v>
      </c>
      <c r="F1049" s="12" t="s">
        <v>3950</v>
      </c>
      <c r="G1049" s="164">
        <v>45849.0</v>
      </c>
      <c r="H1049" s="12">
        <v>26.0</v>
      </c>
      <c r="I1049" s="472" t="s">
        <v>2890</v>
      </c>
      <c r="J1049" s="34" t="s">
        <v>3099</v>
      </c>
      <c r="K1049" s="34" t="s">
        <v>3398</v>
      </c>
      <c r="L1049" s="12" t="s">
        <v>374</v>
      </c>
      <c r="M1049" s="19"/>
      <c r="N1049" s="19"/>
      <c r="O1049" s="34" t="s">
        <v>3598</v>
      </c>
      <c r="P1049" s="385" t="s">
        <v>1432</v>
      </c>
    </row>
    <row r="1050" hidden="1">
      <c r="A1050" s="12">
        <v>25.0</v>
      </c>
      <c r="B1050" s="129" t="s">
        <v>3951</v>
      </c>
      <c r="C1050" s="12" t="s">
        <v>1185</v>
      </c>
      <c r="D1050" s="12" t="s">
        <v>3952</v>
      </c>
      <c r="E1050" s="12" t="s">
        <v>3953</v>
      </c>
      <c r="F1050" s="12" t="s">
        <v>25</v>
      </c>
      <c r="G1050" s="164">
        <v>45758.0</v>
      </c>
      <c r="H1050" s="12">
        <v>23.0</v>
      </c>
      <c r="I1050" s="472" t="s">
        <v>2890</v>
      </c>
      <c r="J1050" s="34" t="s">
        <v>3099</v>
      </c>
      <c r="K1050" s="34" t="s">
        <v>3398</v>
      </c>
      <c r="L1050" s="12" t="s">
        <v>374</v>
      </c>
      <c r="M1050" s="19"/>
      <c r="N1050" s="19"/>
      <c r="O1050" s="71">
        <v>45880.0</v>
      </c>
      <c r="P1050" s="385" t="s">
        <v>1432</v>
      </c>
    </row>
    <row r="1051" hidden="1">
      <c r="A1051" s="12">
        <v>26.0</v>
      </c>
      <c r="B1051" s="129" t="s">
        <v>3954</v>
      </c>
      <c r="C1051" s="12" t="s">
        <v>1185</v>
      </c>
      <c r="D1051" s="12" t="s">
        <v>3955</v>
      </c>
      <c r="E1051" s="12" t="s">
        <v>3956</v>
      </c>
      <c r="F1051" s="12" t="s">
        <v>2098</v>
      </c>
      <c r="G1051" s="164">
        <v>45758.0</v>
      </c>
      <c r="H1051" s="12">
        <v>23.0</v>
      </c>
      <c r="I1051" s="522" t="s">
        <v>3231</v>
      </c>
      <c r="J1051" s="29" t="s">
        <v>2065</v>
      </c>
      <c r="K1051" s="34" t="s">
        <v>3652</v>
      </c>
      <c r="L1051" s="12" t="s">
        <v>51</v>
      </c>
      <c r="M1051" s="19"/>
      <c r="N1051" s="19"/>
      <c r="O1051" s="34" t="s">
        <v>3728</v>
      </c>
      <c r="P1051" s="385" t="s">
        <v>1432</v>
      </c>
    </row>
    <row r="1052" hidden="1">
      <c r="A1052" s="12">
        <v>27.0</v>
      </c>
      <c r="B1052" s="129" t="s">
        <v>3957</v>
      </c>
      <c r="C1052" s="12" t="s">
        <v>80</v>
      </c>
      <c r="D1052" s="12" t="s">
        <v>3958</v>
      </c>
      <c r="E1052" s="12" t="s">
        <v>3959</v>
      </c>
      <c r="F1052" s="12" t="s">
        <v>25</v>
      </c>
      <c r="G1052" s="164">
        <v>45758.0</v>
      </c>
      <c r="H1052" s="12">
        <v>23.0</v>
      </c>
      <c r="I1052" s="472" t="s">
        <v>2890</v>
      </c>
      <c r="J1052" s="29" t="s">
        <v>2065</v>
      </c>
      <c r="K1052" s="34" t="s">
        <v>3652</v>
      </c>
      <c r="L1052" s="12" t="s">
        <v>51</v>
      </c>
      <c r="M1052" s="19"/>
      <c r="N1052" s="19"/>
      <c r="O1052" s="34" t="s">
        <v>3960</v>
      </c>
      <c r="P1052" s="385" t="s">
        <v>1432</v>
      </c>
    </row>
    <row r="1053" hidden="1">
      <c r="A1053" s="12">
        <v>28.0</v>
      </c>
      <c r="B1053" s="507" t="s">
        <v>3961</v>
      </c>
      <c r="C1053" s="12" t="s">
        <v>80</v>
      </c>
      <c r="D1053" s="12" t="s">
        <v>3962</v>
      </c>
      <c r="E1053" s="523" t="s">
        <v>3963</v>
      </c>
      <c r="F1053" s="12" t="s">
        <v>3950</v>
      </c>
      <c r="G1053" s="164">
        <v>45758.0</v>
      </c>
      <c r="H1053" s="12">
        <v>23.0</v>
      </c>
      <c r="I1053" s="472" t="s">
        <v>2890</v>
      </c>
      <c r="J1053" s="34" t="s">
        <v>2541</v>
      </c>
      <c r="K1053" s="148">
        <v>45758.0</v>
      </c>
      <c r="L1053" s="12" t="s">
        <v>374</v>
      </c>
      <c r="M1053" s="19"/>
      <c r="N1053" s="19"/>
      <c r="O1053" s="34" t="s">
        <v>3964</v>
      </c>
      <c r="P1053" s="385" t="s">
        <v>1432</v>
      </c>
    </row>
    <row r="1054" hidden="1">
      <c r="A1054" s="12">
        <v>29.0</v>
      </c>
      <c r="B1054" s="507" t="s">
        <v>3965</v>
      </c>
      <c r="C1054" s="12" t="s">
        <v>80</v>
      </c>
      <c r="D1054" s="12" t="s">
        <v>3966</v>
      </c>
      <c r="E1054" s="523" t="s">
        <v>3967</v>
      </c>
      <c r="F1054" s="12" t="s">
        <v>3950</v>
      </c>
      <c r="G1054" s="164">
        <v>45758.0</v>
      </c>
      <c r="H1054" s="12">
        <v>23.0</v>
      </c>
      <c r="I1054" s="472" t="s">
        <v>2890</v>
      </c>
      <c r="J1054" s="34" t="s">
        <v>2541</v>
      </c>
      <c r="K1054" s="148">
        <v>45759.0</v>
      </c>
      <c r="L1054" s="12" t="s">
        <v>374</v>
      </c>
      <c r="M1054" s="19"/>
      <c r="N1054" s="19"/>
      <c r="O1054" s="34" t="s">
        <v>3964</v>
      </c>
      <c r="P1054" s="385" t="s">
        <v>1432</v>
      </c>
    </row>
    <row r="1055" hidden="1">
      <c r="A1055" s="12">
        <v>30.0</v>
      </c>
      <c r="B1055" s="507" t="s">
        <v>3968</v>
      </c>
      <c r="C1055" s="12" t="s">
        <v>80</v>
      </c>
      <c r="D1055" s="12" t="s">
        <v>3969</v>
      </c>
      <c r="E1055" s="523" t="s">
        <v>3970</v>
      </c>
      <c r="F1055" s="12" t="s">
        <v>3950</v>
      </c>
      <c r="G1055" s="164">
        <v>45758.0</v>
      </c>
      <c r="H1055" s="12">
        <v>23.0</v>
      </c>
      <c r="I1055" s="472" t="s">
        <v>2890</v>
      </c>
      <c r="J1055" s="34" t="s">
        <v>2541</v>
      </c>
      <c r="K1055" s="148">
        <v>45760.0</v>
      </c>
      <c r="L1055" s="12" t="s">
        <v>374</v>
      </c>
      <c r="M1055" s="19"/>
      <c r="N1055" s="19"/>
      <c r="O1055" s="34" t="s">
        <v>3964</v>
      </c>
      <c r="P1055" s="385" t="s">
        <v>1432</v>
      </c>
    </row>
    <row r="1056" hidden="1">
      <c r="A1056" s="12">
        <v>31.0</v>
      </c>
      <c r="B1056" s="129" t="s">
        <v>3971</v>
      </c>
      <c r="C1056" s="12" t="s">
        <v>80</v>
      </c>
      <c r="D1056" s="12" t="s">
        <v>3972</v>
      </c>
      <c r="E1056" s="473" t="s">
        <v>3973</v>
      </c>
      <c r="F1056" s="12" t="s">
        <v>3157</v>
      </c>
      <c r="G1056" s="164">
        <v>45758.0</v>
      </c>
      <c r="H1056" s="12">
        <v>23.0</v>
      </c>
      <c r="I1056" s="472" t="s">
        <v>2890</v>
      </c>
      <c r="J1056" s="34" t="s">
        <v>2065</v>
      </c>
      <c r="K1056" s="34" t="s">
        <v>3409</v>
      </c>
      <c r="L1056" s="12" t="s">
        <v>374</v>
      </c>
      <c r="M1056" s="19"/>
      <c r="N1056" s="19"/>
      <c r="O1056" s="478">
        <v>45941.0</v>
      </c>
      <c r="P1056" s="385" t="s">
        <v>1432</v>
      </c>
    </row>
    <row r="1057" hidden="1">
      <c r="A1057" s="12">
        <v>32.0</v>
      </c>
      <c r="B1057" s="129" t="s">
        <v>3974</v>
      </c>
      <c r="C1057" s="12" t="s">
        <v>80</v>
      </c>
      <c r="D1057" s="12" t="s">
        <v>3975</v>
      </c>
      <c r="E1057" s="473" t="s">
        <v>3976</v>
      </c>
      <c r="F1057" s="12" t="s">
        <v>3950</v>
      </c>
      <c r="G1057" s="164">
        <v>45758.0</v>
      </c>
      <c r="H1057" s="12">
        <v>23.0</v>
      </c>
      <c r="I1057" s="472" t="s">
        <v>2890</v>
      </c>
      <c r="J1057" s="34" t="s">
        <v>2065</v>
      </c>
      <c r="K1057" s="34" t="s">
        <v>3409</v>
      </c>
      <c r="L1057" s="12" t="s">
        <v>374</v>
      </c>
      <c r="M1057" s="19"/>
      <c r="N1057" s="19"/>
      <c r="O1057" s="478">
        <v>45941.0</v>
      </c>
      <c r="P1057" s="385" t="s">
        <v>1432</v>
      </c>
    </row>
    <row r="1058" hidden="1">
      <c r="A1058" s="12">
        <v>33.0</v>
      </c>
      <c r="B1058" s="129" t="s">
        <v>3977</v>
      </c>
      <c r="C1058" s="12" t="s">
        <v>80</v>
      </c>
      <c r="D1058" s="12" t="s">
        <v>3978</v>
      </c>
      <c r="E1058" s="473" t="s">
        <v>3979</v>
      </c>
      <c r="F1058" s="12" t="s">
        <v>3950</v>
      </c>
      <c r="G1058" s="164">
        <v>45758.0</v>
      </c>
      <c r="H1058" s="12">
        <v>23.0</v>
      </c>
      <c r="I1058" s="472" t="s">
        <v>2890</v>
      </c>
      <c r="J1058" s="34" t="s">
        <v>100</v>
      </c>
      <c r="K1058" s="34" t="s">
        <v>3717</v>
      </c>
      <c r="L1058" s="12" t="s">
        <v>100</v>
      </c>
      <c r="M1058" s="19"/>
      <c r="N1058" s="19"/>
      <c r="O1058" s="71">
        <v>45757.0</v>
      </c>
      <c r="P1058" s="385" t="s">
        <v>1432</v>
      </c>
    </row>
    <row r="1059" hidden="1">
      <c r="A1059" s="12">
        <v>34.0</v>
      </c>
      <c r="B1059" s="129" t="s">
        <v>3980</v>
      </c>
      <c r="C1059" s="12" t="s">
        <v>80</v>
      </c>
      <c r="D1059" s="12" t="s">
        <v>3981</v>
      </c>
      <c r="E1059" s="473" t="s">
        <v>3982</v>
      </c>
      <c r="F1059" s="12" t="s">
        <v>3950</v>
      </c>
      <c r="G1059" s="164">
        <v>45758.0</v>
      </c>
      <c r="H1059" s="12">
        <v>23.0</v>
      </c>
      <c r="I1059" s="519" t="s">
        <v>3465</v>
      </c>
      <c r="J1059" s="34" t="s">
        <v>100</v>
      </c>
      <c r="K1059" s="34" t="s">
        <v>3717</v>
      </c>
      <c r="L1059" s="12" t="s">
        <v>100</v>
      </c>
      <c r="M1059" s="19"/>
      <c r="N1059" s="19"/>
      <c r="O1059" s="71">
        <v>45757.0</v>
      </c>
      <c r="P1059" s="385" t="s">
        <v>1432</v>
      </c>
    </row>
    <row r="1060" hidden="1">
      <c r="A1060" s="115">
        <v>35.0</v>
      </c>
      <c r="B1060" s="517" t="s">
        <v>3983</v>
      </c>
      <c r="C1060" s="115" t="s">
        <v>80</v>
      </c>
      <c r="D1060" s="115" t="s">
        <v>3984</v>
      </c>
      <c r="E1060" s="115" t="s">
        <v>3985</v>
      </c>
      <c r="F1060" s="115" t="s">
        <v>3950</v>
      </c>
      <c r="G1060" s="115" t="s">
        <v>3107</v>
      </c>
      <c r="H1060" s="115">
        <v>-14.0</v>
      </c>
      <c r="I1060" s="472" t="s">
        <v>2890</v>
      </c>
      <c r="J1060" s="34" t="s">
        <v>2541</v>
      </c>
      <c r="K1060" s="34" t="s">
        <v>114</v>
      </c>
      <c r="L1060" s="12" t="s">
        <v>100</v>
      </c>
      <c r="M1060" s="19"/>
      <c r="N1060" s="19"/>
      <c r="O1060" s="34" t="s">
        <v>99</v>
      </c>
      <c r="P1060" s="385" t="s">
        <v>1432</v>
      </c>
      <c r="Q1060" s="377"/>
      <c r="R1060" s="377"/>
      <c r="S1060" s="377"/>
      <c r="T1060" s="377"/>
      <c r="U1060" s="377"/>
      <c r="V1060" s="377"/>
      <c r="W1060" s="377"/>
      <c r="X1060" s="377"/>
      <c r="Y1060" s="377"/>
      <c r="Z1060" s="377"/>
      <c r="AA1060" s="377"/>
      <c r="AB1060" s="377"/>
      <c r="AC1060" s="377"/>
      <c r="AD1060" s="377"/>
      <c r="AE1060" s="377"/>
      <c r="AF1060" s="377"/>
    </row>
    <row r="1061" hidden="1">
      <c r="A1061" s="12">
        <v>36.0</v>
      </c>
      <c r="B1061" s="129" t="s">
        <v>3986</v>
      </c>
      <c r="C1061" s="12" t="s">
        <v>80</v>
      </c>
      <c r="D1061" s="12" t="s">
        <v>3987</v>
      </c>
      <c r="E1061" s="12" t="s">
        <v>3988</v>
      </c>
      <c r="F1061" s="12" t="s">
        <v>160</v>
      </c>
      <c r="G1061" s="164">
        <v>45788.0</v>
      </c>
      <c r="H1061" s="12">
        <v>24.0</v>
      </c>
      <c r="I1061" s="472" t="s">
        <v>2890</v>
      </c>
      <c r="J1061" s="34" t="s">
        <v>2065</v>
      </c>
      <c r="K1061" s="34" t="s">
        <v>3652</v>
      </c>
      <c r="L1061" s="12" t="s">
        <v>51</v>
      </c>
      <c r="M1061" s="19"/>
      <c r="N1061" s="19"/>
      <c r="O1061" s="148">
        <v>45819.0</v>
      </c>
      <c r="P1061" s="416" t="s">
        <v>3794</v>
      </c>
    </row>
    <row r="1062" hidden="1">
      <c r="A1062" s="12">
        <v>37.0</v>
      </c>
      <c r="B1062" s="129" t="s">
        <v>3989</v>
      </c>
      <c r="C1062" s="12" t="s">
        <v>80</v>
      </c>
      <c r="D1062" s="12" t="s">
        <v>3990</v>
      </c>
      <c r="E1062" s="473" t="s">
        <v>3991</v>
      </c>
      <c r="F1062" s="12" t="s">
        <v>2599</v>
      </c>
      <c r="G1062" s="164">
        <v>45788.0</v>
      </c>
      <c r="H1062" s="12">
        <v>24.0</v>
      </c>
      <c r="I1062" s="472" t="s">
        <v>2890</v>
      </c>
      <c r="J1062" s="34" t="s">
        <v>2541</v>
      </c>
      <c r="K1062" s="34" t="s">
        <v>3409</v>
      </c>
      <c r="L1062" s="12" t="s">
        <v>374</v>
      </c>
      <c r="M1062" s="19"/>
      <c r="N1062" s="19"/>
      <c r="O1062" s="34" t="s">
        <v>3992</v>
      </c>
      <c r="P1062" s="385" t="s">
        <v>1432</v>
      </c>
    </row>
    <row r="1063" hidden="1">
      <c r="A1063" s="12">
        <v>38.0</v>
      </c>
      <c r="B1063" s="129" t="s">
        <v>3993</v>
      </c>
      <c r="C1063" s="12" t="s">
        <v>80</v>
      </c>
      <c r="D1063" s="12" t="s">
        <v>3994</v>
      </c>
      <c r="E1063" s="473" t="s">
        <v>3995</v>
      </c>
      <c r="F1063" s="12" t="s">
        <v>2599</v>
      </c>
      <c r="G1063" s="164">
        <v>45788.0</v>
      </c>
      <c r="H1063" s="12">
        <v>24.0</v>
      </c>
      <c r="I1063" s="472" t="s">
        <v>2890</v>
      </c>
      <c r="J1063" s="34" t="s">
        <v>2541</v>
      </c>
      <c r="K1063" s="34" t="s">
        <v>3409</v>
      </c>
      <c r="L1063" s="12" t="s">
        <v>374</v>
      </c>
      <c r="M1063" s="19"/>
      <c r="N1063" s="19"/>
      <c r="O1063" s="34" t="s">
        <v>3992</v>
      </c>
      <c r="P1063" s="385" t="s">
        <v>1432</v>
      </c>
    </row>
    <row r="1064" hidden="1">
      <c r="A1064" s="12">
        <v>39.0</v>
      </c>
      <c r="B1064" s="129" t="s">
        <v>3996</v>
      </c>
      <c r="C1064" s="12" t="s">
        <v>938</v>
      </c>
      <c r="D1064" s="12" t="s">
        <v>3997</v>
      </c>
      <c r="E1064" s="473" t="s">
        <v>3998</v>
      </c>
      <c r="F1064" s="12" t="s">
        <v>1836</v>
      </c>
      <c r="G1064" s="164">
        <v>45819.0</v>
      </c>
      <c r="H1064" s="12">
        <v>25.0</v>
      </c>
      <c r="I1064" s="472" t="s">
        <v>2890</v>
      </c>
      <c r="J1064" s="34" t="s">
        <v>2541</v>
      </c>
      <c r="K1064" s="34" t="s">
        <v>3409</v>
      </c>
      <c r="L1064" s="12" t="s">
        <v>374</v>
      </c>
      <c r="M1064" s="19"/>
      <c r="N1064" s="19"/>
      <c r="O1064" s="34" t="s">
        <v>115</v>
      </c>
      <c r="P1064" s="385" t="s">
        <v>1432</v>
      </c>
    </row>
    <row r="1065" hidden="1">
      <c r="A1065" s="12">
        <v>40.0</v>
      </c>
      <c r="B1065" s="129" t="s">
        <v>3999</v>
      </c>
      <c r="C1065" s="12" t="s">
        <v>938</v>
      </c>
      <c r="D1065" s="12" t="s">
        <v>4000</v>
      </c>
      <c r="E1065" s="473" t="s">
        <v>4001</v>
      </c>
      <c r="F1065" s="12" t="s">
        <v>1836</v>
      </c>
      <c r="G1065" s="164">
        <v>45819.0</v>
      </c>
      <c r="H1065" s="12">
        <v>25.0</v>
      </c>
      <c r="I1065" s="522" t="s">
        <v>4002</v>
      </c>
      <c r="J1065" s="34" t="s">
        <v>2541</v>
      </c>
      <c r="K1065" s="34" t="s">
        <v>3409</v>
      </c>
      <c r="L1065" s="12" t="s">
        <v>374</v>
      </c>
      <c r="M1065" s="19"/>
      <c r="N1065" s="19"/>
      <c r="O1065" s="34" t="s">
        <v>115</v>
      </c>
      <c r="P1065" s="385" t="s">
        <v>1432</v>
      </c>
    </row>
    <row r="1066" hidden="1">
      <c r="A1066" s="339" t="s">
        <v>4003</v>
      </c>
    </row>
    <row r="1067" hidden="1">
      <c r="A1067" s="427" t="s">
        <v>47</v>
      </c>
      <c r="B1067" s="482" t="s">
        <v>7</v>
      </c>
      <c r="C1067" s="424" t="s">
        <v>9</v>
      </c>
      <c r="D1067" s="424" t="s">
        <v>10</v>
      </c>
      <c r="E1067" s="424" t="s">
        <v>11</v>
      </c>
      <c r="F1067" s="424" t="s">
        <v>12</v>
      </c>
      <c r="G1067" s="424" t="s">
        <v>2378</v>
      </c>
      <c r="H1067" s="424" t="s">
        <v>2681</v>
      </c>
      <c r="I1067" s="428" t="s">
        <v>2847</v>
      </c>
      <c r="J1067" s="8" t="s">
        <v>14</v>
      </c>
      <c r="K1067" s="9" t="s">
        <v>16</v>
      </c>
      <c r="L1067" s="9" t="s">
        <v>35</v>
      </c>
      <c r="M1067" s="9" t="s">
        <v>18</v>
      </c>
      <c r="N1067" s="9" t="s">
        <v>19</v>
      </c>
      <c r="O1067" s="9" t="s">
        <v>20</v>
      </c>
      <c r="P1067" s="9" t="s">
        <v>21</v>
      </c>
    </row>
    <row r="1068" hidden="1">
      <c r="A1068" s="471">
        <v>1.0</v>
      </c>
      <c r="B1068" s="524" t="s">
        <v>4004</v>
      </c>
      <c r="C1068" s="471" t="s">
        <v>80</v>
      </c>
      <c r="D1068" s="471" t="s">
        <v>4005</v>
      </c>
      <c r="E1068" s="471" t="s">
        <v>4006</v>
      </c>
      <c r="F1068" s="471" t="s">
        <v>3771</v>
      </c>
      <c r="G1068" s="525">
        <v>45819.0</v>
      </c>
      <c r="H1068" s="471">
        <v>20.0</v>
      </c>
      <c r="I1068" s="471" t="s">
        <v>2890</v>
      </c>
      <c r="J1068" s="34" t="s">
        <v>2065</v>
      </c>
      <c r="K1068" s="34" t="s">
        <v>3784</v>
      </c>
      <c r="L1068" s="12" t="s">
        <v>4007</v>
      </c>
      <c r="M1068" s="19"/>
      <c r="N1068" s="19"/>
      <c r="O1068" s="148">
        <v>45758.0</v>
      </c>
      <c r="P1068" s="385" t="s">
        <v>1432</v>
      </c>
    </row>
    <row r="1069" hidden="1">
      <c r="A1069" s="526">
        <v>2.0</v>
      </c>
      <c r="B1069" s="527" t="s">
        <v>4008</v>
      </c>
      <c r="C1069" s="526" t="s">
        <v>80</v>
      </c>
      <c r="D1069" s="526" t="s">
        <v>4009</v>
      </c>
      <c r="E1069" s="526" t="s">
        <v>4010</v>
      </c>
      <c r="F1069" s="526" t="s">
        <v>4011</v>
      </c>
      <c r="G1069" s="528">
        <v>45819.0</v>
      </c>
      <c r="H1069" s="526">
        <v>20.0</v>
      </c>
      <c r="I1069" s="526" t="s">
        <v>2890</v>
      </c>
      <c r="J1069" s="19"/>
      <c r="K1069" s="19"/>
      <c r="L1069" s="14"/>
      <c r="M1069" s="19"/>
      <c r="N1069" s="19"/>
      <c r="O1069" s="34" t="s">
        <v>4012</v>
      </c>
      <c r="P1069" s="407" t="s">
        <v>1798</v>
      </c>
    </row>
    <row r="1070" hidden="1">
      <c r="A1070" s="471">
        <v>3.0</v>
      </c>
      <c r="B1070" s="470" t="s">
        <v>4013</v>
      </c>
      <c r="C1070" s="471" t="s">
        <v>1185</v>
      </c>
      <c r="D1070" s="471" t="s">
        <v>4014</v>
      </c>
      <c r="E1070" s="471" t="s">
        <v>4015</v>
      </c>
      <c r="F1070" s="471" t="s">
        <v>356</v>
      </c>
      <c r="G1070" s="525">
        <v>45819.0</v>
      </c>
      <c r="H1070" s="471">
        <v>20.0</v>
      </c>
      <c r="I1070" s="471" t="s">
        <v>2890</v>
      </c>
      <c r="J1070" s="34" t="s">
        <v>2065</v>
      </c>
      <c r="K1070" s="34" t="s">
        <v>3296</v>
      </c>
      <c r="L1070" s="12" t="s">
        <v>51</v>
      </c>
      <c r="M1070" s="19"/>
      <c r="N1070" s="19"/>
      <c r="O1070" s="148">
        <v>45819.0</v>
      </c>
      <c r="P1070" s="385" t="s">
        <v>1432</v>
      </c>
    </row>
    <row r="1071" hidden="1">
      <c r="A1071" s="471">
        <v>4.0</v>
      </c>
      <c r="B1071" s="470" t="s">
        <v>4016</v>
      </c>
      <c r="C1071" s="471" t="s">
        <v>1185</v>
      </c>
      <c r="D1071" s="471" t="s">
        <v>4017</v>
      </c>
      <c r="E1071" s="471" t="s">
        <v>4018</v>
      </c>
      <c r="F1071" s="471" t="s">
        <v>2098</v>
      </c>
      <c r="G1071" s="525">
        <v>45880.0</v>
      </c>
      <c r="H1071" s="471">
        <v>22.0</v>
      </c>
      <c r="I1071" s="529" t="s">
        <v>4019</v>
      </c>
      <c r="J1071" s="34" t="s">
        <v>2065</v>
      </c>
      <c r="K1071" s="34" t="s">
        <v>3652</v>
      </c>
      <c r="L1071" s="12" t="s">
        <v>51</v>
      </c>
      <c r="M1071" s="19"/>
      <c r="N1071" s="19"/>
      <c r="O1071" s="478">
        <v>45941.0</v>
      </c>
      <c r="P1071" s="385" t="s">
        <v>1432</v>
      </c>
    </row>
    <row r="1072" hidden="1">
      <c r="A1072" s="471">
        <v>5.0</v>
      </c>
      <c r="B1072" s="470" t="s">
        <v>4020</v>
      </c>
      <c r="C1072" s="471" t="s">
        <v>80</v>
      </c>
      <c r="D1072" s="471" t="s">
        <v>4021</v>
      </c>
      <c r="E1072" s="473" t="s">
        <v>4022</v>
      </c>
      <c r="F1072" s="471" t="s">
        <v>815</v>
      </c>
      <c r="G1072" s="525">
        <v>45849.0</v>
      </c>
      <c r="H1072" s="471">
        <v>21.0</v>
      </c>
      <c r="I1072" s="471" t="s">
        <v>2890</v>
      </c>
      <c r="J1072" s="34" t="s">
        <v>2065</v>
      </c>
      <c r="K1072" s="34" t="s">
        <v>3793</v>
      </c>
      <c r="L1072" s="12" t="s">
        <v>374</v>
      </c>
      <c r="M1072" s="19"/>
      <c r="N1072" s="19"/>
      <c r="O1072" s="530">
        <v>45941.0</v>
      </c>
      <c r="P1072" s="385" t="s">
        <v>1432</v>
      </c>
    </row>
    <row r="1073" hidden="1">
      <c r="A1073" s="471">
        <v>6.0</v>
      </c>
      <c r="B1073" s="470" t="s">
        <v>4023</v>
      </c>
      <c r="C1073" s="471" t="s">
        <v>80</v>
      </c>
      <c r="D1073" s="471" t="s">
        <v>4024</v>
      </c>
      <c r="E1073" s="473" t="s">
        <v>4025</v>
      </c>
      <c r="F1073" s="471" t="s">
        <v>815</v>
      </c>
      <c r="G1073" s="525">
        <v>45849.0</v>
      </c>
      <c r="H1073" s="471">
        <v>21.0</v>
      </c>
      <c r="I1073" s="531" t="s">
        <v>3231</v>
      </c>
      <c r="J1073" s="34" t="s">
        <v>2065</v>
      </c>
      <c r="K1073" s="34" t="s">
        <v>3793</v>
      </c>
      <c r="L1073" s="12" t="s">
        <v>374</v>
      </c>
      <c r="M1073" s="19"/>
      <c r="N1073" s="19"/>
      <c r="O1073" s="530">
        <v>45941.0</v>
      </c>
      <c r="P1073" s="385" t="s">
        <v>1432</v>
      </c>
    </row>
    <row r="1074" hidden="1">
      <c r="A1074" s="471">
        <v>7.0</v>
      </c>
      <c r="B1074" s="470" t="s">
        <v>4026</v>
      </c>
      <c r="C1074" s="471" t="s">
        <v>80</v>
      </c>
      <c r="D1074" s="471" t="s">
        <v>4027</v>
      </c>
      <c r="E1074" s="471" t="s">
        <v>4028</v>
      </c>
      <c r="F1074" s="471" t="s">
        <v>2486</v>
      </c>
      <c r="G1074" s="525">
        <v>45880.0</v>
      </c>
      <c r="H1074" s="471">
        <v>22.0</v>
      </c>
      <c r="I1074" s="471" t="s">
        <v>2890</v>
      </c>
      <c r="J1074" s="19"/>
      <c r="K1074" s="19"/>
      <c r="L1074" s="12" t="s">
        <v>51</v>
      </c>
      <c r="M1074" s="19"/>
      <c r="N1074" s="19"/>
      <c r="O1074" s="478">
        <v>45972.0</v>
      </c>
      <c r="P1074" s="385" t="s">
        <v>1432</v>
      </c>
    </row>
    <row r="1075" hidden="1">
      <c r="A1075" s="471">
        <v>8.0</v>
      </c>
      <c r="B1075" s="470" t="s">
        <v>4029</v>
      </c>
      <c r="C1075" s="471" t="s">
        <v>80</v>
      </c>
      <c r="D1075" s="342" t="s">
        <v>4030</v>
      </c>
      <c r="E1075" s="471" t="s">
        <v>4031</v>
      </c>
      <c r="F1075" s="471" t="s">
        <v>4032</v>
      </c>
      <c r="G1075" s="471" t="s">
        <v>3785</v>
      </c>
      <c r="H1075" s="471">
        <v>13.0</v>
      </c>
      <c r="I1075" s="471" t="s">
        <v>2890</v>
      </c>
      <c r="J1075" s="19"/>
      <c r="K1075" s="34" t="s">
        <v>3409</v>
      </c>
      <c r="L1075" s="12" t="s">
        <v>778</v>
      </c>
      <c r="M1075" s="19"/>
      <c r="N1075" s="19"/>
      <c r="O1075" s="34" t="s">
        <v>3857</v>
      </c>
    </row>
    <row r="1076" ht="15.0" hidden="1" customHeight="1">
      <c r="A1076" s="471">
        <v>9.0</v>
      </c>
      <c r="B1076" s="470" t="s">
        <v>4033</v>
      </c>
      <c r="C1076" s="471" t="s">
        <v>80</v>
      </c>
      <c r="D1076" s="471" t="s">
        <v>4034</v>
      </c>
      <c r="E1076" s="471" t="s">
        <v>4035</v>
      </c>
      <c r="F1076" s="471" t="s">
        <v>172</v>
      </c>
      <c r="G1076" s="525">
        <v>45819.0</v>
      </c>
      <c r="H1076" s="471">
        <v>20.0</v>
      </c>
      <c r="I1076" s="486" t="s">
        <v>3465</v>
      </c>
      <c r="J1076" s="34" t="s">
        <v>2065</v>
      </c>
      <c r="K1076" s="34" t="s">
        <v>3296</v>
      </c>
      <c r="L1076" s="12" t="s">
        <v>51</v>
      </c>
      <c r="M1076" s="19"/>
      <c r="N1076" s="19"/>
      <c r="O1076" s="148">
        <v>45788.0</v>
      </c>
      <c r="P1076" s="385" t="s">
        <v>1432</v>
      </c>
    </row>
    <row r="1077" hidden="1">
      <c r="A1077" s="471">
        <v>10.0</v>
      </c>
      <c r="B1077" s="470" t="s">
        <v>4036</v>
      </c>
      <c r="C1077" s="471" t="s">
        <v>651</v>
      </c>
      <c r="D1077" s="471" t="s">
        <v>4037</v>
      </c>
      <c r="E1077" s="473" t="s">
        <v>4038</v>
      </c>
      <c r="F1077" s="471" t="s">
        <v>3950</v>
      </c>
      <c r="G1077" s="525">
        <v>45849.0</v>
      </c>
      <c r="H1077" s="471">
        <v>21.0</v>
      </c>
      <c r="I1077" s="471" t="s">
        <v>2890</v>
      </c>
      <c r="J1077" s="34" t="s">
        <v>2541</v>
      </c>
      <c r="K1077" s="34" t="s">
        <v>3297</v>
      </c>
      <c r="L1077" s="12" t="s">
        <v>100</v>
      </c>
      <c r="M1077" s="19"/>
      <c r="N1077" s="19"/>
      <c r="O1077" s="71">
        <v>45727.0</v>
      </c>
      <c r="P1077" s="385" t="s">
        <v>1432</v>
      </c>
    </row>
    <row r="1078" hidden="1">
      <c r="A1078" s="471">
        <v>11.0</v>
      </c>
      <c r="B1078" s="470" t="s">
        <v>4039</v>
      </c>
      <c r="C1078" s="471" t="s">
        <v>651</v>
      </c>
      <c r="D1078" s="471" t="s">
        <v>4040</v>
      </c>
      <c r="E1078" s="473" t="s">
        <v>4041</v>
      </c>
      <c r="F1078" s="471" t="s">
        <v>3950</v>
      </c>
      <c r="G1078" s="525">
        <v>45849.0</v>
      </c>
      <c r="H1078" s="471">
        <v>21.0</v>
      </c>
      <c r="I1078" s="471" t="s">
        <v>2890</v>
      </c>
      <c r="J1078" s="34" t="s">
        <v>2541</v>
      </c>
      <c r="K1078" s="34" t="s">
        <v>3297</v>
      </c>
      <c r="L1078" s="12" t="s">
        <v>100</v>
      </c>
      <c r="M1078" s="19"/>
      <c r="N1078" s="19"/>
      <c r="O1078" s="71">
        <v>45727.0</v>
      </c>
      <c r="P1078" s="385" t="s">
        <v>1432</v>
      </c>
    </row>
    <row r="1079" hidden="1">
      <c r="B1079" s="270" t="s">
        <v>4042</v>
      </c>
      <c r="C1079" s="283" t="s">
        <v>2307</v>
      </c>
      <c r="D1079" s="283" t="s">
        <v>4043</v>
      </c>
      <c r="E1079" s="283" t="s">
        <v>4044</v>
      </c>
      <c r="F1079" s="140"/>
      <c r="G1079" s="532">
        <v>45880.0</v>
      </c>
      <c r="H1079" s="140"/>
      <c r="I1079" s="140"/>
      <c r="L1079" s="140"/>
    </row>
    <row r="1080" hidden="1">
      <c r="A1080" s="471">
        <v>13.0</v>
      </c>
      <c r="B1080" s="470" t="s">
        <v>4045</v>
      </c>
      <c r="C1080" s="471" t="s">
        <v>2403</v>
      </c>
      <c r="D1080" s="471" t="s">
        <v>4046</v>
      </c>
      <c r="E1080" s="471" t="s">
        <v>4047</v>
      </c>
      <c r="F1080" s="471" t="s">
        <v>1199</v>
      </c>
      <c r="G1080" s="525">
        <v>45911.0</v>
      </c>
      <c r="H1080" s="471">
        <v>23.0</v>
      </c>
      <c r="I1080" s="471" t="s">
        <v>2890</v>
      </c>
      <c r="J1080" s="34" t="s">
        <v>100</v>
      </c>
      <c r="K1080" s="34" t="s">
        <v>4048</v>
      </c>
      <c r="L1080" s="12" t="s">
        <v>374</v>
      </c>
      <c r="M1080" s="19"/>
      <c r="N1080" s="19"/>
      <c r="O1080" s="478">
        <v>45941.0</v>
      </c>
      <c r="P1080" s="385" t="s">
        <v>1432</v>
      </c>
    </row>
    <row r="1081" hidden="1">
      <c r="A1081" s="471">
        <v>14.0</v>
      </c>
      <c r="B1081" s="470" t="s">
        <v>4049</v>
      </c>
      <c r="C1081" s="471" t="s">
        <v>938</v>
      </c>
      <c r="D1081" s="471" t="s">
        <v>4050</v>
      </c>
      <c r="E1081" s="473" t="s">
        <v>4051</v>
      </c>
      <c r="F1081" s="471" t="s">
        <v>1836</v>
      </c>
      <c r="G1081" s="525">
        <v>45880.0</v>
      </c>
      <c r="H1081" s="471">
        <v>22.0</v>
      </c>
      <c r="I1081" s="531" t="s">
        <v>4002</v>
      </c>
      <c r="J1081" s="34" t="s">
        <v>2065</v>
      </c>
      <c r="K1081" s="34" t="s">
        <v>3297</v>
      </c>
      <c r="L1081" s="12" t="s">
        <v>374</v>
      </c>
      <c r="M1081" s="19"/>
      <c r="N1081" s="19"/>
      <c r="O1081" s="478">
        <v>45941.0</v>
      </c>
      <c r="P1081" s="385" t="s">
        <v>1432</v>
      </c>
    </row>
    <row r="1082" hidden="1">
      <c r="A1082" s="471">
        <v>12.0</v>
      </c>
      <c r="B1082" s="470" t="s">
        <v>4042</v>
      </c>
      <c r="C1082" s="471" t="s">
        <v>2307</v>
      </c>
      <c r="D1082" s="471" t="s">
        <v>4043</v>
      </c>
      <c r="E1082" s="471" t="s">
        <v>4044</v>
      </c>
      <c r="F1082" s="471" t="s">
        <v>2599</v>
      </c>
      <c r="G1082" s="525">
        <v>45880.0</v>
      </c>
      <c r="H1082" s="471">
        <v>22.0</v>
      </c>
      <c r="I1082" s="471" t="s">
        <v>2890</v>
      </c>
      <c r="J1082" s="34" t="s">
        <v>100</v>
      </c>
      <c r="K1082" s="34" t="s">
        <v>3857</v>
      </c>
      <c r="L1082" s="12" t="s">
        <v>374</v>
      </c>
      <c r="M1082" s="19"/>
      <c r="N1082" s="19"/>
      <c r="O1082" s="71">
        <v>45788.0</v>
      </c>
      <c r="P1082" s="407" t="s">
        <v>2560</v>
      </c>
    </row>
    <row r="1083" hidden="1">
      <c r="A1083" s="471">
        <v>16.0</v>
      </c>
      <c r="B1083" s="470" t="s">
        <v>4052</v>
      </c>
      <c r="C1083" s="471" t="s">
        <v>2307</v>
      </c>
      <c r="D1083" s="471" t="s">
        <v>4053</v>
      </c>
      <c r="E1083" s="471" t="s">
        <v>4054</v>
      </c>
      <c r="F1083" s="471" t="s">
        <v>3950</v>
      </c>
      <c r="G1083" s="525">
        <v>45880.0</v>
      </c>
      <c r="H1083" s="471">
        <v>22.0</v>
      </c>
      <c r="I1083" s="471" t="s">
        <v>2890</v>
      </c>
      <c r="J1083" s="34" t="s">
        <v>100</v>
      </c>
      <c r="K1083" s="34" t="s">
        <v>3857</v>
      </c>
      <c r="L1083" s="12" t="s">
        <v>374</v>
      </c>
      <c r="M1083" s="19"/>
      <c r="N1083" s="19"/>
      <c r="O1083" s="71">
        <v>45788.0</v>
      </c>
      <c r="P1083" s="385" t="s">
        <v>1432</v>
      </c>
    </row>
    <row r="1084" hidden="1">
      <c r="A1084" s="35"/>
      <c r="B1084" s="35"/>
      <c r="C1084" s="533"/>
      <c r="D1084" s="355"/>
      <c r="E1084" s="355"/>
      <c r="F1084" s="533"/>
      <c r="G1084" s="355"/>
      <c r="H1084" s="355"/>
      <c r="I1084" s="355"/>
      <c r="L1084" s="140"/>
    </row>
    <row r="1085" hidden="1">
      <c r="A1085" s="339" t="s">
        <v>4055</v>
      </c>
    </row>
    <row r="1086" hidden="1">
      <c r="A1086" s="4" t="s">
        <v>47</v>
      </c>
      <c r="B1086" s="534" t="s">
        <v>7</v>
      </c>
      <c r="C1086" s="4" t="s">
        <v>9</v>
      </c>
      <c r="D1086" s="4" t="s">
        <v>10</v>
      </c>
      <c r="E1086" s="4" t="s">
        <v>11</v>
      </c>
      <c r="F1086" s="4" t="s">
        <v>12</v>
      </c>
      <c r="G1086" s="4" t="s">
        <v>2378</v>
      </c>
      <c r="H1086" s="4" t="s">
        <v>2681</v>
      </c>
      <c r="I1086" s="4" t="s">
        <v>2847</v>
      </c>
      <c r="J1086" s="8" t="s">
        <v>14</v>
      </c>
      <c r="K1086" s="9" t="s">
        <v>16</v>
      </c>
      <c r="L1086" s="9" t="s">
        <v>35</v>
      </c>
      <c r="M1086" s="9" t="s">
        <v>18</v>
      </c>
      <c r="N1086" s="9" t="s">
        <v>19</v>
      </c>
      <c r="O1086" s="9" t="s">
        <v>20</v>
      </c>
      <c r="P1086" s="9" t="s">
        <v>21</v>
      </c>
      <c r="Q1086" s="35"/>
      <c r="R1086" s="35"/>
      <c r="S1086" s="35"/>
      <c r="T1086" s="35"/>
      <c r="U1086" s="35"/>
      <c r="V1086" s="35"/>
      <c r="W1086" s="35"/>
      <c r="X1086" s="35"/>
      <c r="Y1086" s="35"/>
      <c r="Z1086" s="35"/>
      <c r="AA1086" s="35"/>
      <c r="AB1086" s="35"/>
      <c r="AC1086" s="35"/>
      <c r="AD1086" s="35"/>
      <c r="AE1086" s="35"/>
      <c r="AF1086" s="35"/>
    </row>
    <row r="1087" hidden="1">
      <c r="A1087" s="128">
        <v>1.0</v>
      </c>
      <c r="B1087" s="535" t="s">
        <v>4056</v>
      </c>
      <c r="C1087" s="128" t="s">
        <v>80</v>
      </c>
      <c r="D1087" s="128" t="s">
        <v>4057</v>
      </c>
      <c r="E1087" s="128" t="s">
        <v>4058</v>
      </c>
      <c r="F1087" s="128" t="s">
        <v>4059</v>
      </c>
      <c r="G1087" s="343">
        <v>45758.0</v>
      </c>
      <c r="H1087" s="128">
        <v>15.0</v>
      </c>
      <c r="I1087" s="275" t="s">
        <v>2890</v>
      </c>
      <c r="J1087" s="14"/>
      <c r="K1087" s="23">
        <v>45758.0</v>
      </c>
      <c r="L1087" s="12" t="s">
        <v>778</v>
      </c>
      <c r="M1087" s="14"/>
      <c r="N1087" s="14"/>
      <c r="O1087" s="520">
        <v>45965.0</v>
      </c>
      <c r="P1087" s="14"/>
    </row>
    <row r="1088" hidden="1">
      <c r="A1088" s="128">
        <v>2.0</v>
      </c>
      <c r="B1088" s="535" t="s">
        <v>4060</v>
      </c>
      <c r="C1088" s="128" t="s">
        <v>80</v>
      </c>
      <c r="D1088" s="128" t="s">
        <v>4061</v>
      </c>
      <c r="E1088" s="128" t="s">
        <v>4062</v>
      </c>
      <c r="F1088" s="128" t="s">
        <v>4059</v>
      </c>
      <c r="G1088" s="343">
        <v>45758.0</v>
      </c>
      <c r="H1088" s="128">
        <v>15.0</v>
      </c>
      <c r="I1088" s="275" t="s">
        <v>2890</v>
      </c>
      <c r="J1088" s="14"/>
      <c r="K1088" s="23">
        <v>45758.0</v>
      </c>
      <c r="L1088" s="12" t="s">
        <v>778</v>
      </c>
      <c r="M1088" s="14"/>
      <c r="N1088" s="14"/>
      <c r="O1088" s="520">
        <v>45965.0</v>
      </c>
      <c r="P1088" s="14"/>
    </row>
    <row r="1089" hidden="1">
      <c r="A1089" s="128">
        <v>3.0</v>
      </c>
      <c r="B1089" s="535" t="s">
        <v>4063</v>
      </c>
      <c r="C1089" s="128" t="s">
        <v>80</v>
      </c>
      <c r="D1089" s="128" t="s">
        <v>4064</v>
      </c>
      <c r="E1089" s="128" t="s">
        <v>4065</v>
      </c>
      <c r="F1089" s="128" t="s">
        <v>4059</v>
      </c>
      <c r="G1089" s="343">
        <v>45758.0</v>
      </c>
      <c r="H1089" s="128">
        <v>15.0</v>
      </c>
      <c r="I1089" s="275" t="s">
        <v>2890</v>
      </c>
      <c r="J1089" s="14"/>
      <c r="K1089" s="23">
        <v>45758.0</v>
      </c>
      <c r="L1089" s="12" t="s">
        <v>778</v>
      </c>
      <c r="M1089" s="14"/>
      <c r="N1089" s="14"/>
      <c r="O1089" s="520">
        <v>45965.0</v>
      </c>
      <c r="P1089" s="14"/>
    </row>
    <row r="1090" hidden="1">
      <c r="A1090" s="128">
        <v>4.0</v>
      </c>
      <c r="B1090" s="535" t="s">
        <v>4066</v>
      </c>
      <c r="C1090" s="128" t="s">
        <v>80</v>
      </c>
      <c r="D1090" s="128" t="s">
        <v>4067</v>
      </c>
      <c r="E1090" s="128" t="s">
        <v>4068</v>
      </c>
      <c r="F1090" s="128" t="s">
        <v>4059</v>
      </c>
      <c r="G1090" s="343">
        <v>45758.0</v>
      </c>
      <c r="H1090" s="128">
        <v>15.0</v>
      </c>
      <c r="I1090" s="275" t="s">
        <v>2890</v>
      </c>
      <c r="J1090" s="14"/>
      <c r="K1090" s="23">
        <v>45758.0</v>
      </c>
      <c r="L1090" s="12" t="s">
        <v>778</v>
      </c>
      <c r="M1090" s="14"/>
      <c r="N1090" s="14"/>
      <c r="O1090" s="520">
        <v>45965.0</v>
      </c>
      <c r="P1090" s="14"/>
    </row>
    <row r="1091" hidden="1">
      <c r="A1091" s="128">
        <v>5.0</v>
      </c>
      <c r="B1091" s="535" t="s">
        <v>4069</v>
      </c>
      <c r="C1091" s="128" t="s">
        <v>80</v>
      </c>
      <c r="D1091" s="128" t="s">
        <v>4070</v>
      </c>
      <c r="E1091" s="128" t="s">
        <v>4071</v>
      </c>
      <c r="F1091" s="128" t="s">
        <v>4059</v>
      </c>
      <c r="G1091" s="343">
        <v>45758.0</v>
      </c>
      <c r="H1091" s="128">
        <v>15.0</v>
      </c>
      <c r="I1091" s="275" t="s">
        <v>2890</v>
      </c>
      <c r="J1091" s="14"/>
      <c r="K1091" s="23">
        <v>45758.0</v>
      </c>
      <c r="L1091" s="12" t="s">
        <v>778</v>
      </c>
      <c r="M1091" s="14"/>
      <c r="N1091" s="14"/>
      <c r="O1091" s="520">
        <v>45965.0</v>
      </c>
      <c r="P1091" s="14"/>
    </row>
    <row r="1092" hidden="1">
      <c r="A1092" s="128">
        <v>6.0</v>
      </c>
      <c r="B1092" s="535" t="s">
        <v>4072</v>
      </c>
      <c r="C1092" s="128" t="s">
        <v>80</v>
      </c>
      <c r="D1092" s="128" t="s">
        <v>4073</v>
      </c>
      <c r="E1092" s="128" t="s">
        <v>4074</v>
      </c>
      <c r="F1092" s="128" t="s">
        <v>4059</v>
      </c>
      <c r="G1092" s="343">
        <v>45758.0</v>
      </c>
      <c r="H1092" s="128">
        <v>15.0</v>
      </c>
      <c r="I1092" s="275" t="s">
        <v>2890</v>
      </c>
      <c r="J1092" s="14"/>
      <c r="K1092" s="23">
        <v>45758.0</v>
      </c>
      <c r="L1092" s="12" t="s">
        <v>778</v>
      </c>
      <c r="M1092" s="14"/>
      <c r="N1092" s="14"/>
      <c r="O1092" s="520">
        <v>45965.0</v>
      </c>
      <c r="P1092" s="14"/>
    </row>
    <row r="1093" hidden="1">
      <c r="A1093" s="128">
        <v>7.0</v>
      </c>
      <c r="B1093" s="535" t="s">
        <v>4075</v>
      </c>
      <c r="C1093" s="128" t="s">
        <v>80</v>
      </c>
      <c r="D1093" s="128" t="s">
        <v>4076</v>
      </c>
      <c r="E1093" s="128" t="s">
        <v>4077</v>
      </c>
      <c r="F1093" s="128" t="s">
        <v>4059</v>
      </c>
      <c r="G1093" s="343">
        <v>45758.0</v>
      </c>
      <c r="H1093" s="128">
        <v>15.0</v>
      </c>
      <c r="I1093" s="275" t="s">
        <v>2890</v>
      </c>
      <c r="J1093" s="14"/>
      <c r="K1093" s="23">
        <v>45758.0</v>
      </c>
      <c r="L1093" s="12" t="s">
        <v>778</v>
      </c>
      <c r="M1093" s="14"/>
      <c r="N1093" s="14"/>
      <c r="O1093" s="520">
        <v>45965.0</v>
      </c>
      <c r="P1093" s="14"/>
    </row>
    <row r="1094" hidden="1">
      <c r="A1094" s="128">
        <v>8.0</v>
      </c>
      <c r="B1094" s="535" t="s">
        <v>4078</v>
      </c>
      <c r="C1094" s="128" t="s">
        <v>80</v>
      </c>
      <c r="D1094" s="128" t="s">
        <v>4079</v>
      </c>
      <c r="E1094" s="128" t="s">
        <v>4080</v>
      </c>
      <c r="F1094" s="128" t="s">
        <v>4081</v>
      </c>
      <c r="G1094" s="343">
        <v>45758.0</v>
      </c>
      <c r="H1094" s="128">
        <v>15.0</v>
      </c>
      <c r="I1094" s="275" t="s">
        <v>2890</v>
      </c>
      <c r="J1094" s="12" t="s">
        <v>778</v>
      </c>
      <c r="K1094" s="12" t="s">
        <v>3673</v>
      </c>
      <c r="L1094" s="12" t="s">
        <v>778</v>
      </c>
      <c r="M1094" s="14"/>
      <c r="N1094" s="14"/>
      <c r="O1094" s="23">
        <v>45788.0</v>
      </c>
      <c r="P1094" s="385" t="s">
        <v>1432</v>
      </c>
    </row>
    <row r="1095" hidden="1">
      <c r="A1095" s="128">
        <v>9.0</v>
      </c>
      <c r="B1095" s="535" t="s">
        <v>4082</v>
      </c>
      <c r="C1095" s="128" t="s">
        <v>80</v>
      </c>
      <c r="D1095" s="128" t="s">
        <v>4083</v>
      </c>
      <c r="E1095" s="536" t="s">
        <v>4084</v>
      </c>
      <c r="F1095" s="128" t="s">
        <v>2019</v>
      </c>
      <c r="G1095" s="128" t="s">
        <v>4085</v>
      </c>
      <c r="H1095" s="128">
        <v>-7.0</v>
      </c>
      <c r="I1095" s="275" t="s">
        <v>2890</v>
      </c>
      <c r="J1095" s="12" t="s">
        <v>100</v>
      </c>
      <c r="K1095" s="12" t="s">
        <v>3673</v>
      </c>
      <c r="L1095" s="12" t="s">
        <v>374</v>
      </c>
      <c r="M1095" s="12" t="s">
        <v>100</v>
      </c>
      <c r="N1095" s="14"/>
      <c r="O1095" s="12" t="s">
        <v>3724</v>
      </c>
      <c r="P1095" s="385" t="s">
        <v>1432</v>
      </c>
    </row>
    <row r="1096" hidden="1">
      <c r="A1096" s="128">
        <v>10.0</v>
      </c>
      <c r="B1096" s="535" t="s">
        <v>4086</v>
      </c>
      <c r="C1096" s="128" t="s">
        <v>80</v>
      </c>
      <c r="D1096" s="128" t="s">
        <v>4087</v>
      </c>
      <c r="E1096" s="536" t="s">
        <v>4088</v>
      </c>
      <c r="F1096" s="128" t="s">
        <v>2019</v>
      </c>
      <c r="G1096" s="128" t="s">
        <v>4085</v>
      </c>
      <c r="H1096" s="128">
        <v>-7.0</v>
      </c>
      <c r="I1096" s="275" t="s">
        <v>2890</v>
      </c>
      <c r="J1096" s="12" t="s">
        <v>100</v>
      </c>
      <c r="K1096" s="12" t="s">
        <v>3673</v>
      </c>
      <c r="L1096" s="12" t="s">
        <v>374</v>
      </c>
      <c r="M1096" s="12" t="s">
        <v>100</v>
      </c>
      <c r="N1096" s="14"/>
      <c r="O1096" s="12" t="s">
        <v>3724</v>
      </c>
      <c r="P1096" s="385" t="s">
        <v>1432</v>
      </c>
    </row>
    <row r="1097" hidden="1">
      <c r="A1097" s="128">
        <v>11.0</v>
      </c>
      <c r="B1097" s="535" t="s">
        <v>4089</v>
      </c>
      <c r="C1097" s="128" t="s">
        <v>80</v>
      </c>
      <c r="D1097" s="128" t="s">
        <v>4090</v>
      </c>
      <c r="E1097" s="128" t="s">
        <v>4091</v>
      </c>
      <c r="F1097" s="128" t="s">
        <v>2098</v>
      </c>
      <c r="G1097" s="537">
        <v>45941.0</v>
      </c>
      <c r="H1097" s="128">
        <v>21.0</v>
      </c>
      <c r="I1097" s="275" t="s">
        <v>2890</v>
      </c>
      <c r="J1097" s="12" t="s">
        <v>1496</v>
      </c>
      <c r="K1097" s="12" t="s">
        <v>3652</v>
      </c>
      <c r="L1097" s="12" t="s">
        <v>51</v>
      </c>
      <c r="M1097" s="14"/>
      <c r="N1097" s="14"/>
      <c r="O1097" s="164">
        <v>45880.0</v>
      </c>
      <c r="P1097" s="385" t="s">
        <v>1432</v>
      </c>
    </row>
    <row r="1098" hidden="1">
      <c r="A1098" s="128">
        <v>12.0</v>
      </c>
      <c r="B1098" s="535" t="s">
        <v>4092</v>
      </c>
      <c r="C1098" s="128" t="s">
        <v>4093</v>
      </c>
      <c r="D1098" s="128" t="s">
        <v>4094</v>
      </c>
      <c r="E1098" s="128" t="s">
        <v>4095</v>
      </c>
      <c r="F1098" s="128" t="s">
        <v>3453</v>
      </c>
      <c r="G1098" s="537">
        <v>45941.0</v>
      </c>
      <c r="H1098" s="128">
        <v>21.0</v>
      </c>
      <c r="I1098" s="275" t="s">
        <v>2890</v>
      </c>
      <c r="J1098" s="14"/>
      <c r="K1098" s="14"/>
      <c r="L1098" s="12" t="s">
        <v>374</v>
      </c>
      <c r="M1098" s="14"/>
      <c r="N1098" s="14"/>
      <c r="O1098" s="14"/>
      <c r="P1098" s="407" t="s">
        <v>1798</v>
      </c>
    </row>
    <row r="1099" hidden="1">
      <c r="A1099" s="128">
        <v>13.0</v>
      </c>
      <c r="B1099" s="535" t="s">
        <v>4096</v>
      </c>
      <c r="C1099" s="128" t="s">
        <v>651</v>
      </c>
      <c r="D1099" s="128" t="s">
        <v>4097</v>
      </c>
      <c r="E1099" s="128" t="s">
        <v>4098</v>
      </c>
      <c r="F1099" s="128" t="s">
        <v>4099</v>
      </c>
      <c r="G1099" s="537">
        <v>45972.0</v>
      </c>
      <c r="H1099" s="128">
        <v>22.0</v>
      </c>
      <c r="I1099" s="275" t="s">
        <v>2890</v>
      </c>
      <c r="J1099" s="12" t="s">
        <v>2065</v>
      </c>
      <c r="K1099" s="14"/>
      <c r="L1099" s="12" t="s">
        <v>374</v>
      </c>
      <c r="M1099" s="14"/>
      <c r="N1099" s="14"/>
      <c r="O1099" s="538">
        <v>45972.0</v>
      </c>
      <c r="P1099" s="385" t="s">
        <v>1432</v>
      </c>
    </row>
    <row r="1100" ht="15.0" hidden="1" customHeight="1">
      <c r="A1100" s="128">
        <v>14.0</v>
      </c>
      <c r="B1100" s="539" t="s">
        <v>4100</v>
      </c>
      <c r="C1100" s="128" t="s">
        <v>80</v>
      </c>
      <c r="D1100" s="128" t="s">
        <v>4101</v>
      </c>
      <c r="E1100" s="128" t="s">
        <v>4102</v>
      </c>
      <c r="F1100" s="128" t="s">
        <v>4103</v>
      </c>
      <c r="G1100" s="537">
        <v>46002.0</v>
      </c>
      <c r="H1100" s="128">
        <v>23.0</v>
      </c>
      <c r="I1100" s="275" t="s">
        <v>2890</v>
      </c>
      <c r="J1100" s="12" t="s">
        <v>51</v>
      </c>
      <c r="K1100" s="12" t="s">
        <v>3296</v>
      </c>
      <c r="L1100" s="12" t="s">
        <v>51</v>
      </c>
      <c r="M1100" s="14"/>
      <c r="N1100" s="14"/>
      <c r="O1100" s="12" t="s">
        <v>4104</v>
      </c>
      <c r="P1100" s="385" t="s">
        <v>1432</v>
      </c>
    </row>
    <row r="1101" hidden="1">
      <c r="A1101" s="128">
        <v>15.0</v>
      </c>
      <c r="B1101" s="535" t="s">
        <v>4105</v>
      </c>
      <c r="C1101" s="128" t="s">
        <v>1246</v>
      </c>
      <c r="D1101" s="128" t="s">
        <v>4106</v>
      </c>
      <c r="E1101" s="128" t="s">
        <v>4107</v>
      </c>
      <c r="F1101" s="128" t="s">
        <v>1439</v>
      </c>
      <c r="G1101" s="128" t="s">
        <v>4108</v>
      </c>
      <c r="H1101" s="128">
        <v>5.0</v>
      </c>
      <c r="I1101" s="275" t="s">
        <v>2890</v>
      </c>
      <c r="J1101" s="14"/>
      <c r="K1101" s="14"/>
      <c r="L1101" s="12" t="s">
        <v>374</v>
      </c>
      <c r="M1101" s="14"/>
      <c r="N1101" s="14"/>
      <c r="O1101" s="12" t="s">
        <v>3302</v>
      </c>
      <c r="P1101" s="407" t="s">
        <v>2560</v>
      </c>
    </row>
    <row r="1102" hidden="1">
      <c r="A1102" s="128">
        <v>16.0</v>
      </c>
      <c r="B1102" s="535" t="s">
        <v>4109</v>
      </c>
      <c r="C1102" s="128" t="s">
        <v>80</v>
      </c>
      <c r="D1102" s="128" t="s">
        <v>4110</v>
      </c>
      <c r="E1102" s="128" t="s">
        <v>4111</v>
      </c>
      <c r="F1102" s="128" t="s">
        <v>172</v>
      </c>
      <c r="G1102" s="343">
        <v>45911.0</v>
      </c>
      <c r="H1102" s="128">
        <v>20.0</v>
      </c>
      <c r="I1102" s="275" t="s">
        <v>2890</v>
      </c>
      <c r="J1102" s="12" t="s">
        <v>51</v>
      </c>
      <c r="K1102" s="12" t="s">
        <v>3652</v>
      </c>
      <c r="L1102" s="12" t="s">
        <v>51</v>
      </c>
      <c r="M1102" s="14"/>
      <c r="N1102" s="14"/>
      <c r="O1102" s="538">
        <v>45972.0</v>
      </c>
      <c r="P1102" s="385" t="s">
        <v>1432</v>
      </c>
    </row>
    <row r="1103" hidden="1">
      <c r="A1103" s="128">
        <v>17.0</v>
      </c>
      <c r="B1103" s="535" t="s">
        <v>4112</v>
      </c>
      <c r="C1103" s="128" t="s">
        <v>938</v>
      </c>
      <c r="D1103" s="128" t="s">
        <v>4113</v>
      </c>
      <c r="E1103" s="128" t="s">
        <v>4114</v>
      </c>
      <c r="F1103" s="128" t="s">
        <v>1836</v>
      </c>
      <c r="G1103" s="343">
        <v>45880.0</v>
      </c>
      <c r="H1103" s="128">
        <v>19.0</v>
      </c>
      <c r="I1103" s="275" t="s">
        <v>2890</v>
      </c>
      <c r="J1103" s="12" t="s">
        <v>2065</v>
      </c>
      <c r="K1103" s="12" t="s">
        <v>3297</v>
      </c>
      <c r="L1103" s="12" t="s">
        <v>374</v>
      </c>
      <c r="M1103" s="14"/>
      <c r="N1103" s="14"/>
      <c r="O1103" s="12" t="s">
        <v>115</v>
      </c>
      <c r="P1103" s="385" t="s">
        <v>1432</v>
      </c>
    </row>
    <row r="1104" hidden="1">
      <c r="A1104" s="128">
        <v>18.0</v>
      </c>
      <c r="B1104" s="535" t="s">
        <v>4115</v>
      </c>
      <c r="C1104" s="128" t="s">
        <v>80</v>
      </c>
      <c r="D1104" s="128" t="s">
        <v>4116</v>
      </c>
      <c r="E1104" s="128" t="s">
        <v>4117</v>
      </c>
      <c r="F1104" s="128" t="s">
        <v>2098</v>
      </c>
      <c r="G1104" s="537">
        <v>46002.0</v>
      </c>
      <c r="H1104" s="128">
        <v>23.0</v>
      </c>
      <c r="I1104" s="540" t="s">
        <v>3465</v>
      </c>
      <c r="J1104" s="12" t="s">
        <v>3099</v>
      </c>
      <c r="K1104" s="12" t="s">
        <v>3296</v>
      </c>
      <c r="L1104" s="12" t="s">
        <v>51</v>
      </c>
      <c r="M1104" s="14"/>
      <c r="N1104" s="14"/>
      <c r="O1104" s="538">
        <v>45972.0</v>
      </c>
      <c r="P1104" s="385" t="s">
        <v>1432</v>
      </c>
    </row>
    <row r="1105" hidden="1">
      <c r="A1105" s="128">
        <v>19.0</v>
      </c>
      <c r="B1105" s="535" t="s">
        <v>4118</v>
      </c>
      <c r="C1105" s="128" t="s">
        <v>80</v>
      </c>
      <c r="D1105" s="128" t="s">
        <v>4119</v>
      </c>
      <c r="E1105" s="128" t="s">
        <v>4120</v>
      </c>
      <c r="F1105" s="128" t="s">
        <v>25</v>
      </c>
      <c r="G1105" s="537">
        <v>46002.0</v>
      </c>
      <c r="H1105" s="128">
        <v>23.0</v>
      </c>
      <c r="I1105" s="275" t="s">
        <v>2890</v>
      </c>
      <c r="J1105" s="12" t="s">
        <v>3099</v>
      </c>
      <c r="K1105" s="12" t="s">
        <v>3793</v>
      </c>
      <c r="L1105" s="12" t="s">
        <v>51</v>
      </c>
      <c r="M1105" s="14"/>
      <c r="N1105" s="14"/>
      <c r="O1105" s="538">
        <v>45972.0</v>
      </c>
      <c r="P1105" s="385" t="s">
        <v>1432</v>
      </c>
    </row>
    <row r="1106" hidden="1">
      <c r="A1106" s="128">
        <v>20.0</v>
      </c>
      <c r="B1106" s="535" t="s">
        <v>4121</v>
      </c>
      <c r="C1106" s="128" t="s">
        <v>80</v>
      </c>
      <c r="D1106" s="128" t="s">
        <v>4122</v>
      </c>
      <c r="E1106" s="128" t="s">
        <v>4123</v>
      </c>
      <c r="F1106" s="128" t="s">
        <v>25</v>
      </c>
      <c r="G1106" s="128" t="s">
        <v>4124</v>
      </c>
      <c r="H1106" s="128">
        <v>24.0</v>
      </c>
      <c r="I1106" s="275" t="s">
        <v>2890</v>
      </c>
      <c r="J1106" s="12" t="s">
        <v>3099</v>
      </c>
      <c r="K1106" s="12" t="s">
        <v>3297</v>
      </c>
      <c r="L1106" s="12" t="s">
        <v>51</v>
      </c>
      <c r="M1106" s="14"/>
      <c r="N1106" s="14"/>
      <c r="O1106" s="12" t="s">
        <v>115</v>
      </c>
      <c r="P1106" s="385" t="s">
        <v>1432</v>
      </c>
    </row>
    <row r="1107" hidden="1">
      <c r="A1107" s="128">
        <v>21.0</v>
      </c>
      <c r="B1107" s="539" t="s">
        <v>4125</v>
      </c>
      <c r="C1107" s="128" t="s">
        <v>80</v>
      </c>
      <c r="D1107" s="128" t="s">
        <v>4126</v>
      </c>
      <c r="E1107" s="128" t="s">
        <v>4127</v>
      </c>
      <c r="F1107" s="128" t="s">
        <v>403</v>
      </c>
      <c r="G1107" s="537">
        <v>45941.0</v>
      </c>
      <c r="H1107" s="128">
        <v>21.0</v>
      </c>
      <c r="I1107" s="275" t="s">
        <v>2890</v>
      </c>
      <c r="J1107" s="12" t="s">
        <v>2065</v>
      </c>
      <c r="K1107" s="12" t="s">
        <v>3297</v>
      </c>
      <c r="L1107" s="12" t="s">
        <v>374</v>
      </c>
      <c r="M1107" s="14"/>
      <c r="N1107" s="14"/>
      <c r="O1107" s="12" t="s">
        <v>115</v>
      </c>
      <c r="P1107" s="407" t="s">
        <v>2560</v>
      </c>
    </row>
    <row r="1108" hidden="1">
      <c r="A1108" s="498">
        <v>22.0</v>
      </c>
      <c r="B1108" s="541" t="s">
        <v>4128</v>
      </c>
      <c r="C1108" s="498" t="s">
        <v>80</v>
      </c>
      <c r="D1108" s="498" t="s">
        <v>4129</v>
      </c>
      <c r="E1108" s="498" t="s">
        <v>4130</v>
      </c>
      <c r="F1108" s="498" t="s">
        <v>4131</v>
      </c>
      <c r="G1108" s="537">
        <v>45941.0</v>
      </c>
      <c r="H1108" s="128">
        <v>21.0</v>
      </c>
      <c r="I1108" s="542" t="s">
        <v>3043</v>
      </c>
      <c r="J1108" s="14"/>
      <c r="K1108" s="14"/>
      <c r="L1108" s="14"/>
      <c r="M1108" s="14"/>
      <c r="N1108" s="14"/>
      <c r="O1108" s="12" t="s">
        <v>3129</v>
      </c>
      <c r="P1108" s="14"/>
    </row>
    <row r="1109" hidden="1">
      <c r="A1109" s="128">
        <v>23.0</v>
      </c>
      <c r="B1109" s="543" t="s">
        <v>4132</v>
      </c>
      <c r="C1109" s="544" t="s">
        <v>4133</v>
      </c>
      <c r="D1109" s="544" t="s">
        <v>4134</v>
      </c>
      <c r="E1109" s="544" t="s">
        <v>4135</v>
      </c>
      <c r="F1109" s="14"/>
      <c r="G1109" s="14"/>
      <c r="H1109" s="14"/>
      <c r="I1109" s="275" t="s">
        <v>2890</v>
      </c>
      <c r="J1109" s="12" t="s">
        <v>100</v>
      </c>
      <c r="K1109" s="12" t="s">
        <v>3652</v>
      </c>
      <c r="L1109" s="12" t="s">
        <v>3227</v>
      </c>
      <c r="M1109" s="14"/>
      <c r="N1109" s="14"/>
      <c r="O1109" s="12" t="s">
        <v>4136</v>
      </c>
      <c r="P1109" s="14"/>
    </row>
    <row r="1110" hidden="1">
      <c r="A1110" s="128">
        <v>24.0</v>
      </c>
      <c r="B1110" s="543" t="s">
        <v>4137</v>
      </c>
      <c r="C1110" s="544" t="s">
        <v>4133</v>
      </c>
      <c r="D1110" s="544" t="s">
        <v>4138</v>
      </c>
      <c r="E1110" s="544" t="s">
        <v>4135</v>
      </c>
      <c r="F1110" s="14"/>
      <c r="G1110" s="14"/>
      <c r="H1110" s="14"/>
      <c r="I1110" s="275" t="s">
        <v>2890</v>
      </c>
      <c r="J1110" s="12" t="s">
        <v>100</v>
      </c>
      <c r="K1110" s="12" t="s">
        <v>3652</v>
      </c>
      <c r="L1110" s="12" t="s">
        <v>3227</v>
      </c>
      <c r="M1110" s="14"/>
      <c r="N1110" s="14"/>
      <c r="O1110" s="12" t="s">
        <v>4136</v>
      </c>
      <c r="P1110" s="14"/>
    </row>
    <row r="1111" hidden="1">
      <c r="A1111" s="128">
        <v>25.0</v>
      </c>
      <c r="B1111" s="543" t="s">
        <v>4139</v>
      </c>
      <c r="C1111" s="544" t="s">
        <v>4133</v>
      </c>
      <c r="D1111" s="544" t="s">
        <v>4140</v>
      </c>
      <c r="E1111" s="544" t="s">
        <v>4135</v>
      </c>
      <c r="F1111" s="14"/>
      <c r="G1111" s="14"/>
      <c r="H1111" s="14"/>
      <c r="I1111" s="275" t="s">
        <v>2890</v>
      </c>
      <c r="J1111" s="12" t="s">
        <v>100</v>
      </c>
      <c r="K1111" s="12" t="s">
        <v>3652</v>
      </c>
      <c r="L1111" s="12" t="s">
        <v>3227</v>
      </c>
      <c r="M1111" s="14"/>
      <c r="N1111" s="14"/>
      <c r="O1111" s="12" t="s">
        <v>4136</v>
      </c>
      <c r="P1111" s="14"/>
    </row>
    <row r="1112" hidden="1">
      <c r="A1112" s="128">
        <v>26.0</v>
      </c>
      <c r="B1112" s="543" t="s">
        <v>4141</v>
      </c>
      <c r="C1112" s="544" t="s">
        <v>4133</v>
      </c>
      <c r="D1112" s="544" t="s">
        <v>4142</v>
      </c>
      <c r="E1112" s="544" t="s">
        <v>4135</v>
      </c>
      <c r="F1112" s="14"/>
      <c r="G1112" s="14"/>
      <c r="H1112" s="14"/>
      <c r="I1112" s="275" t="s">
        <v>2890</v>
      </c>
      <c r="J1112" s="12" t="s">
        <v>100</v>
      </c>
      <c r="K1112" s="12" t="s">
        <v>3652</v>
      </c>
      <c r="L1112" s="12" t="s">
        <v>3227</v>
      </c>
      <c r="M1112" s="14"/>
      <c r="N1112" s="14"/>
      <c r="O1112" s="12" t="s">
        <v>4136</v>
      </c>
      <c r="P1112" s="14"/>
    </row>
    <row r="1113" hidden="1">
      <c r="A1113" s="128">
        <v>27.0</v>
      </c>
      <c r="B1113" s="535" t="s">
        <v>4143</v>
      </c>
      <c r="C1113" s="128" t="s">
        <v>80</v>
      </c>
      <c r="D1113" s="128" t="s">
        <v>4144</v>
      </c>
      <c r="E1113" s="545" t="s">
        <v>4145</v>
      </c>
      <c r="F1113" s="128" t="s">
        <v>4146</v>
      </c>
      <c r="G1113" s="128" t="s">
        <v>4124</v>
      </c>
      <c r="H1113" s="128">
        <v>24.0</v>
      </c>
      <c r="I1113" s="275" t="s">
        <v>2890</v>
      </c>
      <c r="J1113" s="12" t="s">
        <v>2541</v>
      </c>
      <c r="K1113" s="23">
        <v>45880.0</v>
      </c>
      <c r="L1113" s="12" t="s">
        <v>374</v>
      </c>
      <c r="M1113" s="14"/>
      <c r="N1113" s="14"/>
      <c r="O1113" s="12" t="s">
        <v>4147</v>
      </c>
      <c r="P1113" s="385" t="s">
        <v>1432</v>
      </c>
    </row>
    <row r="1114" hidden="1">
      <c r="A1114" s="128">
        <v>28.0</v>
      </c>
      <c r="B1114" s="535" t="s">
        <v>4148</v>
      </c>
      <c r="C1114" s="128" t="s">
        <v>80</v>
      </c>
      <c r="D1114" s="128" t="s">
        <v>4149</v>
      </c>
      <c r="E1114" s="545" t="s">
        <v>4150</v>
      </c>
      <c r="F1114" s="128" t="s">
        <v>4146</v>
      </c>
      <c r="G1114" s="128" t="s">
        <v>4124</v>
      </c>
      <c r="H1114" s="128">
        <v>24.0</v>
      </c>
      <c r="I1114" s="275" t="s">
        <v>2890</v>
      </c>
      <c r="J1114" s="12" t="s">
        <v>2541</v>
      </c>
      <c r="K1114" s="23">
        <v>45880.0</v>
      </c>
      <c r="L1114" s="12" t="s">
        <v>374</v>
      </c>
      <c r="M1114" s="14"/>
      <c r="N1114" s="14"/>
      <c r="O1114" s="12" t="s">
        <v>4147</v>
      </c>
      <c r="P1114" s="385" t="s">
        <v>1432</v>
      </c>
    </row>
    <row r="1115" hidden="1">
      <c r="A1115" s="128">
        <v>29.0</v>
      </c>
      <c r="B1115" s="535" t="s">
        <v>4151</v>
      </c>
      <c r="C1115" s="128" t="s">
        <v>80</v>
      </c>
      <c r="D1115" s="128" t="s">
        <v>4152</v>
      </c>
      <c r="E1115" s="545" t="s">
        <v>4153</v>
      </c>
      <c r="F1115" s="128" t="s">
        <v>4146</v>
      </c>
      <c r="G1115" s="128" t="s">
        <v>4124</v>
      </c>
      <c r="H1115" s="128">
        <v>24.0</v>
      </c>
      <c r="I1115" s="275" t="s">
        <v>2890</v>
      </c>
      <c r="J1115" s="12" t="s">
        <v>2541</v>
      </c>
      <c r="K1115" s="23">
        <v>45880.0</v>
      </c>
      <c r="L1115" s="12" t="s">
        <v>374</v>
      </c>
      <c r="M1115" s="14"/>
      <c r="N1115" s="14"/>
      <c r="O1115" s="12" t="s">
        <v>4147</v>
      </c>
      <c r="P1115" s="385" t="s">
        <v>1432</v>
      </c>
    </row>
    <row r="1116" hidden="1">
      <c r="A1116" s="128">
        <v>30.0</v>
      </c>
      <c r="B1116" s="535" t="s">
        <v>4154</v>
      </c>
      <c r="C1116" s="128" t="s">
        <v>688</v>
      </c>
      <c r="D1116" s="128" t="s">
        <v>4155</v>
      </c>
      <c r="E1116" s="128" t="s">
        <v>4156</v>
      </c>
      <c r="F1116" s="128" t="s">
        <v>4157</v>
      </c>
      <c r="G1116" s="537">
        <v>46002.0</v>
      </c>
      <c r="H1116" s="128">
        <v>23.0</v>
      </c>
      <c r="I1116" s="275" t="s">
        <v>2890</v>
      </c>
      <c r="J1116" s="12" t="s">
        <v>699</v>
      </c>
      <c r="K1116" s="546">
        <v>45941.0</v>
      </c>
      <c r="L1116" s="12" t="s">
        <v>4158</v>
      </c>
      <c r="M1116" s="14"/>
      <c r="N1116" s="14"/>
      <c r="O1116" s="12" t="s">
        <v>115</v>
      </c>
      <c r="P1116" s="385" t="s">
        <v>1432</v>
      </c>
    </row>
    <row r="1117" hidden="1">
      <c r="A1117" s="128">
        <v>31.0</v>
      </c>
      <c r="B1117" s="535" t="s">
        <v>4159</v>
      </c>
      <c r="C1117" s="128" t="s">
        <v>80</v>
      </c>
      <c r="D1117" s="128" t="s">
        <v>4160</v>
      </c>
      <c r="E1117" s="128" t="s">
        <v>4161</v>
      </c>
      <c r="F1117" s="128" t="s">
        <v>2098</v>
      </c>
      <c r="G1117" s="128" t="s">
        <v>4124</v>
      </c>
      <c r="H1117" s="128">
        <v>24.0</v>
      </c>
      <c r="I1117" s="275" t="s">
        <v>2890</v>
      </c>
      <c r="J1117" s="12" t="s">
        <v>2065</v>
      </c>
      <c r="K1117" s="12" t="s">
        <v>3793</v>
      </c>
      <c r="L1117" s="12" t="s">
        <v>51</v>
      </c>
      <c r="M1117" s="14"/>
      <c r="N1117" s="14"/>
      <c r="O1117" s="12" t="s">
        <v>115</v>
      </c>
      <c r="P1117" s="385" t="s">
        <v>1432</v>
      </c>
    </row>
    <row r="1118" hidden="1">
      <c r="A1118" s="128">
        <v>32.0</v>
      </c>
      <c r="B1118" s="535" t="s">
        <v>4162</v>
      </c>
      <c r="C1118" s="128" t="s">
        <v>2307</v>
      </c>
      <c r="D1118" s="128" t="s">
        <v>4163</v>
      </c>
      <c r="E1118" s="128" t="s">
        <v>4164</v>
      </c>
      <c r="F1118" s="128" t="s">
        <v>148</v>
      </c>
      <c r="G1118" s="128" t="s">
        <v>4124</v>
      </c>
      <c r="H1118" s="128">
        <v>24.0</v>
      </c>
      <c r="I1118" s="275" t="s">
        <v>2890</v>
      </c>
      <c r="J1118" s="12" t="s">
        <v>699</v>
      </c>
      <c r="K1118" s="546">
        <v>45972.0</v>
      </c>
      <c r="L1118" s="12" t="s">
        <v>4158</v>
      </c>
      <c r="M1118" s="14"/>
      <c r="N1118" s="14"/>
      <c r="O1118" s="12" t="s">
        <v>4104</v>
      </c>
      <c r="P1118" s="385" t="s">
        <v>1432</v>
      </c>
    </row>
    <row r="1119" hidden="1">
      <c r="A1119" s="128">
        <v>33.0</v>
      </c>
      <c r="B1119" s="535" t="s">
        <v>4165</v>
      </c>
      <c r="C1119" s="128" t="s">
        <v>80</v>
      </c>
      <c r="D1119" s="128" t="s">
        <v>4166</v>
      </c>
      <c r="E1119" s="547" t="s">
        <v>4167</v>
      </c>
      <c r="F1119" s="128" t="s">
        <v>4168</v>
      </c>
      <c r="G1119" s="128" t="s">
        <v>4169</v>
      </c>
      <c r="H1119" s="128">
        <v>24.0</v>
      </c>
      <c r="I1119" s="275" t="s">
        <v>2890</v>
      </c>
      <c r="J1119" s="34" t="s">
        <v>100</v>
      </c>
      <c r="K1119" s="12" t="s">
        <v>124</v>
      </c>
      <c r="L1119" s="12" t="s">
        <v>374</v>
      </c>
      <c r="M1119" s="14"/>
      <c r="N1119" s="14"/>
      <c r="O1119" s="12" t="s">
        <v>4104</v>
      </c>
      <c r="P1119" s="385" t="s">
        <v>1432</v>
      </c>
    </row>
    <row r="1120" hidden="1">
      <c r="A1120" s="128">
        <v>34.0</v>
      </c>
      <c r="B1120" s="535" t="s">
        <v>4170</v>
      </c>
      <c r="C1120" s="128" t="s">
        <v>80</v>
      </c>
      <c r="D1120" s="128" t="s">
        <v>4171</v>
      </c>
      <c r="E1120" s="547" t="s">
        <v>4172</v>
      </c>
      <c r="F1120" s="128" t="s">
        <v>4168</v>
      </c>
      <c r="G1120" s="128" t="s">
        <v>4169</v>
      </c>
      <c r="H1120" s="128">
        <v>25.0</v>
      </c>
      <c r="I1120" s="275" t="s">
        <v>2890</v>
      </c>
      <c r="J1120" s="34" t="s">
        <v>100</v>
      </c>
      <c r="K1120" s="12" t="s">
        <v>124</v>
      </c>
      <c r="L1120" s="12" t="s">
        <v>374</v>
      </c>
      <c r="M1120" s="14"/>
      <c r="N1120" s="14"/>
      <c r="O1120" s="12" t="s">
        <v>4104</v>
      </c>
      <c r="P1120" s="385" t="s">
        <v>1432</v>
      </c>
    </row>
    <row r="1121" ht="14.25" hidden="1" customHeight="1">
      <c r="A1121" s="128">
        <v>35.0</v>
      </c>
      <c r="B1121" s="535" t="s">
        <v>4173</v>
      </c>
      <c r="C1121" s="128" t="s">
        <v>938</v>
      </c>
      <c r="D1121" s="128" t="s">
        <v>4174</v>
      </c>
      <c r="E1121" s="547" t="s">
        <v>4175</v>
      </c>
      <c r="F1121" s="128" t="s">
        <v>243</v>
      </c>
      <c r="G1121" s="128" t="s">
        <v>4169</v>
      </c>
      <c r="H1121" s="128">
        <v>25.0</v>
      </c>
      <c r="I1121" s="275" t="s">
        <v>2890</v>
      </c>
      <c r="J1121" s="34" t="s">
        <v>2065</v>
      </c>
      <c r="K1121" s="12" t="s">
        <v>124</v>
      </c>
      <c r="L1121" s="12" t="s">
        <v>374</v>
      </c>
      <c r="M1121" s="14"/>
      <c r="N1121" s="14"/>
      <c r="O1121" s="12" t="s">
        <v>115</v>
      </c>
      <c r="P1121" s="407" t="s">
        <v>2560</v>
      </c>
    </row>
    <row r="1122" hidden="1">
      <c r="A1122" s="128">
        <v>36.0</v>
      </c>
      <c r="B1122" s="535" t="s">
        <v>4176</v>
      </c>
      <c r="C1122" s="128" t="s">
        <v>938</v>
      </c>
      <c r="D1122" s="128" t="s">
        <v>4177</v>
      </c>
      <c r="E1122" s="547" t="s">
        <v>4178</v>
      </c>
      <c r="F1122" s="128" t="s">
        <v>243</v>
      </c>
      <c r="G1122" s="128" t="s">
        <v>4169</v>
      </c>
      <c r="H1122" s="128">
        <v>25.0</v>
      </c>
      <c r="I1122" s="275" t="s">
        <v>2890</v>
      </c>
      <c r="J1122" s="34" t="s">
        <v>2065</v>
      </c>
      <c r="K1122" s="12" t="s">
        <v>124</v>
      </c>
      <c r="L1122" s="12" t="s">
        <v>374</v>
      </c>
      <c r="M1122" s="14"/>
      <c r="N1122" s="14"/>
      <c r="O1122" s="12" t="s">
        <v>115</v>
      </c>
      <c r="P1122" s="407" t="s">
        <v>2560</v>
      </c>
    </row>
    <row r="1123" hidden="1">
      <c r="A1123" s="128">
        <v>37.0</v>
      </c>
      <c r="B1123" s="535" t="s">
        <v>4179</v>
      </c>
      <c r="C1123" s="128" t="s">
        <v>2403</v>
      </c>
      <c r="D1123" s="128" t="s">
        <v>4180</v>
      </c>
      <c r="E1123" s="128" t="s">
        <v>4181</v>
      </c>
      <c r="F1123" s="128" t="s">
        <v>148</v>
      </c>
      <c r="G1123" s="537">
        <v>45972.0</v>
      </c>
      <c r="H1123" s="128">
        <v>22.0</v>
      </c>
      <c r="I1123" s="275" t="s">
        <v>2890</v>
      </c>
      <c r="J1123" s="12" t="s">
        <v>699</v>
      </c>
      <c r="K1123" s="546">
        <v>45941.0</v>
      </c>
      <c r="L1123" s="12" t="s">
        <v>4182</v>
      </c>
      <c r="M1123" s="14"/>
      <c r="N1123" s="14"/>
      <c r="O1123" s="12" t="s">
        <v>3992</v>
      </c>
      <c r="P1123" s="385" t="s">
        <v>1432</v>
      </c>
    </row>
    <row r="1124" hidden="1">
      <c r="A1124" s="128">
        <v>38.0</v>
      </c>
      <c r="B1124" s="535" t="s">
        <v>4183</v>
      </c>
      <c r="C1124" s="128" t="s">
        <v>80</v>
      </c>
      <c r="D1124" s="128" t="s">
        <v>4184</v>
      </c>
      <c r="E1124" s="548" t="s">
        <v>4185</v>
      </c>
      <c r="F1124" s="128" t="s">
        <v>356</v>
      </c>
      <c r="G1124" s="537">
        <v>46002.0</v>
      </c>
      <c r="H1124" s="128">
        <v>23.0</v>
      </c>
      <c r="I1124" s="275" t="s">
        <v>2890</v>
      </c>
      <c r="J1124" s="12" t="s">
        <v>2065</v>
      </c>
      <c r="K1124" s="12" t="s">
        <v>124</v>
      </c>
      <c r="L1124" s="12" t="s">
        <v>374</v>
      </c>
      <c r="M1124" s="14"/>
      <c r="N1124" s="14"/>
      <c r="O1124" s="12" t="s">
        <v>3992</v>
      </c>
      <c r="P1124" s="385" t="s">
        <v>1432</v>
      </c>
    </row>
    <row r="1125" hidden="1">
      <c r="A1125" s="339" t="s">
        <v>4186</v>
      </c>
    </row>
    <row r="1126" hidden="1">
      <c r="A1126" s="4" t="s">
        <v>47</v>
      </c>
      <c r="B1126" s="534" t="s">
        <v>7</v>
      </c>
      <c r="C1126" s="4" t="s">
        <v>9</v>
      </c>
      <c r="D1126" s="4" t="s">
        <v>10</v>
      </c>
      <c r="E1126" s="4" t="s">
        <v>11</v>
      </c>
      <c r="F1126" s="4" t="s">
        <v>12</v>
      </c>
      <c r="G1126" s="4" t="s">
        <v>2378</v>
      </c>
      <c r="H1126" s="4" t="s">
        <v>2681</v>
      </c>
      <c r="I1126" s="4" t="s">
        <v>2847</v>
      </c>
      <c r="J1126" s="8" t="s">
        <v>14</v>
      </c>
      <c r="K1126" s="9" t="s">
        <v>16</v>
      </c>
      <c r="L1126" s="9" t="s">
        <v>35</v>
      </c>
      <c r="M1126" s="9" t="s">
        <v>18</v>
      </c>
      <c r="N1126" s="9" t="s">
        <v>19</v>
      </c>
      <c r="O1126" s="9" t="s">
        <v>20</v>
      </c>
      <c r="P1126" s="9" t="s">
        <v>21</v>
      </c>
      <c r="Q1126" s="35"/>
      <c r="R1126" s="35"/>
      <c r="S1126" s="35"/>
      <c r="T1126" s="35"/>
      <c r="U1126" s="35"/>
      <c r="V1126" s="35"/>
      <c r="W1126" s="35"/>
      <c r="X1126" s="35"/>
      <c r="Y1126" s="35"/>
      <c r="Z1126" s="35"/>
      <c r="AA1126" s="35"/>
      <c r="AB1126" s="35"/>
      <c r="AC1126" s="35"/>
      <c r="AD1126" s="35"/>
      <c r="AE1126" s="35"/>
      <c r="AF1126" s="35"/>
    </row>
    <row r="1127" hidden="1">
      <c r="A1127" s="526">
        <v>1.0</v>
      </c>
      <c r="B1127" s="527" t="s">
        <v>4187</v>
      </c>
      <c r="C1127" s="526" t="s">
        <v>80</v>
      </c>
      <c r="D1127" s="504" t="s">
        <v>4188</v>
      </c>
      <c r="E1127" s="526" t="s">
        <v>4189</v>
      </c>
      <c r="F1127" s="526" t="s">
        <v>207</v>
      </c>
      <c r="G1127" s="526" t="s">
        <v>4190</v>
      </c>
      <c r="H1127" s="526">
        <v>20.0</v>
      </c>
      <c r="I1127" s="526" t="s">
        <v>2890</v>
      </c>
      <c r="J1127" s="14"/>
      <c r="K1127" s="14"/>
      <c r="L1127" s="14"/>
      <c r="M1127" s="14"/>
      <c r="N1127" s="14"/>
      <c r="O1127" s="12" t="s">
        <v>3302</v>
      </c>
      <c r="P1127" s="385" t="s">
        <v>1432</v>
      </c>
    </row>
    <row r="1128" ht="15.0" hidden="1" customHeight="1">
      <c r="A1128" s="471">
        <v>2.0</v>
      </c>
      <c r="B1128" s="549" t="s">
        <v>4191</v>
      </c>
      <c r="C1128" s="471" t="s">
        <v>80</v>
      </c>
      <c r="D1128" s="342" t="s">
        <v>4192</v>
      </c>
      <c r="E1128" s="471" t="s">
        <v>4193</v>
      </c>
      <c r="F1128" s="471" t="s">
        <v>4194</v>
      </c>
      <c r="G1128" s="525">
        <v>45819.0</v>
      </c>
      <c r="H1128" s="471">
        <v>13.0</v>
      </c>
      <c r="I1128" s="471" t="s">
        <v>2890</v>
      </c>
      <c r="J1128" s="12" t="s">
        <v>4195</v>
      </c>
      <c r="K1128" s="14"/>
      <c r="L1128" s="12" t="s">
        <v>51</v>
      </c>
      <c r="M1128" s="14"/>
      <c r="N1128" s="14"/>
      <c r="O1128" s="23">
        <v>45819.0</v>
      </c>
      <c r="P1128" s="385" t="s">
        <v>1432</v>
      </c>
    </row>
    <row r="1129" hidden="1">
      <c r="A1129" s="471">
        <v>3.0</v>
      </c>
      <c r="B1129" s="470" t="s">
        <v>4196</v>
      </c>
      <c r="C1129" s="471" t="s">
        <v>651</v>
      </c>
      <c r="D1129" s="342" t="s">
        <v>4197</v>
      </c>
      <c r="E1129" s="471" t="s">
        <v>4198</v>
      </c>
      <c r="F1129" s="471" t="s">
        <v>4199</v>
      </c>
      <c r="G1129" s="471" t="s">
        <v>4200</v>
      </c>
      <c r="H1129" s="471">
        <v>21.0</v>
      </c>
      <c r="I1129" s="471" t="s">
        <v>2890</v>
      </c>
      <c r="J1129" s="12" t="s">
        <v>1496</v>
      </c>
      <c r="K1129" s="23">
        <v>45727.0</v>
      </c>
      <c r="L1129" s="12" t="s">
        <v>51</v>
      </c>
      <c r="M1129" s="14"/>
      <c r="N1129" s="14"/>
      <c r="O1129" s="12" t="s">
        <v>4104</v>
      </c>
      <c r="P1129" s="385" t="s">
        <v>1432</v>
      </c>
    </row>
    <row r="1130" hidden="1">
      <c r="A1130" s="471">
        <v>4.0</v>
      </c>
      <c r="B1130" s="470" t="s">
        <v>4201</v>
      </c>
      <c r="C1130" s="471" t="s">
        <v>3912</v>
      </c>
      <c r="D1130" s="342" t="s">
        <v>4202</v>
      </c>
      <c r="E1130" s="471" t="s">
        <v>4203</v>
      </c>
      <c r="F1130" s="471" t="s">
        <v>2098</v>
      </c>
      <c r="G1130" s="471" t="s">
        <v>4104</v>
      </c>
      <c r="H1130" s="471">
        <v>23.0</v>
      </c>
      <c r="I1130" s="471" t="s">
        <v>2890</v>
      </c>
      <c r="J1130" s="12" t="s">
        <v>4195</v>
      </c>
      <c r="K1130" s="23">
        <v>45758.0</v>
      </c>
      <c r="L1130" s="12" t="s">
        <v>51</v>
      </c>
      <c r="M1130" s="14"/>
      <c r="N1130" s="14"/>
      <c r="O1130" s="12" t="s">
        <v>4104</v>
      </c>
      <c r="P1130" s="385" t="s">
        <v>1432</v>
      </c>
    </row>
    <row r="1131" hidden="1">
      <c r="A1131" s="471">
        <v>5.0</v>
      </c>
      <c r="B1131" s="470" t="s">
        <v>4204</v>
      </c>
      <c r="C1131" s="471" t="s">
        <v>80</v>
      </c>
      <c r="D1131" s="342" t="s">
        <v>4205</v>
      </c>
      <c r="E1131" s="550" t="s">
        <v>4206</v>
      </c>
      <c r="F1131" s="471" t="s">
        <v>243</v>
      </c>
      <c r="G1131" s="471" t="s">
        <v>4207</v>
      </c>
      <c r="H1131" s="471">
        <v>22.0</v>
      </c>
      <c r="I1131" s="471" t="s">
        <v>2890</v>
      </c>
      <c r="J1131" s="12" t="s">
        <v>2065</v>
      </c>
      <c r="K1131" s="12" t="s">
        <v>3857</v>
      </c>
      <c r="L1131" s="12" t="s">
        <v>374</v>
      </c>
      <c r="M1131" s="14"/>
      <c r="N1131" s="14"/>
      <c r="O1131" s="12" t="s">
        <v>4136</v>
      </c>
      <c r="P1131" s="385" t="s">
        <v>1432</v>
      </c>
    </row>
    <row r="1132" hidden="1">
      <c r="A1132" s="471">
        <v>6.0</v>
      </c>
      <c r="B1132" s="470" t="s">
        <v>4208</v>
      </c>
      <c r="C1132" s="471" t="s">
        <v>3912</v>
      </c>
      <c r="D1132" s="342" t="s">
        <v>4209</v>
      </c>
      <c r="E1132" s="471" t="s">
        <v>4210</v>
      </c>
      <c r="F1132" s="471" t="s">
        <v>2098</v>
      </c>
      <c r="G1132" s="471" t="s">
        <v>4104</v>
      </c>
      <c r="H1132" s="471">
        <v>23.0</v>
      </c>
      <c r="I1132" s="471" t="s">
        <v>2890</v>
      </c>
      <c r="J1132" s="12" t="s">
        <v>4195</v>
      </c>
      <c r="K1132" s="23">
        <v>45727.0</v>
      </c>
      <c r="L1132" s="12" t="s">
        <v>51</v>
      </c>
      <c r="M1132" s="14"/>
      <c r="N1132" s="14"/>
      <c r="O1132" s="12" t="s">
        <v>3992</v>
      </c>
      <c r="P1132" s="385" t="s">
        <v>1432</v>
      </c>
    </row>
    <row r="1133" hidden="1">
      <c r="A1133" s="471">
        <v>7.0</v>
      </c>
      <c r="B1133" s="470" t="s">
        <v>4211</v>
      </c>
      <c r="C1133" s="471" t="s">
        <v>80</v>
      </c>
      <c r="D1133" s="342" t="s">
        <v>4212</v>
      </c>
      <c r="E1133" s="551" t="s">
        <v>4213</v>
      </c>
      <c r="F1133" s="471" t="s">
        <v>1218</v>
      </c>
      <c r="G1133" s="471" t="s">
        <v>4207</v>
      </c>
      <c r="H1133" s="471">
        <v>22.0</v>
      </c>
      <c r="I1133" s="471" t="s">
        <v>2890</v>
      </c>
      <c r="J1133" s="12" t="s">
        <v>2541</v>
      </c>
      <c r="K1133" s="12" t="s">
        <v>124</v>
      </c>
      <c r="L1133" s="12" t="s">
        <v>374</v>
      </c>
      <c r="M1133" s="14"/>
      <c r="N1133" s="14"/>
      <c r="O1133" s="12" t="s">
        <v>3992</v>
      </c>
      <c r="P1133" s="385" t="s">
        <v>1432</v>
      </c>
    </row>
    <row r="1134" hidden="1">
      <c r="A1134" s="471">
        <v>8.0</v>
      </c>
      <c r="B1134" s="470" t="s">
        <v>4214</v>
      </c>
      <c r="C1134" s="471" t="s">
        <v>80</v>
      </c>
      <c r="D1134" s="342" t="s">
        <v>4215</v>
      </c>
      <c r="E1134" s="551" t="s">
        <v>4216</v>
      </c>
      <c r="F1134" s="471" t="s">
        <v>1218</v>
      </c>
      <c r="G1134" s="471" t="s">
        <v>4207</v>
      </c>
      <c r="H1134" s="471">
        <v>22.0</v>
      </c>
      <c r="I1134" s="471" t="s">
        <v>2890</v>
      </c>
      <c r="J1134" s="12" t="s">
        <v>1640</v>
      </c>
      <c r="K1134" s="12" t="s">
        <v>124</v>
      </c>
      <c r="L1134" s="12" t="s">
        <v>374</v>
      </c>
      <c r="M1134" s="14"/>
      <c r="N1134" s="14"/>
      <c r="O1134" s="12" t="s">
        <v>3992</v>
      </c>
      <c r="P1134" s="385" t="s">
        <v>1432</v>
      </c>
    </row>
    <row r="1135" hidden="1">
      <c r="A1135" s="471">
        <v>9.0</v>
      </c>
      <c r="B1135" s="470" t="s">
        <v>4217</v>
      </c>
      <c r="C1135" s="471" t="s">
        <v>80</v>
      </c>
      <c r="D1135" s="342" t="s">
        <v>4218</v>
      </c>
      <c r="E1135" s="471" t="s">
        <v>4219</v>
      </c>
      <c r="F1135" s="471" t="s">
        <v>2599</v>
      </c>
      <c r="G1135" s="471" t="s">
        <v>4104</v>
      </c>
      <c r="H1135" s="471">
        <v>23.0</v>
      </c>
      <c r="I1135" s="471" t="s">
        <v>2890</v>
      </c>
      <c r="J1135" s="12" t="s">
        <v>51</v>
      </c>
      <c r="K1135" s="538">
        <v>46002.0</v>
      </c>
      <c r="L1135" s="12" t="s">
        <v>51</v>
      </c>
      <c r="M1135" s="14"/>
      <c r="N1135" s="14"/>
      <c r="O1135" s="12" t="s">
        <v>3992</v>
      </c>
      <c r="P1135" s="385" t="s">
        <v>1432</v>
      </c>
    </row>
    <row r="1136" hidden="1">
      <c r="A1136" s="471">
        <v>10.0</v>
      </c>
      <c r="B1136" s="470" t="s">
        <v>4220</v>
      </c>
      <c r="C1136" s="471" t="s">
        <v>80</v>
      </c>
      <c r="D1136" s="342" t="s">
        <v>4221</v>
      </c>
      <c r="E1136" s="551" t="s">
        <v>4222</v>
      </c>
      <c r="F1136" s="471" t="s">
        <v>3771</v>
      </c>
      <c r="G1136" s="471" t="s">
        <v>4223</v>
      </c>
      <c r="H1136" s="471">
        <v>24.0</v>
      </c>
      <c r="I1136" s="471" t="s">
        <v>2890</v>
      </c>
      <c r="J1136" s="12" t="s">
        <v>2541</v>
      </c>
      <c r="K1136" s="12" t="s">
        <v>124</v>
      </c>
      <c r="L1136" s="12" t="s">
        <v>374</v>
      </c>
      <c r="M1136" s="14"/>
      <c r="N1136" s="14"/>
      <c r="O1136" s="12" t="s">
        <v>4104</v>
      </c>
      <c r="P1136" s="385" t="s">
        <v>1432</v>
      </c>
    </row>
    <row r="1137" hidden="1">
      <c r="A1137" s="471">
        <v>11.0</v>
      </c>
      <c r="B1137" s="470" t="s">
        <v>4224</v>
      </c>
      <c r="C1137" s="471" t="s">
        <v>80</v>
      </c>
      <c r="D1137" s="342" t="s">
        <v>4225</v>
      </c>
      <c r="E1137" s="551" t="s">
        <v>4226</v>
      </c>
      <c r="F1137" s="471" t="s">
        <v>1294</v>
      </c>
      <c r="G1137" s="471" t="s">
        <v>4223</v>
      </c>
      <c r="H1137" s="471">
        <v>24.0</v>
      </c>
      <c r="I1137" s="471" t="s">
        <v>2890</v>
      </c>
      <c r="J1137" s="12" t="s">
        <v>2541</v>
      </c>
      <c r="K1137" s="12" t="s">
        <v>124</v>
      </c>
      <c r="L1137" s="12" t="s">
        <v>374</v>
      </c>
      <c r="M1137" s="14"/>
      <c r="N1137" s="14"/>
      <c r="O1137" s="12" t="s">
        <v>4104</v>
      </c>
      <c r="P1137" s="385" t="s">
        <v>1432</v>
      </c>
    </row>
    <row r="1138" hidden="1">
      <c r="A1138" s="552">
        <v>12.0</v>
      </c>
      <c r="B1138" s="553" t="s">
        <v>4227</v>
      </c>
      <c r="C1138" s="552" t="s">
        <v>80</v>
      </c>
      <c r="D1138" s="554" t="s">
        <v>4228</v>
      </c>
      <c r="E1138" s="552" t="s">
        <v>4229</v>
      </c>
      <c r="F1138" s="552" t="s">
        <v>3583</v>
      </c>
      <c r="G1138" s="555">
        <v>45849.0</v>
      </c>
      <c r="H1138" s="552">
        <v>14.0</v>
      </c>
      <c r="I1138" s="552" t="s">
        <v>2890</v>
      </c>
      <c r="J1138" s="556"/>
      <c r="K1138" s="455" t="s">
        <v>3302</v>
      </c>
      <c r="L1138" s="455" t="s">
        <v>778</v>
      </c>
      <c r="M1138" s="556"/>
      <c r="N1138" s="556"/>
      <c r="O1138" s="557">
        <v>45880.0</v>
      </c>
      <c r="P1138" s="556"/>
      <c r="Q1138" s="459"/>
      <c r="R1138" s="459"/>
      <c r="S1138" s="459"/>
      <c r="T1138" s="459"/>
      <c r="U1138" s="459"/>
      <c r="V1138" s="459"/>
      <c r="W1138" s="459"/>
      <c r="X1138" s="459"/>
      <c r="Y1138" s="459"/>
      <c r="Z1138" s="459"/>
      <c r="AA1138" s="459"/>
      <c r="AB1138" s="459"/>
      <c r="AC1138" s="459"/>
      <c r="AD1138" s="459"/>
      <c r="AE1138" s="459"/>
      <c r="AF1138" s="459"/>
    </row>
    <row r="1139" hidden="1">
      <c r="A1139" s="471">
        <v>13.0</v>
      </c>
      <c r="B1139" s="470" t="s">
        <v>4230</v>
      </c>
      <c r="C1139" s="471" t="s">
        <v>80</v>
      </c>
      <c r="D1139" s="342" t="s">
        <v>4231</v>
      </c>
      <c r="E1139" s="558" t="s">
        <v>4232</v>
      </c>
      <c r="F1139" s="471" t="s">
        <v>1002</v>
      </c>
      <c r="G1139" s="471" t="s">
        <v>4223</v>
      </c>
      <c r="H1139" s="471">
        <v>24.0</v>
      </c>
      <c r="I1139" s="471" t="s">
        <v>2890</v>
      </c>
      <c r="J1139" s="12" t="s">
        <v>2065</v>
      </c>
      <c r="K1139" s="23">
        <v>45668.0</v>
      </c>
      <c r="L1139" s="12" t="s">
        <v>374</v>
      </c>
      <c r="M1139" s="14"/>
      <c r="N1139" s="14"/>
      <c r="O1139" s="12" t="s">
        <v>3992</v>
      </c>
      <c r="P1139" s="407" t="s">
        <v>2560</v>
      </c>
    </row>
    <row r="1140" hidden="1">
      <c r="A1140" s="471">
        <v>14.0</v>
      </c>
      <c r="B1140" s="470" t="s">
        <v>4233</v>
      </c>
      <c r="C1140" s="471" t="s">
        <v>80</v>
      </c>
      <c r="D1140" s="342" t="s">
        <v>4234</v>
      </c>
      <c r="E1140" s="558" t="s">
        <v>4235</v>
      </c>
      <c r="F1140" s="471" t="s">
        <v>1002</v>
      </c>
      <c r="G1140" s="471" t="s">
        <v>4223</v>
      </c>
      <c r="H1140" s="471">
        <v>24.0</v>
      </c>
      <c r="I1140" s="471" t="s">
        <v>2890</v>
      </c>
      <c r="J1140" s="12" t="s">
        <v>2065</v>
      </c>
      <c r="K1140" s="23">
        <v>45668.0</v>
      </c>
      <c r="L1140" s="12" t="s">
        <v>374</v>
      </c>
      <c r="M1140" s="14"/>
      <c r="N1140" s="14"/>
      <c r="O1140" s="12" t="s">
        <v>3992</v>
      </c>
      <c r="P1140" s="407" t="s">
        <v>2560</v>
      </c>
    </row>
    <row r="1141" hidden="1">
      <c r="A1141" s="339"/>
    </row>
    <row r="1142" hidden="1">
      <c r="A1142" s="4" t="s">
        <v>47</v>
      </c>
      <c r="B1142" s="534" t="s">
        <v>7</v>
      </c>
      <c r="C1142" s="4" t="s">
        <v>9</v>
      </c>
      <c r="D1142" s="4" t="s">
        <v>10</v>
      </c>
      <c r="E1142" s="4" t="s">
        <v>11</v>
      </c>
      <c r="F1142" s="4" t="s">
        <v>12</v>
      </c>
      <c r="G1142" s="4" t="s">
        <v>2378</v>
      </c>
      <c r="H1142" s="4" t="s">
        <v>2681</v>
      </c>
      <c r="I1142" s="4" t="s">
        <v>2847</v>
      </c>
      <c r="J1142" s="8" t="s">
        <v>14</v>
      </c>
      <c r="K1142" s="9" t="s">
        <v>16</v>
      </c>
      <c r="L1142" s="9" t="s">
        <v>35</v>
      </c>
      <c r="M1142" s="9" t="s">
        <v>18</v>
      </c>
      <c r="N1142" s="9" t="s">
        <v>19</v>
      </c>
      <c r="O1142" s="9" t="s">
        <v>20</v>
      </c>
      <c r="P1142" s="9" t="s">
        <v>21</v>
      </c>
      <c r="Q1142" s="35"/>
      <c r="R1142" s="35"/>
      <c r="S1142" s="35"/>
      <c r="T1142" s="35"/>
      <c r="U1142" s="35"/>
      <c r="V1142" s="35"/>
      <c r="W1142" s="35"/>
      <c r="X1142" s="35"/>
      <c r="Y1142" s="35"/>
      <c r="Z1142" s="35"/>
      <c r="AA1142" s="35"/>
      <c r="AB1142" s="35"/>
      <c r="AC1142" s="35"/>
      <c r="AD1142" s="35"/>
      <c r="AE1142" s="35"/>
      <c r="AF1142" s="35"/>
    </row>
    <row r="1143" hidden="1">
      <c r="A1143" s="471">
        <v>1.0</v>
      </c>
      <c r="B1143" s="470" t="s">
        <v>4236</v>
      </c>
      <c r="C1143" s="471" t="s">
        <v>1185</v>
      </c>
      <c r="D1143" s="342" t="s">
        <v>4237</v>
      </c>
      <c r="E1143" s="471" t="s">
        <v>4238</v>
      </c>
      <c r="F1143" s="471" t="s">
        <v>25</v>
      </c>
      <c r="G1143" s="471" t="s">
        <v>4239</v>
      </c>
      <c r="H1143" s="471">
        <v>24.0</v>
      </c>
      <c r="I1143" s="471" t="s">
        <v>2890</v>
      </c>
      <c r="J1143" s="12" t="s">
        <v>2065</v>
      </c>
      <c r="K1143" s="12" t="s">
        <v>3857</v>
      </c>
      <c r="L1143" s="12" t="s">
        <v>51</v>
      </c>
      <c r="M1143" s="14"/>
      <c r="N1143" s="14"/>
      <c r="O1143" s="143" t="s">
        <v>4240</v>
      </c>
      <c r="P1143" s="385" t="s">
        <v>1432</v>
      </c>
    </row>
    <row r="1144" hidden="1">
      <c r="A1144" s="526">
        <v>2.0</v>
      </c>
      <c r="B1144" s="527" t="s">
        <v>4241</v>
      </c>
      <c r="C1144" s="526" t="s">
        <v>80</v>
      </c>
      <c r="D1144" s="504" t="s">
        <v>4242</v>
      </c>
      <c r="E1144" s="526" t="s">
        <v>4243</v>
      </c>
      <c r="F1144" s="526" t="s">
        <v>2599</v>
      </c>
      <c r="G1144" s="526" t="s">
        <v>4200</v>
      </c>
      <c r="H1144" s="526">
        <v>18.0</v>
      </c>
      <c r="I1144" s="526" t="s">
        <v>4244</v>
      </c>
      <c r="J1144" s="14"/>
      <c r="K1144" s="14"/>
      <c r="L1144" s="14"/>
      <c r="M1144" s="14"/>
      <c r="N1144" s="14"/>
      <c r="O1144" s="12" t="s">
        <v>3785</v>
      </c>
      <c r="P1144" s="407" t="s">
        <v>2560</v>
      </c>
    </row>
    <row r="1145" hidden="1">
      <c r="A1145" s="471">
        <v>3.0</v>
      </c>
      <c r="B1145" s="549" t="s">
        <v>4245</v>
      </c>
      <c r="C1145" s="471" t="s">
        <v>80</v>
      </c>
      <c r="D1145" s="342" t="s">
        <v>4246</v>
      </c>
      <c r="E1145" s="471" t="s">
        <v>4247</v>
      </c>
      <c r="F1145" s="471" t="s">
        <v>4248</v>
      </c>
      <c r="G1145" s="471" t="s">
        <v>4200</v>
      </c>
      <c r="H1145" s="471">
        <v>18.0</v>
      </c>
      <c r="I1145" s="471" t="s">
        <v>2890</v>
      </c>
      <c r="J1145" s="12" t="s">
        <v>2541</v>
      </c>
      <c r="K1145" s="12" t="s">
        <v>3784</v>
      </c>
      <c r="L1145" s="12" t="s">
        <v>4249</v>
      </c>
      <c r="M1145" s="14"/>
      <c r="N1145" s="14"/>
      <c r="O1145" s="12" t="s">
        <v>115</v>
      </c>
      <c r="P1145" s="385" t="s">
        <v>1432</v>
      </c>
    </row>
    <row r="1146" hidden="1">
      <c r="A1146" s="526">
        <v>4.0</v>
      </c>
      <c r="B1146" s="527" t="s">
        <v>4250</v>
      </c>
      <c r="C1146" s="526" t="s">
        <v>80</v>
      </c>
      <c r="D1146" s="504" t="s">
        <v>4251</v>
      </c>
      <c r="E1146" s="526" t="s">
        <v>4252</v>
      </c>
      <c r="F1146" s="526" t="s">
        <v>207</v>
      </c>
      <c r="G1146" s="526" t="s">
        <v>4104</v>
      </c>
      <c r="H1146" s="526">
        <v>20.0</v>
      </c>
      <c r="I1146" s="559" t="s">
        <v>4253</v>
      </c>
      <c r="J1146" s="12" t="s">
        <v>2541</v>
      </c>
      <c r="K1146" s="14"/>
      <c r="L1146" s="12" t="s">
        <v>374</v>
      </c>
      <c r="M1146" s="14"/>
      <c r="N1146" s="14"/>
      <c r="O1146" s="12" t="s">
        <v>3728</v>
      </c>
      <c r="P1146" s="407" t="s">
        <v>2560</v>
      </c>
    </row>
    <row r="1147" hidden="1">
      <c r="A1147" s="471">
        <v>5.0</v>
      </c>
      <c r="B1147" s="549" t="s">
        <v>4254</v>
      </c>
      <c r="C1147" s="471" t="s">
        <v>651</v>
      </c>
      <c r="D1147" s="342" t="s">
        <v>4255</v>
      </c>
      <c r="E1147" s="471" t="s">
        <v>4256</v>
      </c>
      <c r="F1147" s="471" t="s">
        <v>3950</v>
      </c>
      <c r="G1147" s="471" t="s">
        <v>4104</v>
      </c>
      <c r="H1147" s="471">
        <v>20.0</v>
      </c>
      <c r="I1147" s="471" t="s">
        <v>2890</v>
      </c>
      <c r="J1147" s="12" t="s">
        <v>2541</v>
      </c>
      <c r="K1147" s="12" t="s">
        <v>3784</v>
      </c>
      <c r="L1147" s="12" t="s">
        <v>4249</v>
      </c>
      <c r="M1147" s="14"/>
      <c r="N1147" s="14"/>
      <c r="O1147" s="12" t="s">
        <v>4257</v>
      </c>
      <c r="P1147" s="385" t="s">
        <v>1432</v>
      </c>
    </row>
    <row r="1148" hidden="1">
      <c r="A1148" s="526">
        <v>6.0</v>
      </c>
      <c r="B1148" s="527" t="s">
        <v>4258</v>
      </c>
      <c r="C1148" s="526" t="s">
        <v>80</v>
      </c>
      <c r="D1148" s="504" t="s">
        <v>4259</v>
      </c>
      <c r="E1148" s="526" t="s">
        <v>4260</v>
      </c>
      <c r="F1148" s="526" t="s">
        <v>718</v>
      </c>
      <c r="G1148" s="526" t="s">
        <v>4223</v>
      </c>
      <c r="H1148" s="526">
        <v>21.0</v>
      </c>
      <c r="I1148" s="526" t="s">
        <v>2890</v>
      </c>
      <c r="J1148" s="14"/>
      <c r="K1148" s="14"/>
      <c r="L1148" s="14"/>
      <c r="M1148" s="14"/>
      <c r="N1148" s="14"/>
      <c r="O1148" s="12" t="s">
        <v>3785</v>
      </c>
      <c r="P1148" s="407" t="s">
        <v>2560</v>
      </c>
    </row>
    <row r="1149" hidden="1">
      <c r="A1149" s="471">
        <v>7.0</v>
      </c>
      <c r="B1149" s="470" t="s">
        <v>4261</v>
      </c>
      <c r="C1149" s="471" t="s">
        <v>80</v>
      </c>
      <c r="D1149" s="342" t="s">
        <v>4262</v>
      </c>
      <c r="E1149" s="551" t="s">
        <v>4263</v>
      </c>
      <c r="F1149" s="471" t="s">
        <v>1523</v>
      </c>
      <c r="G1149" s="471" t="s">
        <v>4223</v>
      </c>
      <c r="H1149" s="471">
        <v>21.0</v>
      </c>
      <c r="I1149" s="491" t="s">
        <v>3043</v>
      </c>
      <c r="J1149" s="12" t="s">
        <v>2065</v>
      </c>
      <c r="K1149" s="538">
        <v>45819.0</v>
      </c>
      <c r="L1149" s="12" t="s">
        <v>374</v>
      </c>
      <c r="M1149" s="14"/>
      <c r="N1149" s="14"/>
      <c r="O1149" s="12" t="s">
        <v>4136</v>
      </c>
      <c r="P1149" s="385" t="s">
        <v>1432</v>
      </c>
    </row>
    <row r="1150" hidden="1">
      <c r="A1150" s="471">
        <v>8.0</v>
      </c>
      <c r="B1150" s="470" t="s">
        <v>4264</v>
      </c>
      <c r="C1150" s="471" t="s">
        <v>80</v>
      </c>
      <c r="D1150" s="342" t="s">
        <v>4265</v>
      </c>
      <c r="E1150" s="551" t="s">
        <v>4266</v>
      </c>
      <c r="F1150" s="471" t="s">
        <v>1523</v>
      </c>
      <c r="G1150" s="471" t="s">
        <v>4223</v>
      </c>
      <c r="H1150" s="471">
        <v>21.0</v>
      </c>
      <c r="I1150" s="471" t="s">
        <v>2890</v>
      </c>
      <c r="J1150" s="12" t="s">
        <v>2065</v>
      </c>
      <c r="K1150" s="538">
        <v>45819.0</v>
      </c>
      <c r="L1150" s="12" t="s">
        <v>374</v>
      </c>
      <c r="M1150" s="14"/>
      <c r="N1150" s="14"/>
      <c r="O1150" s="12" t="s">
        <v>4136</v>
      </c>
      <c r="P1150" s="385" t="s">
        <v>1432</v>
      </c>
    </row>
    <row r="1151" hidden="1">
      <c r="A1151" s="471">
        <v>9.0</v>
      </c>
      <c r="B1151" s="470" t="s">
        <v>4267</v>
      </c>
      <c r="C1151" s="471" t="s">
        <v>80</v>
      </c>
      <c r="D1151" s="342" t="s">
        <v>4268</v>
      </c>
      <c r="E1151" s="471" t="s">
        <v>4269</v>
      </c>
      <c r="F1151" s="471" t="s">
        <v>3950</v>
      </c>
      <c r="G1151" s="471" t="s">
        <v>4270</v>
      </c>
      <c r="H1151" s="471">
        <v>23.0</v>
      </c>
      <c r="I1151" s="471" t="s">
        <v>2890</v>
      </c>
      <c r="J1151" s="12" t="s">
        <v>2065</v>
      </c>
      <c r="K1151" s="23">
        <v>45758.0</v>
      </c>
      <c r="L1151" s="12" t="s">
        <v>374</v>
      </c>
      <c r="M1151" s="14"/>
      <c r="N1151" s="14"/>
      <c r="O1151" s="12" t="s">
        <v>4104</v>
      </c>
      <c r="P1151" s="385" t="s">
        <v>1432</v>
      </c>
    </row>
    <row r="1152" hidden="1">
      <c r="A1152" s="471">
        <v>10.0</v>
      </c>
      <c r="B1152" s="470" t="s">
        <v>4271</v>
      </c>
      <c r="C1152" s="471" t="s">
        <v>80</v>
      </c>
      <c r="D1152" s="342" t="s">
        <v>4272</v>
      </c>
      <c r="E1152" s="471" t="s">
        <v>4273</v>
      </c>
      <c r="F1152" s="471" t="s">
        <v>2599</v>
      </c>
      <c r="G1152" s="471" t="s">
        <v>4270</v>
      </c>
      <c r="H1152" s="471">
        <v>23.0</v>
      </c>
      <c r="I1152" s="491" t="s">
        <v>3231</v>
      </c>
      <c r="J1152" s="12" t="s">
        <v>2065</v>
      </c>
      <c r="K1152" s="23">
        <v>45668.0</v>
      </c>
      <c r="L1152" s="12" t="s">
        <v>374</v>
      </c>
      <c r="M1152" s="14"/>
      <c r="N1152" s="14"/>
      <c r="O1152" s="12" t="s">
        <v>4274</v>
      </c>
      <c r="P1152" s="385" t="s">
        <v>1432</v>
      </c>
    </row>
    <row r="1153" hidden="1">
      <c r="A1153" s="471">
        <v>11.0</v>
      </c>
      <c r="B1153" s="470" t="s">
        <v>4275</v>
      </c>
      <c r="C1153" s="471" t="s">
        <v>80</v>
      </c>
      <c r="D1153" s="342" t="s">
        <v>4276</v>
      </c>
      <c r="E1153" s="471" t="s">
        <v>4277</v>
      </c>
      <c r="F1153" s="471" t="s">
        <v>2599</v>
      </c>
      <c r="G1153" s="471" t="s">
        <v>4278</v>
      </c>
      <c r="H1153" s="471">
        <v>22.0</v>
      </c>
      <c r="I1153" s="471" t="s">
        <v>2890</v>
      </c>
      <c r="J1153" s="12" t="s">
        <v>2065</v>
      </c>
      <c r="K1153" s="12" t="s">
        <v>3992</v>
      </c>
      <c r="L1153" s="12" t="s">
        <v>374</v>
      </c>
      <c r="M1153" s="14"/>
      <c r="N1153" s="14"/>
      <c r="O1153" s="12" t="s">
        <v>4274</v>
      </c>
      <c r="P1153" s="385" t="s">
        <v>1432</v>
      </c>
    </row>
    <row r="1154" hidden="1">
      <c r="A1154" s="560">
        <v>12.0</v>
      </c>
      <c r="B1154" s="561" t="s">
        <v>4279</v>
      </c>
      <c r="C1154" s="560" t="s">
        <v>80</v>
      </c>
      <c r="D1154" s="562" t="s">
        <v>4280</v>
      </c>
      <c r="E1154" s="560" t="s">
        <v>4281</v>
      </c>
      <c r="F1154" s="560" t="s">
        <v>3583</v>
      </c>
      <c r="G1154" s="563">
        <v>46002.0</v>
      </c>
      <c r="H1154" s="560">
        <v>16.0</v>
      </c>
      <c r="I1154" s="560" t="s">
        <v>2890</v>
      </c>
      <c r="J1154" s="12" t="s">
        <v>2541</v>
      </c>
      <c r="K1154" s="12" t="s">
        <v>3960</v>
      </c>
      <c r="L1154" s="12" t="s">
        <v>778</v>
      </c>
      <c r="M1154" s="14"/>
      <c r="N1154" s="14"/>
      <c r="O1154" s="538">
        <v>45941.0</v>
      </c>
      <c r="P1154" s="385" t="s">
        <v>1432</v>
      </c>
    </row>
    <row r="1155" hidden="1">
      <c r="A1155" s="471">
        <v>13.0</v>
      </c>
      <c r="B1155" s="470" t="s">
        <v>4282</v>
      </c>
      <c r="C1155" s="471" t="s">
        <v>2403</v>
      </c>
      <c r="D1155" s="342" t="s">
        <v>4283</v>
      </c>
      <c r="E1155" s="551" t="s">
        <v>4284</v>
      </c>
      <c r="F1155" s="471" t="s">
        <v>2599</v>
      </c>
      <c r="G1155" s="471" t="s">
        <v>4278</v>
      </c>
      <c r="H1155" s="471">
        <v>22.0</v>
      </c>
      <c r="I1155" s="471" t="s">
        <v>2890</v>
      </c>
      <c r="J1155" s="12" t="s">
        <v>699</v>
      </c>
      <c r="K1155" s="12" t="s">
        <v>115</v>
      </c>
      <c r="L1155" s="12" t="s">
        <v>4285</v>
      </c>
      <c r="M1155" s="14"/>
      <c r="N1155" s="14"/>
      <c r="O1155" s="12" t="s">
        <v>3992</v>
      </c>
      <c r="P1155" s="385" t="s">
        <v>1432</v>
      </c>
    </row>
    <row r="1156" hidden="1">
      <c r="A1156" s="471">
        <v>14.0</v>
      </c>
      <c r="B1156" s="470" t="s">
        <v>4286</v>
      </c>
      <c r="C1156" s="471" t="s">
        <v>2307</v>
      </c>
      <c r="D1156" s="342" t="s">
        <v>4287</v>
      </c>
      <c r="E1156" s="551" t="s">
        <v>4288</v>
      </c>
      <c r="F1156" s="471" t="s">
        <v>2599</v>
      </c>
      <c r="G1156" s="471" t="s">
        <v>4278</v>
      </c>
      <c r="H1156" s="471">
        <v>22.0</v>
      </c>
      <c r="I1156" s="471" t="s">
        <v>2890</v>
      </c>
      <c r="J1156" s="12" t="s">
        <v>699</v>
      </c>
      <c r="K1156" s="12" t="s">
        <v>115</v>
      </c>
      <c r="L1156" s="12" t="s">
        <v>4285</v>
      </c>
      <c r="M1156" s="14"/>
      <c r="N1156" s="14"/>
      <c r="O1156" s="12" t="s">
        <v>3992</v>
      </c>
      <c r="P1156" s="385" t="s">
        <v>1432</v>
      </c>
    </row>
    <row r="1157" hidden="1">
      <c r="A1157" s="471">
        <v>15.0</v>
      </c>
      <c r="B1157" s="470" t="s">
        <v>4289</v>
      </c>
      <c r="C1157" s="471" t="s">
        <v>80</v>
      </c>
      <c r="D1157" s="342" t="s">
        <v>4290</v>
      </c>
      <c r="E1157" s="471" t="s">
        <v>4291</v>
      </c>
      <c r="F1157" s="471" t="s">
        <v>4292</v>
      </c>
      <c r="G1157" s="471" t="s">
        <v>4278</v>
      </c>
      <c r="H1157" s="471">
        <v>22.0</v>
      </c>
      <c r="I1157" s="471" t="s">
        <v>2890</v>
      </c>
      <c r="J1157" s="12" t="s">
        <v>2065</v>
      </c>
      <c r="K1157" s="12" t="s">
        <v>4293</v>
      </c>
      <c r="L1157" s="12" t="s">
        <v>51</v>
      </c>
      <c r="M1157" s="14"/>
      <c r="N1157" s="14"/>
      <c r="O1157" s="12" t="s">
        <v>4240</v>
      </c>
      <c r="P1157" s="385" t="s">
        <v>1432</v>
      </c>
    </row>
    <row r="1158" hidden="1">
      <c r="A1158" s="471">
        <v>16.0</v>
      </c>
      <c r="B1158" s="470" t="s">
        <v>4294</v>
      </c>
      <c r="C1158" s="471" t="s">
        <v>80</v>
      </c>
      <c r="D1158" s="342" t="s">
        <v>4295</v>
      </c>
      <c r="E1158" s="471" t="s">
        <v>4296</v>
      </c>
      <c r="F1158" s="471" t="s">
        <v>4297</v>
      </c>
      <c r="G1158" s="471" t="s">
        <v>4223</v>
      </c>
      <c r="H1158" s="471">
        <v>21.0</v>
      </c>
      <c r="I1158" s="471" t="s">
        <v>2890</v>
      </c>
      <c r="J1158" s="12" t="s">
        <v>2065</v>
      </c>
      <c r="K1158" s="23">
        <v>45727.0</v>
      </c>
      <c r="L1158" s="12" t="s">
        <v>51</v>
      </c>
      <c r="M1158" s="14"/>
      <c r="N1158" s="14"/>
      <c r="O1158" s="34" t="s">
        <v>3964</v>
      </c>
      <c r="P1158" s="385" t="s">
        <v>1432</v>
      </c>
    </row>
    <row r="1159" ht="15.0" hidden="1" customHeight="1">
      <c r="A1159" s="471">
        <v>17.0</v>
      </c>
      <c r="B1159" s="470" t="s">
        <v>4298</v>
      </c>
      <c r="C1159" s="471" t="s">
        <v>80</v>
      </c>
      <c r="D1159" s="342" t="s">
        <v>4299</v>
      </c>
      <c r="E1159" s="551" t="s">
        <v>4300</v>
      </c>
      <c r="F1159" s="471" t="s">
        <v>4301</v>
      </c>
      <c r="G1159" s="471" t="s">
        <v>4239</v>
      </c>
      <c r="H1159" s="471">
        <v>24.0</v>
      </c>
      <c r="I1159" s="471" t="s">
        <v>2890</v>
      </c>
      <c r="J1159" s="12" t="s">
        <v>4302</v>
      </c>
      <c r="K1159" s="12" t="s">
        <v>3992</v>
      </c>
      <c r="L1159" s="12" t="s">
        <v>4285</v>
      </c>
      <c r="M1159" s="14"/>
      <c r="N1159" s="14"/>
      <c r="O1159" s="12" t="s">
        <v>4274</v>
      </c>
      <c r="P1159" s="407" t="s">
        <v>1798</v>
      </c>
    </row>
    <row r="1160" hidden="1">
      <c r="A1160" s="471">
        <v>18.0</v>
      </c>
      <c r="B1160" s="470" t="s">
        <v>4303</v>
      </c>
      <c r="C1160" s="471" t="s">
        <v>80</v>
      </c>
      <c r="D1160" s="342" t="s">
        <v>4304</v>
      </c>
      <c r="E1160" s="551" t="s">
        <v>4305</v>
      </c>
      <c r="F1160" s="471" t="s">
        <v>4301</v>
      </c>
      <c r="G1160" s="471" t="s">
        <v>4239</v>
      </c>
      <c r="H1160" s="471">
        <v>24.0</v>
      </c>
      <c r="I1160" s="471" t="s">
        <v>2890</v>
      </c>
      <c r="J1160" s="12" t="s">
        <v>4302</v>
      </c>
      <c r="K1160" s="12" t="s">
        <v>3992</v>
      </c>
      <c r="L1160" s="12" t="s">
        <v>4285</v>
      </c>
      <c r="M1160" s="14"/>
      <c r="N1160" s="14"/>
      <c r="O1160" s="12" t="s">
        <v>4274</v>
      </c>
      <c r="P1160" s="407" t="s">
        <v>1798</v>
      </c>
    </row>
    <row r="1161" hidden="1">
      <c r="A1161" s="471">
        <v>19.0</v>
      </c>
      <c r="B1161" s="470" t="s">
        <v>4306</v>
      </c>
      <c r="C1161" s="471" t="s">
        <v>80</v>
      </c>
      <c r="D1161" s="342" t="s">
        <v>4307</v>
      </c>
      <c r="E1161" s="471" t="s">
        <v>4308</v>
      </c>
      <c r="F1161" s="471" t="s">
        <v>1370</v>
      </c>
      <c r="G1161" s="471" t="s">
        <v>4239</v>
      </c>
      <c r="H1161" s="471">
        <v>24.0</v>
      </c>
      <c r="I1161" s="471" t="s">
        <v>2890</v>
      </c>
      <c r="J1161" s="12" t="s">
        <v>2065</v>
      </c>
      <c r="K1161" s="12" t="s">
        <v>4147</v>
      </c>
      <c r="L1161" s="12" t="s">
        <v>374</v>
      </c>
      <c r="M1161" s="14"/>
      <c r="N1161" s="14"/>
      <c r="O1161" s="12" t="s">
        <v>210</v>
      </c>
      <c r="P1161" s="564" t="s">
        <v>4309</v>
      </c>
    </row>
    <row r="1162" hidden="1">
      <c r="A1162" s="471">
        <v>20.0</v>
      </c>
      <c r="B1162" s="470" t="s">
        <v>4310</v>
      </c>
      <c r="C1162" s="471" t="s">
        <v>4311</v>
      </c>
      <c r="D1162" s="342" t="s">
        <v>4312</v>
      </c>
      <c r="E1162" s="471" t="s">
        <v>4313</v>
      </c>
      <c r="F1162" s="471" t="s">
        <v>4314</v>
      </c>
      <c r="G1162" s="471" t="s">
        <v>4207</v>
      </c>
      <c r="H1162" s="471">
        <v>19.0</v>
      </c>
      <c r="I1162" s="471" t="s">
        <v>2890</v>
      </c>
      <c r="J1162" s="12" t="s">
        <v>2995</v>
      </c>
      <c r="K1162" s="23">
        <v>45758.0</v>
      </c>
      <c r="L1162" s="12" t="s">
        <v>51</v>
      </c>
      <c r="M1162" s="14"/>
      <c r="N1162" s="14"/>
      <c r="O1162" s="12" t="s">
        <v>3992</v>
      </c>
      <c r="P1162" s="407" t="s">
        <v>2560</v>
      </c>
    </row>
    <row r="1163" hidden="1">
      <c r="A1163" s="526">
        <v>21.0</v>
      </c>
      <c r="B1163" s="527" t="s">
        <v>4315</v>
      </c>
      <c r="C1163" s="526" t="s">
        <v>80</v>
      </c>
      <c r="D1163" s="504" t="s">
        <v>4316</v>
      </c>
      <c r="E1163" s="526" t="s">
        <v>4317</v>
      </c>
      <c r="F1163" s="526" t="s">
        <v>3950</v>
      </c>
      <c r="G1163" s="526" t="s">
        <v>4270</v>
      </c>
      <c r="H1163" s="526">
        <v>23.0</v>
      </c>
      <c r="I1163" s="526" t="s">
        <v>2890</v>
      </c>
      <c r="J1163" s="14"/>
      <c r="K1163" s="14"/>
      <c r="L1163" s="14"/>
      <c r="M1163" s="14"/>
      <c r="N1163" s="14"/>
      <c r="O1163" s="12" t="s">
        <v>3785</v>
      </c>
      <c r="P1163" s="385" t="s">
        <v>1432</v>
      </c>
    </row>
    <row r="1164" hidden="1">
      <c r="A1164" s="471">
        <v>22.0</v>
      </c>
      <c r="B1164" s="470" t="s">
        <v>4318</v>
      </c>
      <c r="C1164" s="471" t="s">
        <v>1185</v>
      </c>
      <c r="D1164" s="342" t="s">
        <v>4319</v>
      </c>
      <c r="E1164" s="471" t="s">
        <v>4320</v>
      </c>
      <c r="F1164" s="471" t="s">
        <v>356</v>
      </c>
      <c r="G1164" s="471" t="s">
        <v>4321</v>
      </c>
      <c r="H1164" s="471">
        <v>25.0</v>
      </c>
      <c r="I1164" s="471" t="s">
        <v>2890</v>
      </c>
      <c r="J1164" s="12" t="s">
        <v>2065</v>
      </c>
      <c r="K1164" s="12" t="s">
        <v>3784</v>
      </c>
      <c r="L1164" s="12" t="s">
        <v>51</v>
      </c>
      <c r="M1164" s="14"/>
      <c r="N1164" s="14"/>
      <c r="O1164" s="12" t="s">
        <v>4136</v>
      </c>
      <c r="P1164" s="385" t="s">
        <v>1432</v>
      </c>
    </row>
    <row r="1165" hidden="1">
      <c r="A1165" s="471">
        <v>23.0</v>
      </c>
      <c r="B1165" s="470" t="s">
        <v>4322</v>
      </c>
      <c r="C1165" s="471" t="s">
        <v>80</v>
      </c>
      <c r="D1165" s="342" t="s">
        <v>4323</v>
      </c>
      <c r="E1165" s="551" t="s">
        <v>4324</v>
      </c>
      <c r="F1165" s="471" t="s">
        <v>4325</v>
      </c>
      <c r="G1165" s="471" t="s">
        <v>4321</v>
      </c>
      <c r="H1165" s="471">
        <v>25.0</v>
      </c>
      <c r="I1165" s="471" t="s">
        <v>2890</v>
      </c>
      <c r="J1165" s="12" t="s">
        <v>2065</v>
      </c>
      <c r="K1165" s="23">
        <v>45819.0</v>
      </c>
      <c r="L1165" s="12" t="s">
        <v>374</v>
      </c>
      <c r="M1165" s="14"/>
      <c r="N1165" s="14"/>
      <c r="O1165" s="12" t="s">
        <v>4136</v>
      </c>
      <c r="P1165" s="407" t="s">
        <v>2560</v>
      </c>
    </row>
    <row r="1166" hidden="1">
      <c r="A1166" s="471">
        <v>24.0</v>
      </c>
      <c r="B1166" s="470" t="s">
        <v>4326</v>
      </c>
      <c r="C1166" s="471" t="s">
        <v>80</v>
      </c>
      <c r="D1166" s="342" t="s">
        <v>4327</v>
      </c>
      <c r="E1166" s="551" t="s">
        <v>4328</v>
      </c>
      <c r="F1166" s="471" t="s">
        <v>3825</v>
      </c>
      <c r="G1166" s="471" t="s">
        <v>4321</v>
      </c>
      <c r="H1166" s="471">
        <v>25.0</v>
      </c>
      <c r="I1166" s="471" t="s">
        <v>2890</v>
      </c>
      <c r="J1166" s="12" t="s">
        <v>2065</v>
      </c>
      <c r="K1166" s="23">
        <v>45819.0</v>
      </c>
      <c r="L1166" s="12" t="s">
        <v>4285</v>
      </c>
      <c r="M1166" s="14"/>
      <c r="N1166" s="14"/>
      <c r="O1166" s="12" t="s">
        <v>4136</v>
      </c>
      <c r="P1166" s="407" t="s">
        <v>2560</v>
      </c>
    </row>
    <row r="1167" hidden="1">
      <c r="A1167" s="339" t="s">
        <v>4329</v>
      </c>
    </row>
    <row r="1168" hidden="1">
      <c r="A1168" s="4" t="s">
        <v>47</v>
      </c>
      <c r="B1168" s="534" t="s">
        <v>7</v>
      </c>
      <c r="C1168" s="4" t="s">
        <v>9</v>
      </c>
      <c r="D1168" s="4" t="s">
        <v>10</v>
      </c>
      <c r="E1168" s="4" t="s">
        <v>11</v>
      </c>
      <c r="F1168" s="4" t="s">
        <v>12</v>
      </c>
      <c r="G1168" s="4" t="s">
        <v>2378</v>
      </c>
      <c r="H1168" s="4" t="s">
        <v>2681</v>
      </c>
      <c r="I1168" s="4" t="s">
        <v>2847</v>
      </c>
      <c r="J1168" s="8" t="s">
        <v>14</v>
      </c>
      <c r="K1168" s="9" t="s">
        <v>16</v>
      </c>
      <c r="L1168" s="10" t="s">
        <v>4330</v>
      </c>
      <c r="M1168" s="9" t="s">
        <v>18</v>
      </c>
      <c r="N1168" s="9" t="s">
        <v>19</v>
      </c>
      <c r="O1168" s="9" t="s">
        <v>20</v>
      </c>
      <c r="P1168" s="9" t="s">
        <v>21</v>
      </c>
      <c r="Q1168" s="35"/>
      <c r="R1168" s="35"/>
      <c r="S1168" s="35"/>
      <c r="T1168" s="35"/>
      <c r="U1168" s="35"/>
      <c r="V1168" s="35"/>
      <c r="W1168" s="35"/>
      <c r="X1168" s="35"/>
      <c r="Y1168" s="35"/>
      <c r="Z1168" s="35"/>
      <c r="AA1168" s="35"/>
      <c r="AB1168" s="35"/>
      <c r="AC1168" s="35"/>
      <c r="AD1168" s="35"/>
      <c r="AE1168" s="35"/>
      <c r="AF1168" s="35"/>
    </row>
    <row r="1169" hidden="1">
      <c r="A1169" s="12">
        <v>1.0</v>
      </c>
      <c r="B1169" s="129" t="s">
        <v>4331</v>
      </c>
      <c r="C1169" s="12" t="s">
        <v>80</v>
      </c>
      <c r="D1169" s="128" t="s">
        <v>4332</v>
      </c>
      <c r="E1169" s="12" t="s">
        <v>4333</v>
      </c>
      <c r="F1169" s="12" t="s">
        <v>436</v>
      </c>
      <c r="G1169" s="12" t="s">
        <v>4334</v>
      </c>
      <c r="H1169" s="12">
        <v>22.0</v>
      </c>
      <c r="I1169" s="472" t="s">
        <v>2890</v>
      </c>
      <c r="J1169" s="12" t="s">
        <v>2065</v>
      </c>
      <c r="K1169" s="538">
        <v>46002.0</v>
      </c>
      <c r="L1169" s="12" t="s">
        <v>51</v>
      </c>
      <c r="M1169" s="14"/>
      <c r="N1169" s="14"/>
      <c r="O1169" s="23">
        <v>45728.0</v>
      </c>
      <c r="P1169" s="385" t="s">
        <v>1432</v>
      </c>
    </row>
    <row r="1170" hidden="1">
      <c r="A1170" s="12">
        <v>2.0</v>
      </c>
      <c r="B1170" s="129" t="s">
        <v>4335</v>
      </c>
      <c r="C1170" s="12" t="s">
        <v>80</v>
      </c>
      <c r="D1170" s="128" t="s">
        <v>4336</v>
      </c>
      <c r="E1170" s="12" t="s">
        <v>4337</v>
      </c>
      <c r="F1170" s="12" t="s">
        <v>4338</v>
      </c>
      <c r="G1170" s="12" t="s">
        <v>4321</v>
      </c>
      <c r="H1170" s="12">
        <v>21.0</v>
      </c>
      <c r="I1170" s="565" t="s">
        <v>4339</v>
      </c>
      <c r="J1170" s="12" t="s">
        <v>2065</v>
      </c>
      <c r="K1170" s="12" t="s">
        <v>4147</v>
      </c>
      <c r="L1170" s="12" t="s">
        <v>51</v>
      </c>
      <c r="M1170" s="14"/>
      <c r="N1170" s="14"/>
      <c r="O1170" s="12" t="s">
        <v>4136</v>
      </c>
      <c r="P1170" s="385" t="s">
        <v>1432</v>
      </c>
    </row>
    <row r="1171" hidden="1">
      <c r="A1171" s="12">
        <v>3.0</v>
      </c>
      <c r="B1171" s="566" t="s">
        <v>4340</v>
      </c>
      <c r="C1171" s="567" t="s">
        <v>80</v>
      </c>
      <c r="D1171" s="545" t="s">
        <v>4341</v>
      </c>
      <c r="E1171" s="567" t="s">
        <v>4342</v>
      </c>
      <c r="F1171" s="12" t="s">
        <v>1873</v>
      </c>
      <c r="G1171" s="12" t="s">
        <v>4334</v>
      </c>
      <c r="H1171" s="12">
        <v>22.0</v>
      </c>
      <c r="I1171" s="472" t="s">
        <v>2890</v>
      </c>
      <c r="J1171" s="12" t="s">
        <v>51</v>
      </c>
      <c r="K1171" s="12" t="s">
        <v>4240</v>
      </c>
      <c r="L1171" s="12" t="s">
        <v>51</v>
      </c>
      <c r="M1171" s="14"/>
      <c r="N1171" s="12" t="s">
        <v>4343</v>
      </c>
      <c r="O1171" s="23">
        <v>45700.0</v>
      </c>
      <c r="P1171" s="416" t="s">
        <v>4344</v>
      </c>
    </row>
    <row r="1172" hidden="1">
      <c r="A1172" s="12">
        <v>4.0</v>
      </c>
      <c r="B1172" s="129" t="s">
        <v>4345</v>
      </c>
      <c r="C1172" s="12" t="s">
        <v>80</v>
      </c>
      <c r="D1172" s="128" t="s">
        <v>4346</v>
      </c>
      <c r="E1172" s="568" t="s">
        <v>4347</v>
      </c>
      <c r="F1172" s="12" t="s">
        <v>436</v>
      </c>
      <c r="G1172" s="12" t="s">
        <v>4348</v>
      </c>
      <c r="H1172" s="12">
        <v>23.0</v>
      </c>
      <c r="I1172" s="472" t="s">
        <v>2890</v>
      </c>
      <c r="J1172" s="12" t="s">
        <v>2065</v>
      </c>
      <c r="K1172" s="538">
        <v>46002.0</v>
      </c>
      <c r="L1172" s="12" t="s">
        <v>4285</v>
      </c>
      <c r="M1172" s="14"/>
      <c r="N1172" s="14"/>
      <c r="O1172" s="12" t="s">
        <v>4349</v>
      </c>
      <c r="P1172" s="416" t="s">
        <v>4344</v>
      </c>
    </row>
    <row r="1173" hidden="1">
      <c r="A1173" s="339" t="s">
        <v>4350</v>
      </c>
    </row>
    <row r="1174" hidden="1">
      <c r="A1174" s="12">
        <v>6.0</v>
      </c>
      <c r="B1174" s="129" t="s">
        <v>4351</v>
      </c>
      <c r="C1174" s="12" t="s">
        <v>80</v>
      </c>
      <c r="D1174" s="128" t="s">
        <v>4352</v>
      </c>
      <c r="E1174" s="12" t="s">
        <v>4353</v>
      </c>
      <c r="F1174" s="12" t="s">
        <v>4354</v>
      </c>
      <c r="G1174" s="12" t="s">
        <v>4348</v>
      </c>
      <c r="H1174" s="12">
        <v>23.0</v>
      </c>
      <c r="I1174" s="472" t="s">
        <v>2890</v>
      </c>
      <c r="J1174" s="12" t="s">
        <v>2065</v>
      </c>
      <c r="K1174" s="23">
        <v>45668.0</v>
      </c>
      <c r="L1174" s="12" t="s">
        <v>51</v>
      </c>
      <c r="M1174" s="14"/>
      <c r="N1174" s="14"/>
      <c r="O1174" s="12" t="s">
        <v>4274</v>
      </c>
      <c r="P1174" s="385" t="s">
        <v>1432</v>
      </c>
    </row>
    <row r="1175" ht="20.25" hidden="1" customHeight="1">
      <c r="A1175" s="12">
        <v>7.0</v>
      </c>
      <c r="B1175" s="129" t="s">
        <v>4355</v>
      </c>
      <c r="C1175" s="12" t="s">
        <v>80</v>
      </c>
      <c r="D1175" s="128" t="s">
        <v>4356</v>
      </c>
      <c r="E1175" s="568" t="s">
        <v>4357</v>
      </c>
      <c r="F1175" s="12" t="s">
        <v>4358</v>
      </c>
      <c r="G1175" s="12" t="s">
        <v>4348</v>
      </c>
      <c r="H1175" s="12">
        <v>23.0</v>
      </c>
      <c r="I1175" s="472" t="s">
        <v>2890</v>
      </c>
      <c r="J1175" s="12" t="s">
        <v>4359</v>
      </c>
      <c r="K1175" s="12" t="s">
        <v>4274</v>
      </c>
      <c r="L1175" s="12" t="s">
        <v>4285</v>
      </c>
      <c r="M1175" s="14"/>
      <c r="N1175" s="14"/>
      <c r="O1175" s="12" t="s">
        <v>4360</v>
      </c>
      <c r="P1175" s="385" t="s">
        <v>1432</v>
      </c>
    </row>
    <row r="1176" hidden="1">
      <c r="A1176" s="12">
        <v>8.0</v>
      </c>
      <c r="B1176" s="129" t="s">
        <v>4361</v>
      </c>
      <c r="C1176" s="12" t="s">
        <v>80</v>
      </c>
      <c r="D1176" s="128" t="s">
        <v>4362</v>
      </c>
      <c r="E1176" s="568" t="s">
        <v>4363</v>
      </c>
      <c r="F1176" s="12" t="s">
        <v>4358</v>
      </c>
      <c r="G1176" s="12" t="s">
        <v>4348</v>
      </c>
      <c r="H1176" s="12">
        <v>23.0</v>
      </c>
      <c r="I1176" s="472" t="s">
        <v>2890</v>
      </c>
      <c r="J1176" s="12" t="s">
        <v>4359</v>
      </c>
      <c r="K1176" s="12" t="s">
        <v>4274</v>
      </c>
      <c r="L1176" s="12" t="s">
        <v>4285</v>
      </c>
      <c r="M1176" s="14"/>
      <c r="N1176" s="14"/>
      <c r="O1176" s="12" t="s">
        <v>4360</v>
      </c>
      <c r="P1176" s="385" t="s">
        <v>1432</v>
      </c>
    </row>
    <row r="1177" hidden="1">
      <c r="A1177" s="12">
        <v>9.0</v>
      </c>
      <c r="B1177" s="129" t="s">
        <v>4364</v>
      </c>
      <c r="C1177" s="12" t="s">
        <v>1185</v>
      </c>
      <c r="D1177" s="128" t="s">
        <v>4365</v>
      </c>
      <c r="E1177" s="12" t="s">
        <v>4366</v>
      </c>
      <c r="F1177" s="12" t="s">
        <v>4367</v>
      </c>
      <c r="G1177" s="12" t="s">
        <v>4334</v>
      </c>
      <c r="H1177" s="12">
        <v>22.0</v>
      </c>
      <c r="I1177" s="472" t="s">
        <v>2890</v>
      </c>
      <c r="J1177" s="12" t="s">
        <v>2541</v>
      </c>
      <c r="K1177" s="23">
        <v>45727.0</v>
      </c>
      <c r="L1177" s="12" t="s">
        <v>374</v>
      </c>
      <c r="M1177" s="14"/>
      <c r="N1177" s="14"/>
      <c r="O1177" s="12" t="s">
        <v>3992</v>
      </c>
      <c r="P1177" s="385" t="s">
        <v>1432</v>
      </c>
    </row>
    <row r="1178" hidden="1">
      <c r="A1178" s="12">
        <v>10.0</v>
      </c>
      <c r="B1178" s="569" t="s">
        <v>4368</v>
      </c>
      <c r="C1178" s="12" t="s">
        <v>80</v>
      </c>
      <c r="D1178" s="570" t="s">
        <v>4369</v>
      </c>
      <c r="E1178" s="12" t="s">
        <v>4370</v>
      </c>
      <c r="F1178" s="12" t="s">
        <v>3583</v>
      </c>
      <c r="G1178" s="12" t="s">
        <v>4190</v>
      </c>
      <c r="H1178" s="12">
        <v>13.0</v>
      </c>
      <c r="I1178" s="472" t="s">
        <v>2890</v>
      </c>
      <c r="J1178" s="12" t="s">
        <v>374</v>
      </c>
      <c r="K1178" s="23">
        <v>45849.0</v>
      </c>
      <c r="L1178" s="12" t="s">
        <v>4371</v>
      </c>
      <c r="M1178" s="14"/>
      <c r="N1178" s="14"/>
      <c r="O1178" s="12" t="s">
        <v>4200</v>
      </c>
      <c r="P1178" s="385" t="s">
        <v>1432</v>
      </c>
    </row>
    <row r="1179" hidden="1">
      <c r="A1179" s="12">
        <v>11.0</v>
      </c>
      <c r="B1179" s="569" t="s">
        <v>4372</v>
      </c>
      <c r="C1179" s="12" t="s">
        <v>80</v>
      </c>
      <c r="D1179" s="570" t="s">
        <v>4373</v>
      </c>
      <c r="E1179" s="12" t="s">
        <v>4374</v>
      </c>
      <c r="F1179" s="12" t="s">
        <v>3583</v>
      </c>
      <c r="G1179" s="12" t="s">
        <v>4190</v>
      </c>
      <c r="H1179" s="12">
        <v>13.0</v>
      </c>
      <c r="I1179" s="472" t="s">
        <v>2890</v>
      </c>
      <c r="J1179" s="12" t="s">
        <v>374</v>
      </c>
      <c r="K1179" s="23">
        <v>45849.0</v>
      </c>
      <c r="L1179" s="12" t="s">
        <v>4371</v>
      </c>
      <c r="M1179" s="14"/>
      <c r="N1179" s="14"/>
      <c r="O1179" s="12" t="s">
        <v>4200</v>
      </c>
      <c r="P1179" s="385" t="s">
        <v>1432</v>
      </c>
    </row>
    <row r="1180" hidden="1">
      <c r="A1180" s="12">
        <v>12.0</v>
      </c>
      <c r="B1180" s="569" t="s">
        <v>4375</v>
      </c>
      <c r="C1180" s="115" t="s">
        <v>80</v>
      </c>
      <c r="D1180" s="570" t="s">
        <v>4376</v>
      </c>
      <c r="E1180" s="12" t="s">
        <v>4377</v>
      </c>
      <c r="F1180" s="12" t="s">
        <v>3583</v>
      </c>
      <c r="G1180" s="12" t="s">
        <v>4190</v>
      </c>
      <c r="H1180" s="12">
        <v>13.0</v>
      </c>
      <c r="I1180" s="472" t="s">
        <v>2890</v>
      </c>
      <c r="J1180" s="12" t="s">
        <v>374</v>
      </c>
      <c r="K1180" s="23">
        <v>45849.0</v>
      </c>
      <c r="L1180" s="12" t="s">
        <v>4371</v>
      </c>
      <c r="M1180" s="14"/>
      <c r="N1180" s="14"/>
      <c r="O1180" s="12" t="s">
        <v>4200</v>
      </c>
      <c r="P1180" s="385" t="s">
        <v>1432</v>
      </c>
    </row>
    <row r="1181" hidden="1">
      <c r="A1181" s="12">
        <v>13.0</v>
      </c>
      <c r="B1181" s="129" t="s">
        <v>4378</v>
      </c>
      <c r="C1181" s="12" t="s">
        <v>80</v>
      </c>
      <c r="D1181" s="128" t="s">
        <v>4379</v>
      </c>
      <c r="E1181" s="568" t="s">
        <v>4380</v>
      </c>
      <c r="F1181" s="12" t="s">
        <v>4381</v>
      </c>
      <c r="G1181" s="12" t="s">
        <v>4382</v>
      </c>
      <c r="H1181" s="12">
        <v>24.0</v>
      </c>
      <c r="I1181" s="472" t="s">
        <v>2890</v>
      </c>
      <c r="J1181" s="12" t="s">
        <v>4383</v>
      </c>
      <c r="K1181" s="12" t="s">
        <v>4147</v>
      </c>
      <c r="L1181" s="12" t="s">
        <v>4285</v>
      </c>
      <c r="M1181" s="14"/>
      <c r="N1181" s="14"/>
      <c r="O1181" s="12" t="s">
        <v>4136</v>
      </c>
      <c r="P1181" s="385" t="s">
        <v>1432</v>
      </c>
    </row>
    <row r="1182" hidden="1">
      <c r="A1182" s="12">
        <v>14.0</v>
      </c>
      <c r="B1182" s="129" t="s">
        <v>4384</v>
      </c>
      <c r="C1182" s="12" t="s">
        <v>80</v>
      </c>
      <c r="D1182" s="128" t="s">
        <v>4385</v>
      </c>
      <c r="E1182" s="568" t="s">
        <v>4386</v>
      </c>
      <c r="F1182" s="12" t="s">
        <v>4381</v>
      </c>
      <c r="G1182" s="12" t="s">
        <v>4382</v>
      </c>
      <c r="H1182" s="12">
        <v>24.0</v>
      </c>
      <c r="I1182" s="472" t="s">
        <v>2890</v>
      </c>
      <c r="J1182" s="12" t="s">
        <v>4383</v>
      </c>
      <c r="K1182" s="12" t="s">
        <v>4147</v>
      </c>
      <c r="L1182" s="12" t="s">
        <v>4285</v>
      </c>
      <c r="M1182" s="14"/>
      <c r="N1182" s="14"/>
      <c r="O1182" s="12" t="s">
        <v>4136</v>
      </c>
      <c r="P1182" s="385" t="s">
        <v>1432</v>
      </c>
    </row>
    <row r="1183" hidden="1">
      <c r="A1183" s="12">
        <v>15.0</v>
      </c>
      <c r="B1183" s="129" t="s">
        <v>4387</v>
      </c>
      <c r="C1183" s="12" t="s">
        <v>1185</v>
      </c>
      <c r="D1183" s="128" t="s">
        <v>4388</v>
      </c>
      <c r="E1183" s="12" t="s">
        <v>4389</v>
      </c>
      <c r="F1183" s="12" t="s">
        <v>4390</v>
      </c>
      <c r="G1183" s="12" t="s">
        <v>4207</v>
      </c>
      <c r="H1183" s="12">
        <v>15.0</v>
      </c>
      <c r="I1183" s="472" t="s">
        <v>2890</v>
      </c>
      <c r="J1183" s="12" t="s">
        <v>2541</v>
      </c>
      <c r="K1183" s="23">
        <v>45727.0</v>
      </c>
      <c r="L1183" s="12" t="s">
        <v>778</v>
      </c>
      <c r="M1183" s="14"/>
      <c r="N1183" s="14"/>
      <c r="O1183" s="12" t="s">
        <v>4200</v>
      </c>
      <c r="P1183" s="14"/>
    </row>
    <row r="1184" hidden="1">
      <c r="A1184" s="12">
        <v>16.0</v>
      </c>
      <c r="B1184" s="337" t="s">
        <v>4391</v>
      </c>
      <c r="C1184" s="12" t="s">
        <v>1058</v>
      </c>
      <c r="D1184" s="128" t="s">
        <v>4392</v>
      </c>
      <c r="E1184" s="12" t="s">
        <v>4393</v>
      </c>
      <c r="F1184" s="12" t="s">
        <v>535</v>
      </c>
      <c r="G1184" s="233">
        <v>45941.0</v>
      </c>
      <c r="H1184" s="12">
        <v>10.0</v>
      </c>
      <c r="I1184" s="472" t="s">
        <v>2890</v>
      </c>
      <c r="J1184" s="12" t="s">
        <v>2383</v>
      </c>
      <c r="K1184" s="571">
        <v>45727.0</v>
      </c>
      <c r="L1184" s="12" t="s">
        <v>4285</v>
      </c>
      <c r="M1184" s="14"/>
      <c r="N1184" s="14"/>
      <c r="O1184" s="12" t="s">
        <v>3992</v>
      </c>
      <c r="P1184" s="385" t="s">
        <v>1432</v>
      </c>
    </row>
    <row r="1185" hidden="1">
      <c r="A1185" s="495">
        <v>17.0</v>
      </c>
      <c r="B1185" s="572" t="s">
        <v>4394</v>
      </c>
      <c r="C1185" s="495" t="s">
        <v>80</v>
      </c>
      <c r="D1185" s="498" t="s">
        <v>4395</v>
      </c>
      <c r="E1185" s="495" t="s">
        <v>4396</v>
      </c>
      <c r="F1185" s="495" t="s">
        <v>4397</v>
      </c>
      <c r="G1185" s="503">
        <v>45880.0</v>
      </c>
      <c r="H1185" s="495">
        <v>8.0</v>
      </c>
      <c r="I1185" s="573" t="s">
        <v>4253</v>
      </c>
      <c r="J1185" s="12" t="s">
        <v>100</v>
      </c>
      <c r="K1185" s="23">
        <v>45302.0</v>
      </c>
      <c r="L1185" s="12" t="s">
        <v>4285</v>
      </c>
      <c r="M1185" s="14"/>
      <c r="N1185" s="14"/>
      <c r="O1185" s="164">
        <v>45849.0</v>
      </c>
      <c r="P1185" s="14"/>
    </row>
    <row r="1186" hidden="1">
      <c r="A1186" s="495">
        <v>18.0</v>
      </c>
      <c r="B1186" s="496" t="s">
        <v>4398</v>
      </c>
      <c r="C1186" s="495" t="s">
        <v>4399</v>
      </c>
      <c r="D1186" s="498" t="s">
        <v>4400</v>
      </c>
      <c r="E1186" s="495" t="s">
        <v>4401</v>
      </c>
      <c r="F1186" s="495" t="s">
        <v>815</v>
      </c>
      <c r="G1186" s="503">
        <v>45911.0</v>
      </c>
      <c r="H1186" s="495">
        <v>9.0</v>
      </c>
      <c r="I1186" s="574" t="s">
        <v>2890</v>
      </c>
      <c r="J1186" s="12" t="s">
        <v>4195</v>
      </c>
      <c r="K1186" s="14"/>
      <c r="L1186" s="12" t="s">
        <v>4285</v>
      </c>
      <c r="M1186" s="14"/>
      <c r="N1186" s="14"/>
      <c r="O1186" s="164">
        <v>45788.0</v>
      </c>
      <c r="P1186" s="14"/>
    </row>
    <row r="1187" hidden="1">
      <c r="A1187" s="12">
        <v>19.0</v>
      </c>
      <c r="B1187" s="506" t="s">
        <v>4402</v>
      </c>
      <c r="C1187" s="12" t="s">
        <v>80</v>
      </c>
      <c r="D1187" s="128" t="s">
        <v>4403</v>
      </c>
      <c r="E1187" s="12" t="s">
        <v>4404</v>
      </c>
      <c r="F1187" s="12" t="s">
        <v>4405</v>
      </c>
      <c r="G1187" s="12" t="s">
        <v>4321</v>
      </c>
      <c r="H1187" s="12">
        <v>21.0</v>
      </c>
      <c r="I1187" s="472" t="s">
        <v>2890</v>
      </c>
      <c r="J1187" s="12" t="s">
        <v>2065</v>
      </c>
      <c r="K1187" s="23">
        <v>45880.0</v>
      </c>
      <c r="L1187" s="12" t="s">
        <v>51</v>
      </c>
      <c r="M1187" s="14"/>
      <c r="N1187" s="14"/>
      <c r="O1187" s="12" t="s">
        <v>4274</v>
      </c>
      <c r="P1187" s="385" t="s">
        <v>1432</v>
      </c>
    </row>
    <row r="1188" hidden="1">
      <c r="A1188" s="495">
        <v>20.0</v>
      </c>
      <c r="B1188" s="496" t="s">
        <v>4406</v>
      </c>
      <c r="C1188" s="495" t="s">
        <v>651</v>
      </c>
      <c r="D1188" s="498" t="s">
        <v>4407</v>
      </c>
      <c r="E1188" s="495" t="s">
        <v>4408</v>
      </c>
      <c r="F1188" s="495" t="s">
        <v>349</v>
      </c>
      <c r="G1188" s="495" t="s">
        <v>4334</v>
      </c>
      <c r="H1188" s="495">
        <v>22.0</v>
      </c>
      <c r="I1188" s="574" t="s">
        <v>2890</v>
      </c>
      <c r="J1188" s="12" t="s">
        <v>2541</v>
      </c>
      <c r="K1188" s="14"/>
      <c r="L1188" s="12" t="s">
        <v>4285</v>
      </c>
      <c r="M1188" s="14"/>
      <c r="N1188" s="14"/>
      <c r="O1188" s="164">
        <v>45788.0</v>
      </c>
      <c r="P1188" s="14"/>
    </row>
    <row r="1189" hidden="1">
      <c r="A1189" s="12">
        <v>21.0</v>
      </c>
      <c r="B1189" s="575" t="s">
        <v>4409</v>
      </c>
      <c r="C1189" s="12" t="s">
        <v>4093</v>
      </c>
      <c r="D1189" s="128" t="s">
        <v>4410</v>
      </c>
      <c r="E1189" s="12" t="s">
        <v>4411</v>
      </c>
      <c r="F1189" s="12" t="s">
        <v>4412</v>
      </c>
      <c r="G1189" s="12" t="s">
        <v>4207</v>
      </c>
      <c r="H1189" s="12">
        <v>15.0</v>
      </c>
      <c r="I1189" s="472" t="s">
        <v>2890</v>
      </c>
      <c r="J1189" s="14"/>
      <c r="K1189" s="14"/>
      <c r="L1189" s="14"/>
      <c r="M1189" s="14"/>
      <c r="N1189" s="14"/>
      <c r="O1189" s="14"/>
      <c r="P1189" s="14"/>
    </row>
    <row r="1190" hidden="1">
      <c r="A1190" s="12">
        <v>22.0</v>
      </c>
      <c r="B1190" s="129" t="s">
        <v>4413</v>
      </c>
      <c r="C1190" s="12" t="s">
        <v>1185</v>
      </c>
      <c r="D1190" s="128" t="s">
        <v>4414</v>
      </c>
      <c r="E1190" s="12" t="s">
        <v>4415</v>
      </c>
      <c r="F1190" s="12" t="s">
        <v>25</v>
      </c>
      <c r="G1190" s="12" t="s">
        <v>4348</v>
      </c>
      <c r="H1190" s="12">
        <v>23.0</v>
      </c>
      <c r="I1190" s="472" t="s">
        <v>2890</v>
      </c>
      <c r="J1190" s="12" t="s">
        <v>4416</v>
      </c>
      <c r="K1190" s="538">
        <v>46002.0</v>
      </c>
      <c r="L1190" s="12" t="s">
        <v>51</v>
      </c>
      <c r="M1190" s="14"/>
      <c r="N1190" s="14"/>
      <c r="O1190" s="12" t="s">
        <v>4274</v>
      </c>
      <c r="P1190" s="385" t="s">
        <v>1432</v>
      </c>
    </row>
    <row r="1191" hidden="1">
      <c r="A1191" s="12">
        <v>23.0</v>
      </c>
      <c r="B1191" s="129" t="s">
        <v>4417</v>
      </c>
      <c r="C1191" s="12" t="s">
        <v>80</v>
      </c>
      <c r="D1191" s="128" t="s">
        <v>4418</v>
      </c>
      <c r="E1191" s="568" t="s">
        <v>4419</v>
      </c>
      <c r="F1191" s="12" t="s">
        <v>4405</v>
      </c>
      <c r="G1191" s="12" t="s">
        <v>4420</v>
      </c>
      <c r="H1191" s="12">
        <v>25.0</v>
      </c>
      <c r="I1191" s="472" t="s">
        <v>2890</v>
      </c>
      <c r="J1191" s="12" t="s">
        <v>4421</v>
      </c>
      <c r="K1191" s="12" t="s">
        <v>115</v>
      </c>
      <c r="L1191" s="12" t="s">
        <v>374</v>
      </c>
      <c r="M1191" s="14"/>
      <c r="N1191" s="14"/>
      <c r="O1191" s="12" t="s">
        <v>3992</v>
      </c>
      <c r="P1191" s="385" t="s">
        <v>1432</v>
      </c>
    </row>
    <row r="1192" hidden="1">
      <c r="A1192" s="458"/>
      <c r="C1192" s="140"/>
      <c r="D1192" s="140"/>
      <c r="E1192" s="140"/>
      <c r="F1192" s="140"/>
      <c r="G1192" s="140"/>
      <c r="H1192" s="140"/>
      <c r="I1192" s="140"/>
      <c r="L1192" s="140"/>
      <c r="Q1192" s="35"/>
      <c r="R1192" s="35"/>
      <c r="S1192" s="35"/>
      <c r="T1192" s="35"/>
      <c r="U1192" s="35"/>
      <c r="V1192" s="35"/>
      <c r="W1192" s="35"/>
      <c r="X1192" s="35"/>
      <c r="Y1192" s="35"/>
      <c r="Z1192" s="35"/>
      <c r="AA1192" s="35"/>
      <c r="AB1192" s="35"/>
      <c r="AC1192" s="35"/>
      <c r="AD1192" s="35"/>
      <c r="AE1192" s="35"/>
      <c r="AF1192" s="35"/>
    </row>
    <row r="1193" hidden="1">
      <c r="A1193" s="4" t="s">
        <v>47</v>
      </c>
      <c r="B1193" s="534" t="s">
        <v>7</v>
      </c>
      <c r="C1193" s="4" t="s">
        <v>9</v>
      </c>
      <c r="D1193" s="4" t="s">
        <v>10</v>
      </c>
      <c r="E1193" s="4" t="s">
        <v>11</v>
      </c>
      <c r="F1193" s="4" t="s">
        <v>12</v>
      </c>
      <c r="G1193" s="4" t="s">
        <v>2378</v>
      </c>
      <c r="H1193" s="4" t="s">
        <v>2681</v>
      </c>
      <c r="I1193" s="4" t="s">
        <v>2847</v>
      </c>
      <c r="J1193" s="8" t="s">
        <v>14</v>
      </c>
      <c r="K1193" s="9" t="s">
        <v>16</v>
      </c>
      <c r="L1193" s="9" t="s">
        <v>4330</v>
      </c>
      <c r="M1193" s="9" t="s">
        <v>18</v>
      </c>
      <c r="N1193" s="9" t="s">
        <v>19</v>
      </c>
      <c r="O1193" s="9" t="s">
        <v>20</v>
      </c>
      <c r="P1193" s="9" t="s">
        <v>21</v>
      </c>
      <c r="Q1193" s="35"/>
      <c r="R1193" s="35"/>
      <c r="S1193" s="35"/>
      <c r="T1193" s="35"/>
      <c r="U1193" s="35"/>
      <c r="V1193" s="35"/>
      <c r="W1193" s="35"/>
      <c r="X1193" s="35"/>
      <c r="Y1193" s="35"/>
      <c r="Z1193" s="35"/>
      <c r="AA1193" s="35"/>
      <c r="AB1193" s="35"/>
      <c r="AC1193" s="35"/>
      <c r="AD1193" s="35"/>
      <c r="AE1193" s="35"/>
      <c r="AF1193" s="35"/>
    </row>
    <row r="1194" hidden="1">
      <c r="A1194" s="471">
        <v>1.0</v>
      </c>
      <c r="B1194" s="470" t="s">
        <v>4422</v>
      </c>
      <c r="C1194" s="471" t="s">
        <v>1185</v>
      </c>
      <c r="D1194" s="342" t="s">
        <v>4423</v>
      </c>
      <c r="E1194" s="471" t="s">
        <v>4424</v>
      </c>
      <c r="F1194" s="471" t="s">
        <v>25</v>
      </c>
      <c r="G1194" s="33" t="s">
        <v>4425</v>
      </c>
      <c r="H1194" s="471">
        <v>22.0</v>
      </c>
      <c r="I1194" s="471" t="s">
        <v>2890</v>
      </c>
      <c r="J1194" s="12" t="s">
        <v>4426</v>
      </c>
      <c r="K1194" s="23">
        <v>45849.0</v>
      </c>
      <c r="L1194" s="12" t="s">
        <v>51</v>
      </c>
      <c r="M1194" s="14"/>
      <c r="N1194" s="14"/>
      <c r="O1194" s="12" t="s">
        <v>4274</v>
      </c>
      <c r="P1194" s="385" t="s">
        <v>1432</v>
      </c>
    </row>
    <row r="1195" hidden="1">
      <c r="A1195" s="471">
        <v>2.0</v>
      </c>
      <c r="B1195" s="470" t="s">
        <v>4427</v>
      </c>
      <c r="C1195" s="471" t="s">
        <v>2307</v>
      </c>
      <c r="D1195" s="342" t="s">
        <v>4428</v>
      </c>
      <c r="E1195" s="471" t="s">
        <v>4429</v>
      </c>
      <c r="F1195" s="471" t="s">
        <v>4358</v>
      </c>
      <c r="G1195" s="33" t="s">
        <v>4420</v>
      </c>
      <c r="H1195" s="471">
        <v>21.0</v>
      </c>
      <c r="I1195" s="471" t="s">
        <v>2890</v>
      </c>
      <c r="J1195" s="12" t="s">
        <v>699</v>
      </c>
      <c r="K1195" s="12" t="s">
        <v>4430</v>
      </c>
      <c r="L1195" s="12" t="s">
        <v>4431</v>
      </c>
      <c r="M1195" s="14"/>
      <c r="N1195" s="14"/>
      <c r="O1195" s="34" t="s">
        <v>3964</v>
      </c>
      <c r="P1195" s="407" t="s">
        <v>2560</v>
      </c>
    </row>
    <row r="1196" hidden="1">
      <c r="A1196" s="471">
        <v>3.0</v>
      </c>
      <c r="B1196" s="470" t="s">
        <v>4432</v>
      </c>
      <c r="C1196" s="471" t="s">
        <v>80</v>
      </c>
      <c r="D1196" s="342" t="s">
        <v>4433</v>
      </c>
      <c r="E1196" s="471" t="s">
        <v>4434</v>
      </c>
      <c r="F1196" s="471" t="s">
        <v>4435</v>
      </c>
      <c r="G1196" s="33" t="s">
        <v>4420</v>
      </c>
      <c r="H1196" s="471">
        <v>21.0</v>
      </c>
      <c r="I1196" s="471" t="s">
        <v>2890</v>
      </c>
      <c r="J1196" s="12" t="s">
        <v>2065</v>
      </c>
      <c r="K1196" s="538">
        <v>45972.0</v>
      </c>
      <c r="L1196" s="12" t="s">
        <v>51</v>
      </c>
      <c r="M1196" s="14"/>
      <c r="N1196" s="14"/>
      <c r="O1196" s="12" t="s">
        <v>4136</v>
      </c>
      <c r="P1196" s="407" t="s">
        <v>2560</v>
      </c>
    </row>
    <row r="1197" hidden="1">
      <c r="A1197" s="526">
        <v>4.0</v>
      </c>
      <c r="B1197" s="527" t="s">
        <v>4436</v>
      </c>
      <c r="C1197" s="526" t="s">
        <v>651</v>
      </c>
      <c r="D1197" s="504" t="s">
        <v>4437</v>
      </c>
      <c r="E1197" s="526" t="s">
        <v>4438</v>
      </c>
      <c r="F1197" s="526" t="s">
        <v>349</v>
      </c>
      <c r="G1197" s="361" t="s">
        <v>4425</v>
      </c>
      <c r="H1197" s="526">
        <v>22.0</v>
      </c>
      <c r="I1197" s="526" t="s">
        <v>2890</v>
      </c>
      <c r="J1197" s="12" t="s">
        <v>2065</v>
      </c>
      <c r="K1197" s="14"/>
      <c r="L1197" s="12" t="s">
        <v>374</v>
      </c>
      <c r="M1197" s="14"/>
      <c r="N1197" s="14"/>
      <c r="O1197" s="164">
        <v>45880.0</v>
      </c>
      <c r="P1197" s="385" t="s">
        <v>1432</v>
      </c>
    </row>
    <row r="1198" hidden="1">
      <c r="A1198" s="526">
        <v>5.0</v>
      </c>
      <c r="B1198" s="527" t="s">
        <v>4439</v>
      </c>
      <c r="C1198" s="526" t="s">
        <v>80</v>
      </c>
      <c r="D1198" s="504" t="s">
        <v>4440</v>
      </c>
      <c r="E1198" s="526" t="s">
        <v>4441</v>
      </c>
      <c r="F1198" s="526" t="s">
        <v>207</v>
      </c>
      <c r="G1198" s="361" t="s">
        <v>4442</v>
      </c>
      <c r="H1198" s="526">
        <v>23.0</v>
      </c>
      <c r="I1198" s="526" t="s">
        <v>2890</v>
      </c>
      <c r="J1198" s="12" t="s">
        <v>4195</v>
      </c>
      <c r="K1198" s="14"/>
      <c r="L1198" s="12" t="s">
        <v>374</v>
      </c>
      <c r="M1198" s="14"/>
      <c r="N1198" s="14"/>
      <c r="O1198" s="538">
        <v>45941.0</v>
      </c>
      <c r="P1198" s="407" t="s">
        <v>2560</v>
      </c>
    </row>
    <row r="1199" hidden="1">
      <c r="A1199" s="471">
        <v>6.0</v>
      </c>
      <c r="B1199" s="470" t="s">
        <v>4443</v>
      </c>
      <c r="C1199" s="471" t="s">
        <v>80</v>
      </c>
      <c r="D1199" s="342" t="s">
        <v>4444</v>
      </c>
      <c r="E1199" s="471" t="s">
        <v>4445</v>
      </c>
      <c r="F1199" s="471" t="s">
        <v>815</v>
      </c>
      <c r="G1199" s="33" t="s">
        <v>4442</v>
      </c>
      <c r="H1199" s="471">
        <v>23.0</v>
      </c>
      <c r="I1199" s="471" t="s">
        <v>2890</v>
      </c>
      <c r="J1199" s="12" t="s">
        <v>2065</v>
      </c>
      <c r="K1199" s="23">
        <v>45849.0</v>
      </c>
      <c r="L1199" s="12" t="s">
        <v>51</v>
      </c>
      <c r="M1199" s="14"/>
      <c r="N1199" s="14"/>
      <c r="O1199" s="23">
        <v>45700.0</v>
      </c>
      <c r="P1199" s="407" t="s">
        <v>2560</v>
      </c>
    </row>
    <row r="1200" hidden="1">
      <c r="A1200" s="526">
        <v>7.0</v>
      </c>
      <c r="B1200" s="527" t="s">
        <v>4446</v>
      </c>
      <c r="C1200" s="526" t="s">
        <v>1185</v>
      </c>
      <c r="D1200" s="504" t="s">
        <v>4447</v>
      </c>
      <c r="E1200" s="526" t="s">
        <v>4448</v>
      </c>
      <c r="F1200" s="526" t="s">
        <v>3583</v>
      </c>
      <c r="G1200" s="576">
        <v>45911.0</v>
      </c>
      <c r="H1200" s="526">
        <v>5.0</v>
      </c>
      <c r="I1200" s="526" t="s">
        <v>2890</v>
      </c>
      <c r="J1200" s="12" t="s">
        <v>4426</v>
      </c>
      <c r="K1200" s="14"/>
      <c r="L1200" s="12" t="s">
        <v>374</v>
      </c>
      <c r="M1200" s="14"/>
      <c r="N1200" s="14"/>
      <c r="O1200" s="164">
        <v>45880.0</v>
      </c>
    </row>
    <row r="1201" hidden="1">
      <c r="A1201" s="471">
        <v>8.0</v>
      </c>
      <c r="B1201" s="577" t="s">
        <v>4449</v>
      </c>
      <c r="C1201" s="471" t="s">
        <v>80</v>
      </c>
      <c r="D1201" s="342" t="s">
        <v>4450</v>
      </c>
      <c r="E1201" s="471" t="s">
        <v>4451</v>
      </c>
      <c r="F1201" s="471" t="s">
        <v>4452</v>
      </c>
      <c r="G1201" s="33" t="s">
        <v>4453</v>
      </c>
      <c r="H1201" s="471">
        <v>24.0</v>
      </c>
      <c r="I1201" s="471" t="s">
        <v>2890</v>
      </c>
      <c r="J1201" s="12" t="s">
        <v>4454</v>
      </c>
      <c r="K1201" s="12" t="s">
        <v>4293</v>
      </c>
      <c r="L1201" s="12" t="s">
        <v>374</v>
      </c>
      <c r="M1201" s="14"/>
      <c r="N1201" s="14"/>
      <c r="O1201" s="12" t="s">
        <v>4455</v>
      </c>
      <c r="P1201" s="385" t="s">
        <v>1432</v>
      </c>
    </row>
    <row r="1202" hidden="1">
      <c r="A1202" s="471">
        <v>9.0</v>
      </c>
      <c r="B1202" s="470" t="s">
        <v>4456</v>
      </c>
      <c r="C1202" s="471" t="s">
        <v>1185</v>
      </c>
      <c r="D1202" s="342" t="s">
        <v>4457</v>
      </c>
      <c r="E1202" s="471" t="s">
        <v>4458</v>
      </c>
      <c r="F1202" s="471" t="s">
        <v>4390</v>
      </c>
      <c r="G1202" s="33" t="s">
        <v>4278</v>
      </c>
      <c r="H1202" s="471">
        <v>14.0</v>
      </c>
      <c r="I1202" s="471" t="s">
        <v>2890</v>
      </c>
      <c r="J1202" s="12" t="s">
        <v>2541</v>
      </c>
      <c r="K1202" s="23">
        <v>45880.0</v>
      </c>
      <c r="L1202" s="12" t="s">
        <v>4371</v>
      </c>
      <c r="M1202" s="14"/>
      <c r="N1202" s="14"/>
      <c r="O1202" s="33" t="s">
        <v>4278</v>
      </c>
    </row>
    <row r="1203" hidden="1">
      <c r="A1203" s="471">
        <v>10.0</v>
      </c>
      <c r="B1203" s="470" t="s">
        <v>4459</v>
      </c>
      <c r="C1203" s="471" t="s">
        <v>80</v>
      </c>
      <c r="D1203" s="342" t="s">
        <v>4460</v>
      </c>
      <c r="E1203" s="471" t="s">
        <v>4461</v>
      </c>
      <c r="F1203" s="471" t="s">
        <v>3928</v>
      </c>
      <c r="G1203" s="33" t="s">
        <v>4278</v>
      </c>
      <c r="H1203" s="471">
        <v>14.0</v>
      </c>
      <c r="I1203" s="471" t="s">
        <v>2890</v>
      </c>
      <c r="J1203" s="12" t="s">
        <v>2065</v>
      </c>
      <c r="K1203" s="538">
        <v>45941.0</v>
      </c>
      <c r="L1203" s="12" t="s">
        <v>4371</v>
      </c>
      <c r="M1203" s="14"/>
      <c r="N1203" s="14"/>
      <c r="O1203" s="12" t="s">
        <v>4270</v>
      </c>
    </row>
    <row r="1204" hidden="1">
      <c r="A1204" s="471">
        <v>11.0</v>
      </c>
      <c r="B1204" s="470" t="s">
        <v>4462</v>
      </c>
      <c r="C1204" s="471" t="s">
        <v>80</v>
      </c>
      <c r="D1204" s="342" t="s">
        <v>4463</v>
      </c>
      <c r="E1204" s="471" t="s">
        <v>4464</v>
      </c>
      <c r="F1204" s="471" t="s">
        <v>3928</v>
      </c>
      <c r="G1204" s="33" t="s">
        <v>4278</v>
      </c>
      <c r="H1204" s="471">
        <v>14.0</v>
      </c>
      <c r="I1204" s="471" t="s">
        <v>2890</v>
      </c>
      <c r="J1204" s="12" t="s">
        <v>2065</v>
      </c>
      <c r="K1204" s="538">
        <v>45941.0</v>
      </c>
      <c r="L1204" s="12" t="s">
        <v>4371</v>
      </c>
      <c r="M1204" s="14"/>
      <c r="N1204" s="14"/>
      <c r="O1204" s="12" t="s">
        <v>4270</v>
      </c>
    </row>
    <row r="1205" hidden="1">
      <c r="A1205" s="471">
        <v>12.0</v>
      </c>
      <c r="B1205" s="470" t="s">
        <v>4465</v>
      </c>
      <c r="C1205" s="471" t="s">
        <v>80</v>
      </c>
      <c r="D1205" s="342" t="s">
        <v>4466</v>
      </c>
      <c r="E1205" s="471" t="s">
        <v>4467</v>
      </c>
      <c r="F1205" s="471" t="s">
        <v>3928</v>
      </c>
      <c r="G1205" s="33" t="s">
        <v>4278</v>
      </c>
      <c r="H1205" s="471">
        <v>14.0</v>
      </c>
      <c r="I1205" s="471" t="s">
        <v>2890</v>
      </c>
      <c r="J1205" s="12" t="s">
        <v>2065</v>
      </c>
      <c r="K1205" s="538">
        <v>45941.0</v>
      </c>
      <c r="L1205" s="12" t="s">
        <v>4371</v>
      </c>
      <c r="M1205" s="14"/>
      <c r="N1205" s="14"/>
      <c r="O1205" s="12" t="s">
        <v>4270</v>
      </c>
    </row>
    <row r="1206" hidden="1">
      <c r="A1206" s="471">
        <v>13.0</v>
      </c>
      <c r="B1206" s="470" t="s">
        <v>4468</v>
      </c>
      <c r="C1206" s="471" t="s">
        <v>80</v>
      </c>
      <c r="D1206" s="342" t="s">
        <v>4469</v>
      </c>
      <c r="E1206" s="471" t="s">
        <v>4470</v>
      </c>
      <c r="F1206" s="471" t="s">
        <v>3928</v>
      </c>
      <c r="G1206" s="33" t="s">
        <v>4278</v>
      </c>
      <c r="H1206" s="471">
        <v>14.0</v>
      </c>
      <c r="I1206" s="471" t="s">
        <v>2890</v>
      </c>
      <c r="J1206" s="12" t="s">
        <v>2065</v>
      </c>
      <c r="K1206" s="538">
        <v>45941.0</v>
      </c>
      <c r="L1206" s="12" t="s">
        <v>4371</v>
      </c>
      <c r="M1206" s="14"/>
      <c r="N1206" s="14"/>
      <c r="O1206" s="12" t="s">
        <v>4270</v>
      </c>
    </row>
    <row r="1207" hidden="1">
      <c r="A1207" s="471">
        <v>14.0</v>
      </c>
      <c r="B1207" s="470" t="s">
        <v>4471</v>
      </c>
      <c r="C1207" s="471" t="s">
        <v>80</v>
      </c>
      <c r="D1207" s="342" t="s">
        <v>4472</v>
      </c>
      <c r="E1207" s="471" t="s">
        <v>4473</v>
      </c>
      <c r="F1207" s="471" t="s">
        <v>3928</v>
      </c>
      <c r="G1207" s="33" t="s">
        <v>4278</v>
      </c>
      <c r="H1207" s="471">
        <v>14.0</v>
      </c>
      <c r="I1207" s="471" t="s">
        <v>2890</v>
      </c>
      <c r="J1207" s="12" t="s">
        <v>2065</v>
      </c>
      <c r="K1207" s="538">
        <v>45941.0</v>
      </c>
      <c r="L1207" s="12" t="s">
        <v>4371</v>
      </c>
      <c r="M1207" s="14"/>
      <c r="N1207" s="14"/>
      <c r="O1207" s="12" t="s">
        <v>4270</v>
      </c>
    </row>
    <row r="1208" hidden="1">
      <c r="A1208" s="471">
        <v>15.0</v>
      </c>
      <c r="B1208" s="470" t="s">
        <v>4474</v>
      </c>
      <c r="C1208" s="319"/>
      <c r="D1208" s="342" t="s">
        <v>4475</v>
      </c>
      <c r="E1208" s="471" t="s">
        <v>4476</v>
      </c>
      <c r="F1208" s="471" t="s">
        <v>4032</v>
      </c>
      <c r="G1208" s="33" t="s">
        <v>4278</v>
      </c>
      <c r="H1208" s="471">
        <v>14.0</v>
      </c>
      <c r="I1208" s="471" t="s">
        <v>2890</v>
      </c>
      <c r="J1208" s="12" t="s">
        <v>2541</v>
      </c>
      <c r="K1208" s="538">
        <v>46002.0</v>
      </c>
      <c r="L1208" s="12" t="s">
        <v>4371</v>
      </c>
      <c r="M1208" s="14"/>
      <c r="N1208" s="14"/>
      <c r="O1208" s="12" t="s">
        <v>4270</v>
      </c>
    </row>
    <row r="1209" hidden="1">
      <c r="A1209" s="471">
        <v>16.0</v>
      </c>
      <c r="B1209" s="470" t="s">
        <v>4477</v>
      </c>
      <c r="C1209" s="319"/>
      <c r="D1209" s="342" t="s">
        <v>4478</v>
      </c>
      <c r="E1209" s="471" t="s">
        <v>4476</v>
      </c>
      <c r="F1209" s="471" t="s">
        <v>4032</v>
      </c>
      <c r="G1209" s="33" t="s">
        <v>4278</v>
      </c>
      <c r="H1209" s="471">
        <v>14.0</v>
      </c>
      <c r="I1209" s="471" t="s">
        <v>2890</v>
      </c>
      <c r="J1209" s="12" t="s">
        <v>2541</v>
      </c>
      <c r="K1209" s="538">
        <v>46002.0</v>
      </c>
      <c r="L1209" s="12" t="s">
        <v>4371</v>
      </c>
      <c r="M1209" s="14"/>
      <c r="N1209" s="14"/>
      <c r="O1209" s="12" t="s">
        <v>4270</v>
      </c>
    </row>
    <row r="1210" hidden="1">
      <c r="A1210" s="471">
        <v>17.0</v>
      </c>
      <c r="B1210" s="470" t="s">
        <v>4479</v>
      </c>
      <c r="C1210" s="319"/>
      <c r="D1210" s="342" t="s">
        <v>4480</v>
      </c>
      <c r="E1210" s="471" t="s">
        <v>4476</v>
      </c>
      <c r="F1210" s="471" t="s">
        <v>4032</v>
      </c>
      <c r="G1210" s="33" t="s">
        <v>4278</v>
      </c>
      <c r="H1210" s="471">
        <v>14.0</v>
      </c>
      <c r="I1210" s="471" t="s">
        <v>2890</v>
      </c>
      <c r="J1210" s="12" t="s">
        <v>2541</v>
      </c>
      <c r="K1210" s="538">
        <v>45972.0</v>
      </c>
      <c r="L1210" s="12" t="s">
        <v>4371</v>
      </c>
      <c r="M1210" s="14"/>
      <c r="N1210" s="14"/>
      <c r="O1210" s="12" t="s">
        <v>4270</v>
      </c>
    </row>
    <row r="1211" hidden="1">
      <c r="A1211" s="471">
        <v>18.0</v>
      </c>
      <c r="B1211" s="470" t="s">
        <v>4481</v>
      </c>
      <c r="C1211" s="319"/>
      <c r="D1211" s="342" t="s">
        <v>4482</v>
      </c>
      <c r="E1211" s="471" t="s">
        <v>4476</v>
      </c>
      <c r="F1211" s="471" t="s">
        <v>4032</v>
      </c>
      <c r="G1211" s="33" t="s">
        <v>4278</v>
      </c>
      <c r="H1211" s="471">
        <v>14.0</v>
      </c>
      <c r="I1211" s="471" t="s">
        <v>2890</v>
      </c>
      <c r="J1211" s="12" t="s">
        <v>2541</v>
      </c>
      <c r="K1211" s="538">
        <v>45972.0</v>
      </c>
      <c r="L1211" s="12" t="s">
        <v>4371</v>
      </c>
      <c r="M1211" s="14"/>
      <c r="N1211" s="14"/>
      <c r="O1211" s="12" t="s">
        <v>4270</v>
      </c>
    </row>
    <row r="1212" hidden="1">
      <c r="A1212" s="471">
        <v>19.0</v>
      </c>
      <c r="B1212" s="470" t="s">
        <v>4483</v>
      </c>
      <c r="C1212" s="319"/>
      <c r="D1212" s="342" t="s">
        <v>4484</v>
      </c>
      <c r="E1212" s="471" t="s">
        <v>4476</v>
      </c>
      <c r="F1212" s="471" t="s">
        <v>4032</v>
      </c>
      <c r="G1212" s="33" t="s">
        <v>4278</v>
      </c>
      <c r="H1212" s="471">
        <v>14.0</v>
      </c>
      <c r="I1212" s="471" t="s">
        <v>2890</v>
      </c>
      <c r="J1212" s="12" t="s">
        <v>2541</v>
      </c>
      <c r="K1212" s="538">
        <v>45972.0</v>
      </c>
      <c r="L1212" s="12" t="s">
        <v>4371</v>
      </c>
      <c r="M1212" s="14"/>
      <c r="N1212" s="14"/>
      <c r="O1212" s="12" t="s">
        <v>4270</v>
      </c>
    </row>
    <row r="1213" hidden="1">
      <c r="A1213" s="471">
        <v>20.0</v>
      </c>
      <c r="B1213" s="470" t="s">
        <v>4485</v>
      </c>
      <c r="C1213" s="319"/>
      <c r="D1213" s="342" t="s">
        <v>4486</v>
      </c>
      <c r="E1213" s="471" t="s">
        <v>4476</v>
      </c>
      <c r="F1213" s="471" t="s">
        <v>4032</v>
      </c>
      <c r="G1213" s="33" t="s">
        <v>4278</v>
      </c>
      <c r="H1213" s="471">
        <v>14.0</v>
      </c>
      <c r="I1213" s="471" t="s">
        <v>2890</v>
      </c>
      <c r="J1213" s="12" t="s">
        <v>2541</v>
      </c>
      <c r="K1213" s="538">
        <v>45972.0</v>
      </c>
      <c r="L1213" s="12" t="s">
        <v>4371</v>
      </c>
      <c r="M1213" s="14"/>
      <c r="N1213" s="14"/>
      <c r="O1213" s="12" t="s">
        <v>4270</v>
      </c>
    </row>
    <row r="1214" hidden="1">
      <c r="A1214" s="471">
        <v>21.0</v>
      </c>
      <c r="B1214" s="470" t="s">
        <v>4487</v>
      </c>
      <c r="C1214" s="319"/>
      <c r="D1214" s="342" t="s">
        <v>4488</v>
      </c>
      <c r="E1214" s="471" t="s">
        <v>4476</v>
      </c>
      <c r="F1214" s="471" t="s">
        <v>4032</v>
      </c>
      <c r="G1214" s="33" t="s">
        <v>4278</v>
      </c>
      <c r="H1214" s="471">
        <v>14.0</v>
      </c>
      <c r="I1214" s="471" t="s">
        <v>2890</v>
      </c>
      <c r="J1214" s="12" t="s">
        <v>2541</v>
      </c>
      <c r="K1214" s="538">
        <v>45972.0</v>
      </c>
      <c r="L1214" s="12" t="s">
        <v>4371</v>
      </c>
      <c r="M1214" s="14"/>
      <c r="N1214" s="14"/>
      <c r="O1214" s="12" t="s">
        <v>4270</v>
      </c>
    </row>
    <row r="1215" hidden="1">
      <c r="A1215" s="471">
        <v>22.0</v>
      </c>
      <c r="B1215" s="470" t="s">
        <v>4489</v>
      </c>
      <c r="C1215" s="319"/>
      <c r="D1215" s="342" t="s">
        <v>4490</v>
      </c>
      <c r="E1215" s="471" t="s">
        <v>4476</v>
      </c>
      <c r="F1215" s="471" t="s">
        <v>4032</v>
      </c>
      <c r="G1215" s="33" t="s">
        <v>4278</v>
      </c>
      <c r="H1215" s="471">
        <v>14.0</v>
      </c>
      <c r="I1215" s="578" t="s">
        <v>3465</v>
      </c>
      <c r="J1215" s="12" t="s">
        <v>2541</v>
      </c>
      <c r="K1215" s="538">
        <v>45972.0</v>
      </c>
      <c r="L1215" s="12" t="s">
        <v>4371</v>
      </c>
      <c r="M1215" s="14"/>
      <c r="N1215" s="14"/>
      <c r="O1215" s="12" t="s">
        <v>4270</v>
      </c>
    </row>
    <row r="1216" hidden="1">
      <c r="A1216" s="471">
        <v>23.0</v>
      </c>
      <c r="B1216" s="470" t="s">
        <v>4491</v>
      </c>
      <c r="C1216" s="319"/>
      <c r="D1216" s="342" t="s">
        <v>4492</v>
      </c>
      <c r="E1216" s="471" t="s">
        <v>4476</v>
      </c>
      <c r="F1216" s="471" t="s">
        <v>4032</v>
      </c>
      <c r="G1216" s="33" t="s">
        <v>4278</v>
      </c>
      <c r="H1216" s="471">
        <v>14.0</v>
      </c>
      <c r="I1216" s="471" t="s">
        <v>2890</v>
      </c>
      <c r="J1216" s="12" t="s">
        <v>2541</v>
      </c>
      <c r="K1216" s="538">
        <v>45972.0</v>
      </c>
      <c r="L1216" s="12" t="s">
        <v>4371</v>
      </c>
      <c r="M1216" s="14"/>
      <c r="N1216" s="14"/>
      <c r="O1216" s="12" t="s">
        <v>4270</v>
      </c>
    </row>
    <row r="1217" hidden="1">
      <c r="A1217" s="471">
        <v>24.0</v>
      </c>
      <c r="B1217" s="470" t="s">
        <v>4493</v>
      </c>
      <c r="C1217" s="319"/>
      <c r="D1217" s="342" t="s">
        <v>4494</v>
      </c>
      <c r="E1217" s="471" t="s">
        <v>4476</v>
      </c>
      <c r="F1217" s="471" t="s">
        <v>4032</v>
      </c>
      <c r="G1217" s="33" t="s">
        <v>4278</v>
      </c>
      <c r="H1217" s="471">
        <v>14.0</v>
      </c>
      <c r="I1217" s="471" t="s">
        <v>2890</v>
      </c>
      <c r="J1217" s="12" t="s">
        <v>2541</v>
      </c>
      <c r="K1217" s="538">
        <v>45941.0</v>
      </c>
      <c r="L1217" s="12" t="s">
        <v>4371</v>
      </c>
      <c r="M1217" s="14"/>
      <c r="N1217" s="14"/>
      <c r="O1217" s="12" t="s">
        <v>4270</v>
      </c>
    </row>
    <row r="1218" hidden="1">
      <c r="A1218" s="471">
        <v>25.0</v>
      </c>
      <c r="B1218" s="470" t="s">
        <v>4495</v>
      </c>
      <c r="C1218" s="319"/>
      <c r="D1218" s="342" t="s">
        <v>4496</v>
      </c>
      <c r="E1218" s="471" t="s">
        <v>4476</v>
      </c>
      <c r="F1218" s="471" t="s">
        <v>4032</v>
      </c>
      <c r="G1218" s="33" t="s">
        <v>4278</v>
      </c>
      <c r="H1218" s="471">
        <v>14.0</v>
      </c>
      <c r="I1218" s="471" t="s">
        <v>2890</v>
      </c>
      <c r="J1218" s="12" t="s">
        <v>2541</v>
      </c>
      <c r="K1218" s="538">
        <v>45941.0</v>
      </c>
      <c r="L1218" s="12" t="s">
        <v>4371</v>
      </c>
      <c r="M1218" s="14"/>
      <c r="N1218" s="14"/>
      <c r="O1218" s="12" t="s">
        <v>4270</v>
      </c>
    </row>
    <row r="1219" hidden="1">
      <c r="A1219" s="471">
        <v>26.0</v>
      </c>
      <c r="B1219" s="470" t="s">
        <v>4497</v>
      </c>
      <c r="C1219" s="319"/>
      <c r="D1219" s="342" t="s">
        <v>4498</v>
      </c>
      <c r="E1219" s="471" t="s">
        <v>4476</v>
      </c>
      <c r="F1219" s="471" t="s">
        <v>4032</v>
      </c>
      <c r="G1219" s="33" t="s">
        <v>4278</v>
      </c>
      <c r="H1219" s="471">
        <v>14.0</v>
      </c>
      <c r="I1219" s="578" t="s">
        <v>3465</v>
      </c>
      <c r="J1219" s="12" t="s">
        <v>2541</v>
      </c>
      <c r="K1219" s="538">
        <v>45941.0</v>
      </c>
      <c r="L1219" s="12" t="s">
        <v>4371</v>
      </c>
      <c r="M1219" s="14"/>
      <c r="N1219" s="14"/>
      <c r="O1219" s="12" t="s">
        <v>4270</v>
      </c>
    </row>
    <row r="1220" hidden="1">
      <c r="A1220" s="471">
        <v>27.0</v>
      </c>
      <c r="B1220" s="470" t="s">
        <v>4499</v>
      </c>
      <c r="C1220" s="319"/>
      <c r="D1220" s="342" t="s">
        <v>4500</v>
      </c>
      <c r="E1220" s="471" t="s">
        <v>4476</v>
      </c>
      <c r="F1220" s="471" t="s">
        <v>4032</v>
      </c>
      <c r="G1220" s="33" t="s">
        <v>4278</v>
      </c>
      <c r="H1220" s="471">
        <v>14.0</v>
      </c>
      <c r="I1220" s="471" t="s">
        <v>2890</v>
      </c>
      <c r="J1220" s="12" t="s">
        <v>2541</v>
      </c>
      <c r="K1220" s="538">
        <v>46002.0</v>
      </c>
      <c r="L1220" s="12" t="s">
        <v>4371</v>
      </c>
      <c r="M1220" s="14"/>
      <c r="N1220" s="14"/>
      <c r="O1220" s="12" t="s">
        <v>4270</v>
      </c>
    </row>
    <row r="1221" hidden="1">
      <c r="A1221" s="471">
        <v>28.0</v>
      </c>
      <c r="B1221" s="470" t="s">
        <v>4501</v>
      </c>
      <c r="C1221" s="319"/>
      <c r="D1221" s="342" t="s">
        <v>4502</v>
      </c>
      <c r="E1221" s="471" t="s">
        <v>4476</v>
      </c>
      <c r="F1221" s="471" t="s">
        <v>4032</v>
      </c>
      <c r="G1221" s="33" t="s">
        <v>4278</v>
      </c>
      <c r="H1221" s="471">
        <v>14.0</v>
      </c>
      <c r="I1221" s="471" t="s">
        <v>2890</v>
      </c>
      <c r="J1221" s="12" t="s">
        <v>2541</v>
      </c>
      <c r="K1221" s="538">
        <v>46002.0</v>
      </c>
      <c r="L1221" s="12" t="s">
        <v>4371</v>
      </c>
      <c r="M1221" s="14"/>
      <c r="N1221" s="14"/>
      <c r="O1221" s="12" t="s">
        <v>4270</v>
      </c>
    </row>
    <row r="1222" hidden="1">
      <c r="A1222" s="471">
        <v>29.0</v>
      </c>
      <c r="B1222" s="470" t="s">
        <v>4503</v>
      </c>
      <c r="C1222" s="319"/>
      <c r="D1222" s="342" t="s">
        <v>4504</v>
      </c>
      <c r="E1222" s="471" t="s">
        <v>4476</v>
      </c>
      <c r="F1222" s="471" t="s">
        <v>4032</v>
      </c>
      <c r="G1222" s="33" t="s">
        <v>4278</v>
      </c>
      <c r="H1222" s="471">
        <v>14.0</v>
      </c>
      <c r="I1222" s="471" t="s">
        <v>2890</v>
      </c>
      <c r="J1222" s="12" t="s">
        <v>2541</v>
      </c>
      <c r="K1222" s="538">
        <v>46002.0</v>
      </c>
      <c r="L1222" s="12" t="s">
        <v>4371</v>
      </c>
      <c r="M1222" s="14"/>
      <c r="N1222" s="14"/>
      <c r="O1222" s="12" t="s">
        <v>4270</v>
      </c>
    </row>
    <row r="1223" hidden="1">
      <c r="A1223" s="471">
        <v>30.0</v>
      </c>
      <c r="B1223" s="470" t="s">
        <v>4505</v>
      </c>
      <c r="C1223" s="471" t="s">
        <v>80</v>
      </c>
      <c r="D1223" s="342" t="s">
        <v>4506</v>
      </c>
      <c r="E1223" s="471" t="s">
        <v>4476</v>
      </c>
      <c r="F1223" s="471" t="s">
        <v>4032</v>
      </c>
      <c r="G1223" s="33" t="s">
        <v>4239</v>
      </c>
      <c r="H1223" s="471">
        <v>16.0</v>
      </c>
      <c r="I1223" s="471" t="s">
        <v>2890</v>
      </c>
      <c r="J1223" s="12" t="s">
        <v>2541</v>
      </c>
      <c r="K1223" s="538">
        <v>46002.0</v>
      </c>
      <c r="L1223" s="12" t="s">
        <v>4371</v>
      </c>
      <c r="M1223" s="14"/>
      <c r="N1223" s="12" t="s">
        <v>4278</v>
      </c>
      <c r="O1223" s="520">
        <v>45979.0</v>
      </c>
    </row>
    <row r="1224" hidden="1">
      <c r="A1224" s="471">
        <v>31.0</v>
      </c>
      <c r="B1224" s="470" t="s">
        <v>4507</v>
      </c>
      <c r="C1224" s="471" t="s">
        <v>80</v>
      </c>
      <c r="D1224" s="342" t="s">
        <v>4508</v>
      </c>
      <c r="E1224" s="471" t="s">
        <v>4476</v>
      </c>
      <c r="F1224" s="471" t="s">
        <v>4032</v>
      </c>
      <c r="G1224" s="33" t="s">
        <v>4239</v>
      </c>
      <c r="H1224" s="471">
        <v>16.0</v>
      </c>
      <c r="I1224" s="471" t="s">
        <v>2890</v>
      </c>
      <c r="J1224" s="12" t="s">
        <v>2541</v>
      </c>
      <c r="K1224" s="538">
        <v>46002.0</v>
      </c>
      <c r="L1224" s="12" t="s">
        <v>4371</v>
      </c>
      <c r="M1224" s="14"/>
      <c r="N1224" s="12" t="s">
        <v>4278</v>
      </c>
      <c r="O1224" s="520">
        <v>45979.0</v>
      </c>
    </row>
    <row r="1225" hidden="1">
      <c r="A1225" s="339" t="s">
        <v>4509</v>
      </c>
    </row>
    <row r="1226" ht="29.25" hidden="1" customHeight="1">
      <c r="A1226" s="4" t="s">
        <v>47</v>
      </c>
      <c r="B1226" s="534" t="s">
        <v>7</v>
      </c>
      <c r="C1226" s="4" t="s">
        <v>9</v>
      </c>
      <c r="D1226" s="4" t="s">
        <v>10</v>
      </c>
      <c r="E1226" s="4" t="s">
        <v>11</v>
      </c>
      <c r="F1226" s="4" t="s">
        <v>12</v>
      </c>
      <c r="G1226" s="4" t="s">
        <v>2378</v>
      </c>
      <c r="H1226" s="4" t="s">
        <v>2681</v>
      </c>
      <c r="I1226" s="4" t="s">
        <v>2847</v>
      </c>
      <c r="J1226" s="8" t="s">
        <v>14</v>
      </c>
      <c r="K1226" s="9" t="s">
        <v>16</v>
      </c>
      <c r="L1226" s="9" t="s">
        <v>4330</v>
      </c>
      <c r="M1226" s="9" t="s">
        <v>18</v>
      </c>
      <c r="N1226" s="9" t="s">
        <v>19</v>
      </c>
      <c r="O1226" s="9" t="s">
        <v>20</v>
      </c>
      <c r="P1226" s="9" t="s">
        <v>21</v>
      </c>
      <c r="Q1226" s="35"/>
      <c r="R1226" s="35"/>
      <c r="S1226" s="35"/>
      <c r="T1226" s="35"/>
      <c r="U1226" s="35"/>
      <c r="V1226" s="35"/>
      <c r="W1226" s="35"/>
      <c r="X1226" s="35"/>
      <c r="Y1226" s="35"/>
      <c r="Z1226" s="35"/>
      <c r="AA1226" s="35"/>
      <c r="AB1226" s="35"/>
      <c r="AC1226" s="35"/>
      <c r="AD1226" s="35"/>
      <c r="AE1226" s="35"/>
      <c r="AF1226" s="35"/>
    </row>
    <row r="1227" hidden="1">
      <c r="A1227" s="471">
        <v>1.0</v>
      </c>
      <c r="B1227" s="470" t="s">
        <v>4510</v>
      </c>
      <c r="C1227" s="471" t="s">
        <v>80</v>
      </c>
      <c r="D1227" s="342" t="s">
        <v>4511</v>
      </c>
      <c r="E1227" s="471" t="s">
        <v>4512</v>
      </c>
      <c r="F1227" s="471" t="s">
        <v>1674</v>
      </c>
      <c r="G1227" s="12" t="s">
        <v>4513</v>
      </c>
      <c r="H1227" s="12">
        <v>23.0</v>
      </c>
      <c r="I1227" s="486" t="s">
        <v>3465</v>
      </c>
      <c r="J1227" s="12" t="s">
        <v>4514</v>
      </c>
      <c r="K1227" s="12" t="s">
        <v>4136</v>
      </c>
      <c r="L1227" s="12" t="s">
        <v>374</v>
      </c>
      <c r="M1227" s="14"/>
      <c r="N1227" s="14"/>
      <c r="O1227" s="12" t="s">
        <v>4455</v>
      </c>
      <c r="P1227" s="564" t="s">
        <v>4515</v>
      </c>
    </row>
    <row r="1228" hidden="1">
      <c r="A1228" s="471">
        <v>2.0</v>
      </c>
      <c r="B1228" s="470" t="s">
        <v>4516</v>
      </c>
      <c r="C1228" s="471" t="s">
        <v>80</v>
      </c>
      <c r="D1228" s="342" t="s">
        <v>4517</v>
      </c>
      <c r="E1228" s="471" t="s">
        <v>4518</v>
      </c>
      <c r="F1228" s="471" t="s">
        <v>1674</v>
      </c>
      <c r="G1228" s="12" t="s">
        <v>4513</v>
      </c>
      <c r="H1228" s="12">
        <v>23.0</v>
      </c>
      <c r="I1228" s="471" t="s">
        <v>2890</v>
      </c>
      <c r="J1228" s="12" t="s">
        <v>4514</v>
      </c>
      <c r="K1228" s="12" t="s">
        <v>4136</v>
      </c>
      <c r="L1228" s="12" t="s">
        <v>374</v>
      </c>
      <c r="M1228" s="14"/>
      <c r="N1228" s="14"/>
      <c r="O1228" s="12" t="s">
        <v>4455</v>
      </c>
      <c r="P1228" s="564" t="s">
        <v>4519</v>
      </c>
    </row>
    <row r="1229" hidden="1">
      <c r="A1229" s="471">
        <v>3.0</v>
      </c>
      <c r="B1229" s="470" t="s">
        <v>4520</v>
      </c>
      <c r="C1229" s="471" t="s">
        <v>651</v>
      </c>
      <c r="D1229" s="342" t="s">
        <v>4521</v>
      </c>
      <c r="E1229" s="471" t="s">
        <v>4522</v>
      </c>
      <c r="F1229" s="471" t="s">
        <v>3359</v>
      </c>
      <c r="G1229" s="12" t="s">
        <v>4523</v>
      </c>
      <c r="H1229" s="12">
        <v>21.0</v>
      </c>
      <c r="I1229" s="471" t="s">
        <v>2890</v>
      </c>
      <c r="J1229" s="12" t="s">
        <v>2065</v>
      </c>
      <c r="K1229" s="538">
        <v>45972.0</v>
      </c>
      <c r="L1229" s="12" t="s">
        <v>51</v>
      </c>
      <c r="M1229" s="14"/>
      <c r="N1229" s="14"/>
      <c r="O1229" s="34" t="s">
        <v>3964</v>
      </c>
      <c r="P1229" s="407" t="s">
        <v>2560</v>
      </c>
    </row>
    <row r="1230" hidden="1">
      <c r="A1230" s="471">
        <v>4.0</v>
      </c>
      <c r="B1230" s="470" t="s">
        <v>4524</v>
      </c>
      <c r="C1230" s="471" t="s">
        <v>80</v>
      </c>
      <c r="D1230" s="342" t="s">
        <v>4525</v>
      </c>
      <c r="E1230" s="579" t="s">
        <v>4526</v>
      </c>
      <c r="F1230" s="471" t="s">
        <v>4527</v>
      </c>
      <c r="G1230" s="12" t="s">
        <v>4528</v>
      </c>
      <c r="H1230" s="12">
        <v>22.0</v>
      </c>
      <c r="I1230" s="471" t="s">
        <v>2890</v>
      </c>
      <c r="J1230" s="12" t="s">
        <v>4454</v>
      </c>
      <c r="K1230" s="12" t="s">
        <v>4529</v>
      </c>
      <c r="L1230" s="12" t="s">
        <v>374</v>
      </c>
      <c r="M1230" s="14"/>
      <c r="N1230" s="14"/>
      <c r="O1230" s="34" t="s">
        <v>3964</v>
      </c>
      <c r="P1230" s="385" t="s">
        <v>1432</v>
      </c>
    </row>
    <row r="1231" hidden="1">
      <c r="A1231" s="471">
        <v>5.0</v>
      </c>
      <c r="B1231" s="470" t="s">
        <v>4530</v>
      </c>
      <c r="C1231" s="471" t="s">
        <v>80</v>
      </c>
      <c r="D1231" s="342" t="s">
        <v>4531</v>
      </c>
      <c r="E1231" s="579" t="s">
        <v>4532</v>
      </c>
      <c r="F1231" s="471" t="s">
        <v>718</v>
      </c>
      <c r="G1231" s="12" t="s">
        <v>4528</v>
      </c>
      <c r="H1231" s="12">
        <v>22.0</v>
      </c>
      <c r="I1231" s="471" t="s">
        <v>2890</v>
      </c>
      <c r="J1231" s="12" t="s">
        <v>4454</v>
      </c>
      <c r="K1231" s="12" t="s">
        <v>4529</v>
      </c>
      <c r="L1231" s="12" t="s">
        <v>374</v>
      </c>
      <c r="M1231" s="14"/>
      <c r="N1231" s="14"/>
      <c r="O1231" s="34" t="s">
        <v>3964</v>
      </c>
      <c r="P1231" s="385" t="s">
        <v>1432</v>
      </c>
    </row>
    <row r="1232" hidden="1">
      <c r="A1232" s="342">
        <v>6.0</v>
      </c>
      <c r="B1232" s="512" t="s">
        <v>4533</v>
      </c>
      <c r="C1232" s="342" t="s">
        <v>80</v>
      </c>
      <c r="D1232" s="342" t="s">
        <v>4534</v>
      </c>
      <c r="E1232" s="580" t="s">
        <v>4535</v>
      </c>
      <c r="F1232" s="342" t="s">
        <v>3583</v>
      </c>
      <c r="G1232" s="12" t="s">
        <v>4536</v>
      </c>
      <c r="H1232" s="12">
        <v>13.0</v>
      </c>
      <c r="I1232" s="486" t="s">
        <v>3465</v>
      </c>
      <c r="J1232" s="14"/>
      <c r="K1232" s="14"/>
      <c r="L1232" s="12" t="s">
        <v>4537</v>
      </c>
      <c r="M1232" s="14"/>
      <c r="N1232" s="14"/>
      <c r="O1232" s="12" t="s">
        <v>4240</v>
      </c>
      <c r="P1232" s="407"/>
      <c r="Q1232" s="581"/>
      <c r="R1232" s="581"/>
      <c r="S1232" s="581"/>
      <c r="T1232" s="581"/>
      <c r="U1232" s="581"/>
      <c r="V1232" s="581"/>
      <c r="W1232" s="581"/>
      <c r="X1232" s="581"/>
      <c r="Y1232" s="581"/>
      <c r="Z1232" s="581"/>
      <c r="AA1232" s="581"/>
      <c r="AB1232" s="581"/>
      <c r="AC1232" s="581"/>
      <c r="AD1232" s="581"/>
      <c r="AE1232" s="581"/>
      <c r="AF1232" s="581"/>
    </row>
    <row r="1233" hidden="1">
      <c r="A1233" s="471">
        <v>7.0</v>
      </c>
      <c r="B1233" s="470" t="s">
        <v>4538</v>
      </c>
      <c r="C1233" s="471" t="s">
        <v>80</v>
      </c>
      <c r="D1233" s="342" t="s">
        <v>4539</v>
      </c>
      <c r="E1233" s="550" t="s">
        <v>4540</v>
      </c>
      <c r="F1233" s="471" t="s">
        <v>436</v>
      </c>
      <c r="G1233" s="12" t="s">
        <v>4528</v>
      </c>
      <c r="H1233" s="12">
        <v>22.0</v>
      </c>
      <c r="I1233" s="471" t="s">
        <v>2890</v>
      </c>
      <c r="J1233" s="12" t="s">
        <v>4454</v>
      </c>
      <c r="K1233" s="12" t="s">
        <v>4529</v>
      </c>
      <c r="L1233" s="12" t="s">
        <v>374</v>
      </c>
      <c r="M1233" s="14"/>
      <c r="N1233" s="14"/>
      <c r="O1233" s="12" t="s">
        <v>4541</v>
      </c>
      <c r="P1233" s="385" t="s">
        <v>1432</v>
      </c>
    </row>
    <row r="1234" hidden="1">
      <c r="A1234" s="471">
        <v>8.0</v>
      </c>
      <c r="B1234" s="470" t="s">
        <v>4542</v>
      </c>
      <c r="C1234" s="471" t="s">
        <v>80</v>
      </c>
      <c r="D1234" s="342" t="s">
        <v>4543</v>
      </c>
      <c r="E1234" s="550" t="s">
        <v>4544</v>
      </c>
      <c r="F1234" s="471" t="s">
        <v>436</v>
      </c>
      <c r="G1234" s="12" t="s">
        <v>4528</v>
      </c>
      <c r="H1234" s="12">
        <v>22.0</v>
      </c>
      <c r="I1234" s="471" t="s">
        <v>2890</v>
      </c>
      <c r="J1234" s="12" t="s">
        <v>4454</v>
      </c>
      <c r="K1234" s="12" t="s">
        <v>4529</v>
      </c>
      <c r="L1234" s="12" t="s">
        <v>374</v>
      </c>
      <c r="M1234" s="14"/>
      <c r="N1234" s="14"/>
      <c r="O1234" s="12" t="s">
        <v>4541</v>
      </c>
      <c r="P1234" s="385" t="s">
        <v>1432</v>
      </c>
    </row>
    <row r="1235" hidden="1">
      <c r="A1235" s="471">
        <v>9.0</v>
      </c>
      <c r="B1235" s="470" t="s">
        <v>4545</v>
      </c>
      <c r="C1235" s="471" t="s">
        <v>80</v>
      </c>
      <c r="D1235" s="342" t="s">
        <v>4546</v>
      </c>
      <c r="E1235" s="471" t="s">
        <v>4547</v>
      </c>
      <c r="F1235" s="471" t="s">
        <v>4548</v>
      </c>
      <c r="G1235" s="12" t="s">
        <v>4513</v>
      </c>
      <c r="H1235" s="12">
        <v>23.0</v>
      </c>
      <c r="I1235" s="471" t="s">
        <v>2890</v>
      </c>
      <c r="J1235" s="12" t="s">
        <v>51</v>
      </c>
      <c r="K1235" s="12" t="s">
        <v>3964</v>
      </c>
      <c r="L1235" s="12" t="s">
        <v>51</v>
      </c>
      <c r="M1235" s="14"/>
      <c r="N1235" s="14"/>
      <c r="O1235" s="12" t="s">
        <v>4455</v>
      </c>
      <c r="P1235" s="385" t="s">
        <v>1432</v>
      </c>
    </row>
    <row r="1236" hidden="1">
      <c r="A1236" s="471">
        <v>10.0</v>
      </c>
      <c r="B1236" s="470" t="s">
        <v>4549</v>
      </c>
      <c r="C1236" s="471" t="s">
        <v>80</v>
      </c>
      <c r="D1236" s="342" t="s">
        <v>4550</v>
      </c>
      <c r="E1236" s="471" t="s">
        <v>4551</v>
      </c>
      <c r="F1236" s="471" t="s">
        <v>4552</v>
      </c>
      <c r="G1236" s="12" t="s">
        <v>4513</v>
      </c>
      <c r="H1236" s="12">
        <v>23.0</v>
      </c>
      <c r="I1236" s="471" t="s">
        <v>2890</v>
      </c>
      <c r="J1236" s="12" t="s">
        <v>4553</v>
      </c>
      <c r="K1236" s="12" t="s">
        <v>4554</v>
      </c>
      <c r="L1236" s="12" t="s">
        <v>51</v>
      </c>
      <c r="M1236" s="14"/>
      <c r="N1236" s="14"/>
      <c r="O1236" s="12" t="s">
        <v>4455</v>
      </c>
      <c r="P1236" s="564" t="s">
        <v>4555</v>
      </c>
    </row>
    <row r="1237" hidden="1">
      <c r="A1237" s="471">
        <v>11.0</v>
      </c>
      <c r="B1237" s="470" t="s">
        <v>4556</v>
      </c>
      <c r="C1237" s="471" t="s">
        <v>80</v>
      </c>
      <c r="D1237" s="342" t="s">
        <v>4557</v>
      </c>
      <c r="E1237" s="471" t="s">
        <v>4558</v>
      </c>
      <c r="F1237" s="471" t="s">
        <v>4559</v>
      </c>
      <c r="G1237" s="582">
        <v>45669.0</v>
      </c>
      <c r="H1237" s="12">
        <v>24.0</v>
      </c>
      <c r="I1237" s="471" t="s">
        <v>2890</v>
      </c>
      <c r="J1237" s="12" t="s">
        <v>2065</v>
      </c>
      <c r="K1237" s="538">
        <v>45941.0</v>
      </c>
      <c r="L1237" s="12" t="s">
        <v>51</v>
      </c>
      <c r="M1237" s="14"/>
      <c r="N1237" s="14"/>
      <c r="O1237" s="12" t="s">
        <v>4560</v>
      </c>
      <c r="P1237" s="385" t="s">
        <v>1432</v>
      </c>
    </row>
    <row r="1238" hidden="1">
      <c r="A1238" s="471">
        <v>12.0</v>
      </c>
      <c r="B1238" s="470" t="s">
        <v>4561</v>
      </c>
      <c r="C1238" s="471" t="s">
        <v>1058</v>
      </c>
      <c r="D1238" s="342" t="s">
        <v>4562</v>
      </c>
      <c r="E1238" s="471" t="s">
        <v>4563</v>
      </c>
      <c r="F1238" s="471" t="s">
        <v>4564</v>
      </c>
      <c r="G1238" s="12" t="s">
        <v>4528</v>
      </c>
      <c r="H1238" s="12">
        <v>22.0</v>
      </c>
      <c r="I1238" s="471" t="s">
        <v>2890</v>
      </c>
      <c r="J1238" s="12" t="s">
        <v>51</v>
      </c>
      <c r="K1238" s="12" t="s">
        <v>4554</v>
      </c>
      <c r="L1238" s="12" t="s">
        <v>374</v>
      </c>
      <c r="M1238" s="14"/>
      <c r="N1238" s="14"/>
      <c r="O1238" s="12" t="s">
        <v>4565</v>
      </c>
      <c r="P1238" s="385" t="s">
        <v>1432</v>
      </c>
    </row>
    <row r="1239" hidden="1">
      <c r="A1239" s="342">
        <v>13.0</v>
      </c>
      <c r="B1239" s="512" t="s">
        <v>4566</v>
      </c>
      <c r="C1239" s="342" t="s">
        <v>80</v>
      </c>
      <c r="D1239" s="342" t="s">
        <v>4567</v>
      </c>
      <c r="E1239" s="583" t="s">
        <v>4568</v>
      </c>
      <c r="F1239" s="342" t="s">
        <v>207</v>
      </c>
      <c r="G1239" s="582">
        <v>45669.0</v>
      </c>
      <c r="H1239" s="12">
        <v>24.0</v>
      </c>
      <c r="I1239" s="342" t="s">
        <v>2890</v>
      </c>
      <c r="J1239" s="12" t="s">
        <v>4569</v>
      </c>
      <c r="K1239" s="12" t="s">
        <v>4136</v>
      </c>
      <c r="L1239" s="12" t="s">
        <v>374</v>
      </c>
      <c r="M1239" s="14"/>
      <c r="N1239" s="14"/>
      <c r="O1239" s="12" t="s">
        <v>4455</v>
      </c>
      <c r="P1239" s="385" t="s">
        <v>1432</v>
      </c>
      <c r="Q1239" s="581"/>
      <c r="R1239" s="581"/>
      <c r="S1239" s="581"/>
      <c r="T1239" s="581"/>
      <c r="U1239" s="581"/>
      <c r="V1239" s="581"/>
      <c r="W1239" s="581"/>
      <c r="X1239" s="581"/>
      <c r="Y1239" s="581"/>
      <c r="Z1239" s="581"/>
      <c r="AA1239" s="581"/>
      <c r="AB1239" s="581"/>
      <c r="AC1239" s="581"/>
      <c r="AD1239" s="581"/>
      <c r="AE1239" s="581"/>
      <c r="AF1239" s="581"/>
    </row>
    <row r="1240" hidden="1">
      <c r="A1240" s="471">
        <v>14.0</v>
      </c>
      <c r="B1240" s="470" t="s">
        <v>4570</v>
      </c>
      <c r="C1240" s="471" t="s">
        <v>80</v>
      </c>
      <c r="D1240" s="342" t="s">
        <v>4571</v>
      </c>
      <c r="E1240" s="579" t="s">
        <v>4572</v>
      </c>
      <c r="F1240" s="471" t="s">
        <v>207</v>
      </c>
      <c r="G1240" s="582">
        <v>45669.0</v>
      </c>
      <c r="H1240" s="12">
        <v>24.0</v>
      </c>
      <c r="I1240" s="471" t="s">
        <v>2890</v>
      </c>
      <c r="J1240" s="12" t="s">
        <v>4569</v>
      </c>
      <c r="K1240" s="12" t="s">
        <v>4136</v>
      </c>
      <c r="L1240" s="12" t="s">
        <v>374</v>
      </c>
      <c r="M1240" s="14"/>
      <c r="N1240" s="14"/>
      <c r="O1240" s="12" t="s">
        <v>4455</v>
      </c>
      <c r="P1240" s="385" t="s">
        <v>1432</v>
      </c>
    </row>
    <row r="1241" hidden="1">
      <c r="A1241" s="471">
        <v>15.0</v>
      </c>
      <c r="B1241" s="470" t="s">
        <v>4573</v>
      </c>
      <c r="C1241" s="471" t="s">
        <v>1185</v>
      </c>
      <c r="D1241" s="342" t="s">
        <v>4574</v>
      </c>
      <c r="E1241" s="471" t="s">
        <v>4575</v>
      </c>
      <c r="F1241" s="471" t="s">
        <v>2486</v>
      </c>
      <c r="G1241" s="582">
        <v>45669.0</v>
      </c>
      <c r="H1241" s="12">
        <v>24.0</v>
      </c>
      <c r="I1241" s="486" t="s">
        <v>3465</v>
      </c>
      <c r="J1241" s="12" t="s">
        <v>2065</v>
      </c>
      <c r="K1241" s="538">
        <v>45941.0</v>
      </c>
      <c r="L1241" s="12" t="s">
        <v>51</v>
      </c>
      <c r="M1241" s="14"/>
      <c r="N1241" s="14"/>
      <c r="O1241" s="12" t="s">
        <v>4576</v>
      </c>
      <c r="P1241" s="385" t="s">
        <v>1432</v>
      </c>
    </row>
    <row r="1242" hidden="1">
      <c r="A1242" s="471">
        <v>16.0</v>
      </c>
      <c r="B1242" s="470" t="s">
        <v>4577</v>
      </c>
      <c r="C1242" s="471" t="s">
        <v>80</v>
      </c>
      <c r="D1242" s="342" t="s">
        <v>4578</v>
      </c>
      <c r="E1242" s="471" t="s">
        <v>4579</v>
      </c>
      <c r="F1242" s="471" t="s">
        <v>4580</v>
      </c>
      <c r="G1242" s="582">
        <v>45669.0</v>
      </c>
      <c r="H1242" s="12">
        <v>24.0</v>
      </c>
      <c r="I1242" s="471" t="s">
        <v>2890</v>
      </c>
      <c r="J1242" s="12" t="s">
        <v>2065</v>
      </c>
      <c r="K1242" s="538">
        <v>45972.0</v>
      </c>
      <c r="L1242" s="12" t="s">
        <v>51</v>
      </c>
      <c r="M1242" s="14"/>
      <c r="N1242" s="14"/>
      <c r="O1242" s="12" t="s">
        <v>4565</v>
      </c>
      <c r="P1242" s="385" t="s">
        <v>1432</v>
      </c>
    </row>
    <row r="1243" hidden="1">
      <c r="A1243" s="339" t="s">
        <v>4581</v>
      </c>
    </row>
    <row r="1244" hidden="1">
      <c r="A1244" s="4" t="s">
        <v>47</v>
      </c>
      <c r="B1244" s="534" t="s">
        <v>7</v>
      </c>
      <c r="C1244" s="4" t="s">
        <v>9</v>
      </c>
      <c r="D1244" s="4" t="s">
        <v>10</v>
      </c>
      <c r="E1244" s="4" t="s">
        <v>11</v>
      </c>
      <c r="F1244" s="4" t="s">
        <v>12</v>
      </c>
      <c r="G1244" s="4" t="s">
        <v>2378</v>
      </c>
      <c r="H1244" s="4" t="s">
        <v>2681</v>
      </c>
      <c r="I1244" s="4" t="s">
        <v>2847</v>
      </c>
      <c r="J1244" s="8" t="s">
        <v>14</v>
      </c>
      <c r="K1244" s="9" t="s">
        <v>16</v>
      </c>
      <c r="L1244" s="9" t="s">
        <v>4330</v>
      </c>
      <c r="M1244" s="9" t="s">
        <v>18</v>
      </c>
      <c r="N1244" s="9" t="s">
        <v>19</v>
      </c>
      <c r="O1244" s="9" t="s">
        <v>20</v>
      </c>
      <c r="P1244" s="9" t="s">
        <v>21</v>
      </c>
      <c r="Q1244" s="35"/>
      <c r="R1244" s="35"/>
      <c r="S1244" s="35"/>
      <c r="T1244" s="35"/>
      <c r="U1244" s="35"/>
      <c r="V1244" s="35"/>
      <c r="W1244" s="35"/>
      <c r="X1244" s="35"/>
      <c r="Y1244" s="35"/>
      <c r="Z1244" s="35"/>
      <c r="AA1244" s="35"/>
      <c r="AB1244" s="35"/>
      <c r="AC1244" s="35"/>
      <c r="AD1244" s="35"/>
      <c r="AE1244" s="35"/>
      <c r="AF1244" s="35"/>
    </row>
    <row r="1245" hidden="1">
      <c r="A1245" s="471">
        <v>1.0</v>
      </c>
      <c r="B1245" s="470" t="s">
        <v>4582</v>
      </c>
      <c r="C1245" s="471" t="s">
        <v>80</v>
      </c>
      <c r="D1245" s="342" t="s">
        <v>4583</v>
      </c>
      <c r="E1245" s="471" t="s">
        <v>4584</v>
      </c>
      <c r="F1245" s="471" t="s">
        <v>955</v>
      </c>
      <c r="G1245" s="584">
        <v>45700.0</v>
      </c>
      <c r="H1245" s="585">
        <v>22.0</v>
      </c>
      <c r="I1245" s="471" t="s">
        <v>2890</v>
      </c>
      <c r="J1245" s="33" t="s">
        <v>51</v>
      </c>
      <c r="K1245" s="33" t="s">
        <v>4274</v>
      </c>
      <c r="L1245" s="33" t="s">
        <v>51</v>
      </c>
      <c r="M1245" s="26"/>
      <c r="N1245" s="26"/>
      <c r="O1245" s="586">
        <v>45728.0</v>
      </c>
      <c r="P1245" s="587" t="s">
        <v>1432</v>
      </c>
    </row>
    <row r="1246" hidden="1">
      <c r="A1246" s="471">
        <v>2.0</v>
      </c>
      <c r="B1246" s="470" t="s">
        <v>4585</v>
      </c>
      <c r="C1246" s="471" t="s">
        <v>80</v>
      </c>
      <c r="D1246" s="342" t="s">
        <v>4586</v>
      </c>
      <c r="E1246" s="471" t="s">
        <v>4587</v>
      </c>
      <c r="F1246" s="471" t="s">
        <v>4588</v>
      </c>
      <c r="G1246" s="584">
        <v>45700.0</v>
      </c>
      <c r="H1246" s="585">
        <v>22.0</v>
      </c>
      <c r="I1246" s="471" t="s">
        <v>2890</v>
      </c>
      <c r="J1246" s="33" t="s">
        <v>4589</v>
      </c>
      <c r="K1246" s="33" t="s">
        <v>4554</v>
      </c>
      <c r="L1246" s="33" t="s">
        <v>51</v>
      </c>
      <c r="M1246" s="26"/>
      <c r="N1246" s="26"/>
      <c r="O1246" s="32" t="s">
        <v>4565</v>
      </c>
      <c r="P1246" s="385" t="s">
        <v>1432</v>
      </c>
    </row>
    <row r="1247" hidden="1">
      <c r="A1247" s="471">
        <v>3.0</v>
      </c>
      <c r="B1247" s="470" t="s">
        <v>4590</v>
      </c>
      <c r="C1247" s="471" t="s">
        <v>2307</v>
      </c>
      <c r="D1247" s="342" t="s">
        <v>4591</v>
      </c>
      <c r="E1247" s="471" t="s">
        <v>4592</v>
      </c>
      <c r="F1247" s="471" t="s">
        <v>4358</v>
      </c>
      <c r="G1247" s="584">
        <v>45700.0</v>
      </c>
      <c r="H1247" s="585">
        <v>22.0</v>
      </c>
      <c r="I1247" s="471" t="s">
        <v>2890</v>
      </c>
      <c r="J1247" s="33" t="s">
        <v>699</v>
      </c>
      <c r="K1247" s="33" t="s">
        <v>4593</v>
      </c>
      <c r="L1247" s="33" t="s">
        <v>4158</v>
      </c>
      <c r="M1247" s="26"/>
      <c r="N1247" s="26"/>
      <c r="O1247" s="26"/>
      <c r="P1247" s="385" t="s">
        <v>1432</v>
      </c>
    </row>
    <row r="1248" hidden="1">
      <c r="A1248" s="471">
        <v>4.0</v>
      </c>
      <c r="B1248" s="476" t="s">
        <v>4594</v>
      </c>
      <c r="C1248" s="471" t="s">
        <v>80</v>
      </c>
      <c r="D1248" s="342" t="s">
        <v>4595</v>
      </c>
      <c r="E1248" s="471" t="s">
        <v>4596</v>
      </c>
      <c r="F1248" s="471" t="s">
        <v>4358</v>
      </c>
      <c r="G1248" s="584">
        <v>45669.0</v>
      </c>
      <c r="H1248" s="585">
        <v>21.0</v>
      </c>
      <c r="I1248" s="471" t="s">
        <v>2890</v>
      </c>
      <c r="J1248" s="33" t="s">
        <v>51</v>
      </c>
      <c r="K1248" s="33" t="s">
        <v>3964</v>
      </c>
      <c r="L1248" s="33" t="s">
        <v>51</v>
      </c>
      <c r="M1248" s="26"/>
      <c r="N1248" s="26"/>
      <c r="O1248" s="586">
        <v>45881.0</v>
      </c>
      <c r="P1248" s="385" t="s">
        <v>1432</v>
      </c>
    </row>
    <row r="1249" hidden="1">
      <c r="A1249" s="526">
        <v>5.0</v>
      </c>
      <c r="B1249" s="527" t="s">
        <v>4597</v>
      </c>
      <c r="C1249" s="526" t="s">
        <v>80</v>
      </c>
      <c r="D1249" s="504" t="s">
        <v>4598</v>
      </c>
      <c r="E1249" s="526" t="s">
        <v>4599</v>
      </c>
      <c r="F1249" s="526" t="s">
        <v>4405</v>
      </c>
      <c r="G1249" s="588" t="s">
        <v>4576</v>
      </c>
      <c r="H1249" s="589">
        <v>18.0</v>
      </c>
      <c r="I1249" s="590" t="s">
        <v>4253</v>
      </c>
      <c r="J1249" s="29"/>
      <c r="K1249" s="29"/>
      <c r="L1249" s="29"/>
      <c r="M1249" s="26"/>
      <c r="N1249" s="26"/>
      <c r="O1249" s="12" t="s">
        <v>4104</v>
      </c>
      <c r="P1249" s="385" t="s">
        <v>1432</v>
      </c>
    </row>
    <row r="1250" hidden="1">
      <c r="A1250" s="471">
        <v>6.0</v>
      </c>
      <c r="B1250" s="470" t="s">
        <v>4600</v>
      </c>
      <c r="C1250" s="471" t="s">
        <v>1058</v>
      </c>
      <c r="D1250" s="342" t="s">
        <v>4601</v>
      </c>
      <c r="E1250" s="550" t="s">
        <v>4602</v>
      </c>
      <c r="F1250" s="471" t="s">
        <v>4603</v>
      </c>
      <c r="G1250" s="584">
        <v>45728.0</v>
      </c>
      <c r="H1250" s="585">
        <v>23.0</v>
      </c>
      <c r="I1250" s="471" t="s">
        <v>2890</v>
      </c>
      <c r="J1250" s="33" t="s">
        <v>2065</v>
      </c>
      <c r="K1250" s="33" t="s">
        <v>4554</v>
      </c>
      <c r="L1250" s="33" t="s">
        <v>374</v>
      </c>
      <c r="M1250" s="26"/>
      <c r="N1250" s="26"/>
      <c r="O1250" s="32" t="s">
        <v>4565</v>
      </c>
      <c r="P1250" s="385" t="s">
        <v>1432</v>
      </c>
    </row>
    <row r="1251" hidden="1">
      <c r="A1251" s="471">
        <v>7.0</v>
      </c>
      <c r="B1251" s="470" t="s">
        <v>4604</v>
      </c>
      <c r="C1251" s="471" t="s">
        <v>1058</v>
      </c>
      <c r="D1251" s="342" t="s">
        <v>4605</v>
      </c>
      <c r="E1251" s="550" t="s">
        <v>4606</v>
      </c>
      <c r="F1251" s="471" t="s">
        <v>4603</v>
      </c>
      <c r="G1251" s="584">
        <v>45728.0</v>
      </c>
      <c r="H1251" s="585">
        <v>23.0</v>
      </c>
      <c r="I1251" s="471" t="s">
        <v>2890</v>
      </c>
      <c r="J1251" s="33" t="s">
        <v>2065</v>
      </c>
      <c r="K1251" s="33" t="s">
        <v>4554</v>
      </c>
      <c r="L1251" s="33" t="s">
        <v>374</v>
      </c>
      <c r="M1251" s="26"/>
      <c r="N1251" s="26"/>
      <c r="O1251" s="32" t="s">
        <v>4565</v>
      </c>
      <c r="P1251" s="385" t="s">
        <v>1432</v>
      </c>
    </row>
    <row r="1252" hidden="1">
      <c r="A1252" s="471">
        <v>8.0</v>
      </c>
      <c r="B1252" s="470" t="s">
        <v>4607</v>
      </c>
      <c r="C1252" s="471" t="s">
        <v>80</v>
      </c>
      <c r="D1252" s="342" t="s">
        <v>4608</v>
      </c>
      <c r="E1252" s="471" t="s">
        <v>4609</v>
      </c>
      <c r="F1252" s="471" t="s">
        <v>4610</v>
      </c>
      <c r="G1252" s="584">
        <v>45728.0</v>
      </c>
      <c r="H1252" s="585">
        <v>23.0</v>
      </c>
      <c r="I1252" s="471" t="s">
        <v>2890</v>
      </c>
      <c r="J1252" s="29"/>
      <c r="K1252" s="29"/>
      <c r="L1252" s="33" t="s">
        <v>51</v>
      </c>
      <c r="M1252" s="26"/>
      <c r="N1252" s="26"/>
      <c r="O1252" s="586">
        <v>45789.0</v>
      </c>
      <c r="P1252" s="385" t="s">
        <v>1432</v>
      </c>
    </row>
    <row r="1253" hidden="1">
      <c r="A1253" s="471">
        <v>9.0</v>
      </c>
      <c r="B1253" s="476" t="s">
        <v>4611</v>
      </c>
      <c r="C1253" s="471" t="s">
        <v>80</v>
      </c>
      <c r="D1253" s="342" t="s">
        <v>4612</v>
      </c>
      <c r="E1253" s="471" t="s">
        <v>4613</v>
      </c>
      <c r="F1253" s="471" t="s">
        <v>4614</v>
      </c>
      <c r="G1253" s="584">
        <v>45728.0</v>
      </c>
      <c r="H1253" s="585">
        <v>23.0</v>
      </c>
      <c r="I1253" s="471" t="s">
        <v>2890</v>
      </c>
      <c r="J1253" s="33" t="s">
        <v>2065</v>
      </c>
      <c r="K1253" s="33" t="s">
        <v>4576</v>
      </c>
      <c r="L1253" s="33" t="s">
        <v>51</v>
      </c>
      <c r="M1253" s="26"/>
      <c r="N1253" s="26"/>
      <c r="O1253" s="586">
        <v>45789.0</v>
      </c>
      <c r="P1253" s="385" t="s">
        <v>1432</v>
      </c>
    </row>
    <row r="1254" hidden="1">
      <c r="A1254" s="471">
        <v>10.0</v>
      </c>
      <c r="B1254" s="470" t="s">
        <v>4615</v>
      </c>
      <c r="C1254" s="471" t="s">
        <v>80</v>
      </c>
      <c r="D1254" s="342" t="s">
        <v>4616</v>
      </c>
      <c r="E1254" s="550" t="s">
        <v>4617</v>
      </c>
      <c r="F1254" s="471" t="s">
        <v>4358</v>
      </c>
      <c r="G1254" s="584">
        <v>45728.0</v>
      </c>
      <c r="H1254" s="585">
        <v>23.0</v>
      </c>
      <c r="I1254" s="471" t="s">
        <v>2890</v>
      </c>
      <c r="J1254" s="33" t="s">
        <v>2065</v>
      </c>
      <c r="K1254" s="33" t="s">
        <v>4360</v>
      </c>
      <c r="L1254" s="33" t="s">
        <v>374</v>
      </c>
      <c r="M1254" s="26"/>
      <c r="N1254" s="26"/>
      <c r="O1254" s="586">
        <v>45728.0</v>
      </c>
      <c r="P1254" s="385" t="s">
        <v>1432</v>
      </c>
    </row>
    <row r="1255" hidden="1">
      <c r="A1255" s="471">
        <v>11.0</v>
      </c>
      <c r="B1255" s="470" t="s">
        <v>4618</v>
      </c>
      <c r="C1255" s="471" t="s">
        <v>80</v>
      </c>
      <c r="D1255" s="342" t="s">
        <v>4619</v>
      </c>
      <c r="E1255" s="550" t="s">
        <v>4620</v>
      </c>
      <c r="F1255" s="471" t="s">
        <v>4358</v>
      </c>
      <c r="G1255" s="584">
        <v>45728.0</v>
      </c>
      <c r="H1255" s="585">
        <v>23.0</v>
      </c>
      <c r="I1255" s="471" t="s">
        <v>2890</v>
      </c>
      <c r="J1255" s="33" t="s">
        <v>2065</v>
      </c>
      <c r="K1255" s="33" t="s">
        <v>4360</v>
      </c>
      <c r="L1255" s="33" t="s">
        <v>374</v>
      </c>
      <c r="M1255" s="26"/>
      <c r="N1255" s="26"/>
      <c r="O1255" s="586">
        <v>45728.0</v>
      </c>
      <c r="P1255" s="385" t="s">
        <v>1432</v>
      </c>
    </row>
    <row r="1256" hidden="1">
      <c r="A1256" s="471">
        <v>12.0</v>
      </c>
      <c r="B1256" s="470" t="s">
        <v>4621</v>
      </c>
      <c r="C1256" s="471" t="s">
        <v>80</v>
      </c>
      <c r="D1256" s="342" t="s">
        <v>4622</v>
      </c>
      <c r="E1256" s="471" t="s">
        <v>4623</v>
      </c>
      <c r="F1256" s="471" t="s">
        <v>356</v>
      </c>
      <c r="G1256" s="584">
        <v>45759.0</v>
      </c>
      <c r="H1256" s="585">
        <v>24.0</v>
      </c>
      <c r="I1256" s="591" t="s">
        <v>3465</v>
      </c>
      <c r="J1256" s="33" t="s">
        <v>4553</v>
      </c>
      <c r="K1256" s="33" t="s">
        <v>4554</v>
      </c>
      <c r="L1256" s="33" t="s">
        <v>51</v>
      </c>
      <c r="M1256" s="26"/>
      <c r="N1256" s="26"/>
      <c r="O1256" s="32" t="s">
        <v>4560</v>
      </c>
      <c r="P1256" s="385" t="s">
        <v>1432</v>
      </c>
    </row>
    <row r="1257" hidden="1">
      <c r="A1257" s="471">
        <v>13.0</v>
      </c>
      <c r="B1257" s="337" t="s">
        <v>4624</v>
      </c>
      <c r="C1257" s="471" t="s">
        <v>80</v>
      </c>
      <c r="D1257" s="342" t="s">
        <v>4625</v>
      </c>
      <c r="E1257" s="471" t="s">
        <v>4626</v>
      </c>
      <c r="F1257" s="471" t="s">
        <v>4405</v>
      </c>
      <c r="G1257" s="592" t="s">
        <v>4240</v>
      </c>
      <c r="H1257" s="585">
        <v>9.0</v>
      </c>
      <c r="I1257" s="471" t="s">
        <v>2890</v>
      </c>
      <c r="J1257" s="33" t="s">
        <v>699</v>
      </c>
      <c r="K1257" s="33" t="s">
        <v>4627</v>
      </c>
      <c r="L1257" s="33" t="s">
        <v>374</v>
      </c>
      <c r="M1257" s="26"/>
      <c r="N1257" s="26"/>
      <c r="O1257" s="32" t="s">
        <v>4455</v>
      </c>
      <c r="P1257" s="407" t="s">
        <v>2560</v>
      </c>
    </row>
    <row r="1258" hidden="1">
      <c r="A1258" s="471">
        <v>14.0</v>
      </c>
      <c r="B1258" s="470" t="s">
        <v>4628</v>
      </c>
      <c r="C1258" s="471" t="s">
        <v>1185</v>
      </c>
      <c r="D1258" s="342" t="s">
        <v>4629</v>
      </c>
      <c r="E1258" s="471" t="s">
        <v>4630</v>
      </c>
      <c r="F1258" s="471" t="s">
        <v>25</v>
      </c>
      <c r="G1258" s="584">
        <v>45789.0</v>
      </c>
      <c r="H1258" s="585">
        <v>25.0</v>
      </c>
      <c r="I1258" s="471" t="s">
        <v>2890</v>
      </c>
      <c r="J1258" s="33" t="s">
        <v>2065</v>
      </c>
      <c r="K1258" s="33" t="s">
        <v>3992</v>
      </c>
      <c r="L1258" s="33" t="s">
        <v>51</v>
      </c>
      <c r="M1258" s="26"/>
      <c r="N1258" s="26"/>
      <c r="O1258" s="586">
        <v>45728.0</v>
      </c>
      <c r="P1258" s="385" t="s">
        <v>1432</v>
      </c>
    </row>
    <row r="1259" hidden="1">
      <c r="A1259" s="471">
        <v>15.0</v>
      </c>
      <c r="B1259" s="470" t="s">
        <v>4631</v>
      </c>
      <c r="C1259" s="471" t="s">
        <v>80</v>
      </c>
      <c r="D1259" s="342" t="s">
        <v>4632</v>
      </c>
      <c r="E1259" s="550" t="s">
        <v>4633</v>
      </c>
      <c r="F1259" s="471" t="s">
        <v>4358</v>
      </c>
      <c r="G1259" s="584">
        <v>45789.0</v>
      </c>
      <c r="H1259" s="585">
        <v>25.0</v>
      </c>
      <c r="I1259" s="471" t="s">
        <v>2890</v>
      </c>
      <c r="J1259" s="33" t="s">
        <v>2065</v>
      </c>
      <c r="K1259" s="33" t="s">
        <v>4360</v>
      </c>
      <c r="L1259" s="33" t="s">
        <v>374</v>
      </c>
      <c r="M1259" s="26"/>
      <c r="N1259" s="26"/>
      <c r="O1259" s="586">
        <v>45789.0</v>
      </c>
      <c r="P1259" s="385" t="s">
        <v>1432</v>
      </c>
    </row>
    <row r="1260" hidden="1">
      <c r="A1260" s="471">
        <v>16.0</v>
      </c>
      <c r="B1260" s="470" t="s">
        <v>4634</v>
      </c>
      <c r="C1260" s="471" t="s">
        <v>80</v>
      </c>
      <c r="D1260" s="342" t="s">
        <v>4635</v>
      </c>
      <c r="E1260" s="550" t="s">
        <v>4636</v>
      </c>
      <c r="F1260" s="471" t="s">
        <v>4358</v>
      </c>
      <c r="G1260" s="584">
        <v>45789.0</v>
      </c>
      <c r="H1260" s="585">
        <v>25.0</v>
      </c>
      <c r="I1260" s="471" t="s">
        <v>2890</v>
      </c>
      <c r="J1260" s="33" t="s">
        <v>2065</v>
      </c>
      <c r="K1260" s="33" t="s">
        <v>4360</v>
      </c>
      <c r="L1260" s="33" t="s">
        <v>374</v>
      </c>
      <c r="M1260" s="26"/>
      <c r="N1260" s="26"/>
      <c r="O1260" s="586">
        <v>45789.0</v>
      </c>
      <c r="P1260" s="385" t="s">
        <v>1432</v>
      </c>
    </row>
    <row r="1261" hidden="1">
      <c r="A1261" s="471">
        <v>17.0</v>
      </c>
      <c r="B1261" s="470" t="s">
        <v>4637</v>
      </c>
      <c r="C1261" s="471" t="s">
        <v>80</v>
      </c>
      <c r="D1261" s="342" t="s">
        <v>4638</v>
      </c>
      <c r="E1261" s="593" t="s">
        <v>44</v>
      </c>
      <c r="F1261" s="471" t="s">
        <v>4032</v>
      </c>
      <c r="G1261" s="592" t="s">
        <v>4455</v>
      </c>
      <c r="H1261" s="585">
        <v>15.0</v>
      </c>
      <c r="I1261" s="471" t="s">
        <v>2890</v>
      </c>
      <c r="J1261" s="33" t="s">
        <v>2541</v>
      </c>
      <c r="K1261" s="33" t="s">
        <v>3964</v>
      </c>
      <c r="L1261" s="33" t="s">
        <v>4371</v>
      </c>
      <c r="M1261" s="26"/>
      <c r="N1261" s="26"/>
      <c r="O1261" s="594">
        <v>45986.0</v>
      </c>
      <c r="P1261" s="26"/>
    </row>
    <row r="1262" hidden="1">
      <c r="A1262" s="471">
        <v>18.0</v>
      </c>
      <c r="B1262" s="470" t="s">
        <v>4639</v>
      </c>
      <c r="C1262" s="471" t="s">
        <v>80</v>
      </c>
      <c r="D1262" s="342" t="s">
        <v>4640</v>
      </c>
      <c r="E1262" s="593" t="s">
        <v>44</v>
      </c>
      <c r="F1262" s="471" t="s">
        <v>4032</v>
      </c>
      <c r="G1262" s="592" t="s">
        <v>4455</v>
      </c>
      <c r="H1262" s="585">
        <v>15.0</v>
      </c>
      <c r="I1262" s="471" t="s">
        <v>2890</v>
      </c>
      <c r="J1262" s="33" t="s">
        <v>2541</v>
      </c>
      <c r="K1262" s="33" t="s">
        <v>3964</v>
      </c>
      <c r="L1262" s="33" t="s">
        <v>4371</v>
      </c>
      <c r="M1262" s="26"/>
      <c r="N1262" s="26"/>
      <c r="O1262" s="594">
        <v>45986.0</v>
      </c>
      <c r="P1262" s="26"/>
    </row>
    <row r="1263" hidden="1">
      <c r="A1263" s="471">
        <v>19.0</v>
      </c>
      <c r="B1263" s="470" t="s">
        <v>4641</v>
      </c>
      <c r="C1263" s="471" t="s">
        <v>80</v>
      </c>
      <c r="D1263" s="342" t="s">
        <v>4642</v>
      </c>
      <c r="E1263" s="593" t="s">
        <v>44</v>
      </c>
      <c r="F1263" s="471" t="s">
        <v>4032</v>
      </c>
      <c r="G1263" s="592" t="s">
        <v>4455</v>
      </c>
      <c r="H1263" s="585">
        <v>15.0</v>
      </c>
      <c r="I1263" s="471" t="s">
        <v>2890</v>
      </c>
      <c r="J1263" s="33" t="s">
        <v>2541</v>
      </c>
      <c r="K1263" s="33" t="s">
        <v>3964</v>
      </c>
      <c r="L1263" s="33" t="s">
        <v>4371</v>
      </c>
      <c r="M1263" s="26"/>
      <c r="N1263" s="26"/>
      <c r="O1263" s="594">
        <v>45986.0</v>
      </c>
      <c r="P1263" s="26"/>
    </row>
    <row r="1264" hidden="1">
      <c r="A1264" s="471">
        <v>20.0</v>
      </c>
      <c r="B1264" s="470" t="s">
        <v>4643</v>
      </c>
      <c r="C1264" s="471" t="s">
        <v>80</v>
      </c>
      <c r="D1264" s="342" t="s">
        <v>4644</v>
      </c>
      <c r="E1264" s="593" t="s">
        <v>44</v>
      </c>
      <c r="F1264" s="471" t="s">
        <v>4032</v>
      </c>
      <c r="G1264" s="592" t="s">
        <v>4455</v>
      </c>
      <c r="H1264" s="585">
        <v>15.0</v>
      </c>
      <c r="I1264" s="471" t="s">
        <v>2890</v>
      </c>
      <c r="J1264" s="33" t="s">
        <v>2541</v>
      </c>
      <c r="K1264" s="33" t="s">
        <v>4554</v>
      </c>
      <c r="L1264" s="33" t="s">
        <v>4371</v>
      </c>
      <c r="M1264" s="26"/>
      <c r="N1264" s="26"/>
      <c r="O1264" s="594">
        <v>45986.0</v>
      </c>
      <c r="P1264" s="26"/>
    </row>
    <row r="1265" hidden="1">
      <c r="A1265" s="471">
        <v>21.0</v>
      </c>
      <c r="B1265" s="470" t="s">
        <v>4645</v>
      </c>
      <c r="C1265" s="471" t="s">
        <v>80</v>
      </c>
      <c r="D1265" s="342" t="s">
        <v>4646</v>
      </c>
      <c r="E1265" s="593" t="s">
        <v>44</v>
      </c>
      <c r="F1265" s="471" t="s">
        <v>4032</v>
      </c>
      <c r="G1265" s="592" t="s">
        <v>4455</v>
      </c>
      <c r="H1265" s="585">
        <v>15.0</v>
      </c>
      <c r="I1265" s="471" t="s">
        <v>2890</v>
      </c>
      <c r="J1265" s="33" t="s">
        <v>2541</v>
      </c>
      <c r="K1265" s="33" t="s">
        <v>4554</v>
      </c>
      <c r="L1265" s="33" t="s">
        <v>4371</v>
      </c>
      <c r="M1265" s="26"/>
      <c r="N1265" s="26"/>
      <c r="O1265" s="594">
        <v>45986.0</v>
      </c>
      <c r="P1265" s="26"/>
    </row>
    <row r="1266" hidden="1">
      <c r="A1266" s="471">
        <v>22.0</v>
      </c>
      <c r="B1266" s="470" t="s">
        <v>4647</v>
      </c>
      <c r="C1266" s="471" t="s">
        <v>80</v>
      </c>
      <c r="D1266" s="342" t="s">
        <v>4648</v>
      </c>
      <c r="E1266" s="593" t="s">
        <v>44</v>
      </c>
      <c r="F1266" s="471" t="s">
        <v>4032</v>
      </c>
      <c r="G1266" s="592" t="s">
        <v>4455</v>
      </c>
      <c r="H1266" s="585">
        <v>15.0</v>
      </c>
      <c r="I1266" s="471" t="s">
        <v>2890</v>
      </c>
      <c r="J1266" s="33" t="s">
        <v>2541</v>
      </c>
      <c r="K1266" s="33" t="s">
        <v>4554</v>
      </c>
      <c r="L1266" s="33" t="s">
        <v>4371</v>
      </c>
      <c r="M1266" s="26"/>
      <c r="N1266" s="26"/>
      <c r="O1266" s="594">
        <v>45986.0</v>
      </c>
      <c r="P1266" s="26"/>
    </row>
    <row r="1267" hidden="1">
      <c r="A1267" s="471">
        <v>23.0</v>
      </c>
      <c r="B1267" s="470" t="s">
        <v>4649</v>
      </c>
      <c r="C1267" s="471" t="s">
        <v>80</v>
      </c>
      <c r="D1267" s="342" t="s">
        <v>4650</v>
      </c>
      <c r="E1267" s="593" t="s">
        <v>4651</v>
      </c>
      <c r="F1267" s="471" t="s">
        <v>3583</v>
      </c>
      <c r="G1267" s="592" t="s">
        <v>4360</v>
      </c>
      <c r="H1267" s="585">
        <v>16.0</v>
      </c>
      <c r="I1267" s="471" t="s">
        <v>2890</v>
      </c>
      <c r="J1267" s="33" t="s">
        <v>2541</v>
      </c>
      <c r="K1267" s="33" t="s">
        <v>4274</v>
      </c>
      <c r="L1267" s="33" t="s">
        <v>4371</v>
      </c>
      <c r="M1267" s="26"/>
      <c r="N1267" s="26"/>
      <c r="O1267" s="594">
        <v>45986.0</v>
      </c>
      <c r="P1267" s="26"/>
    </row>
    <row r="1268" hidden="1">
      <c r="A1268" s="471">
        <v>24.0</v>
      </c>
      <c r="B1268" s="470" t="s">
        <v>4652</v>
      </c>
      <c r="C1268" s="471" t="s">
        <v>1185</v>
      </c>
      <c r="D1268" s="342" t="s">
        <v>4653</v>
      </c>
      <c r="E1268" s="593" t="s">
        <v>4654</v>
      </c>
      <c r="F1268" s="471" t="s">
        <v>3583</v>
      </c>
      <c r="G1268" s="592" t="s">
        <v>4360</v>
      </c>
      <c r="H1268" s="585">
        <v>16.0</v>
      </c>
      <c r="I1268" s="471" t="s">
        <v>2890</v>
      </c>
      <c r="J1268" s="33" t="s">
        <v>2541</v>
      </c>
      <c r="K1268" s="33" t="s">
        <v>4136</v>
      </c>
      <c r="L1268" s="33" t="s">
        <v>4371</v>
      </c>
      <c r="M1268" s="26"/>
      <c r="N1268" s="26"/>
      <c r="O1268" s="594">
        <v>45986.0</v>
      </c>
      <c r="P1268" s="26"/>
    </row>
    <row r="1269" hidden="1">
      <c r="A1269" s="339" t="s">
        <v>4655</v>
      </c>
    </row>
    <row r="1270" hidden="1">
      <c r="A1270" s="4" t="s">
        <v>47</v>
      </c>
      <c r="B1270" s="534" t="s">
        <v>7</v>
      </c>
      <c r="C1270" s="4" t="s">
        <v>9</v>
      </c>
      <c r="D1270" s="4" t="s">
        <v>10</v>
      </c>
      <c r="E1270" s="4" t="s">
        <v>11</v>
      </c>
      <c r="F1270" s="4" t="s">
        <v>12</v>
      </c>
      <c r="G1270" s="4" t="s">
        <v>2378</v>
      </c>
      <c r="H1270" s="4" t="s">
        <v>2681</v>
      </c>
      <c r="I1270" s="4" t="s">
        <v>2847</v>
      </c>
      <c r="J1270" s="8" t="s">
        <v>14</v>
      </c>
      <c r="K1270" s="9" t="s">
        <v>16</v>
      </c>
      <c r="L1270" s="9" t="s">
        <v>4330</v>
      </c>
      <c r="M1270" s="9" t="s">
        <v>18</v>
      </c>
      <c r="N1270" s="9" t="s">
        <v>19</v>
      </c>
      <c r="O1270" s="9" t="s">
        <v>20</v>
      </c>
      <c r="P1270" s="9" t="s">
        <v>21</v>
      </c>
      <c r="Q1270" s="35"/>
      <c r="R1270" s="35"/>
      <c r="S1270" s="35"/>
      <c r="T1270" s="35"/>
      <c r="U1270" s="35"/>
      <c r="V1270" s="35"/>
      <c r="W1270" s="35"/>
      <c r="X1270" s="35"/>
      <c r="Y1270" s="35"/>
      <c r="Z1270" s="35"/>
      <c r="AA1270" s="35"/>
      <c r="AB1270" s="35"/>
      <c r="AC1270" s="35"/>
      <c r="AD1270" s="35"/>
      <c r="AE1270" s="35"/>
      <c r="AF1270" s="35"/>
    </row>
    <row r="1271" hidden="1">
      <c r="A1271" s="472">
        <v>1.0</v>
      </c>
      <c r="B1271" s="595" t="s">
        <v>4656</v>
      </c>
      <c r="C1271" s="472" t="s">
        <v>80</v>
      </c>
      <c r="D1271" s="275" t="s">
        <v>4657</v>
      </c>
      <c r="E1271" s="550" t="s">
        <v>4658</v>
      </c>
      <c r="F1271" s="472" t="s">
        <v>4659</v>
      </c>
      <c r="G1271" s="431">
        <v>45789.0</v>
      </c>
      <c r="H1271" s="472">
        <v>21.0</v>
      </c>
      <c r="I1271" s="472" t="s">
        <v>2890</v>
      </c>
      <c r="J1271" s="32" t="s">
        <v>2065</v>
      </c>
      <c r="K1271" s="32" t="s">
        <v>4455</v>
      </c>
      <c r="L1271" s="33" t="s">
        <v>374</v>
      </c>
      <c r="M1271" s="26"/>
      <c r="N1271" s="26"/>
      <c r="O1271" s="586">
        <v>45789.0</v>
      </c>
      <c r="P1271" s="385" t="s">
        <v>1432</v>
      </c>
    </row>
    <row r="1272" hidden="1">
      <c r="A1272" s="472">
        <v>2.0</v>
      </c>
      <c r="B1272" s="595" t="s">
        <v>4660</v>
      </c>
      <c r="C1272" s="472" t="s">
        <v>80</v>
      </c>
      <c r="D1272" s="275" t="s">
        <v>4661</v>
      </c>
      <c r="E1272" s="550" t="s">
        <v>4662</v>
      </c>
      <c r="F1272" s="472" t="s">
        <v>4659</v>
      </c>
      <c r="G1272" s="431">
        <v>45789.0</v>
      </c>
      <c r="H1272" s="472">
        <v>21.0</v>
      </c>
      <c r="I1272" s="596" t="s">
        <v>3465</v>
      </c>
      <c r="J1272" s="32" t="s">
        <v>2065</v>
      </c>
      <c r="K1272" s="32" t="s">
        <v>4455</v>
      </c>
      <c r="L1272" s="33" t="s">
        <v>374</v>
      </c>
      <c r="M1272" s="26"/>
      <c r="N1272" s="26"/>
      <c r="O1272" s="586">
        <v>45789.0</v>
      </c>
      <c r="P1272" s="385" t="s">
        <v>1432</v>
      </c>
    </row>
    <row r="1273" hidden="1">
      <c r="A1273" s="472">
        <v>3.0</v>
      </c>
      <c r="B1273" s="595" t="s">
        <v>4663</v>
      </c>
      <c r="C1273" s="472" t="s">
        <v>80</v>
      </c>
      <c r="D1273" s="275" t="s">
        <v>4664</v>
      </c>
      <c r="E1273" s="550" t="s">
        <v>4665</v>
      </c>
      <c r="F1273" s="472" t="s">
        <v>4666</v>
      </c>
      <c r="G1273" s="431">
        <v>45820.0</v>
      </c>
      <c r="H1273" s="472">
        <v>22.0</v>
      </c>
      <c r="I1273" s="472" t="s">
        <v>2890</v>
      </c>
      <c r="J1273" s="32" t="s">
        <v>4667</v>
      </c>
      <c r="K1273" s="32" t="s">
        <v>4565</v>
      </c>
      <c r="L1273" s="33" t="s">
        <v>374</v>
      </c>
      <c r="M1273" s="26"/>
      <c r="N1273" s="26"/>
      <c r="O1273" s="586">
        <v>45669.0</v>
      </c>
      <c r="P1273" s="385" t="s">
        <v>1432</v>
      </c>
    </row>
    <row r="1274" hidden="1">
      <c r="A1274" s="472">
        <v>4.0</v>
      </c>
      <c r="B1274" s="595" t="s">
        <v>4668</v>
      </c>
      <c r="C1274" s="472" t="s">
        <v>80</v>
      </c>
      <c r="D1274" s="275" t="s">
        <v>4669</v>
      </c>
      <c r="E1274" s="550" t="s">
        <v>4670</v>
      </c>
      <c r="F1274" s="472" t="s">
        <v>4666</v>
      </c>
      <c r="G1274" s="431">
        <v>45820.0</v>
      </c>
      <c r="H1274" s="472">
        <v>22.0</v>
      </c>
      <c r="I1274" s="472" t="s">
        <v>2890</v>
      </c>
      <c r="J1274" s="32" t="s">
        <v>4667</v>
      </c>
      <c r="K1274" s="32" t="s">
        <v>4565</v>
      </c>
      <c r="L1274" s="33" t="s">
        <v>374</v>
      </c>
      <c r="M1274" s="26"/>
      <c r="N1274" s="26"/>
      <c r="O1274" s="586">
        <v>45669.0</v>
      </c>
      <c r="P1274" s="385" t="s">
        <v>1432</v>
      </c>
    </row>
    <row r="1275" hidden="1">
      <c r="A1275" s="472">
        <v>5.0</v>
      </c>
      <c r="B1275" s="597" t="s">
        <v>4671</v>
      </c>
      <c r="C1275" s="472" t="s">
        <v>1025</v>
      </c>
      <c r="D1275" s="275" t="s">
        <v>4672</v>
      </c>
      <c r="E1275" s="472" t="s">
        <v>4673</v>
      </c>
      <c r="F1275" s="472" t="s">
        <v>4666</v>
      </c>
      <c r="G1275" s="431">
        <v>45820.0</v>
      </c>
      <c r="H1275" s="472">
        <v>22.0</v>
      </c>
      <c r="I1275" s="472" t="s">
        <v>2890</v>
      </c>
      <c r="J1275" s="32" t="s">
        <v>2541</v>
      </c>
      <c r="K1275" s="32" t="s">
        <v>4293</v>
      </c>
      <c r="L1275" s="33" t="s">
        <v>374</v>
      </c>
      <c r="M1275" s="26"/>
      <c r="N1275" s="26"/>
      <c r="O1275" s="32" t="s">
        <v>4455</v>
      </c>
      <c r="P1275" s="385" t="s">
        <v>1432</v>
      </c>
    </row>
    <row r="1276" hidden="1">
      <c r="A1276" s="472">
        <v>6.0</v>
      </c>
      <c r="B1276" s="595" t="s">
        <v>4674</v>
      </c>
      <c r="C1276" s="472" t="s">
        <v>80</v>
      </c>
      <c r="D1276" s="275" t="s">
        <v>4675</v>
      </c>
      <c r="E1276" s="472" t="s">
        <v>4676</v>
      </c>
      <c r="F1276" s="472" t="s">
        <v>2040</v>
      </c>
      <c r="G1276" s="431">
        <v>45820.0</v>
      </c>
      <c r="H1276" s="472">
        <v>22.0</v>
      </c>
      <c r="I1276" s="472" t="s">
        <v>2890</v>
      </c>
      <c r="J1276" s="32" t="s">
        <v>2541</v>
      </c>
      <c r="K1276" s="32" t="s">
        <v>4455</v>
      </c>
      <c r="L1276" s="33" t="s">
        <v>51</v>
      </c>
      <c r="M1276" s="26"/>
      <c r="N1276" s="26"/>
      <c r="O1276" s="586">
        <v>45789.0</v>
      </c>
      <c r="P1276" s="385" t="s">
        <v>1432</v>
      </c>
    </row>
    <row r="1277" hidden="1">
      <c r="A1277" s="472">
        <v>7.0</v>
      </c>
      <c r="B1277" s="595" t="s">
        <v>4677</v>
      </c>
      <c r="C1277" s="472" t="s">
        <v>4678</v>
      </c>
      <c r="D1277" s="275" t="s">
        <v>4679</v>
      </c>
      <c r="E1277" s="472" t="s">
        <v>4680</v>
      </c>
      <c r="F1277" s="472" t="s">
        <v>4681</v>
      </c>
      <c r="G1277" s="431">
        <v>45820.0</v>
      </c>
      <c r="H1277" s="472">
        <v>22.0</v>
      </c>
      <c r="I1277" s="472" t="s">
        <v>2890</v>
      </c>
      <c r="J1277" s="32" t="s">
        <v>699</v>
      </c>
      <c r="K1277" s="32" t="s">
        <v>4682</v>
      </c>
      <c r="L1277" s="33" t="s">
        <v>4683</v>
      </c>
      <c r="M1277" s="26"/>
      <c r="N1277" s="26"/>
      <c r="O1277" s="586">
        <v>45728.0</v>
      </c>
      <c r="P1277" s="385" t="s">
        <v>1432</v>
      </c>
    </row>
    <row r="1278" ht="16.5" hidden="1" customHeight="1">
      <c r="A1278" s="472">
        <v>8.0</v>
      </c>
      <c r="B1278" s="337" t="s">
        <v>4684</v>
      </c>
      <c r="C1278" s="472" t="s">
        <v>1058</v>
      </c>
      <c r="D1278" s="275" t="s">
        <v>4685</v>
      </c>
      <c r="E1278" s="472" t="s">
        <v>4686</v>
      </c>
      <c r="F1278" s="472" t="s">
        <v>4367</v>
      </c>
      <c r="G1278" s="275" t="s">
        <v>4239</v>
      </c>
      <c r="H1278" s="472">
        <v>6.0</v>
      </c>
      <c r="I1278" s="472" t="s">
        <v>2890</v>
      </c>
      <c r="J1278" s="32" t="s">
        <v>2541</v>
      </c>
      <c r="K1278" s="32" t="s">
        <v>4293</v>
      </c>
      <c r="L1278" s="33" t="s">
        <v>374</v>
      </c>
      <c r="M1278" s="26"/>
      <c r="N1278" s="26"/>
      <c r="O1278" s="34" t="s">
        <v>3964</v>
      </c>
      <c r="P1278" s="385" t="s">
        <v>1432</v>
      </c>
    </row>
    <row r="1279" hidden="1">
      <c r="A1279" s="472">
        <v>9.0</v>
      </c>
      <c r="B1279" s="595" t="s">
        <v>4687</v>
      </c>
      <c r="C1279" s="472" t="s">
        <v>80</v>
      </c>
      <c r="D1279" s="275" t="s">
        <v>4688</v>
      </c>
      <c r="E1279" s="550" t="s">
        <v>4689</v>
      </c>
      <c r="F1279" s="472" t="s">
        <v>2156</v>
      </c>
      <c r="G1279" s="431">
        <v>45820.0</v>
      </c>
      <c r="H1279" s="472">
        <v>22.0</v>
      </c>
      <c r="I1279" s="472" t="s">
        <v>2890</v>
      </c>
      <c r="J1279" s="32" t="s">
        <v>4690</v>
      </c>
      <c r="K1279" s="32" t="s">
        <v>4576</v>
      </c>
      <c r="L1279" s="33" t="s">
        <v>374</v>
      </c>
      <c r="M1279" s="26"/>
      <c r="N1279" s="26"/>
      <c r="O1279" s="32" t="s">
        <v>4691</v>
      </c>
      <c r="P1279" s="385" t="s">
        <v>1432</v>
      </c>
    </row>
    <row r="1280" hidden="1">
      <c r="A1280" s="472">
        <v>10.0</v>
      </c>
      <c r="B1280" s="595" t="s">
        <v>4692</v>
      </c>
      <c r="C1280" s="472" t="s">
        <v>80</v>
      </c>
      <c r="D1280" s="275" t="s">
        <v>4693</v>
      </c>
      <c r="E1280" s="550" t="s">
        <v>4694</v>
      </c>
      <c r="F1280" s="472" t="s">
        <v>2156</v>
      </c>
      <c r="G1280" s="431">
        <v>45820.0</v>
      </c>
      <c r="H1280" s="472">
        <v>22.0</v>
      </c>
      <c r="I1280" s="472" t="s">
        <v>2890</v>
      </c>
      <c r="J1280" s="32" t="s">
        <v>4690</v>
      </c>
      <c r="K1280" s="32" t="s">
        <v>4576</v>
      </c>
      <c r="L1280" s="33" t="s">
        <v>374</v>
      </c>
      <c r="M1280" s="26"/>
      <c r="N1280" s="26"/>
      <c r="O1280" s="32" t="s">
        <v>4691</v>
      </c>
      <c r="P1280" s="385" t="s">
        <v>1432</v>
      </c>
    </row>
    <row r="1281" hidden="1">
      <c r="A1281" s="472">
        <v>11.0</v>
      </c>
      <c r="B1281" s="595" t="s">
        <v>4695</v>
      </c>
      <c r="C1281" s="472" t="s">
        <v>80</v>
      </c>
      <c r="D1281" s="275" t="s">
        <v>4696</v>
      </c>
      <c r="E1281" s="472" t="s">
        <v>4697</v>
      </c>
      <c r="F1281" s="472" t="s">
        <v>310</v>
      </c>
      <c r="G1281" s="431">
        <v>45820.0</v>
      </c>
      <c r="H1281" s="472">
        <v>22.0</v>
      </c>
      <c r="I1281" s="522" t="s">
        <v>4698</v>
      </c>
      <c r="J1281" s="32" t="s">
        <v>2541</v>
      </c>
      <c r="K1281" s="32" t="s">
        <v>4455</v>
      </c>
      <c r="L1281" s="33" t="s">
        <v>51</v>
      </c>
      <c r="M1281" s="26"/>
      <c r="N1281" s="26"/>
      <c r="O1281" s="586">
        <v>45789.0</v>
      </c>
      <c r="P1281" s="385" t="s">
        <v>1432</v>
      </c>
    </row>
    <row r="1282" hidden="1">
      <c r="A1282" s="472">
        <v>12.0</v>
      </c>
      <c r="B1282" s="595" t="s">
        <v>4699</v>
      </c>
      <c r="C1282" s="472" t="s">
        <v>80</v>
      </c>
      <c r="D1282" s="275" t="s">
        <v>4700</v>
      </c>
      <c r="E1282" s="472" t="s">
        <v>4701</v>
      </c>
      <c r="F1282" s="472" t="s">
        <v>310</v>
      </c>
      <c r="G1282" s="431">
        <v>45820.0</v>
      </c>
      <c r="H1282" s="472">
        <v>22.0</v>
      </c>
      <c r="I1282" s="472" t="s">
        <v>2890</v>
      </c>
      <c r="J1282" s="32" t="s">
        <v>2541</v>
      </c>
      <c r="K1282" s="32" t="s">
        <v>4455</v>
      </c>
      <c r="L1282" s="33" t="s">
        <v>51</v>
      </c>
      <c r="M1282" s="26"/>
      <c r="N1282" s="26"/>
      <c r="O1282" s="32" t="s">
        <v>4560</v>
      </c>
      <c r="P1282" s="385" t="s">
        <v>1432</v>
      </c>
    </row>
    <row r="1283" hidden="1">
      <c r="A1283" s="472">
        <v>13.0</v>
      </c>
      <c r="B1283" s="337" t="s">
        <v>4702</v>
      </c>
      <c r="C1283" s="472" t="s">
        <v>938</v>
      </c>
      <c r="D1283" s="275" t="s">
        <v>4703</v>
      </c>
      <c r="E1283" s="472" t="s">
        <v>4704</v>
      </c>
      <c r="F1283" s="472" t="s">
        <v>243</v>
      </c>
      <c r="G1283" s="275" t="s">
        <v>4321</v>
      </c>
      <c r="H1283" s="472">
        <v>7.0</v>
      </c>
      <c r="I1283" s="472" t="s">
        <v>2890</v>
      </c>
      <c r="J1283" s="32" t="s">
        <v>2541</v>
      </c>
      <c r="K1283" s="32" t="s">
        <v>4293</v>
      </c>
      <c r="L1283" s="33" t="s">
        <v>374</v>
      </c>
      <c r="M1283" s="26"/>
      <c r="N1283" s="26"/>
      <c r="O1283" s="32" t="s">
        <v>4360</v>
      </c>
      <c r="P1283" s="385" t="s">
        <v>1432</v>
      </c>
    </row>
    <row r="1284" hidden="1">
      <c r="A1284" s="472">
        <v>14.0</v>
      </c>
      <c r="B1284" s="595" t="s">
        <v>4705</v>
      </c>
      <c r="C1284" s="472" t="s">
        <v>938</v>
      </c>
      <c r="D1284" s="275" t="s">
        <v>4706</v>
      </c>
      <c r="E1284" s="472" t="s">
        <v>4707</v>
      </c>
      <c r="F1284" s="472" t="s">
        <v>243</v>
      </c>
      <c r="G1284" s="431">
        <v>45820.0</v>
      </c>
      <c r="H1284" s="472">
        <v>22.0</v>
      </c>
      <c r="I1284" s="472" t="s">
        <v>2890</v>
      </c>
      <c r="J1284" s="32" t="s">
        <v>4667</v>
      </c>
      <c r="K1284" s="32" t="s">
        <v>4565</v>
      </c>
      <c r="L1284" s="33" t="s">
        <v>374</v>
      </c>
      <c r="M1284" s="26"/>
      <c r="N1284" s="26"/>
      <c r="O1284" s="598">
        <v>45942.0</v>
      </c>
      <c r="P1284" s="385" t="s">
        <v>1432</v>
      </c>
    </row>
    <row r="1285" hidden="1">
      <c r="A1285" s="472">
        <v>15.0</v>
      </c>
      <c r="B1285" s="595" t="s">
        <v>4708</v>
      </c>
      <c r="C1285" s="472" t="s">
        <v>80</v>
      </c>
      <c r="D1285" s="275" t="s">
        <v>4709</v>
      </c>
      <c r="E1285" s="599" t="s">
        <v>4710</v>
      </c>
      <c r="F1285" s="472" t="s">
        <v>4397</v>
      </c>
      <c r="G1285" s="275" t="s">
        <v>4442</v>
      </c>
      <c r="H1285" s="472">
        <v>13.0</v>
      </c>
      <c r="I1285" s="472" t="s">
        <v>2890</v>
      </c>
      <c r="J1285" s="32" t="s">
        <v>2541</v>
      </c>
      <c r="K1285" s="32" t="s">
        <v>3964</v>
      </c>
      <c r="L1285" s="33" t="s">
        <v>778</v>
      </c>
      <c r="M1285" s="26"/>
      <c r="N1285" s="26"/>
      <c r="O1285" s="600">
        <v>45992.0</v>
      </c>
      <c r="P1285" s="407"/>
    </row>
    <row r="1286" hidden="1">
      <c r="A1286" s="472">
        <v>16.0</v>
      </c>
      <c r="B1286" s="595" t="s">
        <v>4711</v>
      </c>
      <c r="C1286" s="472" t="s">
        <v>80</v>
      </c>
      <c r="D1286" s="275" t="s">
        <v>4712</v>
      </c>
      <c r="E1286" s="472" t="s">
        <v>4713</v>
      </c>
      <c r="F1286" s="472" t="s">
        <v>4714</v>
      </c>
      <c r="G1286" s="431">
        <v>45820.0</v>
      </c>
      <c r="H1286" s="472">
        <v>22.0</v>
      </c>
      <c r="I1286" s="472" t="s">
        <v>2890</v>
      </c>
      <c r="J1286" s="32" t="s">
        <v>2541</v>
      </c>
      <c r="K1286" s="32" t="s">
        <v>4455</v>
      </c>
      <c r="L1286" s="33" t="s">
        <v>51</v>
      </c>
      <c r="M1286" s="26"/>
      <c r="N1286" s="26"/>
      <c r="O1286" s="32" t="s">
        <v>4560</v>
      </c>
      <c r="P1286" s="385" t="s">
        <v>1432</v>
      </c>
    </row>
    <row r="1287" hidden="1">
      <c r="A1287" s="472">
        <v>17.0</v>
      </c>
      <c r="B1287" s="595" t="s">
        <v>4715</v>
      </c>
      <c r="C1287" s="472" t="s">
        <v>1185</v>
      </c>
      <c r="D1287" s="275" t="s">
        <v>4716</v>
      </c>
      <c r="E1287" s="472" t="s">
        <v>4717</v>
      </c>
      <c r="F1287" s="472" t="s">
        <v>25</v>
      </c>
      <c r="G1287" s="431">
        <v>45850.0</v>
      </c>
      <c r="H1287" s="472">
        <v>23.0</v>
      </c>
      <c r="I1287" s="472" t="s">
        <v>2890</v>
      </c>
      <c r="J1287" s="32" t="s">
        <v>2065</v>
      </c>
      <c r="K1287" s="32" t="s">
        <v>4136</v>
      </c>
      <c r="L1287" s="33" t="s">
        <v>51</v>
      </c>
      <c r="M1287" s="26"/>
      <c r="N1287" s="26"/>
      <c r="O1287" s="586">
        <v>45728.0</v>
      </c>
      <c r="P1287" s="385" t="s">
        <v>1432</v>
      </c>
    </row>
    <row r="1288" hidden="1">
      <c r="A1288" s="472">
        <v>18.0</v>
      </c>
      <c r="B1288" s="595" t="s">
        <v>4718</v>
      </c>
      <c r="C1288" s="472" t="s">
        <v>1185</v>
      </c>
      <c r="D1288" s="275" t="s">
        <v>4719</v>
      </c>
      <c r="E1288" s="472" t="s">
        <v>4720</v>
      </c>
      <c r="F1288" s="472" t="s">
        <v>25</v>
      </c>
      <c r="G1288" s="431">
        <v>45850.0</v>
      </c>
      <c r="H1288" s="472">
        <v>23.0</v>
      </c>
      <c r="I1288" s="472" t="s">
        <v>2890</v>
      </c>
      <c r="J1288" s="32" t="s">
        <v>2065</v>
      </c>
      <c r="K1288" s="32" t="s">
        <v>4136</v>
      </c>
      <c r="L1288" s="33" t="s">
        <v>51</v>
      </c>
      <c r="M1288" s="26"/>
      <c r="N1288" s="26"/>
      <c r="O1288" s="32" t="s">
        <v>4565</v>
      </c>
      <c r="P1288" s="407" t="s">
        <v>2560</v>
      </c>
    </row>
    <row r="1289" hidden="1">
      <c r="A1289" s="472">
        <v>19.0</v>
      </c>
      <c r="B1289" s="595" t="s">
        <v>4721</v>
      </c>
      <c r="C1289" s="472" t="s">
        <v>1185</v>
      </c>
      <c r="D1289" s="275" t="s">
        <v>4722</v>
      </c>
      <c r="E1289" s="472" t="s">
        <v>4723</v>
      </c>
      <c r="F1289" s="472" t="s">
        <v>25</v>
      </c>
      <c r="G1289" s="431">
        <v>45850.0</v>
      </c>
      <c r="H1289" s="472">
        <v>23.0</v>
      </c>
      <c r="I1289" s="472" t="s">
        <v>2890</v>
      </c>
      <c r="J1289" s="32" t="s">
        <v>2065</v>
      </c>
      <c r="K1289" s="32" t="s">
        <v>4240</v>
      </c>
      <c r="L1289" s="33" t="s">
        <v>51</v>
      </c>
      <c r="M1289" s="26"/>
      <c r="N1289" s="26"/>
      <c r="O1289" s="32" t="s">
        <v>4360</v>
      </c>
      <c r="P1289" s="385" t="s">
        <v>1432</v>
      </c>
    </row>
    <row r="1290" hidden="1">
      <c r="A1290" s="472">
        <v>20.0</v>
      </c>
      <c r="B1290" s="595" t="s">
        <v>4724</v>
      </c>
      <c r="C1290" s="472" t="s">
        <v>80</v>
      </c>
      <c r="D1290" s="275" t="s">
        <v>4725</v>
      </c>
      <c r="E1290" s="550" t="s">
        <v>4726</v>
      </c>
      <c r="F1290" s="472" t="s">
        <v>535</v>
      </c>
      <c r="G1290" s="431">
        <v>45881.0</v>
      </c>
      <c r="H1290" s="472">
        <v>24.0</v>
      </c>
      <c r="I1290" s="472" t="s">
        <v>2890</v>
      </c>
      <c r="J1290" s="32" t="s">
        <v>2065</v>
      </c>
      <c r="K1290" s="32" t="s">
        <v>4554</v>
      </c>
      <c r="L1290" s="33" t="s">
        <v>374</v>
      </c>
      <c r="M1290" s="26"/>
      <c r="N1290" s="26"/>
      <c r="O1290" s="586">
        <v>45700.0</v>
      </c>
      <c r="P1290" s="385" t="s">
        <v>1432</v>
      </c>
    </row>
    <row r="1291" ht="19.5" hidden="1" customHeight="1">
      <c r="A1291" s="472">
        <v>21.0</v>
      </c>
      <c r="B1291" s="595" t="s">
        <v>4727</v>
      </c>
      <c r="C1291" s="472" t="s">
        <v>80</v>
      </c>
      <c r="D1291" s="275" t="s">
        <v>4728</v>
      </c>
      <c r="E1291" s="550" t="s">
        <v>4729</v>
      </c>
      <c r="F1291" s="472" t="s">
        <v>535</v>
      </c>
      <c r="G1291" s="431">
        <v>45881.0</v>
      </c>
      <c r="H1291" s="472">
        <v>24.0</v>
      </c>
      <c r="I1291" s="596" t="s">
        <v>3465</v>
      </c>
      <c r="J1291" s="32" t="s">
        <v>2065</v>
      </c>
      <c r="K1291" s="32" t="s">
        <v>4554</v>
      </c>
      <c r="L1291" s="33" t="s">
        <v>374</v>
      </c>
      <c r="M1291" s="26"/>
      <c r="N1291" s="26"/>
      <c r="O1291" s="586">
        <v>45700.0</v>
      </c>
      <c r="P1291" s="385" t="s">
        <v>1432</v>
      </c>
    </row>
    <row r="1292" hidden="1">
      <c r="A1292" s="472">
        <v>22.0</v>
      </c>
      <c r="B1292" s="595" t="s">
        <v>4730</v>
      </c>
      <c r="C1292" s="472" t="s">
        <v>80</v>
      </c>
      <c r="D1292" s="275" t="s">
        <v>4731</v>
      </c>
      <c r="E1292" s="472" t="s">
        <v>4732</v>
      </c>
      <c r="F1292" s="472" t="s">
        <v>4733</v>
      </c>
      <c r="G1292" s="431">
        <v>45881.0</v>
      </c>
      <c r="H1292" s="472">
        <v>24.0</v>
      </c>
      <c r="I1292" s="472" t="s">
        <v>2890</v>
      </c>
      <c r="J1292" s="32" t="s">
        <v>51</v>
      </c>
      <c r="K1292" s="32" t="s">
        <v>4554</v>
      </c>
      <c r="L1292" s="33" t="s">
        <v>51</v>
      </c>
      <c r="M1292" s="26"/>
      <c r="N1292" s="26"/>
      <c r="O1292" s="32" t="s">
        <v>4565</v>
      </c>
      <c r="P1292" s="385" t="s">
        <v>1432</v>
      </c>
    </row>
    <row r="1293" hidden="1">
      <c r="A1293" s="472">
        <v>23.0</v>
      </c>
      <c r="B1293" s="595" t="s">
        <v>4734</v>
      </c>
      <c r="C1293" s="472" t="s">
        <v>80</v>
      </c>
      <c r="D1293" s="275" t="s">
        <v>4735</v>
      </c>
      <c r="E1293" s="472" t="s">
        <v>4736</v>
      </c>
      <c r="F1293" s="472" t="s">
        <v>4733</v>
      </c>
      <c r="G1293" s="431">
        <v>45881.0</v>
      </c>
      <c r="H1293" s="472">
        <v>24.0</v>
      </c>
      <c r="I1293" s="472" t="s">
        <v>2890</v>
      </c>
      <c r="J1293" s="32" t="s">
        <v>51</v>
      </c>
      <c r="K1293" s="32" t="s">
        <v>4554</v>
      </c>
      <c r="L1293" s="33" t="s">
        <v>51</v>
      </c>
      <c r="M1293" s="26"/>
      <c r="N1293" s="26"/>
      <c r="O1293" s="32" t="s">
        <v>4565</v>
      </c>
      <c r="P1293" s="385" t="s">
        <v>1432</v>
      </c>
    </row>
    <row r="1294" hidden="1">
      <c r="A1294" s="472">
        <v>24.0</v>
      </c>
      <c r="B1294" s="595" t="s">
        <v>4737</v>
      </c>
      <c r="C1294" s="472" t="s">
        <v>80</v>
      </c>
      <c r="D1294" s="275" t="s">
        <v>4738</v>
      </c>
      <c r="E1294" s="472" t="s">
        <v>4739</v>
      </c>
      <c r="F1294" s="472" t="s">
        <v>4740</v>
      </c>
      <c r="G1294" s="431">
        <v>45789.0</v>
      </c>
      <c r="H1294" s="472">
        <v>21.0</v>
      </c>
      <c r="I1294" s="472" t="s">
        <v>2890</v>
      </c>
      <c r="J1294" s="32" t="s">
        <v>4741</v>
      </c>
      <c r="K1294" s="26"/>
      <c r="L1294" s="33" t="s">
        <v>51</v>
      </c>
      <c r="M1294" s="26"/>
      <c r="N1294" s="26"/>
      <c r="O1294" s="598">
        <v>45942.0</v>
      </c>
      <c r="P1294" s="385" t="s">
        <v>1432</v>
      </c>
    </row>
    <row r="1295" hidden="1">
      <c r="A1295" s="574">
        <v>25.0</v>
      </c>
      <c r="B1295" s="601" t="s">
        <v>4742</v>
      </c>
      <c r="C1295" s="574" t="s">
        <v>80</v>
      </c>
      <c r="D1295" s="282" t="s">
        <v>4743</v>
      </c>
      <c r="E1295" s="574" t="s">
        <v>4744</v>
      </c>
      <c r="F1295" s="574" t="s">
        <v>207</v>
      </c>
      <c r="G1295" s="602">
        <v>45881.0</v>
      </c>
      <c r="H1295" s="574">
        <v>24.0</v>
      </c>
      <c r="I1295" s="574" t="s">
        <v>2890</v>
      </c>
      <c r="J1295" s="26"/>
      <c r="K1295" s="26"/>
      <c r="L1295" s="33" t="s">
        <v>374</v>
      </c>
      <c r="M1295" s="26"/>
      <c r="N1295" s="26"/>
      <c r="O1295" s="34" t="s">
        <v>3964</v>
      </c>
      <c r="P1295" s="385" t="s">
        <v>1432</v>
      </c>
    </row>
    <row r="1296" hidden="1">
      <c r="A1296" s="472">
        <v>26.0</v>
      </c>
      <c r="B1296" s="595" t="s">
        <v>4745</v>
      </c>
      <c r="C1296" s="472" t="s">
        <v>80</v>
      </c>
      <c r="D1296" s="275" t="s">
        <v>4746</v>
      </c>
      <c r="E1296" s="472" t="s">
        <v>4747</v>
      </c>
      <c r="F1296" s="472" t="s">
        <v>356</v>
      </c>
      <c r="G1296" s="431">
        <v>45881.0</v>
      </c>
      <c r="H1296" s="472">
        <v>24.0</v>
      </c>
      <c r="I1296" s="472" t="s">
        <v>2890</v>
      </c>
      <c r="J1296" s="32" t="s">
        <v>51</v>
      </c>
      <c r="K1296" s="32" t="s">
        <v>4136</v>
      </c>
      <c r="L1296" s="33" t="s">
        <v>51</v>
      </c>
      <c r="M1296" s="26"/>
      <c r="N1296" s="26"/>
      <c r="O1296" s="586">
        <v>45728.0</v>
      </c>
      <c r="P1296" s="385" t="s">
        <v>1432</v>
      </c>
    </row>
    <row r="1297" hidden="1">
      <c r="A1297" s="472">
        <v>27.0</v>
      </c>
      <c r="B1297" s="595" t="s">
        <v>4748</v>
      </c>
      <c r="C1297" s="472" t="s">
        <v>80</v>
      </c>
      <c r="D1297" s="275" t="s">
        <v>4749</v>
      </c>
      <c r="E1297" s="550" t="s">
        <v>4750</v>
      </c>
      <c r="F1297" s="472" t="s">
        <v>4751</v>
      </c>
      <c r="G1297" s="431">
        <v>45912.0</v>
      </c>
      <c r="H1297" s="472">
        <v>25.0</v>
      </c>
      <c r="I1297" s="596" t="s">
        <v>3465</v>
      </c>
      <c r="J1297" s="32" t="s">
        <v>4690</v>
      </c>
      <c r="K1297" s="32" t="s">
        <v>4576</v>
      </c>
      <c r="L1297" s="33" t="s">
        <v>374</v>
      </c>
      <c r="M1297" s="26"/>
      <c r="N1297" s="26"/>
      <c r="O1297" s="598">
        <v>45973.0</v>
      </c>
      <c r="P1297" s="385" t="s">
        <v>1432</v>
      </c>
    </row>
    <row r="1298" hidden="1">
      <c r="A1298" s="472">
        <v>28.0</v>
      </c>
      <c r="B1298" s="595" t="s">
        <v>4752</v>
      </c>
      <c r="C1298" s="472" t="s">
        <v>80</v>
      </c>
      <c r="D1298" s="275" t="s">
        <v>4753</v>
      </c>
      <c r="E1298" s="550" t="s">
        <v>4754</v>
      </c>
      <c r="F1298" s="472" t="s">
        <v>4751</v>
      </c>
      <c r="G1298" s="431">
        <v>45912.0</v>
      </c>
      <c r="H1298" s="472">
        <v>25.0</v>
      </c>
      <c r="I1298" s="472" t="s">
        <v>2890</v>
      </c>
      <c r="J1298" s="32" t="s">
        <v>4690</v>
      </c>
      <c r="K1298" s="32" t="s">
        <v>4576</v>
      </c>
      <c r="L1298" s="33" t="s">
        <v>374</v>
      </c>
      <c r="M1298" s="26"/>
      <c r="N1298" s="26"/>
      <c r="O1298" s="598">
        <v>45973.0</v>
      </c>
      <c r="P1298" s="385" t="s">
        <v>1432</v>
      </c>
    </row>
    <row r="1299" hidden="1">
      <c r="A1299" s="472">
        <v>29.0</v>
      </c>
      <c r="B1299" s="595" t="s">
        <v>4755</v>
      </c>
      <c r="C1299" s="472" t="s">
        <v>1185</v>
      </c>
      <c r="D1299" s="275" t="s">
        <v>4756</v>
      </c>
      <c r="E1299" s="472" t="s">
        <v>4757</v>
      </c>
      <c r="F1299" s="472" t="s">
        <v>356</v>
      </c>
      <c r="G1299" s="431">
        <v>45881.0</v>
      </c>
      <c r="H1299" s="472">
        <v>24.0</v>
      </c>
      <c r="I1299" s="472" t="s">
        <v>2890</v>
      </c>
      <c r="J1299" s="32" t="s">
        <v>2065</v>
      </c>
      <c r="K1299" s="32" t="s">
        <v>4136</v>
      </c>
      <c r="L1299" s="33" t="s">
        <v>51</v>
      </c>
      <c r="M1299" s="26"/>
      <c r="N1299" s="26"/>
      <c r="O1299" s="32" t="s">
        <v>4560</v>
      </c>
      <c r="P1299" s="385" t="s">
        <v>1432</v>
      </c>
    </row>
    <row r="1300" hidden="1">
      <c r="A1300" s="472">
        <v>30.0</v>
      </c>
      <c r="B1300" s="603" t="s">
        <v>4758</v>
      </c>
      <c r="C1300" s="472" t="s">
        <v>80</v>
      </c>
      <c r="D1300" s="275" t="s">
        <v>4759</v>
      </c>
      <c r="E1300" s="604" t="s">
        <v>4760</v>
      </c>
      <c r="F1300" s="472" t="s">
        <v>356</v>
      </c>
      <c r="G1300" s="431">
        <v>45881.0</v>
      </c>
      <c r="H1300" s="472">
        <v>24.0</v>
      </c>
      <c r="I1300" s="472" t="s">
        <v>2890</v>
      </c>
      <c r="J1300" s="32" t="s">
        <v>51</v>
      </c>
      <c r="K1300" s="32" t="s">
        <v>4565</v>
      </c>
      <c r="L1300" s="33" t="s">
        <v>2590</v>
      </c>
      <c r="M1300" s="26"/>
      <c r="N1300" s="26"/>
      <c r="O1300" s="586">
        <v>45789.0</v>
      </c>
      <c r="P1300" s="385" t="s">
        <v>1432</v>
      </c>
    </row>
    <row r="1301" hidden="1">
      <c r="A1301" s="472">
        <v>31.0</v>
      </c>
      <c r="B1301" s="595" t="s">
        <v>4761</v>
      </c>
      <c r="C1301" s="472" t="s">
        <v>80</v>
      </c>
      <c r="D1301" s="275" t="s">
        <v>4762</v>
      </c>
      <c r="E1301" s="550" t="s">
        <v>4763</v>
      </c>
      <c r="F1301" s="472" t="s">
        <v>4358</v>
      </c>
      <c r="G1301" s="431">
        <v>45912.0</v>
      </c>
      <c r="H1301" s="472">
        <v>25.0</v>
      </c>
      <c r="I1301" s="472" t="s">
        <v>2890</v>
      </c>
      <c r="J1301" s="32" t="s">
        <v>4667</v>
      </c>
      <c r="K1301" s="32" t="s">
        <v>4565</v>
      </c>
      <c r="L1301" s="33" t="s">
        <v>374</v>
      </c>
      <c r="M1301" s="26"/>
      <c r="N1301" s="26"/>
      <c r="O1301" s="571">
        <v>45700.0</v>
      </c>
      <c r="P1301" s="385" t="s">
        <v>1432</v>
      </c>
    </row>
    <row r="1302" hidden="1">
      <c r="A1302" s="472">
        <v>32.0</v>
      </c>
      <c r="B1302" s="595" t="s">
        <v>4764</v>
      </c>
      <c r="C1302" s="472" t="s">
        <v>80</v>
      </c>
      <c r="D1302" s="275" t="s">
        <v>4765</v>
      </c>
      <c r="E1302" s="550" t="s">
        <v>4766</v>
      </c>
      <c r="F1302" s="472" t="s">
        <v>4358</v>
      </c>
      <c r="G1302" s="431">
        <v>45912.0</v>
      </c>
      <c r="H1302" s="472">
        <v>25.0</v>
      </c>
      <c r="I1302" s="472" t="s">
        <v>2890</v>
      </c>
      <c r="J1302" s="32" t="s">
        <v>4667</v>
      </c>
      <c r="K1302" s="32" t="s">
        <v>4565</v>
      </c>
      <c r="L1302" s="33" t="s">
        <v>374</v>
      </c>
      <c r="M1302" s="26"/>
      <c r="N1302" s="26"/>
      <c r="O1302" s="571">
        <v>45700.0</v>
      </c>
      <c r="P1302" s="385" t="s">
        <v>1432</v>
      </c>
    </row>
    <row r="1303" hidden="1">
      <c r="A1303" s="339" t="s">
        <v>4767</v>
      </c>
    </row>
    <row r="1304" hidden="1">
      <c r="A1304" s="4" t="s">
        <v>47</v>
      </c>
      <c r="B1304" s="534" t="s">
        <v>7</v>
      </c>
      <c r="C1304" s="4" t="s">
        <v>9</v>
      </c>
      <c r="D1304" s="4" t="s">
        <v>10</v>
      </c>
      <c r="E1304" s="4" t="s">
        <v>11</v>
      </c>
      <c r="F1304" s="4" t="s">
        <v>12</v>
      </c>
      <c r="G1304" s="4" t="s">
        <v>2378</v>
      </c>
      <c r="H1304" s="4" t="s">
        <v>2681</v>
      </c>
      <c r="I1304" s="4" t="s">
        <v>2847</v>
      </c>
      <c r="J1304" s="8" t="s">
        <v>14</v>
      </c>
      <c r="K1304" s="9" t="s">
        <v>16</v>
      </c>
      <c r="L1304" s="9" t="s">
        <v>4330</v>
      </c>
      <c r="M1304" s="9" t="s">
        <v>18</v>
      </c>
      <c r="N1304" s="9" t="s">
        <v>19</v>
      </c>
      <c r="O1304" s="9" t="s">
        <v>20</v>
      </c>
      <c r="P1304" s="9" t="s">
        <v>21</v>
      </c>
      <c r="Q1304" s="35"/>
      <c r="R1304" s="35"/>
      <c r="S1304" s="35"/>
      <c r="T1304" s="35"/>
      <c r="U1304" s="35"/>
      <c r="V1304" s="35"/>
      <c r="W1304" s="35"/>
      <c r="X1304" s="35"/>
      <c r="Y1304" s="35"/>
      <c r="Z1304" s="35"/>
      <c r="AA1304" s="35"/>
      <c r="AB1304" s="35"/>
      <c r="AC1304" s="35"/>
      <c r="AD1304" s="35"/>
      <c r="AE1304" s="35"/>
      <c r="AF1304" s="35"/>
    </row>
    <row r="1305" hidden="1">
      <c r="A1305" s="471">
        <v>1.0</v>
      </c>
      <c r="B1305" s="470" t="s">
        <v>4768</v>
      </c>
      <c r="C1305" s="471" t="s">
        <v>1058</v>
      </c>
      <c r="D1305" s="306" t="s">
        <v>4769</v>
      </c>
      <c r="E1305" s="550" t="s">
        <v>4770</v>
      </c>
      <c r="F1305" s="471" t="s">
        <v>4771</v>
      </c>
      <c r="G1305" s="431">
        <v>45912.0</v>
      </c>
      <c r="H1305" s="12">
        <v>22.0</v>
      </c>
      <c r="I1305" s="12" t="s">
        <v>2890</v>
      </c>
      <c r="J1305" s="32" t="s">
        <v>4426</v>
      </c>
      <c r="K1305" s="32" t="s">
        <v>4455</v>
      </c>
      <c r="L1305" s="33" t="s">
        <v>374</v>
      </c>
      <c r="M1305" s="26"/>
      <c r="N1305" s="26"/>
      <c r="O1305" s="605">
        <v>45700.0</v>
      </c>
      <c r="P1305" s="416" t="s">
        <v>4772</v>
      </c>
    </row>
    <row r="1306" hidden="1">
      <c r="A1306" s="471">
        <v>2.0</v>
      </c>
      <c r="B1306" s="470" t="s">
        <v>4773</v>
      </c>
      <c r="C1306" s="471" t="s">
        <v>1058</v>
      </c>
      <c r="D1306" s="306" t="s">
        <v>4774</v>
      </c>
      <c r="E1306" s="550" t="s">
        <v>4775</v>
      </c>
      <c r="F1306" s="471" t="s">
        <v>4771</v>
      </c>
      <c r="G1306" s="431">
        <v>45912.0</v>
      </c>
      <c r="H1306" s="12">
        <v>22.0</v>
      </c>
      <c r="I1306" s="12" t="s">
        <v>2890</v>
      </c>
      <c r="J1306" s="32" t="s">
        <v>4426</v>
      </c>
      <c r="K1306" s="32" t="s">
        <v>4455</v>
      </c>
      <c r="L1306" s="33" t="s">
        <v>374</v>
      </c>
      <c r="M1306" s="26"/>
      <c r="N1306" s="26"/>
      <c r="O1306" s="605">
        <v>45700.0</v>
      </c>
      <c r="P1306" s="416" t="s">
        <v>4772</v>
      </c>
    </row>
    <row r="1307" hidden="1">
      <c r="A1307" s="471">
        <v>3.0</v>
      </c>
      <c r="B1307" s="470" t="s">
        <v>4776</v>
      </c>
      <c r="C1307" s="471" t="s">
        <v>651</v>
      </c>
      <c r="D1307" s="306" t="s">
        <v>4777</v>
      </c>
      <c r="E1307" s="471" t="s">
        <v>4778</v>
      </c>
      <c r="F1307" s="471" t="s">
        <v>4779</v>
      </c>
      <c r="G1307" s="606">
        <v>45942.0</v>
      </c>
      <c r="H1307" s="12">
        <v>23.0</v>
      </c>
      <c r="I1307" s="12" t="s">
        <v>2890</v>
      </c>
      <c r="J1307" s="32" t="s">
        <v>51</v>
      </c>
      <c r="K1307" s="32" t="s">
        <v>4565</v>
      </c>
      <c r="L1307" s="33" t="s">
        <v>51</v>
      </c>
      <c r="M1307" s="26"/>
      <c r="N1307" s="26"/>
      <c r="O1307" s="32" t="s">
        <v>4691</v>
      </c>
      <c r="P1307" s="416" t="s">
        <v>4772</v>
      </c>
    </row>
    <row r="1308" hidden="1">
      <c r="A1308" s="471">
        <v>4.0</v>
      </c>
      <c r="B1308" s="470" t="s">
        <v>4780</v>
      </c>
      <c r="C1308" s="471" t="s">
        <v>938</v>
      </c>
      <c r="D1308" s="306" t="s">
        <v>4781</v>
      </c>
      <c r="E1308" s="607" t="s">
        <v>4782</v>
      </c>
      <c r="F1308" s="471" t="s">
        <v>243</v>
      </c>
      <c r="G1308" s="606">
        <v>45942.0</v>
      </c>
      <c r="H1308" s="12">
        <v>23.0</v>
      </c>
      <c r="I1308" s="12" t="s">
        <v>2890</v>
      </c>
      <c r="J1308" s="32" t="s">
        <v>4783</v>
      </c>
      <c r="K1308" s="32" t="s">
        <v>4682</v>
      </c>
      <c r="L1308" s="33" t="s">
        <v>374</v>
      </c>
      <c r="M1308" s="26"/>
      <c r="N1308" s="26"/>
      <c r="O1308" s="598">
        <v>45942.0</v>
      </c>
      <c r="P1308" s="385" t="s">
        <v>1432</v>
      </c>
    </row>
    <row r="1309" hidden="1">
      <c r="A1309" s="471">
        <v>5.0</v>
      </c>
      <c r="B1309" s="470" t="s">
        <v>4784</v>
      </c>
      <c r="C1309" s="471" t="s">
        <v>938</v>
      </c>
      <c r="D1309" s="306" t="s">
        <v>4785</v>
      </c>
      <c r="E1309" s="607" t="s">
        <v>4786</v>
      </c>
      <c r="F1309" s="471" t="s">
        <v>243</v>
      </c>
      <c r="G1309" s="606">
        <v>45942.0</v>
      </c>
      <c r="H1309" s="12">
        <v>23.0</v>
      </c>
      <c r="I1309" s="12" t="s">
        <v>2890</v>
      </c>
      <c r="J1309" s="32" t="s">
        <v>4783</v>
      </c>
      <c r="K1309" s="32" t="s">
        <v>4682</v>
      </c>
      <c r="L1309" s="33" t="s">
        <v>374</v>
      </c>
      <c r="M1309" s="26"/>
      <c r="N1309" s="26"/>
      <c r="O1309" s="598">
        <v>45942.0</v>
      </c>
      <c r="P1309" s="385" t="s">
        <v>1432</v>
      </c>
    </row>
    <row r="1310" hidden="1">
      <c r="A1310" s="471">
        <v>6.0</v>
      </c>
      <c r="B1310" s="470" t="s">
        <v>4787</v>
      </c>
      <c r="C1310" s="471" t="s">
        <v>938</v>
      </c>
      <c r="D1310" s="306" t="s">
        <v>4788</v>
      </c>
      <c r="E1310" s="607" t="s">
        <v>4789</v>
      </c>
      <c r="F1310" s="471" t="s">
        <v>243</v>
      </c>
      <c r="G1310" s="606">
        <v>45942.0</v>
      </c>
      <c r="H1310" s="12">
        <v>23.0</v>
      </c>
      <c r="I1310" s="12" t="s">
        <v>2890</v>
      </c>
      <c r="J1310" s="32" t="s">
        <v>4783</v>
      </c>
      <c r="K1310" s="32" t="s">
        <v>4682</v>
      </c>
      <c r="L1310" s="33" t="s">
        <v>374</v>
      </c>
      <c r="M1310" s="26"/>
      <c r="N1310" s="26"/>
      <c r="O1310" s="598">
        <v>45942.0</v>
      </c>
      <c r="P1310" s="587" t="s">
        <v>1432</v>
      </c>
    </row>
    <row r="1311" hidden="1">
      <c r="A1311" s="471">
        <v>7.0</v>
      </c>
      <c r="B1311" s="470" t="s">
        <v>4790</v>
      </c>
      <c r="C1311" s="471" t="s">
        <v>80</v>
      </c>
      <c r="D1311" s="306" t="s">
        <v>4791</v>
      </c>
      <c r="E1311" s="550" t="s">
        <v>4792</v>
      </c>
      <c r="F1311" s="471" t="s">
        <v>4793</v>
      </c>
      <c r="G1311" s="606">
        <v>45942.0</v>
      </c>
      <c r="H1311" s="12">
        <v>23.0</v>
      </c>
      <c r="I1311" s="12" t="s">
        <v>2890</v>
      </c>
      <c r="J1311" s="32" t="s">
        <v>4426</v>
      </c>
      <c r="K1311" s="32" t="s">
        <v>4360</v>
      </c>
      <c r="L1311" s="33" t="s">
        <v>374</v>
      </c>
      <c r="M1311" s="26"/>
      <c r="N1311" s="26"/>
      <c r="O1311" s="571">
        <v>45700.0</v>
      </c>
      <c r="P1311" s="385" t="s">
        <v>1432</v>
      </c>
    </row>
    <row r="1312" hidden="1">
      <c r="A1312" s="471">
        <v>8.0</v>
      </c>
      <c r="B1312" s="470" t="s">
        <v>4794</v>
      </c>
      <c r="C1312" s="471" t="s">
        <v>80</v>
      </c>
      <c r="D1312" s="306" t="s">
        <v>4795</v>
      </c>
      <c r="E1312" s="550" t="s">
        <v>4796</v>
      </c>
      <c r="F1312" s="471" t="s">
        <v>4793</v>
      </c>
      <c r="G1312" s="606">
        <v>45942.0</v>
      </c>
      <c r="H1312" s="12">
        <v>23.0</v>
      </c>
      <c r="I1312" s="12" t="s">
        <v>2890</v>
      </c>
      <c r="J1312" s="32" t="s">
        <v>4426</v>
      </c>
      <c r="K1312" s="32" t="s">
        <v>4360</v>
      </c>
      <c r="L1312" s="33" t="s">
        <v>374</v>
      </c>
      <c r="M1312" s="26"/>
      <c r="N1312" s="26"/>
      <c r="O1312" s="571">
        <v>45700.0</v>
      </c>
      <c r="P1312" s="385" t="s">
        <v>1432</v>
      </c>
    </row>
    <row r="1313" hidden="1">
      <c r="A1313" s="471">
        <v>9.0</v>
      </c>
      <c r="B1313" s="470" t="s">
        <v>4797</v>
      </c>
      <c r="C1313" s="471" t="s">
        <v>80</v>
      </c>
      <c r="D1313" s="306" t="s">
        <v>4798</v>
      </c>
      <c r="E1313" s="471" t="s">
        <v>4799</v>
      </c>
      <c r="F1313" s="471" t="s">
        <v>172</v>
      </c>
      <c r="G1313" s="606">
        <v>45942.0</v>
      </c>
      <c r="H1313" s="12">
        <v>23.0</v>
      </c>
      <c r="I1313" s="12" t="s">
        <v>2890</v>
      </c>
      <c r="J1313" s="32" t="s">
        <v>4800</v>
      </c>
      <c r="K1313" s="32" t="s">
        <v>4576</v>
      </c>
      <c r="L1313" s="33" t="s">
        <v>51</v>
      </c>
      <c r="M1313" s="26"/>
      <c r="N1313" s="26"/>
      <c r="O1313" s="586">
        <v>45789.0</v>
      </c>
      <c r="P1313" s="587" t="s">
        <v>1432</v>
      </c>
    </row>
    <row r="1314" hidden="1">
      <c r="A1314" s="471">
        <v>10.0</v>
      </c>
      <c r="B1314" s="470" t="s">
        <v>4801</v>
      </c>
      <c r="C1314" s="471" t="s">
        <v>1185</v>
      </c>
      <c r="D1314" s="306" t="s">
        <v>4802</v>
      </c>
      <c r="E1314" s="471" t="s">
        <v>4803</v>
      </c>
      <c r="F1314" s="471" t="s">
        <v>356</v>
      </c>
      <c r="G1314" s="606">
        <v>45973.0</v>
      </c>
      <c r="H1314" s="12">
        <v>24.0</v>
      </c>
      <c r="I1314" s="12" t="s">
        <v>2890</v>
      </c>
      <c r="J1314" s="32" t="s">
        <v>51</v>
      </c>
      <c r="K1314" s="32" t="s">
        <v>4576</v>
      </c>
      <c r="L1314" s="33" t="s">
        <v>51</v>
      </c>
      <c r="M1314" s="26"/>
      <c r="N1314" s="26"/>
      <c r="O1314" s="586">
        <v>45728.0</v>
      </c>
      <c r="P1314" s="385" t="s">
        <v>1432</v>
      </c>
    </row>
    <row r="1315" hidden="1">
      <c r="A1315" s="471">
        <v>11.0</v>
      </c>
      <c r="B1315" s="470" t="s">
        <v>4804</v>
      </c>
      <c r="C1315" s="471" t="s">
        <v>80</v>
      </c>
      <c r="D1315" s="306" t="s">
        <v>4805</v>
      </c>
      <c r="E1315" s="471" t="s">
        <v>4806</v>
      </c>
      <c r="F1315" s="471" t="s">
        <v>180</v>
      </c>
      <c r="G1315" s="606">
        <v>45973.0</v>
      </c>
      <c r="H1315" s="12">
        <v>24.0</v>
      </c>
      <c r="I1315" s="12" t="s">
        <v>2890</v>
      </c>
      <c r="J1315" s="143" t="s">
        <v>4800</v>
      </c>
      <c r="K1315" s="32" t="s">
        <v>4576</v>
      </c>
      <c r="L1315" s="33" t="s">
        <v>51</v>
      </c>
      <c r="M1315" s="26"/>
      <c r="N1315" s="26"/>
      <c r="O1315" s="586">
        <v>45912.0</v>
      </c>
      <c r="P1315" s="385" t="s">
        <v>1432</v>
      </c>
    </row>
    <row r="1316" hidden="1">
      <c r="A1316" s="471">
        <v>12.0</v>
      </c>
      <c r="B1316" s="470" t="s">
        <v>4807</v>
      </c>
      <c r="C1316" s="471" t="s">
        <v>938</v>
      </c>
      <c r="D1316" s="306" t="s">
        <v>4808</v>
      </c>
      <c r="E1316" s="608" t="s">
        <v>4809</v>
      </c>
      <c r="F1316" s="471" t="s">
        <v>243</v>
      </c>
      <c r="G1316" s="606">
        <v>45973.0</v>
      </c>
      <c r="H1316" s="12">
        <v>24.0</v>
      </c>
      <c r="I1316" s="12" t="s">
        <v>2890</v>
      </c>
      <c r="J1316" s="32" t="s">
        <v>4800</v>
      </c>
      <c r="K1316" s="32" t="s">
        <v>4560</v>
      </c>
      <c r="L1316" s="33" t="s">
        <v>374</v>
      </c>
      <c r="M1316" s="26"/>
      <c r="N1316" s="26"/>
      <c r="O1316" s="32" t="s">
        <v>4810</v>
      </c>
      <c r="P1316" s="385" t="s">
        <v>1432</v>
      </c>
    </row>
    <row r="1317" hidden="1">
      <c r="A1317" s="471">
        <v>13.0</v>
      </c>
      <c r="B1317" s="470" t="s">
        <v>4811</v>
      </c>
      <c r="C1317" s="471" t="s">
        <v>651</v>
      </c>
      <c r="D1317" s="306" t="s">
        <v>4812</v>
      </c>
      <c r="E1317" s="471" t="s">
        <v>4813</v>
      </c>
      <c r="F1317" s="471" t="s">
        <v>4779</v>
      </c>
      <c r="G1317" s="606">
        <v>45973.0</v>
      </c>
      <c r="H1317" s="12">
        <v>24.0</v>
      </c>
      <c r="I1317" s="12" t="s">
        <v>2890</v>
      </c>
      <c r="J1317" s="32" t="s">
        <v>4814</v>
      </c>
      <c r="K1317" s="609">
        <v>45759.0</v>
      </c>
      <c r="L1317" s="33" t="s">
        <v>51</v>
      </c>
      <c r="M1317" s="26"/>
      <c r="N1317" s="26"/>
      <c r="O1317" s="32" t="s">
        <v>4691</v>
      </c>
      <c r="P1317" s="407" t="s">
        <v>1798</v>
      </c>
    </row>
    <row r="1318" hidden="1">
      <c r="A1318" s="471">
        <v>14.0</v>
      </c>
      <c r="B1318" s="470" t="s">
        <v>4815</v>
      </c>
      <c r="C1318" s="471" t="s">
        <v>80</v>
      </c>
      <c r="D1318" s="306" t="s">
        <v>4816</v>
      </c>
      <c r="E1318" s="471" t="s">
        <v>4817</v>
      </c>
      <c r="F1318" s="471" t="s">
        <v>356</v>
      </c>
      <c r="G1318" s="606">
        <v>45973.0</v>
      </c>
      <c r="H1318" s="12">
        <v>24.0</v>
      </c>
      <c r="I1318" s="12" t="s">
        <v>2890</v>
      </c>
      <c r="J1318" s="32" t="s">
        <v>4818</v>
      </c>
      <c r="K1318" s="609">
        <v>45669.0</v>
      </c>
      <c r="L1318" s="33" t="s">
        <v>51</v>
      </c>
      <c r="M1318" s="26"/>
      <c r="N1318" s="26"/>
      <c r="O1318" s="32" t="s">
        <v>4691</v>
      </c>
      <c r="P1318" s="385" t="s">
        <v>1432</v>
      </c>
    </row>
    <row r="1319" hidden="1">
      <c r="A1319" s="471">
        <v>15.0</v>
      </c>
      <c r="B1319" s="470" t="s">
        <v>4819</v>
      </c>
      <c r="C1319" s="471" t="s">
        <v>1185</v>
      </c>
      <c r="D1319" s="306" t="s">
        <v>4820</v>
      </c>
      <c r="E1319" s="471" t="s">
        <v>4821</v>
      </c>
      <c r="F1319" s="471" t="s">
        <v>4822</v>
      </c>
      <c r="G1319" s="606">
        <v>45973.0</v>
      </c>
      <c r="H1319" s="12">
        <v>24.0</v>
      </c>
      <c r="I1319" s="12" t="s">
        <v>2890</v>
      </c>
      <c r="J1319" s="32" t="s">
        <v>51</v>
      </c>
      <c r="K1319" s="609">
        <v>45699.0</v>
      </c>
      <c r="L1319" s="33" t="s">
        <v>51</v>
      </c>
      <c r="M1319" s="26"/>
      <c r="N1319" s="26"/>
      <c r="O1319" s="586">
        <v>45881.0</v>
      </c>
      <c r="P1319" s="385" t="s">
        <v>1432</v>
      </c>
    </row>
    <row r="1320" hidden="1">
      <c r="A1320" s="471">
        <v>16.0</v>
      </c>
      <c r="B1320" s="470" t="s">
        <v>4823</v>
      </c>
      <c r="C1320" s="471" t="s">
        <v>651</v>
      </c>
      <c r="D1320" s="306" t="s">
        <v>4824</v>
      </c>
      <c r="E1320" s="471" t="s">
        <v>4825</v>
      </c>
      <c r="F1320" s="471" t="s">
        <v>4779</v>
      </c>
      <c r="G1320" s="606">
        <v>46003.0</v>
      </c>
      <c r="H1320" s="12">
        <v>25.0</v>
      </c>
      <c r="I1320" s="12" t="s">
        <v>2890</v>
      </c>
      <c r="J1320" s="32" t="s">
        <v>4814</v>
      </c>
      <c r="K1320" s="609">
        <v>45759.0</v>
      </c>
      <c r="L1320" s="33" t="s">
        <v>51</v>
      </c>
      <c r="M1320" s="26"/>
      <c r="N1320" s="26"/>
      <c r="O1320" s="32" t="s">
        <v>4691</v>
      </c>
      <c r="P1320" s="407" t="s">
        <v>1798</v>
      </c>
    </row>
    <row r="1321" hidden="1">
      <c r="A1321" s="339" t="s">
        <v>4826</v>
      </c>
    </row>
    <row r="1322" hidden="1">
      <c r="A1322" s="4" t="s">
        <v>47</v>
      </c>
      <c r="B1322" s="534" t="s">
        <v>7</v>
      </c>
      <c r="C1322" s="4" t="s">
        <v>9</v>
      </c>
      <c r="D1322" s="4" t="s">
        <v>10</v>
      </c>
      <c r="E1322" s="4" t="s">
        <v>11</v>
      </c>
      <c r="F1322" s="4" t="s">
        <v>12</v>
      </c>
      <c r="G1322" s="4" t="s">
        <v>2378</v>
      </c>
      <c r="H1322" s="4" t="s">
        <v>2681</v>
      </c>
      <c r="I1322" s="4" t="s">
        <v>2847</v>
      </c>
      <c r="J1322" s="8" t="s">
        <v>14</v>
      </c>
      <c r="K1322" s="9" t="s">
        <v>16</v>
      </c>
      <c r="L1322" s="9" t="s">
        <v>4330</v>
      </c>
      <c r="M1322" s="9" t="s">
        <v>18</v>
      </c>
      <c r="N1322" s="9" t="s">
        <v>19</v>
      </c>
      <c r="O1322" s="9" t="s">
        <v>20</v>
      </c>
      <c r="P1322" s="9" t="s">
        <v>21</v>
      </c>
      <c r="Q1322" s="35"/>
      <c r="R1322" s="35"/>
      <c r="S1322" s="35"/>
      <c r="T1322" s="35"/>
      <c r="U1322" s="35"/>
      <c r="V1322" s="35"/>
      <c r="W1322" s="35"/>
      <c r="X1322" s="35"/>
      <c r="Y1322" s="35"/>
      <c r="Z1322" s="35"/>
      <c r="AA1322" s="35"/>
      <c r="AB1322" s="35"/>
      <c r="AC1322" s="35"/>
      <c r="AD1322" s="35"/>
      <c r="AE1322" s="35"/>
      <c r="AF1322" s="35"/>
    </row>
    <row r="1323" hidden="1">
      <c r="A1323" s="471">
        <v>1.0</v>
      </c>
      <c r="B1323" s="470" t="s">
        <v>4827</v>
      </c>
      <c r="C1323" s="471" t="s">
        <v>1185</v>
      </c>
      <c r="D1323" s="306" t="s">
        <v>4828</v>
      </c>
      <c r="E1323" s="471" t="s">
        <v>4829</v>
      </c>
      <c r="F1323" s="471" t="s">
        <v>25</v>
      </c>
      <c r="G1323" s="275" t="s">
        <v>4830</v>
      </c>
      <c r="H1323" s="472">
        <v>22.0</v>
      </c>
      <c r="I1323" s="471" t="s">
        <v>2890</v>
      </c>
      <c r="J1323" s="32" t="s">
        <v>4831</v>
      </c>
      <c r="K1323" s="609">
        <v>45759.0</v>
      </c>
      <c r="L1323" s="33" t="s">
        <v>51</v>
      </c>
      <c r="M1323" s="26"/>
      <c r="N1323" s="26"/>
      <c r="O1323" s="32" t="s">
        <v>4691</v>
      </c>
      <c r="P1323" s="385" t="s">
        <v>1432</v>
      </c>
    </row>
    <row r="1324" hidden="1">
      <c r="A1324" s="471">
        <v>2.0</v>
      </c>
      <c r="B1324" s="470" t="s">
        <v>4832</v>
      </c>
      <c r="C1324" s="471" t="s">
        <v>1185</v>
      </c>
      <c r="D1324" s="306" t="s">
        <v>4833</v>
      </c>
      <c r="E1324" s="471" t="s">
        <v>4834</v>
      </c>
      <c r="F1324" s="471" t="s">
        <v>2098</v>
      </c>
      <c r="G1324" s="275" t="s">
        <v>4835</v>
      </c>
      <c r="H1324" s="472">
        <v>24.0</v>
      </c>
      <c r="I1324" s="471" t="s">
        <v>2890</v>
      </c>
      <c r="J1324" s="32" t="s">
        <v>4831</v>
      </c>
      <c r="K1324" s="609">
        <v>45759.0</v>
      </c>
      <c r="L1324" s="33" t="s">
        <v>51</v>
      </c>
      <c r="M1324" s="26"/>
      <c r="N1324" s="26"/>
      <c r="O1324" s="598">
        <v>45942.0</v>
      </c>
      <c r="P1324" s="385" t="s">
        <v>1432</v>
      </c>
    </row>
    <row r="1325" hidden="1">
      <c r="A1325" s="471">
        <v>3.0</v>
      </c>
      <c r="B1325" s="610" t="s">
        <v>4836</v>
      </c>
      <c r="C1325" s="471" t="s">
        <v>80</v>
      </c>
      <c r="D1325" s="306" t="s">
        <v>4837</v>
      </c>
      <c r="E1325" s="471" t="s">
        <v>4838</v>
      </c>
      <c r="F1325" s="471" t="s">
        <v>4839</v>
      </c>
      <c r="G1325" s="431">
        <v>45912.0</v>
      </c>
      <c r="H1325" s="472">
        <v>18.0</v>
      </c>
      <c r="I1325" s="471" t="s">
        <v>2890</v>
      </c>
      <c r="J1325" s="32" t="s">
        <v>2541</v>
      </c>
      <c r="K1325" s="611" t="s">
        <v>4360</v>
      </c>
      <c r="L1325" s="33" t="s">
        <v>374</v>
      </c>
      <c r="M1325" s="26"/>
      <c r="N1325" s="26"/>
      <c r="O1325" s="586">
        <v>45789.0</v>
      </c>
      <c r="P1325" s="407" t="s">
        <v>2560</v>
      </c>
    </row>
    <row r="1326" hidden="1">
      <c r="A1326" s="471">
        <v>4.0</v>
      </c>
      <c r="B1326" s="470" t="s">
        <v>4840</v>
      </c>
      <c r="C1326" s="471" t="s">
        <v>1185</v>
      </c>
      <c r="D1326" s="306" t="s">
        <v>4841</v>
      </c>
      <c r="E1326" s="471" t="s">
        <v>4842</v>
      </c>
      <c r="F1326" s="471" t="s">
        <v>25</v>
      </c>
      <c r="G1326" s="606">
        <v>46003.0</v>
      </c>
      <c r="H1326" s="472">
        <v>21.0</v>
      </c>
      <c r="I1326" s="471" t="s">
        <v>2890</v>
      </c>
      <c r="J1326" s="32" t="s">
        <v>4843</v>
      </c>
      <c r="K1326" s="609">
        <v>45669.0</v>
      </c>
      <c r="L1326" s="33" t="s">
        <v>51</v>
      </c>
      <c r="M1326" s="26"/>
      <c r="N1326" s="26"/>
      <c r="O1326" s="598">
        <v>46003.0</v>
      </c>
      <c r="P1326" s="385" t="s">
        <v>1432</v>
      </c>
    </row>
    <row r="1327" hidden="1">
      <c r="A1327" s="471">
        <v>5.0</v>
      </c>
      <c r="B1327" s="470" t="s">
        <v>4844</v>
      </c>
      <c r="C1327" s="471" t="s">
        <v>1185</v>
      </c>
      <c r="D1327" s="306" t="s">
        <v>4845</v>
      </c>
      <c r="E1327" s="471" t="s">
        <v>4846</v>
      </c>
      <c r="F1327" s="471" t="s">
        <v>25</v>
      </c>
      <c r="G1327" s="606">
        <v>46003.0</v>
      </c>
      <c r="H1327" s="472">
        <v>21.0</v>
      </c>
      <c r="I1327" s="471" t="s">
        <v>2890</v>
      </c>
      <c r="J1327" s="32" t="s">
        <v>4831</v>
      </c>
      <c r="K1327" s="586">
        <v>45789.0</v>
      </c>
      <c r="L1327" s="33" t="s">
        <v>51</v>
      </c>
      <c r="M1327" s="26"/>
      <c r="N1327" s="26"/>
      <c r="O1327" s="598">
        <v>46003.0</v>
      </c>
      <c r="P1327" s="385" t="s">
        <v>1432</v>
      </c>
    </row>
    <row r="1328" hidden="1">
      <c r="A1328" s="471">
        <v>6.0</v>
      </c>
      <c r="B1328" s="612" t="s">
        <v>4847</v>
      </c>
      <c r="C1328" s="471" t="s">
        <v>1185</v>
      </c>
      <c r="D1328" s="306" t="s">
        <v>4848</v>
      </c>
      <c r="E1328" s="604" t="s">
        <v>4849</v>
      </c>
      <c r="F1328" s="471" t="s">
        <v>25</v>
      </c>
      <c r="G1328" s="606">
        <v>46003.0</v>
      </c>
      <c r="H1328" s="472">
        <v>21.0</v>
      </c>
      <c r="I1328" s="471" t="s">
        <v>2890</v>
      </c>
      <c r="J1328" s="32" t="s">
        <v>51</v>
      </c>
      <c r="K1328" s="32" t="s">
        <v>4565</v>
      </c>
      <c r="L1328" s="33" t="s">
        <v>4850</v>
      </c>
      <c r="M1328" s="26"/>
      <c r="N1328" s="26"/>
      <c r="O1328" s="586">
        <v>45789.0</v>
      </c>
      <c r="P1328" s="385" t="s">
        <v>1432</v>
      </c>
    </row>
    <row r="1329" hidden="1">
      <c r="A1329" s="471">
        <v>7.0</v>
      </c>
      <c r="B1329" s="337" t="s">
        <v>4851</v>
      </c>
      <c r="C1329" s="283" t="s">
        <v>4852</v>
      </c>
      <c r="D1329" s="306" t="s">
        <v>4853</v>
      </c>
      <c r="E1329" s="613" t="s">
        <v>4854</v>
      </c>
      <c r="F1329" s="342" t="s">
        <v>356</v>
      </c>
      <c r="G1329" s="275" t="s">
        <v>4453</v>
      </c>
      <c r="H1329" s="472">
        <v>7.0</v>
      </c>
      <c r="I1329" s="471" t="s">
        <v>2890</v>
      </c>
      <c r="J1329" s="26"/>
      <c r="K1329" s="26"/>
      <c r="L1329" s="29"/>
      <c r="M1329" s="26"/>
      <c r="N1329" s="614" t="s">
        <v>4855</v>
      </c>
      <c r="O1329" s="32" t="s">
        <v>4565</v>
      </c>
      <c r="P1329" s="385" t="s">
        <v>1432</v>
      </c>
    </row>
    <row r="1330" hidden="1">
      <c r="A1330" s="471">
        <v>8.0</v>
      </c>
      <c r="B1330" s="337" t="s">
        <v>4856</v>
      </c>
      <c r="C1330" s="283" t="s">
        <v>4852</v>
      </c>
      <c r="D1330" s="306" t="s">
        <v>4857</v>
      </c>
      <c r="E1330" s="613" t="s">
        <v>4858</v>
      </c>
      <c r="F1330" s="342" t="s">
        <v>356</v>
      </c>
      <c r="G1330" s="275" t="s">
        <v>4453</v>
      </c>
      <c r="H1330" s="472">
        <v>7.0</v>
      </c>
      <c r="I1330" s="471" t="s">
        <v>2890</v>
      </c>
      <c r="J1330" s="26"/>
      <c r="K1330" s="26"/>
      <c r="L1330" s="29"/>
      <c r="M1330" s="26"/>
      <c r="N1330" s="614" t="s">
        <v>4855</v>
      </c>
      <c r="O1330" s="32" t="s">
        <v>4565</v>
      </c>
      <c r="P1330" s="385" t="s">
        <v>1432</v>
      </c>
    </row>
    <row r="1331" hidden="1">
      <c r="A1331" s="471">
        <v>9.0</v>
      </c>
      <c r="B1331" s="470" t="s">
        <v>4859</v>
      </c>
      <c r="C1331" s="471" t="s">
        <v>80</v>
      </c>
      <c r="D1331" s="306" t="s">
        <v>4860</v>
      </c>
      <c r="E1331" s="471" t="s">
        <v>4861</v>
      </c>
      <c r="F1331" s="471" t="s">
        <v>310</v>
      </c>
      <c r="G1331" s="606">
        <v>46003.0</v>
      </c>
      <c r="H1331" s="472">
        <v>21.0</v>
      </c>
      <c r="I1331" s="471" t="s">
        <v>2890</v>
      </c>
      <c r="J1331" s="32" t="s">
        <v>4800</v>
      </c>
      <c r="K1331" s="611" t="s">
        <v>4576</v>
      </c>
      <c r="L1331" s="33" t="s">
        <v>51</v>
      </c>
      <c r="M1331" s="26"/>
      <c r="N1331" s="26"/>
      <c r="O1331" s="32" t="s">
        <v>4691</v>
      </c>
      <c r="P1331" s="385" t="s">
        <v>1432</v>
      </c>
    </row>
    <row r="1332" hidden="1">
      <c r="A1332" s="471">
        <v>10.0</v>
      </c>
      <c r="B1332" s="470" t="s">
        <v>4862</v>
      </c>
      <c r="C1332" s="471" t="s">
        <v>1185</v>
      </c>
      <c r="D1332" s="306" t="s">
        <v>4863</v>
      </c>
      <c r="E1332" s="471" t="s">
        <v>4864</v>
      </c>
      <c r="F1332" s="471" t="s">
        <v>310</v>
      </c>
      <c r="G1332" s="606">
        <v>46003.0</v>
      </c>
      <c r="H1332" s="472">
        <v>21.0</v>
      </c>
      <c r="I1332" s="471" t="s">
        <v>2890</v>
      </c>
      <c r="J1332" s="32" t="s">
        <v>4831</v>
      </c>
      <c r="K1332" s="609">
        <v>45759.0</v>
      </c>
      <c r="L1332" s="33" t="s">
        <v>51</v>
      </c>
      <c r="M1332" s="26"/>
      <c r="N1332" s="26"/>
      <c r="O1332" s="598">
        <v>45942.0</v>
      </c>
      <c r="P1332" s="385" t="s">
        <v>1432</v>
      </c>
    </row>
    <row r="1333" hidden="1">
      <c r="A1333" s="471">
        <v>11.0</v>
      </c>
      <c r="B1333" s="470" t="s">
        <v>4865</v>
      </c>
      <c r="C1333" s="471" t="s">
        <v>80</v>
      </c>
      <c r="D1333" s="306" t="s">
        <v>4866</v>
      </c>
      <c r="E1333" s="471" t="s">
        <v>4867</v>
      </c>
      <c r="F1333" s="471" t="s">
        <v>160</v>
      </c>
      <c r="G1333" s="606">
        <v>46003.0</v>
      </c>
      <c r="H1333" s="472">
        <v>21.0</v>
      </c>
      <c r="I1333" s="471" t="s">
        <v>2890</v>
      </c>
      <c r="J1333" s="32" t="s">
        <v>4868</v>
      </c>
      <c r="K1333" s="609">
        <v>45728.0</v>
      </c>
      <c r="L1333" s="33" t="s">
        <v>51</v>
      </c>
      <c r="M1333" s="26"/>
      <c r="N1333" s="26"/>
      <c r="O1333" s="598">
        <v>45973.0</v>
      </c>
      <c r="P1333" s="385" t="s">
        <v>1432</v>
      </c>
    </row>
    <row r="1334" hidden="1">
      <c r="A1334" s="471">
        <v>12.0</v>
      </c>
      <c r="B1334" s="470" t="s">
        <v>4869</v>
      </c>
      <c r="C1334" s="471" t="s">
        <v>80</v>
      </c>
      <c r="D1334" s="306" t="s">
        <v>4870</v>
      </c>
      <c r="E1334" s="471" t="s">
        <v>4871</v>
      </c>
      <c r="F1334" s="471" t="s">
        <v>4872</v>
      </c>
      <c r="G1334" s="275" t="s">
        <v>4830</v>
      </c>
      <c r="H1334" s="472">
        <v>22.0</v>
      </c>
      <c r="I1334" s="471" t="s">
        <v>2890</v>
      </c>
      <c r="J1334" s="32" t="s">
        <v>4868</v>
      </c>
      <c r="K1334" s="609">
        <v>45728.0</v>
      </c>
      <c r="L1334" s="33" t="s">
        <v>4873</v>
      </c>
      <c r="M1334" s="26"/>
      <c r="N1334" s="26"/>
      <c r="O1334" s="598">
        <v>46003.0</v>
      </c>
      <c r="P1334" s="407" t="s">
        <v>2560</v>
      </c>
    </row>
    <row r="1335" hidden="1">
      <c r="A1335" s="471">
        <v>13.0</v>
      </c>
      <c r="B1335" s="470" t="s">
        <v>4874</v>
      </c>
      <c r="C1335" s="471" t="s">
        <v>80</v>
      </c>
      <c r="D1335" s="306" t="s">
        <v>4875</v>
      </c>
      <c r="E1335" s="613" t="s">
        <v>4876</v>
      </c>
      <c r="F1335" s="471" t="s">
        <v>1316</v>
      </c>
      <c r="G1335" s="606">
        <v>46003.0</v>
      </c>
      <c r="H1335" s="472">
        <v>21.0</v>
      </c>
      <c r="I1335" s="471" t="s">
        <v>2890</v>
      </c>
      <c r="J1335" s="32" t="s">
        <v>4690</v>
      </c>
      <c r="K1335" s="611" t="s">
        <v>4560</v>
      </c>
      <c r="L1335" s="33" t="s">
        <v>374</v>
      </c>
      <c r="M1335" s="26"/>
      <c r="N1335" s="26"/>
      <c r="O1335" s="586">
        <v>45912.0</v>
      </c>
      <c r="P1335" s="385" t="s">
        <v>1432</v>
      </c>
    </row>
    <row r="1336" hidden="1">
      <c r="A1336" s="471">
        <v>14.0</v>
      </c>
      <c r="B1336" s="470" t="s">
        <v>4877</v>
      </c>
      <c r="C1336" s="471" t="s">
        <v>80</v>
      </c>
      <c r="D1336" s="306" t="s">
        <v>4878</v>
      </c>
      <c r="E1336" s="613" t="s">
        <v>4879</v>
      </c>
      <c r="F1336" s="471" t="s">
        <v>1316</v>
      </c>
      <c r="G1336" s="606">
        <v>46003.0</v>
      </c>
      <c r="H1336" s="472">
        <v>21.0</v>
      </c>
      <c r="I1336" s="531" t="s">
        <v>3043</v>
      </c>
      <c r="J1336" s="32" t="s">
        <v>4690</v>
      </c>
      <c r="K1336" s="611" t="s">
        <v>4560</v>
      </c>
      <c r="L1336" s="33" t="s">
        <v>374</v>
      </c>
      <c r="M1336" s="26"/>
      <c r="N1336" s="26"/>
      <c r="O1336" s="586">
        <v>45912.0</v>
      </c>
      <c r="P1336" s="385" t="s">
        <v>1432</v>
      </c>
    </row>
    <row r="1337" hidden="1">
      <c r="A1337" s="471">
        <v>15.0</v>
      </c>
      <c r="B1337" s="470" t="s">
        <v>4880</v>
      </c>
      <c r="C1337" s="471" t="s">
        <v>1185</v>
      </c>
      <c r="D1337" s="306" t="s">
        <v>4881</v>
      </c>
      <c r="E1337" s="471" t="s">
        <v>4882</v>
      </c>
      <c r="F1337" s="471" t="s">
        <v>310</v>
      </c>
      <c r="G1337" s="275" t="s">
        <v>4830</v>
      </c>
      <c r="H1337" s="472">
        <v>22.0</v>
      </c>
      <c r="I1337" s="471" t="s">
        <v>2890</v>
      </c>
      <c r="J1337" s="32" t="s">
        <v>4883</v>
      </c>
      <c r="K1337" s="609">
        <v>45728.0</v>
      </c>
      <c r="L1337" s="33" t="s">
        <v>4884</v>
      </c>
      <c r="M1337" s="26"/>
      <c r="N1337" s="26"/>
      <c r="O1337" s="598">
        <v>45942.0</v>
      </c>
      <c r="P1337" s="385" t="s">
        <v>1432</v>
      </c>
    </row>
    <row r="1338" hidden="1">
      <c r="A1338" s="471">
        <v>16.0</v>
      </c>
      <c r="B1338" s="470" t="s">
        <v>4885</v>
      </c>
      <c r="C1338" s="471" t="s">
        <v>80</v>
      </c>
      <c r="D1338" s="306" t="s">
        <v>4886</v>
      </c>
      <c r="E1338" s="471" t="s">
        <v>4887</v>
      </c>
      <c r="F1338" s="471" t="s">
        <v>4888</v>
      </c>
      <c r="G1338" s="275" t="s">
        <v>4830</v>
      </c>
      <c r="H1338" s="472">
        <v>22.0</v>
      </c>
      <c r="I1338" s="471" t="s">
        <v>2890</v>
      </c>
      <c r="J1338" s="32" t="s">
        <v>4883</v>
      </c>
      <c r="K1338" s="609">
        <v>45728.0</v>
      </c>
      <c r="L1338" s="33" t="s">
        <v>4884</v>
      </c>
      <c r="M1338" s="26"/>
      <c r="N1338" s="26"/>
      <c r="O1338" s="598">
        <v>46003.0</v>
      </c>
      <c r="P1338" s="385" t="s">
        <v>1432</v>
      </c>
    </row>
    <row r="1339" hidden="1">
      <c r="A1339" s="471">
        <v>17.0</v>
      </c>
      <c r="B1339" s="337" t="s">
        <v>4889</v>
      </c>
      <c r="C1339" s="471" t="s">
        <v>938</v>
      </c>
      <c r="D1339" s="306" t="s">
        <v>4890</v>
      </c>
      <c r="E1339" s="471" t="s">
        <v>4891</v>
      </c>
      <c r="F1339" s="471" t="s">
        <v>243</v>
      </c>
      <c r="G1339" s="275" t="s">
        <v>4453</v>
      </c>
      <c r="H1339" s="472">
        <v>7.0</v>
      </c>
      <c r="I1339" s="471" t="s">
        <v>2890</v>
      </c>
      <c r="J1339" s="32" t="s">
        <v>2065</v>
      </c>
      <c r="K1339" s="611" t="s">
        <v>4455</v>
      </c>
      <c r="L1339" s="33" t="s">
        <v>4892</v>
      </c>
      <c r="M1339" s="26"/>
      <c r="N1339" s="26"/>
      <c r="O1339" s="26"/>
      <c r="P1339" s="385" t="s">
        <v>1432</v>
      </c>
    </row>
    <row r="1340" hidden="1">
      <c r="A1340" s="471">
        <v>18.0</v>
      </c>
      <c r="B1340" s="470" t="s">
        <v>4893</v>
      </c>
      <c r="C1340" s="471" t="s">
        <v>651</v>
      </c>
      <c r="D1340" s="306" t="s">
        <v>4894</v>
      </c>
      <c r="E1340" s="471" t="s">
        <v>4895</v>
      </c>
      <c r="F1340" s="471" t="s">
        <v>4779</v>
      </c>
      <c r="G1340" s="275" t="s">
        <v>4896</v>
      </c>
      <c r="H1340" s="472">
        <v>23.0</v>
      </c>
      <c r="I1340" s="471" t="s">
        <v>2890</v>
      </c>
      <c r="J1340" s="32" t="s">
        <v>374</v>
      </c>
      <c r="K1340" s="586">
        <v>45912.0</v>
      </c>
      <c r="L1340" s="33" t="s">
        <v>374</v>
      </c>
      <c r="M1340" s="26"/>
      <c r="N1340" s="26"/>
      <c r="O1340" s="32" t="s">
        <v>4691</v>
      </c>
      <c r="P1340" s="407" t="s">
        <v>1798</v>
      </c>
    </row>
    <row r="1341" hidden="1">
      <c r="A1341" s="471">
        <v>19.0</v>
      </c>
      <c r="B1341" s="470" t="s">
        <v>4897</v>
      </c>
      <c r="C1341" s="471" t="s">
        <v>80</v>
      </c>
      <c r="D1341" s="306" t="s">
        <v>4898</v>
      </c>
      <c r="E1341" s="615" t="s">
        <v>44</v>
      </c>
      <c r="F1341" s="471" t="s">
        <v>44</v>
      </c>
      <c r="G1341" s="431">
        <v>45759.0</v>
      </c>
      <c r="H1341" s="472">
        <v>13.0</v>
      </c>
      <c r="I1341" s="471" t="s">
        <v>2890</v>
      </c>
      <c r="J1341" s="32" t="s">
        <v>2541</v>
      </c>
      <c r="K1341" s="32" t="s">
        <v>4576</v>
      </c>
      <c r="L1341" s="33" t="s">
        <v>778</v>
      </c>
      <c r="M1341" s="26"/>
      <c r="N1341" s="26"/>
      <c r="O1341" s="600">
        <v>45996.0</v>
      </c>
    </row>
    <row r="1342" hidden="1">
      <c r="A1342" s="471">
        <v>20.0</v>
      </c>
      <c r="B1342" s="470" t="s">
        <v>4899</v>
      </c>
      <c r="C1342" s="471" t="s">
        <v>80</v>
      </c>
      <c r="D1342" s="306" t="s">
        <v>4900</v>
      </c>
      <c r="E1342" s="615" t="s">
        <v>44</v>
      </c>
      <c r="F1342" s="471" t="s">
        <v>44</v>
      </c>
      <c r="G1342" s="431">
        <v>45759.0</v>
      </c>
      <c r="H1342" s="472">
        <v>13.0</v>
      </c>
      <c r="I1342" s="471" t="s">
        <v>2890</v>
      </c>
      <c r="J1342" s="32" t="s">
        <v>2541</v>
      </c>
      <c r="K1342" s="32" t="s">
        <v>4565</v>
      </c>
      <c r="L1342" s="33" t="s">
        <v>778</v>
      </c>
      <c r="M1342" s="26"/>
      <c r="N1342" s="26"/>
      <c r="O1342" s="600">
        <v>45996.0</v>
      </c>
    </row>
    <row r="1343" hidden="1">
      <c r="A1343" s="471">
        <v>21.0</v>
      </c>
      <c r="B1343" s="470" t="s">
        <v>4901</v>
      </c>
      <c r="C1343" s="471" t="s">
        <v>80</v>
      </c>
      <c r="D1343" s="306" t="s">
        <v>4902</v>
      </c>
      <c r="E1343" s="615" t="s">
        <v>44</v>
      </c>
      <c r="F1343" s="471" t="s">
        <v>44</v>
      </c>
      <c r="G1343" s="431">
        <v>45759.0</v>
      </c>
      <c r="H1343" s="472">
        <v>13.0</v>
      </c>
      <c r="I1343" s="471" t="s">
        <v>2890</v>
      </c>
      <c r="J1343" s="32" t="s">
        <v>2541</v>
      </c>
      <c r="K1343" s="32" t="s">
        <v>4565</v>
      </c>
      <c r="L1343" s="33" t="s">
        <v>778</v>
      </c>
      <c r="M1343" s="26"/>
      <c r="N1343" s="26"/>
      <c r="O1343" s="600">
        <v>45996.0</v>
      </c>
    </row>
    <row r="1344" hidden="1">
      <c r="A1344" s="342">
        <v>22.0</v>
      </c>
      <c r="B1344" s="512" t="s">
        <v>4903</v>
      </c>
      <c r="C1344" s="342" t="s">
        <v>80</v>
      </c>
      <c r="D1344" s="306" t="s">
        <v>4904</v>
      </c>
      <c r="E1344" s="616" t="s">
        <v>44</v>
      </c>
      <c r="F1344" s="342" t="s">
        <v>44</v>
      </c>
      <c r="G1344" s="275" t="s">
        <v>4896</v>
      </c>
      <c r="H1344" s="275">
        <v>23.0</v>
      </c>
      <c r="I1344" s="342" t="s">
        <v>2890</v>
      </c>
      <c r="J1344" s="617" t="s">
        <v>374</v>
      </c>
      <c r="K1344" s="617" t="s">
        <v>4565</v>
      </c>
      <c r="L1344" s="33" t="s">
        <v>778</v>
      </c>
      <c r="M1344" s="618"/>
      <c r="N1344" s="618"/>
      <c r="O1344" s="600">
        <v>45994.0</v>
      </c>
      <c r="P1344" s="581"/>
      <c r="Q1344" s="581"/>
      <c r="R1344" s="581"/>
      <c r="S1344" s="581"/>
      <c r="T1344" s="581"/>
      <c r="U1344" s="581"/>
      <c r="V1344" s="581"/>
      <c r="W1344" s="581"/>
      <c r="X1344" s="581"/>
      <c r="Y1344" s="581"/>
      <c r="Z1344" s="581"/>
      <c r="AA1344" s="581"/>
      <c r="AB1344" s="581"/>
      <c r="AC1344" s="581"/>
      <c r="AD1344" s="581"/>
      <c r="AE1344" s="581"/>
      <c r="AF1344" s="581"/>
    </row>
    <row r="1345" hidden="1">
      <c r="A1345" s="471">
        <v>23.0</v>
      </c>
      <c r="B1345" s="470" t="s">
        <v>4905</v>
      </c>
      <c r="C1345" s="471" t="s">
        <v>80</v>
      </c>
      <c r="D1345" s="306" t="s">
        <v>4906</v>
      </c>
      <c r="E1345" s="471" t="s">
        <v>4907</v>
      </c>
      <c r="F1345" s="471" t="s">
        <v>2315</v>
      </c>
      <c r="G1345" s="275" t="s">
        <v>4896</v>
      </c>
      <c r="H1345" s="472">
        <v>23.0</v>
      </c>
      <c r="I1345" s="471" t="s">
        <v>2890</v>
      </c>
      <c r="J1345" s="32" t="s">
        <v>51</v>
      </c>
      <c r="K1345" s="609">
        <v>45759.0</v>
      </c>
      <c r="L1345" s="33" t="s">
        <v>51</v>
      </c>
      <c r="M1345" s="26"/>
      <c r="N1345" s="26"/>
      <c r="O1345" s="32" t="s">
        <v>4691</v>
      </c>
      <c r="P1345" s="385" t="s">
        <v>1432</v>
      </c>
    </row>
    <row r="1346" hidden="1">
      <c r="A1346" s="471">
        <v>24.0</v>
      </c>
      <c r="B1346" s="470" t="s">
        <v>4908</v>
      </c>
      <c r="C1346" s="471" t="s">
        <v>80</v>
      </c>
      <c r="D1346" s="306" t="s">
        <v>4909</v>
      </c>
      <c r="E1346" s="471" t="s">
        <v>4910</v>
      </c>
      <c r="F1346" s="471" t="s">
        <v>356</v>
      </c>
      <c r="G1346" s="275" t="s">
        <v>4896</v>
      </c>
      <c r="H1346" s="472">
        <v>23.0</v>
      </c>
      <c r="I1346" s="471" t="s">
        <v>2890</v>
      </c>
      <c r="J1346" s="32" t="s">
        <v>4911</v>
      </c>
      <c r="K1346" s="609">
        <v>45820.0</v>
      </c>
      <c r="L1346" s="33" t="s">
        <v>51</v>
      </c>
      <c r="M1346" s="26"/>
      <c r="N1346" s="26"/>
      <c r="O1346" s="34" t="s">
        <v>4912</v>
      </c>
      <c r="P1346" s="385" t="s">
        <v>1432</v>
      </c>
    </row>
    <row r="1347" hidden="1">
      <c r="A1347" s="471">
        <v>25.0</v>
      </c>
      <c r="B1347" s="470" t="s">
        <v>4913</v>
      </c>
      <c r="C1347" s="471" t="s">
        <v>80</v>
      </c>
      <c r="D1347" s="306" t="s">
        <v>4914</v>
      </c>
      <c r="E1347" s="613" t="s">
        <v>4915</v>
      </c>
      <c r="F1347" s="471" t="s">
        <v>4916</v>
      </c>
      <c r="G1347" s="275" t="s">
        <v>4896</v>
      </c>
      <c r="H1347" s="472">
        <v>23.0</v>
      </c>
      <c r="I1347" s="471" t="s">
        <v>2890</v>
      </c>
      <c r="J1347" s="32" t="s">
        <v>4917</v>
      </c>
      <c r="K1347" s="32" t="s">
        <v>4560</v>
      </c>
      <c r="L1347" s="33" t="s">
        <v>374</v>
      </c>
      <c r="M1347" s="26"/>
      <c r="N1347" s="26"/>
      <c r="O1347" s="32" t="s">
        <v>4918</v>
      </c>
      <c r="P1347" s="385" t="s">
        <v>1432</v>
      </c>
    </row>
    <row r="1348" hidden="1">
      <c r="A1348" s="471">
        <v>26.0</v>
      </c>
      <c r="B1348" s="470" t="s">
        <v>4919</v>
      </c>
      <c r="C1348" s="471" t="s">
        <v>80</v>
      </c>
      <c r="D1348" s="306" t="s">
        <v>4920</v>
      </c>
      <c r="E1348" s="613" t="s">
        <v>4921</v>
      </c>
      <c r="F1348" s="471" t="s">
        <v>4916</v>
      </c>
      <c r="G1348" s="275" t="s">
        <v>4896</v>
      </c>
      <c r="H1348" s="472">
        <v>23.0</v>
      </c>
      <c r="I1348" s="471" t="s">
        <v>2890</v>
      </c>
      <c r="J1348" s="32" t="s">
        <v>4917</v>
      </c>
      <c r="K1348" s="32" t="s">
        <v>4560</v>
      </c>
      <c r="L1348" s="33" t="s">
        <v>374</v>
      </c>
      <c r="M1348" s="26"/>
      <c r="N1348" s="26"/>
      <c r="O1348" s="32" t="s">
        <v>4918</v>
      </c>
      <c r="P1348" s="385" t="s">
        <v>1432</v>
      </c>
    </row>
    <row r="1349" hidden="1">
      <c r="A1349" s="526">
        <v>27.0</v>
      </c>
      <c r="B1349" s="527" t="s">
        <v>4922</v>
      </c>
      <c r="C1349" s="526" t="s">
        <v>80</v>
      </c>
      <c r="D1349" s="619" t="s">
        <v>4923</v>
      </c>
      <c r="E1349" s="526" t="s">
        <v>4924</v>
      </c>
      <c r="F1349" s="526" t="s">
        <v>3583</v>
      </c>
      <c r="G1349" s="275" t="s">
        <v>4835</v>
      </c>
      <c r="H1349" s="472">
        <v>24.0</v>
      </c>
      <c r="I1349" s="471" t="s">
        <v>2890</v>
      </c>
      <c r="J1349" s="32" t="s">
        <v>2541</v>
      </c>
      <c r="K1349" s="32" t="s">
        <v>4554</v>
      </c>
      <c r="L1349" s="29"/>
      <c r="M1349" s="26"/>
      <c r="N1349" s="26"/>
      <c r="O1349" s="594">
        <v>45986.0</v>
      </c>
    </row>
    <row r="1350" hidden="1">
      <c r="A1350" s="471">
        <v>28.0</v>
      </c>
      <c r="B1350" s="337" t="s">
        <v>4925</v>
      </c>
      <c r="C1350" s="471" t="s">
        <v>80</v>
      </c>
      <c r="D1350" s="306" t="s">
        <v>4926</v>
      </c>
      <c r="E1350" s="471" t="s">
        <v>4927</v>
      </c>
      <c r="F1350" s="471" t="s">
        <v>3103</v>
      </c>
      <c r="G1350" s="275" t="s">
        <v>4928</v>
      </c>
      <c r="H1350" s="472">
        <v>9.0</v>
      </c>
      <c r="I1350" s="471" t="s">
        <v>2890</v>
      </c>
      <c r="J1350" s="32" t="s">
        <v>2065</v>
      </c>
      <c r="K1350" s="32" t="s">
        <v>4455</v>
      </c>
      <c r="L1350" s="29"/>
      <c r="M1350" s="26"/>
      <c r="N1350" s="26"/>
      <c r="O1350" s="32" t="s">
        <v>4565</v>
      </c>
      <c r="P1350" s="407" t="s">
        <v>1798</v>
      </c>
    </row>
    <row r="1351" hidden="1">
      <c r="A1351" s="471">
        <v>29.0</v>
      </c>
      <c r="B1351" s="470" t="s">
        <v>4929</v>
      </c>
      <c r="C1351" s="471" t="s">
        <v>80</v>
      </c>
      <c r="D1351" s="306" t="s">
        <v>4930</v>
      </c>
      <c r="E1351" s="471" t="s">
        <v>4931</v>
      </c>
      <c r="F1351" s="471" t="s">
        <v>4932</v>
      </c>
      <c r="G1351" s="275" t="s">
        <v>4835</v>
      </c>
      <c r="H1351" s="472">
        <v>24.0</v>
      </c>
      <c r="I1351" s="471" t="s">
        <v>2890</v>
      </c>
      <c r="J1351" s="32" t="s">
        <v>4911</v>
      </c>
      <c r="K1351" s="609">
        <v>45820.0</v>
      </c>
      <c r="L1351" s="33" t="s">
        <v>51</v>
      </c>
      <c r="M1351" s="26"/>
      <c r="N1351" s="26"/>
      <c r="O1351" s="32" t="s">
        <v>4810</v>
      </c>
      <c r="P1351" s="416" t="s">
        <v>4933</v>
      </c>
    </row>
    <row r="1352" hidden="1">
      <c r="A1352" s="471">
        <v>30.0</v>
      </c>
      <c r="B1352" s="470" t="s">
        <v>4934</v>
      </c>
      <c r="C1352" s="471" t="s">
        <v>938</v>
      </c>
      <c r="D1352" s="306" t="s">
        <v>4935</v>
      </c>
      <c r="E1352" s="613" t="s">
        <v>4936</v>
      </c>
      <c r="F1352" s="471" t="s">
        <v>243</v>
      </c>
      <c r="G1352" s="275" t="s">
        <v>4896</v>
      </c>
      <c r="H1352" s="472">
        <v>23.0</v>
      </c>
      <c r="I1352" s="471" t="s">
        <v>2890</v>
      </c>
      <c r="J1352" s="32" t="s">
        <v>4800</v>
      </c>
      <c r="K1352" s="609">
        <v>45669.0</v>
      </c>
      <c r="L1352" s="33" t="s">
        <v>374</v>
      </c>
      <c r="M1352" s="26"/>
      <c r="N1352" s="26"/>
      <c r="O1352" s="598">
        <v>45942.0</v>
      </c>
      <c r="P1352" s="416" t="s">
        <v>4937</v>
      </c>
    </row>
    <row r="1353" hidden="1">
      <c r="A1353" s="471">
        <v>31.0</v>
      </c>
      <c r="B1353" s="470" t="s">
        <v>4938</v>
      </c>
      <c r="C1353" s="471" t="s">
        <v>938</v>
      </c>
      <c r="D1353" s="306" t="s">
        <v>4939</v>
      </c>
      <c r="E1353" s="613" t="s">
        <v>4940</v>
      </c>
      <c r="F1353" s="471" t="s">
        <v>243</v>
      </c>
      <c r="G1353" s="275" t="s">
        <v>4896</v>
      </c>
      <c r="H1353" s="472">
        <v>23.0</v>
      </c>
      <c r="I1353" s="531" t="s">
        <v>3043</v>
      </c>
      <c r="J1353" s="32" t="s">
        <v>4800</v>
      </c>
      <c r="K1353" s="609">
        <v>45669.0</v>
      </c>
      <c r="L1353" s="33" t="s">
        <v>374</v>
      </c>
      <c r="M1353" s="26"/>
      <c r="N1353" s="26"/>
      <c r="O1353" s="598">
        <v>45942.0</v>
      </c>
      <c r="P1353" s="416" t="s">
        <v>4937</v>
      </c>
    </row>
    <row r="1354" hidden="1">
      <c r="A1354" s="471">
        <v>32.0</v>
      </c>
      <c r="B1354" s="610" t="s">
        <v>4941</v>
      </c>
      <c r="C1354" s="471" t="s">
        <v>80</v>
      </c>
      <c r="D1354" s="306" t="s">
        <v>4942</v>
      </c>
      <c r="E1354" s="471" t="s">
        <v>4943</v>
      </c>
      <c r="F1354" s="471" t="s">
        <v>2221</v>
      </c>
      <c r="G1354" s="275" t="s">
        <v>4896</v>
      </c>
      <c r="H1354" s="472">
        <v>23.0</v>
      </c>
      <c r="I1354" s="471" t="s">
        <v>2890</v>
      </c>
      <c r="J1354" s="32" t="s">
        <v>2541</v>
      </c>
      <c r="K1354" s="32" t="s">
        <v>4360</v>
      </c>
      <c r="L1354" s="29"/>
      <c r="M1354" s="26"/>
      <c r="N1354" s="26"/>
      <c r="O1354" s="32" t="s">
        <v>4576</v>
      </c>
      <c r="P1354" s="385" t="s">
        <v>1432</v>
      </c>
    </row>
    <row r="1355" hidden="1">
      <c r="A1355" s="526">
        <v>33.0</v>
      </c>
      <c r="B1355" s="527" t="s">
        <v>4944</v>
      </c>
      <c r="C1355" s="526" t="s">
        <v>80</v>
      </c>
      <c r="D1355" s="619" t="s">
        <v>4945</v>
      </c>
      <c r="E1355" s="526" t="s">
        <v>4946</v>
      </c>
      <c r="F1355" s="526" t="s">
        <v>4947</v>
      </c>
      <c r="G1355" s="275" t="s">
        <v>4835</v>
      </c>
      <c r="H1355" s="472">
        <v>24.0</v>
      </c>
      <c r="I1355" s="471" t="s">
        <v>2890</v>
      </c>
      <c r="J1355" s="32" t="s">
        <v>4195</v>
      </c>
      <c r="K1355" s="32" t="s">
        <v>4455</v>
      </c>
      <c r="L1355" s="29"/>
      <c r="M1355" s="26"/>
      <c r="N1355" s="26"/>
      <c r="O1355" s="32" t="s">
        <v>4455</v>
      </c>
      <c r="P1355" s="385" t="s">
        <v>1432</v>
      </c>
    </row>
    <row r="1356" hidden="1">
      <c r="A1356" s="471">
        <v>34.0</v>
      </c>
      <c r="B1356" s="470" t="s">
        <v>4948</v>
      </c>
      <c r="C1356" s="471" t="s">
        <v>80</v>
      </c>
      <c r="D1356" s="306" t="s">
        <v>4949</v>
      </c>
      <c r="E1356" s="471" t="s">
        <v>4950</v>
      </c>
      <c r="F1356" s="471" t="s">
        <v>356</v>
      </c>
      <c r="G1356" s="275" t="s">
        <v>4896</v>
      </c>
      <c r="H1356" s="472">
        <v>23.0</v>
      </c>
      <c r="I1356" s="471" t="s">
        <v>2890</v>
      </c>
      <c r="J1356" s="32" t="s">
        <v>4911</v>
      </c>
      <c r="K1356" s="586">
        <v>45881.0</v>
      </c>
      <c r="L1356" s="33" t="s">
        <v>51</v>
      </c>
      <c r="M1356" s="26"/>
      <c r="N1356" s="26"/>
      <c r="O1356" s="143" t="s">
        <v>4951</v>
      </c>
      <c r="P1356" s="385" t="s">
        <v>1432</v>
      </c>
    </row>
    <row r="1357" hidden="1">
      <c r="A1357" s="471">
        <v>35.0</v>
      </c>
      <c r="B1357" s="470" t="s">
        <v>4952</v>
      </c>
      <c r="C1357" s="471" t="s">
        <v>80</v>
      </c>
      <c r="D1357" s="306" t="s">
        <v>4953</v>
      </c>
      <c r="E1357" s="613" t="s">
        <v>4954</v>
      </c>
      <c r="F1357" s="471" t="s">
        <v>1644</v>
      </c>
      <c r="G1357" s="275" t="s">
        <v>4835</v>
      </c>
      <c r="H1357" s="472">
        <v>24.0</v>
      </c>
      <c r="I1357" s="471" t="s">
        <v>2890</v>
      </c>
      <c r="J1357" s="32" t="s">
        <v>4955</v>
      </c>
      <c r="K1357" s="609">
        <v>45700.0</v>
      </c>
      <c r="L1357" s="33" t="s">
        <v>374</v>
      </c>
      <c r="M1357" s="26"/>
      <c r="N1357" s="26"/>
      <c r="O1357" s="598">
        <v>45942.0</v>
      </c>
      <c r="P1357" s="385" t="s">
        <v>1432</v>
      </c>
    </row>
    <row r="1358" hidden="1">
      <c r="A1358" s="471">
        <v>36.0</v>
      </c>
      <c r="B1358" s="470" t="s">
        <v>4956</v>
      </c>
      <c r="C1358" s="471" t="s">
        <v>80</v>
      </c>
      <c r="D1358" s="306" t="s">
        <v>4957</v>
      </c>
      <c r="E1358" s="613" t="s">
        <v>4958</v>
      </c>
      <c r="F1358" s="471" t="s">
        <v>1644</v>
      </c>
      <c r="G1358" s="275" t="s">
        <v>4835</v>
      </c>
      <c r="H1358" s="472">
        <v>24.0</v>
      </c>
      <c r="I1358" s="471" t="s">
        <v>2890</v>
      </c>
      <c r="J1358" s="32" t="s">
        <v>4955</v>
      </c>
      <c r="K1358" s="609">
        <v>45700.0</v>
      </c>
      <c r="L1358" s="33" t="s">
        <v>374</v>
      </c>
      <c r="M1358" s="26"/>
      <c r="N1358" s="26"/>
      <c r="O1358" s="598">
        <v>45942.0</v>
      </c>
      <c r="P1358" s="385" t="s">
        <v>1432</v>
      </c>
    </row>
    <row r="1359" hidden="1">
      <c r="A1359" s="471">
        <v>37.0</v>
      </c>
      <c r="B1359" s="470" t="s">
        <v>4959</v>
      </c>
      <c r="C1359" s="471" t="s">
        <v>80</v>
      </c>
      <c r="D1359" s="306" t="s">
        <v>4960</v>
      </c>
      <c r="E1359" s="471" t="s">
        <v>4961</v>
      </c>
      <c r="F1359" s="471" t="s">
        <v>4962</v>
      </c>
      <c r="G1359" s="275" t="s">
        <v>4835</v>
      </c>
      <c r="H1359" s="472">
        <v>24.0</v>
      </c>
      <c r="I1359" s="471" t="s">
        <v>2890</v>
      </c>
      <c r="J1359" s="32" t="s">
        <v>4963</v>
      </c>
      <c r="K1359" s="26"/>
      <c r="L1359" s="33" t="s">
        <v>4884</v>
      </c>
      <c r="M1359" s="26"/>
      <c r="N1359" s="26"/>
      <c r="O1359" s="598">
        <v>46023.0</v>
      </c>
      <c r="P1359" s="385" t="s">
        <v>1432</v>
      </c>
    </row>
    <row r="1360" hidden="1">
      <c r="A1360" s="471">
        <v>38.0</v>
      </c>
      <c r="B1360" s="470" t="s">
        <v>4964</v>
      </c>
      <c r="C1360" s="471" t="s">
        <v>80</v>
      </c>
      <c r="D1360" s="306" t="s">
        <v>4965</v>
      </c>
      <c r="E1360" s="613" t="s">
        <v>4966</v>
      </c>
      <c r="F1360" s="471" t="s">
        <v>4967</v>
      </c>
      <c r="G1360" s="275" t="s">
        <v>4968</v>
      </c>
      <c r="H1360" s="472">
        <v>25.0</v>
      </c>
      <c r="I1360" s="471" t="s">
        <v>2890</v>
      </c>
      <c r="J1360" s="32" t="s">
        <v>4955</v>
      </c>
      <c r="K1360" s="609">
        <v>45700.0</v>
      </c>
      <c r="L1360" s="33" t="s">
        <v>374</v>
      </c>
      <c r="M1360" s="26"/>
      <c r="N1360" s="26"/>
      <c r="O1360" s="598">
        <v>46003.0</v>
      </c>
      <c r="P1360" s="385" t="s">
        <v>1432</v>
      </c>
    </row>
    <row r="1361" hidden="1">
      <c r="A1361" s="471">
        <v>39.0</v>
      </c>
      <c r="B1361" s="470" t="s">
        <v>4969</v>
      </c>
      <c r="C1361" s="471" t="s">
        <v>80</v>
      </c>
      <c r="D1361" s="306" t="s">
        <v>4970</v>
      </c>
      <c r="E1361" s="613" t="s">
        <v>4971</v>
      </c>
      <c r="F1361" s="471" t="s">
        <v>4967</v>
      </c>
      <c r="G1361" s="275" t="s">
        <v>4968</v>
      </c>
      <c r="H1361" s="472">
        <v>25.0</v>
      </c>
      <c r="I1361" s="471" t="s">
        <v>2890</v>
      </c>
      <c r="J1361" s="32" t="s">
        <v>4955</v>
      </c>
      <c r="K1361" s="609">
        <v>45700.0</v>
      </c>
      <c r="L1361" s="33" t="s">
        <v>374</v>
      </c>
      <c r="M1361" s="26"/>
      <c r="N1361" s="26"/>
      <c r="O1361" s="598">
        <v>46003.0</v>
      </c>
      <c r="P1361" s="385" t="s">
        <v>1432</v>
      </c>
    </row>
    <row r="1362" hidden="1">
      <c r="A1362" s="471">
        <v>40.0</v>
      </c>
      <c r="B1362" s="470" t="s">
        <v>4972</v>
      </c>
      <c r="C1362" s="471" t="s">
        <v>80</v>
      </c>
      <c r="D1362" s="306" t="s">
        <v>4973</v>
      </c>
      <c r="E1362" s="471" t="s">
        <v>4974</v>
      </c>
      <c r="F1362" s="471" t="s">
        <v>928</v>
      </c>
      <c r="G1362" s="275" t="s">
        <v>4835</v>
      </c>
      <c r="H1362" s="472">
        <v>24.0</v>
      </c>
      <c r="I1362" s="471" t="s">
        <v>2890</v>
      </c>
      <c r="J1362" s="32" t="s">
        <v>4884</v>
      </c>
      <c r="K1362" s="598">
        <v>45973.0</v>
      </c>
      <c r="L1362" s="33" t="s">
        <v>4884</v>
      </c>
      <c r="M1362" s="26"/>
      <c r="N1362" s="26"/>
      <c r="O1362" s="32" t="s">
        <v>4912</v>
      </c>
      <c r="P1362" s="385" t="s">
        <v>1432</v>
      </c>
    </row>
    <row r="1363" hidden="1">
      <c r="A1363" s="471">
        <v>41.0</v>
      </c>
      <c r="B1363" s="470" t="s">
        <v>4975</v>
      </c>
      <c r="C1363" s="471" t="s">
        <v>80</v>
      </c>
      <c r="D1363" s="306" t="s">
        <v>4976</v>
      </c>
      <c r="E1363" s="613" t="s">
        <v>4977</v>
      </c>
      <c r="F1363" s="471" t="s">
        <v>838</v>
      </c>
      <c r="G1363" s="275" t="s">
        <v>4968</v>
      </c>
      <c r="H1363" s="472">
        <v>25.0</v>
      </c>
      <c r="I1363" s="471" t="s">
        <v>2890</v>
      </c>
      <c r="J1363" s="32" t="s">
        <v>4917</v>
      </c>
      <c r="K1363" s="32" t="s">
        <v>4560</v>
      </c>
      <c r="L1363" s="33" t="s">
        <v>374</v>
      </c>
      <c r="M1363" s="26"/>
      <c r="N1363" s="26"/>
      <c r="O1363" s="32" t="s">
        <v>4691</v>
      </c>
      <c r="P1363" s="385" t="s">
        <v>1432</v>
      </c>
    </row>
    <row r="1364" hidden="1">
      <c r="A1364" s="471">
        <v>42.0</v>
      </c>
      <c r="B1364" s="470" t="s">
        <v>4978</v>
      </c>
      <c r="C1364" s="471" t="s">
        <v>80</v>
      </c>
      <c r="D1364" s="306" t="s">
        <v>4979</v>
      </c>
      <c r="E1364" s="613" t="s">
        <v>4980</v>
      </c>
      <c r="F1364" s="471" t="s">
        <v>838</v>
      </c>
      <c r="G1364" s="275" t="s">
        <v>4968</v>
      </c>
      <c r="H1364" s="472">
        <v>25.0</v>
      </c>
      <c r="I1364" s="486" t="s">
        <v>3465</v>
      </c>
      <c r="J1364" s="32" t="s">
        <v>4917</v>
      </c>
      <c r="K1364" s="32" t="s">
        <v>4560</v>
      </c>
      <c r="L1364" s="33" t="s">
        <v>374</v>
      </c>
      <c r="M1364" s="26"/>
      <c r="N1364" s="26"/>
      <c r="O1364" s="32" t="s">
        <v>4691</v>
      </c>
      <c r="P1364" s="385" t="s">
        <v>1432</v>
      </c>
    </row>
    <row r="1365" hidden="1">
      <c r="A1365" s="471">
        <v>43.0</v>
      </c>
      <c r="B1365" s="470" t="s">
        <v>4981</v>
      </c>
      <c r="C1365" s="471" t="s">
        <v>651</v>
      </c>
      <c r="D1365" s="306" t="s">
        <v>4982</v>
      </c>
      <c r="E1365" s="471" t="s">
        <v>4983</v>
      </c>
      <c r="F1365" s="471" t="s">
        <v>4779</v>
      </c>
      <c r="G1365" s="275" t="s">
        <v>4968</v>
      </c>
      <c r="H1365" s="472">
        <v>25.0</v>
      </c>
      <c r="I1365" s="471" t="s">
        <v>2890</v>
      </c>
      <c r="J1365" s="32" t="s">
        <v>4984</v>
      </c>
      <c r="K1365" s="598">
        <v>45942.0</v>
      </c>
      <c r="L1365" s="33" t="s">
        <v>374</v>
      </c>
      <c r="M1365" s="26"/>
      <c r="N1365" s="26"/>
      <c r="O1365" s="32" t="s">
        <v>4691</v>
      </c>
      <c r="P1365" s="407" t="s">
        <v>1798</v>
      </c>
    </row>
    <row r="1366" hidden="1">
      <c r="A1366" s="471">
        <v>44.0</v>
      </c>
      <c r="B1366" s="470" t="s">
        <v>4985</v>
      </c>
      <c r="C1366" s="471" t="s">
        <v>651</v>
      </c>
      <c r="D1366" s="306" t="s">
        <v>4986</v>
      </c>
      <c r="E1366" s="471" t="s">
        <v>4987</v>
      </c>
      <c r="F1366" s="471" t="s">
        <v>4779</v>
      </c>
      <c r="G1366" s="275" t="s">
        <v>4968</v>
      </c>
      <c r="H1366" s="472">
        <v>25.0</v>
      </c>
      <c r="I1366" s="471" t="s">
        <v>2890</v>
      </c>
      <c r="J1366" s="32" t="s">
        <v>4988</v>
      </c>
      <c r="K1366" s="32" t="s">
        <v>4951</v>
      </c>
      <c r="L1366" s="33" t="s">
        <v>374</v>
      </c>
      <c r="M1366" s="26"/>
      <c r="N1366" s="26"/>
      <c r="O1366" s="32" t="s">
        <v>210</v>
      </c>
      <c r="P1366" s="407" t="s">
        <v>1798</v>
      </c>
    </row>
    <row r="1367" hidden="1">
      <c r="A1367" s="471">
        <v>45.0</v>
      </c>
      <c r="B1367" s="470" t="s">
        <v>4989</v>
      </c>
      <c r="C1367" s="471" t="s">
        <v>80</v>
      </c>
      <c r="D1367" s="306" t="s">
        <v>4990</v>
      </c>
      <c r="E1367" s="613" t="s">
        <v>4991</v>
      </c>
      <c r="F1367" s="471" t="s">
        <v>3029</v>
      </c>
      <c r="G1367" s="275" t="s">
        <v>4968</v>
      </c>
      <c r="H1367" s="472">
        <v>25.0</v>
      </c>
      <c r="I1367" s="471" t="s">
        <v>2890</v>
      </c>
      <c r="J1367" s="32" t="s">
        <v>4868</v>
      </c>
      <c r="K1367" s="609">
        <v>45700.0</v>
      </c>
      <c r="L1367" s="33" t="s">
        <v>374</v>
      </c>
      <c r="M1367" s="26"/>
      <c r="N1367" s="26"/>
      <c r="O1367" s="598">
        <v>45942.0</v>
      </c>
      <c r="P1367" s="385" t="s">
        <v>1432</v>
      </c>
    </row>
    <row r="1368" hidden="1">
      <c r="A1368" s="471">
        <v>46.0</v>
      </c>
      <c r="B1368" s="470" t="s">
        <v>4992</v>
      </c>
      <c r="C1368" s="471" t="s">
        <v>80</v>
      </c>
      <c r="D1368" s="306" t="s">
        <v>4993</v>
      </c>
      <c r="E1368" s="613" t="s">
        <v>4994</v>
      </c>
      <c r="F1368" s="471" t="s">
        <v>3029</v>
      </c>
      <c r="G1368" s="275" t="s">
        <v>4968</v>
      </c>
      <c r="H1368" s="472">
        <v>25.0</v>
      </c>
      <c r="I1368" s="471" t="s">
        <v>2890</v>
      </c>
      <c r="J1368" s="32" t="s">
        <v>4868</v>
      </c>
      <c r="K1368" s="609">
        <v>45700.0</v>
      </c>
      <c r="L1368" s="33" t="s">
        <v>374</v>
      </c>
      <c r="M1368" s="26"/>
      <c r="N1368" s="26"/>
      <c r="O1368" s="598">
        <v>45942.0</v>
      </c>
      <c r="P1368" s="385" t="s">
        <v>1432</v>
      </c>
    </row>
    <row r="1369" hidden="1">
      <c r="A1369" s="471">
        <v>47.0</v>
      </c>
      <c r="B1369" s="470" t="s">
        <v>4995</v>
      </c>
      <c r="C1369" s="471" t="s">
        <v>80</v>
      </c>
      <c r="D1369" s="306" t="s">
        <v>4996</v>
      </c>
      <c r="E1369" s="613" t="s">
        <v>4997</v>
      </c>
      <c r="F1369" s="471" t="s">
        <v>4998</v>
      </c>
      <c r="G1369" s="275" t="s">
        <v>4999</v>
      </c>
      <c r="H1369" s="472">
        <v>26.0</v>
      </c>
      <c r="I1369" s="471" t="s">
        <v>2890</v>
      </c>
      <c r="J1369" s="32" t="s">
        <v>4868</v>
      </c>
      <c r="K1369" s="609">
        <v>45700.0</v>
      </c>
      <c r="L1369" s="33" t="s">
        <v>374</v>
      </c>
      <c r="M1369" s="26"/>
      <c r="N1369" s="26"/>
      <c r="O1369" s="32" t="s">
        <v>4951</v>
      </c>
      <c r="P1369" s="385" t="s">
        <v>1432</v>
      </c>
    </row>
    <row r="1370" hidden="1">
      <c r="A1370" s="471">
        <v>48.0</v>
      </c>
      <c r="B1370" s="470" t="s">
        <v>5000</v>
      </c>
      <c r="C1370" s="471" t="s">
        <v>80</v>
      </c>
      <c r="D1370" s="306" t="s">
        <v>5001</v>
      </c>
      <c r="E1370" s="613" t="s">
        <v>5002</v>
      </c>
      <c r="F1370" s="471" t="s">
        <v>4998</v>
      </c>
      <c r="G1370" s="275" t="s">
        <v>4999</v>
      </c>
      <c r="H1370" s="472">
        <v>26.0</v>
      </c>
      <c r="I1370" s="471" t="s">
        <v>2890</v>
      </c>
      <c r="J1370" s="32" t="s">
        <v>4868</v>
      </c>
      <c r="K1370" s="609">
        <v>45700.0</v>
      </c>
      <c r="L1370" s="33" t="s">
        <v>374</v>
      </c>
      <c r="M1370" s="26"/>
      <c r="N1370" s="26"/>
      <c r="O1370" s="32" t="s">
        <v>4951</v>
      </c>
      <c r="P1370" s="385" t="s">
        <v>1432</v>
      </c>
    </row>
    <row r="1371" hidden="1">
      <c r="A1371" s="339" t="s">
        <v>5003</v>
      </c>
    </row>
    <row r="1372" hidden="1">
      <c r="A1372" s="4" t="s">
        <v>47</v>
      </c>
      <c r="B1372" s="534" t="s">
        <v>7</v>
      </c>
      <c r="C1372" s="4" t="s">
        <v>9</v>
      </c>
      <c r="D1372" s="4" t="s">
        <v>10</v>
      </c>
      <c r="E1372" s="4" t="s">
        <v>11</v>
      </c>
      <c r="F1372" s="4" t="s">
        <v>12</v>
      </c>
      <c r="G1372" s="4" t="s">
        <v>2378</v>
      </c>
      <c r="H1372" s="4" t="s">
        <v>2681</v>
      </c>
      <c r="I1372" s="4" t="s">
        <v>2847</v>
      </c>
      <c r="J1372" s="8" t="s">
        <v>14</v>
      </c>
      <c r="K1372" s="9" t="s">
        <v>16</v>
      </c>
      <c r="L1372" s="9" t="s">
        <v>4330</v>
      </c>
      <c r="M1372" s="9" t="s">
        <v>18</v>
      </c>
      <c r="N1372" s="9" t="s">
        <v>19</v>
      </c>
      <c r="O1372" s="9" t="s">
        <v>20</v>
      </c>
      <c r="P1372" s="9" t="s">
        <v>21</v>
      </c>
      <c r="Q1372" s="35"/>
      <c r="R1372" s="35"/>
      <c r="S1372" s="35"/>
      <c r="T1372" s="35"/>
      <c r="U1372" s="35"/>
      <c r="V1372" s="35"/>
      <c r="W1372" s="35"/>
      <c r="X1372" s="35"/>
      <c r="Y1372" s="35"/>
      <c r="Z1372" s="35"/>
      <c r="AA1372" s="35"/>
      <c r="AB1372" s="35"/>
      <c r="AC1372" s="35"/>
      <c r="AD1372" s="35"/>
      <c r="AE1372" s="35"/>
      <c r="AF1372" s="35"/>
    </row>
    <row r="1373" hidden="1">
      <c r="A1373" s="526">
        <v>1.0</v>
      </c>
      <c r="B1373" s="527" t="s">
        <v>5004</v>
      </c>
      <c r="C1373" s="526" t="s">
        <v>80</v>
      </c>
      <c r="D1373" s="504" t="s">
        <v>5005</v>
      </c>
      <c r="E1373" s="526" t="s">
        <v>5006</v>
      </c>
      <c r="F1373" s="526" t="s">
        <v>4405</v>
      </c>
      <c r="G1373" s="275" t="s">
        <v>4896</v>
      </c>
      <c r="H1373" s="472">
        <v>20.0</v>
      </c>
      <c r="I1373" s="620" t="s">
        <v>2890</v>
      </c>
      <c r="J1373" s="34" t="s">
        <v>5007</v>
      </c>
      <c r="K1373" s="34" t="s">
        <v>4560</v>
      </c>
      <c r="L1373" s="33" t="s">
        <v>374</v>
      </c>
      <c r="M1373" s="26"/>
      <c r="N1373" s="26"/>
      <c r="O1373" s="32" t="s">
        <v>4560</v>
      </c>
      <c r="P1373" s="385" t="s">
        <v>1432</v>
      </c>
    </row>
    <row r="1374" hidden="1">
      <c r="A1374" s="526">
        <v>2.0</v>
      </c>
      <c r="B1374" s="527" t="s">
        <v>5008</v>
      </c>
      <c r="C1374" s="526" t="s">
        <v>80</v>
      </c>
      <c r="D1374" s="504" t="s">
        <v>5009</v>
      </c>
      <c r="E1374" s="526" t="s">
        <v>5010</v>
      </c>
      <c r="F1374" s="526" t="s">
        <v>718</v>
      </c>
      <c r="G1374" s="275" t="s">
        <v>4968</v>
      </c>
      <c r="H1374" s="472">
        <v>22.0</v>
      </c>
      <c r="I1374" s="620" t="s">
        <v>2890</v>
      </c>
      <c r="J1374" s="34" t="s">
        <v>5007</v>
      </c>
      <c r="K1374" s="19"/>
      <c r="L1374" s="29"/>
      <c r="M1374" s="26"/>
      <c r="N1374" s="26"/>
      <c r="O1374" s="32" t="s">
        <v>4576</v>
      </c>
      <c r="P1374" s="407" t="s">
        <v>2560</v>
      </c>
    </row>
    <row r="1375" hidden="1">
      <c r="A1375" s="471">
        <v>3.0</v>
      </c>
      <c r="B1375" s="621" t="s">
        <v>5011</v>
      </c>
      <c r="C1375" s="471" t="s">
        <v>80</v>
      </c>
      <c r="D1375" s="342" t="s">
        <v>5012</v>
      </c>
      <c r="E1375" s="471" t="s">
        <v>5013</v>
      </c>
      <c r="F1375" s="471" t="s">
        <v>4666</v>
      </c>
      <c r="G1375" s="275" t="s">
        <v>4999</v>
      </c>
      <c r="H1375" s="472">
        <v>23.0</v>
      </c>
      <c r="I1375" s="620" t="s">
        <v>2890</v>
      </c>
      <c r="J1375" s="34" t="s">
        <v>5014</v>
      </c>
      <c r="K1375" s="622">
        <v>45820.0</v>
      </c>
      <c r="L1375" s="33" t="s">
        <v>4884</v>
      </c>
      <c r="M1375" s="26"/>
      <c r="N1375" s="26"/>
      <c r="O1375" s="32" t="s">
        <v>5015</v>
      </c>
      <c r="P1375" s="385" t="s">
        <v>1432</v>
      </c>
    </row>
    <row r="1376" hidden="1">
      <c r="A1376" s="471">
        <v>4.0</v>
      </c>
      <c r="B1376" s="470" t="s">
        <v>5016</v>
      </c>
      <c r="C1376" s="471" t="s">
        <v>80</v>
      </c>
      <c r="D1376" s="342" t="s">
        <v>5017</v>
      </c>
      <c r="E1376" s="471" t="s">
        <v>5018</v>
      </c>
      <c r="F1376" s="471" t="s">
        <v>5019</v>
      </c>
      <c r="G1376" s="275" t="s">
        <v>5020</v>
      </c>
      <c r="H1376" s="472">
        <v>24.0</v>
      </c>
      <c r="I1376" s="620" t="s">
        <v>2890</v>
      </c>
      <c r="J1376" s="32" t="s">
        <v>5021</v>
      </c>
      <c r="K1376" s="148">
        <v>45881.0</v>
      </c>
      <c r="L1376" s="33" t="s">
        <v>4884</v>
      </c>
      <c r="M1376" s="26"/>
      <c r="N1376" s="26"/>
      <c r="O1376" s="32" t="s">
        <v>5022</v>
      </c>
      <c r="P1376" s="416" t="s">
        <v>4937</v>
      </c>
    </row>
    <row r="1377" hidden="1">
      <c r="A1377" s="471">
        <v>5.0</v>
      </c>
      <c r="B1377" s="470" t="s">
        <v>5023</v>
      </c>
      <c r="C1377" s="471" t="s">
        <v>2307</v>
      </c>
      <c r="D1377" s="342" t="s">
        <v>5024</v>
      </c>
      <c r="E1377" s="471" t="s">
        <v>5025</v>
      </c>
      <c r="F1377" s="471" t="s">
        <v>4358</v>
      </c>
      <c r="G1377" s="275" t="s">
        <v>5020</v>
      </c>
      <c r="H1377" s="472">
        <v>24.0</v>
      </c>
      <c r="I1377" s="620" t="s">
        <v>2890</v>
      </c>
      <c r="J1377" s="34" t="s">
        <v>5026</v>
      </c>
      <c r="K1377" s="34" t="s">
        <v>5027</v>
      </c>
      <c r="L1377" s="33" t="s">
        <v>4158</v>
      </c>
      <c r="M1377" s="26"/>
      <c r="N1377" s="26"/>
      <c r="O1377" s="32" t="s">
        <v>4810</v>
      </c>
      <c r="P1377" s="385" t="s">
        <v>1432</v>
      </c>
    </row>
    <row r="1378" hidden="1">
      <c r="A1378" s="471">
        <v>6.0</v>
      </c>
      <c r="B1378" s="470" t="s">
        <v>5028</v>
      </c>
      <c r="C1378" s="471" t="s">
        <v>651</v>
      </c>
      <c r="D1378" s="342" t="s">
        <v>5029</v>
      </c>
      <c r="E1378" s="471" t="s">
        <v>5030</v>
      </c>
      <c r="F1378" s="471" t="s">
        <v>4779</v>
      </c>
      <c r="G1378" s="275" t="s">
        <v>5020</v>
      </c>
      <c r="H1378" s="472">
        <v>24.0</v>
      </c>
      <c r="I1378" s="623" t="s">
        <v>3465</v>
      </c>
      <c r="J1378" s="32" t="s">
        <v>4984</v>
      </c>
      <c r="K1378" s="478">
        <v>45942.0</v>
      </c>
      <c r="L1378" s="33" t="s">
        <v>4884</v>
      </c>
      <c r="M1378" s="26"/>
      <c r="N1378" s="26"/>
      <c r="O1378" s="32" t="s">
        <v>5015</v>
      </c>
      <c r="P1378" s="407" t="s">
        <v>1798</v>
      </c>
    </row>
    <row r="1379" hidden="1">
      <c r="A1379" s="471">
        <v>7.0</v>
      </c>
      <c r="B1379" s="470" t="s">
        <v>5031</v>
      </c>
      <c r="C1379" s="471" t="s">
        <v>938</v>
      </c>
      <c r="D1379" s="342" t="s">
        <v>5032</v>
      </c>
      <c r="E1379" s="613" t="s">
        <v>5033</v>
      </c>
      <c r="F1379" s="471" t="s">
        <v>243</v>
      </c>
      <c r="G1379" s="275" t="s">
        <v>5034</v>
      </c>
      <c r="H1379" s="472">
        <v>25.0</v>
      </c>
      <c r="I1379" s="620" t="s">
        <v>2890</v>
      </c>
      <c r="J1379" s="34" t="s">
        <v>374</v>
      </c>
      <c r="K1379" s="19"/>
      <c r="L1379" s="33" t="s">
        <v>5035</v>
      </c>
      <c r="M1379" s="26"/>
      <c r="N1379" s="26"/>
      <c r="O1379" s="598">
        <v>45942.0</v>
      </c>
      <c r="P1379" s="385" t="s">
        <v>1432</v>
      </c>
    </row>
    <row r="1380" hidden="1">
      <c r="A1380" s="471">
        <v>8.0</v>
      </c>
      <c r="B1380" s="470" t="s">
        <v>5036</v>
      </c>
      <c r="C1380" s="471" t="s">
        <v>938</v>
      </c>
      <c r="D1380" s="342" t="s">
        <v>5037</v>
      </c>
      <c r="E1380" s="613" t="s">
        <v>5038</v>
      </c>
      <c r="F1380" s="471" t="s">
        <v>243</v>
      </c>
      <c r="G1380" s="275" t="s">
        <v>5034</v>
      </c>
      <c r="H1380" s="472">
        <v>25.0</v>
      </c>
      <c r="I1380" s="620" t="s">
        <v>2890</v>
      </c>
      <c r="J1380" s="34" t="s">
        <v>374</v>
      </c>
      <c r="K1380" s="19"/>
      <c r="L1380" s="33" t="s">
        <v>5035</v>
      </c>
      <c r="M1380" s="26"/>
      <c r="N1380" s="26"/>
      <c r="O1380" s="598">
        <v>45942.0</v>
      </c>
      <c r="P1380" s="385" t="s">
        <v>1432</v>
      </c>
    </row>
    <row r="1381" hidden="1">
      <c r="A1381" s="471">
        <v>9.0</v>
      </c>
      <c r="B1381" s="470" t="s">
        <v>5039</v>
      </c>
      <c r="C1381" s="471" t="s">
        <v>938</v>
      </c>
      <c r="D1381" s="342" t="s">
        <v>5040</v>
      </c>
      <c r="E1381" s="613" t="s">
        <v>5041</v>
      </c>
      <c r="F1381" s="471" t="s">
        <v>243</v>
      </c>
      <c r="G1381" s="275" t="s">
        <v>5034</v>
      </c>
      <c r="H1381" s="472">
        <v>25.0</v>
      </c>
      <c r="I1381" s="620" t="s">
        <v>2890</v>
      </c>
      <c r="J1381" s="34" t="s">
        <v>2065</v>
      </c>
      <c r="K1381" s="148">
        <v>45881.0</v>
      </c>
      <c r="L1381" s="33" t="s">
        <v>5035</v>
      </c>
      <c r="M1381" s="26"/>
      <c r="N1381" s="26"/>
      <c r="O1381" s="32" t="s">
        <v>4810</v>
      </c>
      <c r="P1381" s="385" t="s">
        <v>1432</v>
      </c>
    </row>
    <row r="1382" hidden="1">
      <c r="A1382" s="471">
        <v>10.0</v>
      </c>
      <c r="B1382" s="470" t="s">
        <v>5042</v>
      </c>
      <c r="C1382" s="471" t="s">
        <v>938</v>
      </c>
      <c r="D1382" s="342" t="s">
        <v>5043</v>
      </c>
      <c r="E1382" s="613" t="s">
        <v>5044</v>
      </c>
      <c r="F1382" s="471" t="s">
        <v>243</v>
      </c>
      <c r="G1382" s="275" t="s">
        <v>5034</v>
      </c>
      <c r="H1382" s="472">
        <v>25.0</v>
      </c>
      <c r="I1382" s="620" t="s">
        <v>2890</v>
      </c>
      <c r="J1382" s="34" t="s">
        <v>2065</v>
      </c>
      <c r="K1382" s="148">
        <v>45881.0</v>
      </c>
      <c r="L1382" s="33" t="s">
        <v>5035</v>
      </c>
      <c r="M1382" s="26"/>
      <c r="N1382" s="26"/>
      <c r="O1382" s="32" t="s">
        <v>4810</v>
      </c>
      <c r="P1382" s="385" t="s">
        <v>1432</v>
      </c>
    </row>
    <row r="1383" hidden="1">
      <c r="A1383" s="471">
        <v>11.0</v>
      </c>
      <c r="B1383" s="470" t="s">
        <v>5045</v>
      </c>
      <c r="C1383" s="471" t="s">
        <v>80</v>
      </c>
      <c r="D1383" s="342" t="s">
        <v>5046</v>
      </c>
      <c r="E1383" s="471" t="s">
        <v>44</v>
      </c>
      <c r="F1383" s="471" t="s">
        <v>44</v>
      </c>
      <c r="G1383" s="431">
        <v>45912.0</v>
      </c>
      <c r="H1383" s="472">
        <v>15.0</v>
      </c>
      <c r="I1383" s="620" t="s">
        <v>2890</v>
      </c>
      <c r="J1383" s="34" t="s">
        <v>2541</v>
      </c>
      <c r="K1383" s="148">
        <v>45789.0</v>
      </c>
      <c r="L1383" s="33" t="s">
        <v>778</v>
      </c>
      <c r="M1383" s="26"/>
      <c r="N1383" s="26"/>
      <c r="O1383" s="594">
        <v>46002.0</v>
      </c>
      <c r="P1383" s="26"/>
    </row>
    <row r="1384" hidden="1">
      <c r="A1384" s="471">
        <v>12.0</v>
      </c>
      <c r="B1384" s="470" t="s">
        <v>5047</v>
      </c>
      <c r="C1384" s="471" t="s">
        <v>80</v>
      </c>
      <c r="D1384" s="342" t="s">
        <v>5048</v>
      </c>
      <c r="E1384" s="471" t="s">
        <v>44</v>
      </c>
      <c r="F1384" s="471" t="s">
        <v>44</v>
      </c>
      <c r="G1384" s="431">
        <v>45912.0</v>
      </c>
      <c r="H1384" s="472">
        <v>15.0</v>
      </c>
      <c r="I1384" s="620" t="s">
        <v>2890</v>
      </c>
      <c r="J1384" s="34" t="s">
        <v>2541</v>
      </c>
      <c r="K1384" s="148">
        <v>45789.0</v>
      </c>
      <c r="L1384" s="33" t="s">
        <v>778</v>
      </c>
      <c r="M1384" s="26"/>
      <c r="N1384" s="26"/>
      <c r="O1384" s="594">
        <v>46002.0</v>
      </c>
      <c r="P1384" s="26"/>
    </row>
    <row r="1385" hidden="1">
      <c r="A1385" s="471">
        <v>13.0</v>
      </c>
      <c r="B1385" s="470" t="s">
        <v>5049</v>
      </c>
      <c r="C1385" s="471" t="s">
        <v>80</v>
      </c>
      <c r="D1385" s="342" t="s">
        <v>5050</v>
      </c>
      <c r="E1385" s="471" t="s">
        <v>44</v>
      </c>
      <c r="F1385" s="471" t="s">
        <v>44</v>
      </c>
      <c r="G1385" s="431">
        <v>45912.0</v>
      </c>
      <c r="H1385" s="472">
        <v>15.0</v>
      </c>
      <c r="I1385" s="620" t="s">
        <v>2890</v>
      </c>
      <c r="J1385" s="34" t="s">
        <v>2541</v>
      </c>
      <c r="K1385" s="148">
        <v>45700.0</v>
      </c>
      <c r="L1385" s="33" t="s">
        <v>778</v>
      </c>
      <c r="M1385" s="26"/>
      <c r="N1385" s="26"/>
      <c r="O1385" s="594">
        <v>46002.0</v>
      </c>
      <c r="P1385" s="26"/>
    </row>
    <row r="1386" hidden="1">
      <c r="A1386" s="471">
        <v>14.0</v>
      </c>
      <c r="B1386" s="470" t="s">
        <v>5051</v>
      </c>
      <c r="C1386" s="471" t="s">
        <v>80</v>
      </c>
      <c r="D1386" s="342" t="s">
        <v>5052</v>
      </c>
      <c r="E1386" s="471" t="s">
        <v>44</v>
      </c>
      <c r="F1386" s="471" t="s">
        <v>44</v>
      </c>
      <c r="G1386" s="431">
        <v>45912.0</v>
      </c>
      <c r="H1386" s="472">
        <v>15.0</v>
      </c>
      <c r="I1386" s="620" t="s">
        <v>2890</v>
      </c>
      <c r="J1386" s="34" t="s">
        <v>2541</v>
      </c>
      <c r="K1386" s="148">
        <v>45700.0</v>
      </c>
      <c r="L1386" s="33" t="s">
        <v>778</v>
      </c>
      <c r="M1386" s="26"/>
      <c r="N1386" s="26"/>
      <c r="O1386" s="594">
        <v>46002.0</v>
      </c>
      <c r="P1386" s="26"/>
    </row>
    <row r="1387" hidden="1">
      <c r="A1387" s="471">
        <v>15.0</v>
      </c>
      <c r="B1387" s="470" t="s">
        <v>5053</v>
      </c>
      <c r="C1387" s="471" t="s">
        <v>80</v>
      </c>
      <c r="D1387" s="140"/>
      <c r="E1387" s="471" t="s">
        <v>44</v>
      </c>
      <c r="F1387" s="471" t="s">
        <v>44</v>
      </c>
      <c r="G1387" s="431">
        <v>45912.0</v>
      </c>
      <c r="H1387" s="472">
        <v>15.0</v>
      </c>
      <c r="I1387" s="620" t="s">
        <v>2890</v>
      </c>
      <c r="J1387" s="34" t="s">
        <v>2541</v>
      </c>
      <c r="K1387" s="148">
        <v>45881.0</v>
      </c>
      <c r="L1387" s="33" t="s">
        <v>778</v>
      </c>
      <c r="M1387" s="26"/>
      <c r="N1387" s="26"/>
      <c r="O1387" s="594">
        <v>46002.0</v>
      </c>
      <c r="P1387" s="26"/>
    </row>
    <row r="1388" hidden="1">
      <c r="A1388" s="471">
        <v>16.0</v>
      </c>
      <c r="B1388" s="470" t="s">
        <v>5054</v>
      </c>
      <c r="C1388" s="471" t="s">
        <v>938</v>
      </c>
      <c r="D1388" s="342" t="s">
        <v>5055</v>
      </c>
      <c r="E1388" s="471" t="s">
        <v>5056</v>
      </c>
      <c r="F1388" s="471" t="s">
        <v>1025</v>
      </c>
      <c r="G1388" s="431">
        <v>45759.0</v>
      </c>
      <c r="H1388" s="472">
        <v>10.0</v>
      </c>
      <c r="I1388" s="620" t="s">
        <v>2890</v>
      </c>
      <c r="J1388" s="34" t="s">
        <v>51</v>
      </c>
      <c r="K1388" s="101" t="s">
        <v>3964</v>
      </c>
      <c r="L1388" s="33" t="s">
        <v>4884</v>
      </c>
      <c r="M1388" s="26"/>
      <c r="N1388" s="26"/>
      <c r="O1388" s="32" t="s">
        <v>4349</v>
      </c>
      <c r="P1388" s="385" t="s">
        <v>1432</v>
      </c>
    </row>
    <row r="1389" hidden="1">
      <c r="A1389" s="471">
        <v>17.0</v>
      </c>
      <c r="B1389" s="470" t="s">
        <v>5057</v>
      </c>
      <c r="C1389" s="471" t="s">
        <v>80</v>
      </c>
      <c r="D1389" s="342" t="s">
        <v>5058</v>
      </c>
      <c r="E1389" s="613" t="s">
        <v>5059</v>
      </c>
      <c r="F1389" s="471" t="s">
        <v>815</v>
      </c>
      <c r="G1389" s="275" t="s">
        <v>5034</v>
      </c>
      <c r="H1389" s="472">
        <v>25.0</v>
      </c>
      <c r="I1389" s="620" t="s">
        <v>2890</v>
      </c>
      <c r="J1389" s="34" t="s">
        <v>2065</v>
      </c>
      <c r="K1389" s="148">
        <v>45912.0</v>
      </c>
      <c r="L1389" s="33" t="s">
        <v>374</v>
      </c>
      <c r="M1389" s="26"/>
      <c r="N1389" s="26"/>
      <c r="O1389" s="32" t="s">
        <v>4810</v>
      </c>
      <c r="P1389" s="385" t="s">
        <v>1432</v>
      </c>
    </row>
    <row r="1390" hidden="1">
      <c r="A1390" s="471">
        <v>18.0</v>
      </c>
      <c r="B1390" s="470" t="s">
        <v>5060</v>
      </c>
      <c r="C1390" s="471" t="s">
        <v>80</v>
      </c>
      <c r="D1390" s="342" t="s">
        <v>5061</v>
      </c>
      <c r="E1390" s="613" t="s">
        <v>5062</v>
      </c>
      <c r="F1390" s="471" t="s">
        <v>815</v>
      </c>
      <c r="G1390" s="275" t="s">
        <v>5034</v>
      </c>
      <c r="H1390" s="472">
        <v>25.0</v>
      </c>
      <c r="I1390" s="620" t="s">
        <v>2890</v>
      </c>
      <c r="J1390" s="34" t="s">
        <v>2065</v>
      </c>
      <c r="K1390" s="148">
        <v>45912.0</v>
      </c>
      <c r="L1390" s="33" t="s">
        <v>374</v>
      </c>
      <c r="M1390" s="26"/>
      <c r="N1390" s="26"/>
      <c r="O1390" s="32" t="s">
        <v>4810</v>
      </c>
      <c r="P1390" s="385" t="s">
        <v>1432</v>
      </c>
    </row>
    <row r="1391" hidden="1">
      <c r="A1391" s="471">
        <v>19.0</v>
      </c>
      <c r="B1391" s="470" t="s">
        <v>5063</v>
      </c>
      <c r="C1391" s="471" t="s">
        <v>80</v>
      </c>
      <c r="D1391" s="342" t="s">
        <v>5064</v>
      </c>
      <c r="E1391" s="607" t="s">
        <v>5065</v>
      </c>
      <c r="F1391" s="471" t="s">
        <v>4358</v>
      </c>
      <c r="G1391" s="275" t="s">
        <v>5034</v>
      </c>
      <c r="H1391" s="472">
        <v>25.0</v>
      </c>
      <c r="I1391" s="620" t="s">
        <v>2890</v>
      </c>
      <c r="J1391" s="34" t="s">
        <v>5066</v>
      </c>
      <c r="K1391" s="19"/>
      <c r="L1391" s="33" t="s">
        <v>374</v>
      </c>
      <c r="M1391" s="26"/>
      <c r="N1391" s="26"/>
      <c r="O1391" s="32" t="s">
        <v>4810</v>
      </c>
      <c r="P1391" s="385" t="s">
        <v>1432</v>
      </c>
    </row>
    <row r="1392" hidden="1">
      <c r="A1392" s="471">
        <v>20.0</v>
      </c>
      <c r="B1392" s="470" t="s">
        <v>5067</v>
      </c>
      <c r="C1392" s="471" t="s">
        <v>80</v>
      </c>
      <c r="D1392" s="342" t="s">
        <v>5068</v>
      </c>
      <c r="E1392" s="607" t="s">
        <v>5069</v>
      </c>
      <c r="F1392" s="471" t="s">
        <v>4358</v>
      </c>
      <c r="G1392" s="275" t="s">
        <v>5034</v>
      </c>
      <c r="H1392" s="472">
        <v>25.0</v>
      </c>
      <c r="I1392" s="620" t="s">
        <v>2890</v>
      </c>
      <c r="J1392" s="34" t="s">
        <v>5066</v>
      </c>
      <c r="K1392" s="19"/>
      <c r="L1392" s="33" t="s">
        <v>374</v>
      </c>
      <c r="M1392" s="26"/>
      <c r="N1392" s="26"/>
      <c r="O1392" s="32" t="s">
        <v>4810</v>
      </c>
      <c r="P1392" s="385" t="s">
        <v>1432</v>
      </c>
    </row>
    <row r="1393" hidden="1">
      <c r="A1393" s="471">
        <v>21.0</v>
      </c>
      <c r="B1393" s="470" t="s">
        <v>5070</v>
      </c>
      <c r="C1393" s="471" t="s">
        <v>80</v>
      </c>
      <c r="D1393" s="342" t="s">
        <v>5071</v>
      </c>
      <c r="E1393" s="607" t="s">
        <v>5072</v>
      </c>
      <c r="F1393" s="471" t="s">
        <v>4358</v>
      </c>
      <c r="G1393" s="275" t="s">
        <v>5034</v>
      </c>
      <c r="H1393" s="472">
        <v>25.0</v>
      </c>
      <c r="I1393" s="620" t="s">
        <v>2890</v>
      </c>
      <c r="J1393" s="34" t="s">
        <v>5066</v>
      </c>
      <c r="K1393" s="19"/>
      <c r="L1393" s="33" t="s">
        <v>5073</v>
      </c>
      <c r="M1393" s="26"/>
      <c r="N1393" s="26"/>
      <c r="O1393" s="32" t="s">
        <v>4810</v>
      </c>
      <c r="P1393" s="385" t="s">
        <v>1432</v>
      </c>
    </row>
    <row r="1394" hidden="1">
      <c r="A1394" s="471">
        <v>22.0</v>
      </c>
      <c r="B1394" s="470" t="s">
        <v>5074</v>
      </c>
      <c r="C1394" s="471" t="s">
        <v>1185</v>
      </c>
      <c r="D1394" s="342" t="s">
        <v>5075</v>
      </c>
      <c r="E1394" s="471" t="s">
        <v>44</v>
      </c>
      <c r="F1394" s="471" t="s">
        <v>44</v>
      </c>
      <c r="G1394" s="606">
        <v>45941.0</v>
      </c>
      <c r="H1394" s="472">
        <v>27.0</v>
      </c>
      <c r="I1394" s="620" t="s">
        <v>2890</v>
      </c>
      <c r="J1394" s="34" t="s">
        <v>2541</v>
      </c>
      <c r="K1394" s="34" t="s">
        <v>4565</v>
      </c>
      <c r="L1394" s="33" t="s">
        <v>5073</v>
      </c>
      <c r="M1394" s="26"/>
      <c r="N1394" s="26"/>
      <c r="O1394" s="600">
        <v>46000.0</v>
      </c>
      <c r="P1394" s="26"/>
    </row>
    <row r="1395" hidden="1">
      <c r="A1395" s="471">
        <v>23.0</v>
      </c>
      <c r="B1395" s="470" t="s">
        <v>5076</v>
      </c>
      <c r="C1395" s="471" t="s">
        <v>80</v>
      </c>
      <c r="D1395" s="342" t="s">
        <v>5077</v>
      </c>
      <c r="E1395" s="471" t="s">
        <v>44</v>
      </c>
      <c r="F1395" s="471" t="s">
        <v>44</v>
      </c>
      <c r="G1395" s="606">
        <v>45941.0</v>
      </c>
      <c r="H1395" s="472">
        <v>27.0</v>
      </c>
      <c r="I1395" s="620" t="s">
        <v>2890</v>
      </c>
      <c r="J1395" s="34" t="s">
        <v>2541</v>
      </c>
      <c r="K1395" s="34" t="s">
        <v>4565</v>
      </c>
      <c r="L1395" s="33" t="s">
        <v>5073</v>
      </c>
      <c r="M1395" s="26"/>
      <c r="N1395" s="26"/>
      <c r="O1395" s="600">
        <v>46000.0</v>
      </c>
      <c r="P1395" s="26"/>
    </row>
    <row r="1396" hidden="1">
      <c r="A1396" s="339" t="s">
        <v>5078</v>
      </c>
    </row>
    <row r="1397" hidden="1">
      <c r="A1397" s="4" t="s">
        <v>47</v>
      </c>
      <c r="B1397" s="534" t="s">
        <v>7</v>
      </c>
      <c r="C1397" s="4" t="s">
        <v>9</v>
      </c>
      <c r="D1397" s="4" t="s">
        <v>10</v>
      </c>
      <c r="E1397" s="4" t="s">
        <v>11</v>
      </c>
      <c r="F1397" s="4" t="s">
        <v>12</v>
      </c>
      <c r="G1397" s="4" t="s">
        <v>2378</v>
      </c>
      <c r="H1397" s="4" t="s">
        <v>2681</v>
      </c>
      <c r="I1397" s="4" t="s">
        <v>2847</v>
      </c>
      <c r="J1397" s="8" t="s">
        <v>14</v>
      </c>
      <c r="K1397" s="9" t="s">
        <v>16</v>
      </c>
      <c r="L1397" s="9" t="s">
        <v>4330</v>
      </c>
      <c r="M1397" s="9" t="s">
        <v>18</v>
      </c>
      <c r="N1397" s="9" t="s">
        <v>19</v>
      </c>
      <c r="O1397" s="9" t="s">
        <v>20</v>
      </c>
      <c r="P1397" s="9" t="s">
        <v>21</v>
      </c>
      <c r="Q1397" s="35"/>
      <c r="R1397" s="35"/>
      <c r="S1397" s="35"/>
      <c r="T1397" s="35"/>
      <c r="U1397" s="35"/>
      <c r="V1397" s="35"/>
      <c r="W1397" s="35"/>
      <c r="X1397" s="35"/>
      <c r="Y1397" s="35"/>
      <c r="Z1397" s="35"/>
      <c r="AA1397" s="35"/>
      <c r="AB1397" s="35"/>
      <c r="AC1397" s="35"/>
      <c r="AD1397" s="35"/>
      <c r="AE1397" s="35"/>
      <c r="AF1397" s="35"/>
    </row>
    <row r="1398" hidden="1">
      <c r="A1398" s="471">
        <v>1.0</v>
      </c>
      <c r="B1398" s="470" t="s">
        <v>5079</v>
      </c>
      <c r="C1398" s="471" t="s">
        <v>80</v>
      </c>
      <c r="D1398" s="342" t="s">
        <v>5080</v>
      </c>
      <c r="E1398" s="471" t="s">
        <v>5081</v>
      </c>
      <c r="F1398" s="471" t="s">
        <v>3928</v>
      </c>
      <c r="G1398" s="275" t="s">
        <v>4918</v>
      </c>
      <c r="H1398" s="33">
        <v>21.0</v>
      </c>
      <c r="I1398" s="472" t="s">
        <v>2890</v>
      </c>
      <c r="J1398" s="34" t="s">
        <v>2541</v>
      </c>
      <c r="K1398" s="148">
        <v>45820.0</v>
      </c>
      <c r="L1398" s="14"/>
      <c r="M1398" s="19"/>
      <c r="N1398" s="19"/>
      <c r="O1398" s="594">
        <v>46004.0</v>
      </c>
      <c r="P1398" s="19"/>
    </row>
    <row r="1399" hidden="1">
      <c r="A1399" s="471">
        <v>2.0</v>
      </c>
      <c r="B1399" s="470" t="s">
        <v>5082</v>
      </c>
      <c r="C1399" s="471" t="s">
        <v>80</v>
      </c>
      <c r="D1399" s="342" t="s">
        <v>5083</v>
      </c>
      <c r="E1399" s="471" t="s">
        <v>5084</v>
      </c>
      <c r="F1399" s="471" t="s">
        <v>3928</v>
      </c>
      <c r="G1399" s="606">
        <v>46003.0</v>
      </c>
      <c r="H1399" s="33">
        <v>11.0</v>
      </c>
      <c r="I1399" s="472" t="s">
        <v>2890</v>
      </c>
      <c r="J1399" s="34" t="s">
        <v>2541</v>
      </c>
      <c r="K1399" s="148">
        <v>45820.0</v>
      </c>
      <c r="L1399" s="14"/>
      <c r="M1399" s="19"/>
      <c r="N1399" s="19"/>
      <c r="O1399" s="594">
        <v>46004.0</v>
      </c>
      <c r="P1399" s="19"/>
    </row>
    <row r="1400" hidden="1">
      <c r="A1400" s="471">
        <v>3.0</v>
      </c>
      <c r="B1400" s="470" t="s">
        <v>5085</v>
      </c>
      <c r="C1400" s="471" t="s">
        <v>80</v>
      </c>
      <c r="D1400" s="342" t="s">
        <v>5086</v>
      </c>
      <c r="E1400" s="471" t="s">
        <v>5087</v>
      </c>
      <c r="F1400" s="471" t="s">
        <v>3928</v>
      </c>
      <c r="G1400" s="606">
        <v>46003.0</v>
      </c>
      <c r="H1400" s="33">
        <v>11.0</v>
      </c>
      <c r="I1400" s="472" t="s">
        <v>2890</v>
      </c>
      <c r="J1400" s="34" t="s">
        <v>2541</v>
      </c>
      <c r="K1400" s="148">
        <v>45820.0</v>
      </c>
      <c r="L1400" s="14"/>
      <c r="M1400" s="19"/>
      <c r="N1400" s="19"/>
      <c r="O1400" s="594">
        <v>46004.0</v>
      </c>
      <c r="P1400" s="19"/>
    </row>
    <row r="1401" hidden="1">
      <c r="A1401" s="471">
        <v>4.0</v>
      </c>
      <c r="B1401" s="470" t="s">
        <v>5088</v>
      </c>
      <c r="C1401" s="471" t="s">
        <v>80</v>
      </c>
      <c r="D1401" s="342" t="s">
        <v>5089</v>
      </c>
      <c r="E1401" s="471" t="s">
        <v>5090</v>
      </c>
      <c r="F1401" s="471" t="s">
        <v>3928</v>
      </c>
      <c r="G1401" s="606">
        <v>46003.0</v>
      </c>
      <c r="H1401" s="33">
        <v>11.0</v>
      </c>
      <c r="I1401" s="472" t="s">
        <v>2890</v>
      </c>
      <c r="J1401" s="34" t="s">
        <v>2541</v>
      </c>
      <c r="K1401" s="148">
        <v>45820.0</v>
      </c>
      <c r="L1401" s="14"/>
      <c r="M1401" s="19"/>
      <c r="N1401" s="19"/>
      <c r="O1401" s="594">
        <v>46004.0</v>
      </c>
      <c r="P1401" s="19"/>
    </row>
    <row r="1402" hidden="1">
      <c r="A1402" s="471">
        <v>5.0</v>
      </c>
      <c r="B1402" s="470" t="s">
        <v>5091</v>
      </c>
      <c r="C1402" s="471" t="s">
        <v>80</v>
      </c>
      <c r="D1402" s="342" t="s">
        <v>5092</v>
      </c>
      <c r="E1402" s="471" t="s">
        <v>5093</v>
      </c>
      <c r="F1402" s="471" t="s">
        <v>3928</v>
      </c>
      <c r="G1402" s="606">
        <v>46003.0</v>
      </c>
      <c r="H1402" s="33">
        <v>11.0</v>
      </c>
      <c r="I1402" s="472" t="s">
        <v>2890</v>
      </c>
      <c r="J1402" s="34" t="s">
        <v>2541</v>
      </c>
      <c r="K1402" s="148">
        <v>45820.0</v>
      </c>
      <c r="L1402" s="14"/>
      <c r="M1402" s="19"/>
      <c r="N1402" s="19"/>
      <c r="O1402" s="594">
        <v>46004.0</v>
      </c>
      <c r="P1402" s="19"/>
    </row>
    <row r="1403" hidden="1">
      <c r="A1403" s="471">
        <v>6.0</v>
      </c>
      <c r="B1403" s="470" t="s">
        <v>5094</v>
      </c>
      <c r="C1403" s="471" t="s">
        <v>80</v>
      </c>
      <c r="D1403" s="342" t="s">
        <v>5095</v>
      </c>
      <c r="E1403" s="471" t="s">
        <v>5096</v>
      </c>
      <c r="F1403" s="471" t="s">
        <v>3928</v>
      </c>
      <c r="G1403" s="606">
        <v>46003.0</v>
      </c>
      <c r="H1403" s="33">
        <v>11.0</v>
      </c>
      <c r="I1403" s="472" t="s">
        <v>2890</v>
      </c>
      <c r="J1403" s="34" t="s">
        <v>2541</v>
      </c>
      <c r="K1403" s="148">
        <v>45881.0</v>
      </c>
      <c r="L1403" s="14"/>
      <c r="M1403" s="19"/>
      <c r="N1403" s="19"/>
      <c r="O1403" s="594">
        <v>46004.0</v>
      </c>
      <c r="P1403" s="19"/>
    </row>
    <row r="1404" hidden="1">
      <c r="A1404" s="471">
        <v>7.0</v>
      </c>
      <c r="B1404" s="470" t="s">
        <v>5097</v>
      </c>
      <c r="C1404" s="471" t="s">
        <v>80</v>
      </c>
      <c r="D1404" s="342" t="s">
        <v>5098</v>
      </c>
      <c r="E1404" s="471" t="s">
        <v>5099</v>
      </c>
      <c r="F1404" s="471" t="s">
        <v>3928</v>
      </c>
      <c r="G1404" s="606">
        <v>46003.0</v>
      </c>
      <c r="H1404" s="33">
        <v>11.0</v>
      </c>
      <c r="I1404" s="472"/>
      <c r="J1404" s="34" t="s">
        <v>2541</v>
      </c>
      <c r="K1404" s="148">
        <v>45881.0</v>
      </c>
      <c r="L1404" s="14"/>
      <c r="M1404" s="19"/>
      <c r="N1404" s="19"/>
      <c r="O1404" s="594">
        <v>46004.0</v>
      </c>
      <c r="P1404" s="19"/>
    </row>
    <row r="1405" hidden="1">
      <c r="A1405" s="471">
        <v>8.0</v>
      </c>
      <c r="B1405" s="470" t="s">
        <v>5100</v>
      </c>
      <c r="C1405" s="471" t="s">
        <v>80</v>
      </c>
      <c r="D1405" s="342" t="s">
        <v>5101</v>
      </c>
      <c r="E1405" s="471" t="s">
        <v>5102</v>
      </c>
      <c r="F1405" s="471" t="s">
        <v>3928</v>
      </c>
      <c r="G1405" s="606">
        <v>46003.0</v>
      </c>
      <c r="H1405" s="33">
        <v>11.0</v>
      </c>
      <c r="I1405" s="472" t="s">
        <v>2890</v>
      </c>
      <c r="J1405" s="34" t="s">
        <v>2541</v>
      </c>
      <c r="K1405" s="148">
        <v>45881.0</v>
      </c>
      <c r="L1405" s="14"/>
      <c r="M1405" s="19"/>
      <c r="N1405" s="19"/>
      <c r="O1405" s="594">
        <v>46004.0</v>
      </c>
      <c r="P1405" s="19"/>
    </row>
    <row r="1406" hidden="1">
      <c r="A1406" s="624" t="s">
        <v>5103</v>
      </c>
      <c r="B1406" s="5"/>
      <c r="C1406" s="5"/>
      <c r="D1406" s="5"/>
      <c r="E1406" s="5"/>
      <c r="F1406" s="5"/>
      <c r="G1406" s="5"/>
      <c r="H1406" s="5"/>
      <c r="I1406" s="5"/>
      <c r="J1406" s="5"/>
      <c r="K1406" s="5"/>
      <c r="L1406" s="5"/>
      <c r="M1406" s="5"/>
      <c r="N1406" s="5"/>
      <c r="O1406" s="5"/>
      <c r="P1406" s="7"/>
    </row>
    <row r="1407" hidden="1">
      <c r="A1407" s="4" t="s">
        <v>47</v>
      </c>
      <c r="B1407" s="534" t="s">
        <v>7</v>
      </c>
      <c r="C1407" s="4" t="s">
        <v>9</v>
      </c>
      <c r="D1407" s="4" t="s">
        <v>10</v>
      </c>
      <c r="E1407" s="4" t="s">
        <v>11</v>
      </c>
      <c r="F1407" s="4" t="s">
        <v>12</v>
      </c>
      <c r="G1407" s="4" t="s">
        <v>2378</v>
      </c>
      <c r="H1407" s="4" t="s">
        <v>2681</v>
      </c>
      <c r="I1407" s="4" t="s">
        <v>2847</v>
      </c>
      <c r="J1407" s="8" t="s">
        <v>14</v>
      </c>
      <c r="K1407" s="9" t="s">
        <v>16</v>
      </c>
      <c r="L1407" s="9" t="s">
        <v>4330</v>
      </c>
      <c r="M1407" s="9" t="s">
        <v>18</v>
      </c>
      <c r="N1407" s="9" t="s">
        <v>19</v>
      </c>
      <c r="O1407" s="9" t="s">
        <v>20</v>
      </c>
      <c r="P1407" s="9" t="s">
        <v>21</v>
      </c>
      <c r="Q1407" s="35"/>
      <c r="R1407" s="35"/>
      <c r="S1407" s="35"/>
      <c r="T1407" s="35"/>
      <c r="U1407" s="35"/>
      <c r="V1407" s="35"/>
      <c r="W1407" s="35"/>
      <c r="X1407" s="35"/>
      <c r="Y1407" s="35"/>
      <c r="Z1407" s="35"/>
      <c r="AA1407" s="35"/>
      <c r="AB1407" s="35"/>
      <c r="AC1407" s="35"/>
      <c r="AD1407" s="35"/>
      <c r="AE1407" s="35"/>
      <c r="AF1407" s="35"/>
    </row>
    <row r="1408" hidden="1">
      <c r="A1408" s="471">
        <v>1.0</v>
      </c>
      <c r="B1408" s="470" t="s">
        <v>5104</v>
      </c>
      <c r="C1408" s="471" t="s">
        <v>3059</v>
      </c>
      <c r="D1408" s="342" t="s">
        <v>5105</v>
      </c>
      <c r="E1408" s="471" t="s">
        <v>5106</v>
      </c>
      <c r="F1408" s="471" t="s">
        <v>4358</v>
      </c>
      <c r="G1408" s="431">
        <v>45789.0</v>
      </c>
      <c r="H1408" s="472">
        <v>4.0</v>
      </c>
      <c r="I1408" s="471" t="s">
        <v>2890</v>
      </c>
      <c r="J1408" s="471" t="s">
        <v>5107</v>
      </c>
      <c r="K1408" s="431">
        <v>45789.0</v>
      </c>
      <c r="L1408" s="12" t="s">
        <v>5107</v>
      </c>
      <c r="M1408" s="19"/>
      <c r="N1408" s="19"/>
      <c r="O1408" s="148">
        <v>45881.0</v>
      </c>
      <c r="P1408" s="385" t="s">
        <v>1432</v>
      </c>
    </row>
    <row r="1409" hidden="1">
      <c r="A1409" s="471">
        <v>2.0</v>
      </c>
      <c r="B1409" s="470" t="s">
        <v>5108</v>
      </c>
      <c r="C1409" s="471" t="s">
        <v>80</v>
      </c>
      <c r="D1409" s="342" t="s">
        <v>5109</v>
      </c>
      <c r="E1409" s="625" t="s">
        <v>5110</v>
      </c>
      <c r="F1409" s="471" t="s">
        <v>4358</v>
      </c>
      <c r="G1409" s="275" t="s">
        <v>5111</v>
      </c>
      <c r="H1409" s="472">
        <v>19.0</v>
      </c>
      <c r="I1409" s="471" t="s">
        <v>2890</v>
      </c>
      <c r="J1409" s="471" t="s">
        <v>5112</v>
      </c>
      <c r="K1409" s="478">
        <v>45942.0</v>
      </c>
      <c r="L1409" s="12" t="s">
        <v>374</v>
      </c>
      <c r="M1409" s="19"/>
      <c r="N1409" s="19"/>
      <c r="O1409" s="34" t="s">
        <v>5113</v>
      </c>
      <c r="P1409" s="385" t="s">
        <v>1432</v>
      </c>
    </row>
    <row r="1410" hidden="1">
      <c r="A1410" s="471">
        <v>3.0</v>
      </c>
      <c r="B1410" s="470" t="s">
        <v>5114</v>
      </c>
      <c r="C1410" s="471" t="s">
        <v>80</v>
      </c>
      <c r="D1410" s="342" t="s">
        <v>5115</v>
      </c>
      <c r="E1410" s="625" t="s">
        <v>5116</v>
      </c>
      <c r="F1410" s="471" t="s">
        <v>4358</v>
      </c>
      <c r="G1410" s="275" t="s">
        <v>5111</v>
      </c>
      <c r="H1410" s="472">
        <v>19.0</v>
      </c>
      <c r="I1410" s="471" t="s">
        <v>2890</v>
      </c>
      <c r="J1410" s="471" t="s">
        <v>5112</v>
      </c>
      <c r="K1410" s="478">
        <v>45942.0</v>
      </c>
      <c r="L1410" s="12" t="s">
        <v>374</v>
      </c>
      <c r="M1410" s="19"/>
      <c r="N1410" s="19"/>
      <c r="O1410" s="34" t="s">
        <v>5113</v>
      </c>
      <c r="P1410" s="385" t="s">
        <v>1432</v>
      </c>
    </row>
    <row r="1411" hidden="1">
      <c r="A1411" s="471">
        <v>4.0</v>
      </c>
      <c r="B1411" s="470" t="s">
        <v>5117</v>
      </c>
      <c r="C1411" s="471" t="s">
        <v>1185</v>
      </c>
      <c r="D1411" s="342" t="s">
        <v>5118</v>
      </c>
      <c r="E1411" s="471" t="s">
        <v>5119</v>
      </c>
      <c r="F1411" s="471" t="s">
        <v>356</v>
      </c>
      <c r="G1411" s="275" t="s">
        <v>5034</v>
      </c>
      <c r="H1411" s="472">
        <v>18.0</v>
      </c>
      <c r="I1411" s="471" t="s">
        <v>2890</v>
      </c>
      <c r="J1411" s="471" t="s">
        <v>5120</v>
      </c>
      <c r="K1411" s="626">
        <v>45820.0</v>
      </c>
      <c r="L1411" s="12" t="s">
        <v>5121</v>
      </c>
      <c r="M1411" s="19"/>
      <c r="N1411" s="19"/>
      <c r="O1411" s="34" t="s">
        <v>4951</v>
      </c>
      <c r="P1411" s="385" t="s">
        <v>1432</v>
      </c>
    </row>
    <row r="1412" hidden="1">
      <c r="A1412" s="471">
        <v>5.0</v>
      </c>
      <c r="B1412" s="470" t="s">
        <v>5122</v>
      </c>
      <c r="C1412" s="471" t="s">
        <v>80</v>
      </c>
      <c r="D1412" s="342" t="s">
        <v>5123</v>
      </c>
      <c r="E1412" s="625" t="s">
        <v>5124</v>
      </c>
      <c r="F1412" s="471" t="s">
        <v>1439</v>
      </c>
      <c r="G1412" s="275" t="s">
        <v>4918</v>
      </c>
      <c r="H1412" s="472">
        <v>21.0</v>
      </c>
      <c r="I1412" s="471" t="s">
        <v>5125</v>
      </c>
      <c r="J1412" s="471" t="s">
        <v>5035</v>
      </c>
      <c r="K1412" s="148">
        <v>45881.0</v>
      </c>
      <c r="L1412" s="12" t="s">
        <v>374</v>
      </c>
      <c r="M1412" s="19"/>
      <c r="N1412" s="19"/>
      <c r="O1412" s="34" t="s">
        <v>4951</v>
      </c>
      <c r="P1412" s="385" t="s">
        <v>1432</v>
      </c>
    </row>
    <row r="1413" hidden="1">
      <c r="A1413" s="471">
        <v>6.0</v>
      </c>
      <c r="B1413" s="470" t="s">
        <v>5126</v>
      </c>
      <c r="C1413" s="471" t="s">
        <v>80</v>
      </c>
      <c r="D1413" s="342" t="s">
        <v>5127</v>
      </c>
      <c r="E1413" s="625" t="s">
        <v>5128</v>
      </c>
      <c r="F1413" s="471" t="s">
        <v>1439</v>
      </c>
      <c r="G1413" s="275" t="s">
        <v>4918</v>
      </c>
      <c r="H1413" s="472">
        <v>21.0</v>
      </c>
      <c r="I1413" s="471" t="s">
        <v>2890</v>
      </c>
      <c r="J1413" s="471" t="s">
        <v>5035</v>
      </c>
      <c r="K1413" s="148">
        <v>45881.0</v>
      </c>
      <c r="L1413" s="12" t="s">
        <v>374</v>
      </c>
      <c r="M1413" s="19"/>
      <c r="N1413" s="19"/>
      <c r="O1413" s="34" t="s">
        <v>4951</v>
      </c>
      <c r="P1413" s="416" t="s">
        <v>4937</v>
      </c>
    </row>
    <row r="1414" hidden="1">
      <c r="A1414" s="471">
        <v>7.0</v>
      </c>
      <c r="B1414" s="470" t="s">
        <v>5129</v>
      </c>
      <c r="C1414" s="471" t="s">
        <v>80</v>
      </c>
      <c r="D1414" s="342" t="s">
        <v>5130</v>
      </c>
      <c r="E1414" s="471" t="s">
        <v>5131</v>
      </c>
      <c r="F1414" s="471" t="s">
        <v>2315</v>
      </c>
      <c r="G1414" s="275" t="s">
        <v>5132</v>
      </c>
      <c r="H1414" s="472">
        <v>20.0</v>
      </c>
      <c r="I1414" s="471" t="s">
        <v>2890</v>
      </c>
      <c r="J1414" s="471" t="s">
        <v>51</v>
      </c>
      <c r="K1414" s="34" t="s">
        <v>5015</v>
      </c>
      <c r="L1414" s="12" t="s">
        <v>51</v>
      </c>
      <c r="M1414" s="19"/>
      <c r="N1414" s="19"/>
      <c r="O1414" s="34" t="s">
        <v>5133</v>
      </c>
      <c r="P1414" s="385" t="s">
        <v>1432</v>
      </c>
    </row>
    <row r="1415" hidden="1">
      <c r="A1415" s="471">
        <v>8.0</v>
      </c>
      <c r="B1415" s="470" t="s">
        <v>5134</v>
      </c>
      <c r="C1415" s="471" t="s">
        <v>1185</v>
      </c>
      <c r="D1415" s="342" t="s">
        <v>5135</v>
      </c>
      <c r="E1415" s="471" t="s">
        <v>5136</v>
      </c>
      <c r="F1415" s="471" t="s">
        <v>25</v>
      </c>
      <c r="G1415" s="275" t="s">
        <v>5132</v>
      </c>
      <c r="H1415" s="472">
        <v>20.0</v>
      </c>
      <c r="I1415" s="471" t="s">
        <v>2890</v>
      </c>
      <c r="J1415" s="471" t="s">
        <v>5120</v>
      </c>
      <c r="K1415" s="19"/>
      <c r="L1415" s="12" t="s">
        <v>5121</v>
      </c>
      <c r="M1415" s="19"/>
      <c r="N1415" s="19"/>
      <c r="O1415" s="34" t="s">
        <v>4951</v>
      </c>
      <c r="P1415" s="385" t="s">
        <v>1432</v>
      </c>
    </row>
    <row r="1416" hidden="1">
      <c r="A1416" s="471">
        <v>9.0</v>
      </c>
      <c r="B1416" s="470" t="s">
        <v>5137</v>
      </c>
      <c r="C1416" s="471" t="s">
        <v>80</v>
      </c>
      <c r="D1416" s="342" t="s">
        <v>5138</v>
      </c>
      <c r="E1416" s="471" t="s">
        <v>5139</v>
      </c>
      <c r="F1416" s="471" t="s">
        <v>5140</v>
      </c>
      <c r="G1416" s="275" t="s">
        <v>5111</v>
      </c>
      <c r="H1416" s="472">
        <v>19.0</v>
      </c>
      <c r="I1416" s="531" t="s">
        <v>5141</v>
      </c>
      <c r="J1416" s="471" t="s">
        <v>51</v>
      </c>
      <c r="K1416" s="34" t="s">
        <v>4349</v>
      </c>
      <c r="L1416" s="471" t="s">
        <v>51</v>
      </c>
      <c r="M1416" s="19"/>
      <c r="N1416" s="19"/>
      <c r="O1416" s="34" t="s">
        <v>5022</v>
      </c>
      <c r="P1416" s="407" t="s">
        <v>1798</v>
      </c>
    </row>
    <row r="1417" hidden="1">
      <c r="A1417" s="471">
        <v>10.0</v>
      </c>
      <c r="B1417" s="627" t="s">
        <v>5142</v>
      </c>
      <c r="C1417" s="471" t="s">
        <v>80</v>
      </c>
      <c r="D1417" s="342" t="s">
        <v>5143</v>
      </c>
      <c r="E1417" s="471" t="s">
        <v>5144</v>
      </c>
      <c r="F1417" s="471" t="s">
        <v>2345</v>
      </c>
      <c r="G1417" s="275" t="s">
        <v>5111</v>
      </c>
      <c r="H1417" s="472">
        <v>19.0</v>
      </c>
      <c r="I1417" s="471" t="s">
        <v>2890</v>
      </c>
      <c r="J1417" s="471" t="s">
        <v>5145</v>
      </c>
      <c r="K1417" s="478">
        <v>45942.0</v>
      </c>
      <c r="L1417" s="12" t="s">
        <v>374</v>
      </c>
      <c r="M1417" s="19"/>
      <c r="N1417" s="19"/>
      <c r="O1417" s="34" t="s">
        <v>4912</v>
      </c>
      <c r="P1417" s="385" t="s">
        <v>1432</v>
      </c>
    </row>
    <row r="1418" hidden="1">
      <c r="A1418" s="471">
        <v>11.0</v>
      </c>
      <c r="B1418" s="627" t="s">
        <v>5146</v>
      </c>
      <c r="C1418" s="471" t="s">
        <v>651</v>
      </c>
      <c r="D1418" s="342" t="s">
        <v>5147</v>
      </c>
      <c r="E1418" s="471" t="s">
        <v>5148</v>
      </c>
      <c r="F1418" s="471" t="s">
        <v>5149</v>
      </c>
      <c r="G1418" s="275" t="s">
        <v>5111</v>
      </c>
      <c r="H1418" s="472">
        <v>19.0</v>
      </c>
      <c r="I1418" s="471" t="s">
        <v>2890</v>
      </c>
      <c r="J1418" s="471" t="s">
        <v>5145</v>
      </c>
      <c r="K1418" s="478">
        <v>45942.0</v>
      </c>
      <c r="L1418" s="12" t="s">
        <v>51</v>
      </c>
      <c r="M1418" s="19"/>
      <c r="N1418" s="19"/>
      <c r="O1418" s="34" t="s">
        <v>5015</v>
      </c>
      <c r="P1418" s="385" t="s">
        <v>1432</v>
      </c>
    </row>
    <row r="1419" hidden="1">
      <c r="A1419" s="471">
        <v>12.0</v>
      </c>
      <c r="B1419" s="470" t="s">
        <v>5150</v>
      </c>
      <c r="C1419" s="471" t="s">
        <v>80</v>
      </c>
      <c r="D1419" s="342" t="s">
        <v>5151</v>
      </c>
      <c r="E1419" s="625" t="s">
        <v>5152</v>
      </c>
      <c r="F1419" s="471" t="s">
        <v>4358</v>
      </c>
      <c r="G1419" s="275" t="s">
        <v>5153</v>
      </c>
      <c r="H1419" s="472">
        <v>22.0</v>
      </c>
      <c r="I1419" s="471" t="s">
        <v>2890</v>
      </c>
      <c r="J1419" s="471" t="s">
        <v>5145</v>
      </c>
      <c r="K1419" s="148">
        <v>45912.0</v>
      </c>
      <c r="L1419" s="12" t="s">
        <v>374</v>
      </c>
      <c r="M1419" s="19"/>
      <c r="N1419" s="19"/>
      <c r="O1419" s="34" t="s">
        <v>4349</v>
      </c>
      <c r="P1419" s="385" t="s">
        <v>1432</v>
      </c>
    </row>
    <row r="1420" hidden="1">
      <c r="A1420" s="471">
        <v>13.0</v>
      </c>
      <c r="B1420" s="470" t="s">
        <v>5154</v>
      </c>
      <c r="C1420" s="471" t="s">
        <v>80</v>
      </c>
      <c r="D1420" s="342" t="s">
        <v>5155</v>
      </c>
      <c r="E1420" s="625" t="s">
        <v>5156</v>
      </c>
      <c r="F1420" s="471" t="s">
        <v>4358</v>
      </c>
      <c r="G1420" s="275" t="s">
        <v>5153</v>
      </c>
      <c r="H1420" s="472">
        <v>22.0</v>
      </c>
      <c r="I1420" s="531" t="s">
        <v>3231</v>
      </c>
      <c r="J1420" s="471" t="s">
        <v>5145</v>
      </c>
      <c r="K1420" s="148">
        <v>45912.0</v>
      </c>
      <c r="L1420" s="12" t="s">
        <v>374</v>
      </c>
      <c r="M1420" s="19"/>
      <c r="N1420" s="19"/>
      <c r="O1420" s="34" t="s">
        <v>4349</v>
      </c>
      <c r="P1420" s="385" t="s">
        <v>1432</v>
      </c>
    </row>
    <row r="1421" hidden="1">
      <c r="A1421" s="471">
        <v>14.0</v>
      </c>
      <c r="B1421" s="470" t="s">
        <v>5157</v>
      </c>
      <c r="C1421" s="471" t="s">
        <v>80</v>
      </c>
      <c r="D1421" s="342" t="s">
        <v>5158</v>
      </c>
      <c r="E1421" s="625" t="s">
        <v>5159</v>
      </c>
      <c r="F1421" s="471" t="s">
        <v>4358</v>
      </c>
      <c r="G1421" s="275" t="s">
        <v>5153</v>
      </c>
      <c r="H1421" s="472">
        <v>22.0</v>
      </c>
      <c r="I1421" s="471" t="s">
        <v>2890</v>
      </c>
      <c r="J1421" s="471" t="s">
        <v>4984</v>
      </c>
      <c r="K1421" s="478">
        <v>45942.0</v>
      </c>
      <c r="L1421" s="12" t="s">
        <v>374</v>
      </c>
      <c r="M1421" s="19"/>
      <c r="N1421" s="19"/>
      <c r="O1421" s="34" t="s">
        <v>210</v>
      </c>
      <c r="P1421" s="385" t="s">
        <v>1432</v>
      </c>
    </row>
    <row r="1422" hidden="1">
      <c r="A1422" s="471">
        <v>15.0</v>
      </c>
      <c r="B1422" s="470" t="s">
        <v>5160</v>
      </c>
      <c r="C1422" s="471" t="s">
        <v>80</v>
      </c>
      <c r="D1422" s="342" t="s">
        <v>5161</v>
      </c>
      <c r="E1422" s="625" t="s">
        <v>5162</v>
      </c>
      <c r="F1422" s="471" t="s">
        <v>4358</v>
      </c>
      <c r="G1422" s="275" t="s">
        <v>5153</v>
      </c>
      <c r="H1422" s="472">
        <v>22.0</v>
      </c>
      <c r="I1422" s="471" t="s">
        <v>2890</v>
      </c>
      <c r="J1422" s="471" t="s">
        <v>4984</v>
      </c>
      <c r="K1422" s="478">
        <v>45942.0</v>
      </c>
      <c r="L1422" s="12" t="s">
        <v>374</v>
      </c>
      <c r="M1422" s="19"/>
      <c r="N1422" s="19"/>
      <c r="O1422" s="34" t="s">
        <v>210</v>
      </c>
      <c r="P1422" s="385" t="s">
        <v>1432</v>
      </c>
    </row>
    <row r="1423" hidden="1">
      <c r="A1423" s="471">
        <v>16.0</v>
      </c>
      <c r="B1423" s="470" t="s">
        <v>5163</v>
      </c>
      <c r="C1423" s="471" t="s">
        <v>1185</v>
      </c>
      <c r="D1423" s="342" t="s">
        <v>5164</v>
      </c>
      <c r="E1423" s="471" t="s">
        <v>5165</v>
      </c>
      <c r="F1423" s="471" t="s">
        <v>2098</v>
      </c>
      <c r="G1423" s="275" t="s">
        <v>5166</v>
      </c>
      <c r="H1423" s="472">
        <v>23.0</v>
      </c>
      <c r="I1423" s="486" t="s">
        <v>3465</v>
      </c>
      <c r="J1423" s="471" t="s">
        <v>4984</v>
      </c>
      <c r="K1423" s="478">
        <v>45942.0</v>
      </c>
      <c r="L1423" s="12" t="s">
        <v>51</v>
      </c>
      <c r="M1423" s="19"/>
      <c r="N1423" s="34" t="s">
        <v>5167</v>
      </c>
      <c r="O1423" s="34" t="s">
        <v>5168</v>
      </c>
      <c r="P1423" s="385" t="s">
        <v>1432</v>
      </c>
    </row>
    <row r="1424" hidden="1">
      <c r="A1424" s="628"/>
      <c r="B1424" s="5"/>
      <c r="C1424" s="5"/>
      <c r="D1424" s="5"/>
      <c r="E1424" s="5"/>
      <c r="F1424" s="5"/>
      <c r="G1424" s="5"/>
      <c r="H1424" s="5"/>
      <c r="I1424" s="5"/>
      <c r="J1424" s="5"/>
      <c r="K1424" s="5"/>
      <c r="L1424" s="5"/>
      <c r="M1424" s="5"/>
      <c r="N1424" s="5"/>
      <c r="O1424" s="5"/>
      <c r="P1424" s="7"/>
      <c r="Q1424" s="35"/>
      <c r="R1424" s="35"/>
      <c r="S1424" s="35"/>
      <c r="T1424" s="35"/>
      <c r="U1424" s="35"/>
      <c r="V1424" s="35"/>
      <c r="W1424" s="35"/>
      <c r="X1424" s="35"/>
      <c r="Y1424" s="35"/>
      <c r="Z1424" s="35"/>
      <c r="AA1424" s="35"/>
      <c r="AB1424" s="35"/>
      <c r="AC1424" s="35"/>
      <c r="AD1424" s="35"/>
      <c r="AE1424" s="35"/>
      <c r="AF1424" s="35"/>
    </row>
    <row r="1425" hidden="1">
      <c r="A1425" s="4" t="s">
        <v>47</v>
      </c>
      <c r="B1425" s="534" t="s">
        <v>7</v>
      </c>
      <c r="C1425" s="4" t="s">
        <v>9</v>
      </c>
      <c r="D1425" s="4" t="s">
        <v>10</v>
      </c>
      <c r="E1425" s="4" t="s">
        <v>11</v>
      </c>
      <c r="F1425" s="4" t="s">
        <v>12</v>
      </c>
      <c r="G1425" s="4" t="s">
        <v>2378</v>
      </c>
      <c r="H1425" s="4" t="s">
        <v>2681</v>
      </c>
      <c r="I1425" s="4" t="s">
        <v>2847</v>
      </c>
      <c r="J1425" s="8" t="s">
        <v>14</v>
      </c>
      <c r="K1425" s="9" t="s">
        <v>16</v>
      </c>
      <c r="L1425" s="9" t="s">
        <v>4330</v>
      </c>
      <c r="M1425" s="9" t="s">
        <v>18</v>
      </c>
      <c r="N1425" s="9" t="s">
        <v>19</v>
      </c>
      <c r="O1425" s="9" t="s">
        <v>20</v>
      </c>
      <c r="P1425" s="9" t="s">
        <v>21</v>
      </c>
      <c r="Q1425" s="35"/>
      <c r="R1425" s="35"/>
      <c r="S1425" s="35"/>
      <c r="T1425" s="35"/>
      <c r="U1425" s="35"/>
      <c r="V1425" s="35"/>
      <c r="W1425" s="35"/>
      <c r="X1425" s="35"/>
      <c r="Y1425" s="35"/>
      <c r="Z1425" s="35"/>
      <c r="AA1425" s="35"/>
      <c r="AB1425" s="35"/>
      <c r="AC1425" s="35"/>
      <c r="AD1425" s="35"/>
      <c r="AE1425" s="35"/>
      <c r="AF1425" s="35"/>
    </row>
    <row r="1426" hidden="1">
      <c r="A1426" s="12">
        <v>1.0</v>
      </c>
      <c r="B1426" s="129" t="s">
        <v>5169</v>
      </c>
      <c r="C1426" s="12" t="s">
        <v>80</v>
      </c>
      <c r="D1426" s="128" t="s">
        <v>5170</v>
      </c>
      <c r="E1426" s="12" t="s">
        <v>5171</v>
      </c>
      <c r="F1426" s="12" t="s">
        <v>25</v>
      </c>
      <c r="G1426" s="12" t="s">
        <v>5132</v>
      </c>
      <c r="H1426" s="472">
        <v>20.0</v>
      </c>
      <c r="I1426" s="12" t="s">
        <v>2890</v>
      </c>
      <c r="J1426" s="12" t="s">
        <v>5172</v>
      </c>
      <c r="K1426" s="460">
        <v>45973.0</v>
      </c>
      <c r="L1426" s="12" t="s">
        <v>4884</v>
      </c>
      <c r="M1426" s="19"/>
      <c r="N1426" s="19"/>
      <c r="O1426" s="34" t="s">
        <v>5022</v>
      </c>
      <c r="P1426" s="385" t="s">
        <v>1432</v>
      </c>
    </row>
    <row r="1427" hidden="1">
      <c r="A1427" s="12">
        <v>2.0</v>
      </c>
      <c r="B1427" s="129" t="s">
        <v>5173</v>
      </c>
      <c r="C1427" s="12" t="s">
        <v>80</v>
      </c>
      <c r="D1427" s="128" t="s">
        <v>5174</v>
      </c>
      <c r="E1427" s="629" t="s">
        <v>5175</v>
      </c>
      <c r="F1427" s="12" t="s">
        <v>436</v>
      </c>
      <c r="G1427" s="12" t="s">
        <v>4918</v>
      </c>
      <c r="H1427" s="472">
        <v>21.0</v>
      </c>
      <c r="I1427" s="12" t="s">
        <v>2890</v>
      </c>
      <c r="J1427" s="12" t="s">
        <v>2541</v>
      </c>
      <c r="K1427" s="34" t="s">
        <v>210</v>
      </c>
      <c r="L1427" s="12" t="s">
        <v>374</v>
      </c>
      <c r="M1427" s="19"/>
      <c r="N1427" s="19"/>
      <c r="O1427" s="71">
        <v>46298.0</v>
      </c>
      <c r="P1427" s="385" t="s">
        <v>1432</v>
      </c>
    </row>
    <row r="1428" hidden="1">
      <c r="A1428" s="12">
        <v>3.0</v>
      </c>
      <c r="B1428" s="129" t="s">
        <v>5176</v>
      </c>
      <c r="C1428" s="12" t="s">
        <v>80</v>
      </c>
      <c r="D1428" s="128" t="s">
        <v>5177</v>
      </c>
      <c r="E1428" s="12" t="s">
        <v>5178</v>
      </c>
      <c r="F1428" s="12" t="s">
        <v>25</v>
      </c>
      <c r="G1428" s="12" t="s">
        <v>5132</v>
      </c>
      <c r="H1428" s="472">
        <v>20.0</v>
      </c>
      <c r="I1428" s="12" t="s">
        <v>2890</v>
      </c>
      <c r="J1428" s="12" t="s">
        <v>5172</v>
      </c>
      <c r="K1428" s="460">
        <v>45973.0</v>
      </c>
      <c r="L1428" s="12" t="s">
        <v>4884</v>
      </c>
      <c r="M1428" s="19"/>
      <c r="N1428" s="19"/>
      <c r="O1428" s="34" t="s">
        <v>5179</v>
      </c>
      <c r="P1428" s="385" t="s">
        <v>1432</v>
      </c>
    </row>
    <row r="1429" hidden="1">
      <c r="A1429" s="12">
        <v>4.0</v>
      </c>
      <c r="B1429" s="129" t="s">
        <v>5180</v>
      </c>
      <c r="C1429" s="12" t="s">
        <v>5181</v>
      </c>
      <c r="D1429" s="128" t="s">
        <v>5182</v>
      </c>
      <c r="E1429" s="14"/>
      <c r="F1429" s="12" t="s">
        <v>5183</v>
      </c>
      <c r="G1429" s="12" t="s">
        <v>5034</v>
      </c>
      <c r="H1429" s="472">
        <v>18.0</v>
      </c>
      <c r="I1429" s="12" t="s">
        <v>2890</v>
      </c>
      <c r="J1429" s="12"/>
      <c r="K1429" s="460">
        <v>45974.0</v>
      </c>
      <c r="L1429" s="12" t="s">
        <v>374</v>
      </c>
      <c r="M1429" s="19"/>
      <c r="N1429" s="19"/>
      <c r="O1429" s="478">
        <v>45942.0</v>
      </c>
      <c r="P1429" s="19"/>
    </row>
    <row r="1430" hidden="1">
      <c r="A1430" s="12">
        <v>5.0</v>
      </c>
      <c r="B1430" s="129" t="s">
        <v>5184</v>
      </c>
      <c r="C1430" s="12" t="s">
        <v>5181</v>
      </c>
      <c r="D1430" s="128" t="s">
        <v>5185</v>
      </c>
      <c r="E1430" s="14"/>
      <c r="F1430" s="12" t="s">
        <v>5183</v>
      </c>
      <c r="G1430" s="12" t="s">
        <v>4968</v>
      </c>
      <c r="H1430" s="472">
        <v>15.0</v>
      </c>
      <c r="I1430" s="12" t="s">
        <v>2890</v>
      </c>
      <c r="J1430" s="12"/>
      <c r="K1430" s="460">
        <v>45975.0</v>
      </c>
      <c r="L1430" s="12" t="s">
        <v>374</v>
      </c>
      <c r="M1430" s="19"/>
      <c r="N1430" s="19"/>
      <c r="O1430" s="478">
        <v>45942.0</v>
      </c>
      <c r="P1430" s="19"/>
    </row>
    <row r="1431" hidden="1">
      <c r="A1431" s="12">
        <v>6.0</v>
      </c>
      <c r="B1431" s="129" t="s">
        <v>5186</v>
      </c>
      <c r="C1431" s="12" t="s">
        <v>651</v>
      </c>
      <c r="D1431" s="128" t="s">
        <v>5187</v>
      </c>
      <c r="E1431" s="625" t="s">
        <v>5188</v>
      </c>
      <c r="F1431" s="12" t="s">
        <v>4779</v>
      </c>
      <c r="G1431" s="12" t="s">
        <v>5132</v>
      </c>
      <c r="H1431" s="472">
        <v>20.0</v>
      </c>
      <c r="I1431" s="12" t="s">
        <v>2890</v>
      </c>
      <c r="J1431" s="12" t="s">
        <v>5189</v>
      </c>
      <c r="K1431" s="460">
        <v>46003.0</v>
      </c>
      <c r="L1431" s="12" t="s">
        <v>374</v>
      </c>
      <c r="M1431" s="19"/>
      <c r="N1431" s="19"/>
      <c r="O1431" s="34" t="s">
        <v>210</v>
      </c>
      <c r="P1431" s="385" t="s">
        <v>1432</v>
      </c>
    </row>
    <row r="1432" hidden="1">
      <c r="A1432" s="12">
        <v>7.0</v>
      </c>
      <c r="B1432" s="129" t="s">
        <v>5190</v>
      </c>
      <c r="C1432" s="12" t="s">
        <v>651</v>
      </c>
      <c r="D1432" s="128" t="s">
        <v>5191</v>
      </c>
      <c r="E1432" s="625" t="s">
        <v>5192</v>
      </c>
      <c r="F1432" s="12" t="s">
        <v>4779</v>
      </c>
      <c r="G1432" s="12" t="s">
        <v>5132</v>
      </c>
      <c r="H1432" s="472">
        <v>20.0</v>
      </c>
      <c r="I1432" s="12" t="s">
        <v>2890</v>
      </c>
      <c r="J1432" s="12" t="s">
        <v>5189</v>
      </c>
      <c r="K1432" s="460">
        <v>46003.0</v>
      </c>
      <c r="L1432" s="12" t="s">
        <v>374</v>
      </c>
      <c r="M1432" s="19"/>
      <c r="N1432" s="19"/>
      <c r="O1432" s="34" t="s">
        <v>210</v>
      </c>
      <c r="P1432" s="385" t="s">
        <v>1432</v>
      </c>
    </row>
    <row r="1433" hidden="1">
      <c r="A1433" s="12">
        <v>8.0</v>
      </c>
      <c r="B1433" s="129" t="s">
        <v>5193</v>
      </c>
      <c r="C1433" s="12" t="s">
        <v>80</v>
      </c>
      <c r="D1433" s="128" t="s">
        <v>5194</v>
      </c>
      <c r="E1433" s="12" t="s">
        <v>5195</v>
      </c>
      <c r="F1433" s="12" t="s">
        <v>5196</v>
      </c>
      <c r="G1433" s="12" t="s">
        <v>4918</v>
      </c>
      <c r="H1433" s="472">
        <v>21.0</v>
      </c>
      <c r="I1433" s="12" t="s">
        <v>2890</v>
      </c>
      <c r="J1433" s="12" t="s">
        <v>51</v>
      </c>
      <c r="K1433" s="34" t="s">
        <v>5113</v>
      </c>
      <c r="L1433" s="12" t="s">
        <v>4884</v>
      </c>
      <c r="M1433" s="19"/>
      <c r="N1433" s="19"/>
      <c r="O1433" s="148">
        <v>46054.0</v>
      </c>
      <c r="P1433" s="385" t="s">
        <v>1432</v>
      </c>
    </row>
    <row r="1434" hidden="1">
      <c r="A1434" s="12">
        <v>9.0</v>
      </c>
      <c r="B1434" s="129" t="s">
        <v>5197</v>
      </c>
      <c r="C1434" s="12" t="s">
        <v>5198</v>
      </c>
      <c r="D1434" s="128" t="s">
        <v>5199</v>
      </c>
      <c r="E1434" s="12" t="s">
        <v>638</v>
      </c>
      <c r="F1434" s="12" t="s">
        <v>2098</v>
      </c>
      <c r="G1434" s="12" t="s">
        <v>5166</v>
      </c>
      <c r="H1434" s="472">
        <v>23.0</v>
      </c>
      <c r="I1434" s="12" t="s">
        <v>2890</v>
      </c>
      <c r="J1434" s="12" t="s">
        <v>5172</v>
      </c>
      <c r="K1434" s="460">
        <v>45973.0</v>
      </c>
      <c r="L1434" s="12" t="s">
        <v>4884</v>
      </c>
      <c r="M1434" s="19"/>
      <c r="N1434" s="19"/>
      <c r="O1434" s="34" t="s">
        <v>5113</v>
      </c>
      <c r="P1434" s="385" t="s">
        <v>1432</v>
      </c>
    </row>
    <row r="1435" hidden="1">
      <c r="A1435" s="12">
        <v>10.0</v>
      </c>
      <c r="B1435" s="129" t="s">
        <v>5200</v>
      </c>
      <c r="C1435" s="12" t="s">
        <v>80</v>
      </c>
      <c r="D1435" s="128" t="s">
        <v>5201</v>
      </c>
      <c r="E1435" s="625" t="s">
        <v>5202</v>
      </c>
      <c r="F1435" s="12" t="s">
        <v>5203</v>
      </c>
      <c r="G1435" s="12" t="s">
        <v>4918</v>
      </c>
      <c r="H1435" s="472">
        <v>21.0</v>
      </c>
      <c r="I1435" s="12" t="s">
        <v>2890</v>
      </c>
      <c r="J1435" s="12" t="s">
        <v>5189</v>
      </c>
      <c r="K1435" s="34" t="s">
        <v>5204</v>
      </c>
      <c r="L1435" s="12" t="s">
        <v>374</v>
      </c>
      <c r="M1435" s="19"/>
      <c r="N1435" s="19"/>
      <c r="O1435" s="34" t="s">
        <v>210</v>
      </c>
      <c r="P1435" s="385" t="s">
        <v>1432</v>
      </c>
    </row>
    <row r="1436" hidden="1">
      <c r="A1436" s="12">
        <v>11.0</v>
      </c>
      <c r="B1436" s="129" t="s">
        <v>5205</v>
      </c>
      <c r="C1436" s="12" t="s">
        <v>80</v>
      </c>
      <c r="D1436" s="128" t="s">
        <v>5206</v>
      </c>
      <c r="E1436" s="625" t="s">
        <v>5207</v>
      </c>
      <c r="F1436" s="12" t="s">
        <v>5203</v>
      </c>
      <c r="G1436" s="12" t="s">
        <v>4918</v>
      </c>
      <c r="H1436" s="472">
        <v>21.0</v>
      </c>
      <c r="I1436" s="630" t="s">
        <v>3043</v>
      </c>
      <c r="J1436" s="12" t="s">
        <v>5189</v>
      </c>
      <c r="K1436" s="34" t="s">
        <v>5204</v>
      </c>
      <c r="L1436" s="12" t="s">
        <v>374</v>
      </c>
      <c r="M1436" s="19"/>
      <c r="N1436" s="19"/>
      <c r="O1436" s="34" t="s">
        <v>210</v>
      </c>
      <c r="P1436" s="385" t="s">
        <v>1432</v>
      </c>
    </row>
    <row r="1437" hidden="1">
      <c r="A1437" s="12">
        <v>12.0</v>
      </c>
      <c r="B1437" s="129" t="s">
        <v>5208</v>
      </c>
      <c r="C1437" s="12" t="s">
        <v>80</v>
      </c>
      <c r="D1437" s="128" t="s">
        <v>5209</v>
      </c>
      <c r="E1437" s="629" t="s">
        <v>5210</v>
      </c>
      <c r="F1437" s="12" t="s">
        <v>436</v>
      </c>
      <c r="G1437" s="12" t="s">
        <v>4918</v>
      </c>
      <c r="H1437" s="472">
        <v>21.0</v>
      </c>
      <c r="I1437" s="12" t="s">
        <v>2890</v>
      </c>
      <c r="J1437" s="12" t="s">
        <v>2541</v>
      </c>
      <c r="K1437" s="34" t="s">
        <v>210</v>
      </c>
      <c r="L1437" s="12" t="s">
        <v>374</v>
      </c>
      <c r="M1437" s="19"/>
      <c r="N1437" s="19"/>
      <c r="O1437" s="71">
        <v>46298.0</v>
      </c>
      <c r="P1437" s="385" t="s">
        <v>1432</v>
      </c>
    </row>
    <row r="1438" hidden="1">
      <c r="A1438" s="12">
        <v>13.0</v>
      </c>
      <c r="B1438" s="129" t="s">
        <v>5211</v>
      </c>
      <c r="C1438" s="12" t="s">
        <v>80</v>
      </c>
      <c r="D1438" s="128" t="s">
        <v>5212</v>
      </c>
      <c r="E1438" s="629" t="s">
        <v>5213</v>
      </c>
      <c r="F1438" s="12" t="s">
        <v>436</v>
      </c>
      <c r="G1438" s="12" t="s">
        <v>4918</v>
      </c>
      <c r="H1438" s="472">
        <v>21.0</v>
      </c>
      <c r="I1438" s="12" t="s">
        <v>2890</v>
      </c>
      <c r="J1438" s="12" t="s">
        <v>2541</v>
      </c>
      <c r="K1438" s="34" t="s">
        <v>210</v>
      </c>
      <c r="L1438" s="12" t="s">
        <v>374</v>
      </c>
      <c r="M1438" s="19"/>
      <c r="N1438" s="19"/>
      <c r="O1438" s="71">
        <v>46298.0</v>
      </c>
      <c r="P1438" s="385" t="s">
        <v>1432</v>
      </c>
    </row>
    <row r="1439" hidden="1">
      <c r="A1439" s="12">
        <v>14.0</v>
      </c>
      <c r="B1439" s="129" t="s">
        <v>5214</v>
      </c>
      <c r="C1439" s="12" t="s">
        <v>5198</v>
      </c>
      <c r="D1439" s="128" t="s">
        <v>5215</v>
      </c>
      <c r="E1439" s="12" t="s">
        <v>5216</v>
      </c>
      <c r="F1439" s="12" t="s">
        <v>2098</v>
      </c>
      <c r="G1439" s="12" t="s">
        <v>4918</v>
      </c>
      <c r="H1439" s="472">
        <v>21.0</v>
      </c>
      <c r="I1439" s="12" t="s">
        <v>2890</v>
      </c>
      <c r="J1439" s="12" t="s">
        <v>5172</v>
      </c>
      <c r="K1439" s="460">
        <v>46003.0</v>
      </c>
      <c r="L1439" s="12" t="s">
        <v>4884</v>
      </c>
      <c r="M1439" s="19"/>
      <c r="N1439" s="19"/>
      <c r="O1439" s="34" t="s">
        <v>5179</v>
      </c>
      <c r="P1439" s="416" t="s">
        <v>4937</v>
      </c>
    </row>
    <row r="1440" hidden="1">
      <c r="A1440" s="12">
        <v>15.0</v>
      </c>
      <c r="B1440" s="129" t="s">
        <v>5217</v>
      </c>
      <c r="C1440" s="12" t="s">
        <v>80</v>
      </c>
      <c r="D1440" s="128" t="s">
        <v>5218</v>
      </c>
      <c r="E1440" s="625" t="s">
        <v>5219</v>
      </c>
      <c r="F1440" s="12" t="s">
        <v>1523</v>
      </c>
      <c r="G1440" s="12" t="s">
        <v>5111</v>
      </c>
      <c r="H1440" s="472">
        <v>19.0</v>
      </c>
      <c r="I1440" s="12" t="s">
        <v>2890</v>
      </c>
      <c r="J1440" s="12" t="s">
        <v>5189</v>
      </c>
      <c r="K1440" s="34" t="s">
        <v>4691</v>
      </c>
      <c r="L1440" s="12" t="s">
        <v>374</v>
      </c>
      <c r="M1440" s="19"/>
      <c r="N1440" s="19"/>
      <c r="O1440" s="148">
        <v>45871.0</v>
      </c>
      <c r="P1440" s="407" t="s">
        <v>1798</v>
      </c>
    </row>
    <row r="1441" hidden="1">
      <c r="A1441" s="12">
        <v>16.0</v>
      </c>
      <c r="B1441" s="143" t="s">
        <v>5220</v>
      </c>
      <c r="C1441" s="12" t="s">
        <v>80</v>
      </c>
      <c r="D1441" s="128" t="s">
        <v>5221</v>
      </c>
      <c r="E1441" s="625" t="s">
        <v>5222</v>
      </c>
      <c r="F1441" s="12" t="s">
        <v>2466</v>
      </c>
      <c r="G1441" s="12" t="s">
        <v>5111</v>
      </c>
      <c r="H1441" s="472">
        <v>19.0</v>
      </c>
      <c r="I1441" s="12" t="s">
        <v>2890</v>
      </c>
      <c r="J1441" s="12" t="s">
        <v>5189</v>
      </c>
      <c r="K1441" s="34" t="s">
        <v>4691</v>
      </c>
      <c r="L1441" s="12" t="s">
        <v>374</v>
      </c>
      <c r="M1441" s="19"/>
      <c r="N1441" s="19"/>
      <c r="O1441" s="148">
        <v>45871.0</v>
      </c>
      <c r="P1441" s="407" t="s">
        <v>1798</v>
      </c>
    </row>
    <row r="1442" hidden="1">
      <c r="A1442" s="12" t="s">
        <v>1025</v>
      </c>
      <c r="B1442" s="129" t="s">
        <v>5223</v>
      </c>
      <c r="C1442" s="12" t="s">
        <v>5198</v>
      </c>
      <c r="D1442" s="128" t="s">
        <v>5224</v>
      </c>
      <c r="E1442" s="12" t="s">
        <v>5225</v>
      </c>
      <c r="F1442" s="12" t="s">
        <v>25</v>
      </c>
      <c r="G1442" s="12" t="s">
        <v>5034</v>
      </c>
      <c r="H1442" s="472">
        <v>18.0</v>
      </c>
      <c r="I1442" s="12" t="s">
        <v>2890</v>
      </c>
      <c r="J1442" s="12" t="s">
        <v>5172</v>
      </c>
      <c r="K1442" s="460">
        <v>46003.0</v>
      </c>
      <c r="L1442" s="12" t="s">
        <v>4884</v>
      </c>
      <c r="M1442" s="19"/>
      <c r="N1442" s="19"/>
      <c r="O1442" s="34" t="s">
        <v>5022</v>
      </c>
      <c r="P1442" s="385" t="s">
        <v>1432</v>
      </c>
    </row>
    <row r="1443" hidden="1">
      <c r="A1443" s="12">
        <v>18.0</v>
      </c>
      <c r="B1443" s="631" t="s">
        <v>5226</v>
      </c>
      <c r="C1443" s="12" t="s">
        <v>80</v>
      </c>
      <c r="D1443" s="128" t="s">
        <v>5227</v>
      </c>
      <c r="E1443" s="12" t="s">
        <v>5228</v>
      </c>
      <c r="F1443" s="12" t="s">
        <v>5229</v>
      </c>
      <c r="G1443" s="12" t="s">
        <v>4918</v>
      </c>
      <c r="H1443" s="472">
        <v>21.0</v>
      </c>
      <c r="I1443" s="12" t="s">
        <v>2890</v>
      </c>
      <c r="J1443" s="12" t="s">
        <v>5230</v>
      </c>
      <c r="K1443" s="34" t="s">
        <v>5015</v>
      </c>
      <c r="L1443" s="12" t="s">
        <v>4884</v>
      </c>
      <c r="M1443" s="19"/>
      <c r="N1443" s="19"/>
      <c r="O1443" s="34" t="s">
        <v>210</v>
      </c>
      <c r="P1443" s="385" t="s">
        <v>1432</v>
      </c>
    </row>
    <row r="1444" hidden="1">
      <c r="A1444" s="12">
        <v>19.0</v>
      </c>
      <c r="B1444" s="631" t="s">
        <v>5231</v>
      </c>
      <c r="C1444" s="12" t="s">
        <v>5232</v>
      </c>
      <c r="D1444" s="128" t="s">
        <v>5233</v>
      </c>
      <c r="E1444" s="12" t="s">
        <v>5234</v>
      </c>
      <c r="F1444" s="12" t="s">
        <v>5235</v>
      </c>
      <c r="G1444" s="12" t="s">
        <v>4918</v>
      </c>
      <c r="H1444" s="472">
        <v>21.0</v>
      </c>
      <c r="I1444" s="12" t="s">
        <v>2890</v>
      </c>
      <c r="J1444" s="12" t="s">
        <v>5236</v>
      </c>
      <c r="K1444" s="32" t="s">
        <v>4951</v>
      </c>
      <c r="L1444" s="12" t="s">
        <v>4884</v>
      </c>
      <c r="M1444" s="19"/>
      <c r="N1444" s="19"/>
      <c r="O1444" s="34" t="s">
        <v>5113</v>
      </c>
      <c r="P1444" s="385" t="s">
        <v>1432</v>
      </c>
    </row>
    <row r="1445" hidden="1">
      <c r="A1445" s="12">
        <v>20.0</v>
      </c>
      <c r="B1445" s="129" t="s">
        <v>5237</v>
      </c>
      <c r="C1445" s="12" t="s">
        <v>80</v>
      </c>
      <c r="D1445" s="128" t="s">
        <v>5238</v>
      </c>
      <c r="E1445" s="632" t="s">
        <v>5239</v>
      </c>
      <c r="F1445" s="12" t="s">
        <v>4059</v>
      </c>
      <c r="G1445" s="12" t="s">
        <v>4968</v>
      </c>
      <c r="H1445" s="472"/>
      <c r="I1445" s="12" t="s">
        <v>2890</v>
      </c>
      <c r="J1445" s="12" t="s">
        <v>2541</v>
      </c>
      <c r="K1445" s="71">
        <v>45912.0</v>
      </c>
      <c r="L1445" s="12" t="s">
        <v>5073</v>
      </c>
      <c r="M1445" s="19"/>
      <c r="N1445" s="19"/>
      <c r="O1445" s="594">
        <v>46010.0</v>
      </c>
      <c r="P1445" s="19"/>
    </row>
    <row r="1446" hidden="1">
      <c r="A1446" s="12">
        <v>21.0</v>
      </c>
      <c r="B1446" s="129" t="s">
        <v>5240</v>
      </c>
      <c r="C1446" s="12" t="s">
        <v>80</v>
      </c>
      <c r="D1446" s="128" t="s">
        <v>5241</v>
      </c>
      <c r="E1446" s="632" t="s">
        <v>5242</v>
      </c>
      <c r="F1446" s="12" t="s">
        <v>4059</v>
      </c>
      <c r="G1446" s="12" t="s">
        <v>4968</v>
      </c>
      <c r="H1446" s="472"/>
      <c r="I1446" s="12" t="s">
        <v>2890</v>
      </c>
      <c r="J1446" s="12" t="s">
        <v>2541</v>
      </c>
      <c r="K1446" s="71">
        <v>45912.0</v>
      </c>
      <c r="L1446" s="12" t="s">
        <v>5073</v>
      </c>
      <c r="M1446" s="19"/>
      <c r="N1446" s="19"/>
      <c r="O1446" s="594">
        <v>46010.0</v>
      </c>
      <c r="P1446" s="19"/>
    </row>
    <row r="1447" hidden="1">
      <c r="A1447" s="12">
        <v>22.0</v>
      </c>
      <c r="B1447" s="129" t="s">
        <v>5243</v>
      </c>
      <c r="C1447" s="12" t="s">
        <v>80</v>
      </c>
      <c r="D1447" s="128" t="s">
        <v>5244</v>
      </c>
      <c r="E1447" s="632" t="s">
        <v>5245</v>
      </c>
      <c r="F1447" s="12" t="s">
        <v>4059</v>
      </c>
      <c r="G1447" s="12" t="s">
        <v>4968</v>
      </c>
      <c r="H1447" s="472"/>
      <c r="I1447" s="12" t="s">
        <v>2890</v>
      </c>
      <c r="J1447" s="12" t="s">
        <v>2541</v>
      </c>
      <c r="K1447" s="71">
        <v>45912.0</v>
      </c>
      <c r="L1447" s="12" t="s">
        <v>5073</v>
      </c>
      <c r="M1447" s="19"/>
      <c r="N1447" s="19"/>
      <c r="O1447" s="594">
        <v>46010.0</v>
      </c>
      <c r="P1447" s="19"/>
    </row>
    <row r="1448" hidden="1">
      <c r="A1448" s="12">
        <v>23.0</v>
      </c>
      <c r="B1448" s="129" t="s">
        <v>5246</v>
      </c>
      <c r="C1448" s="12" t="s">
        <v>80</v>
      </c>
      <c r="D1448" s="128" t="s">
        <v>5247</v>
      </c>
      <c r="E1448" s="632" t="s">
        <v>5248</v>
      </c>
      <c r="F1448" s="12" t="s">
        <v>4059</v>
      </c>
      <c r="G1448" s="12" t="s">
        <v>4968</v>
      </c>
      <c r="H1448" s="472"/>
      <c r="I1448" s="12" t="s">
        <v>2890</v>
      </c>
      <c r="J1448" s="12" t="s">
        <v>2541</v>
      </c>
      <c r="K1448" s="71">
        <v>45912.0</v>
      </c>
      <c r="L1448" s="12" t="s">
        <v>5073</v>
      </c>
      <c r="M1448" s="19"/>
      <c r="N1448" s="19"/>
      <c r="O1448" s="594">
        <v>46010.0</v>
      </c>
      <c r="P1448" s="19"/>
    </row>
    <row r="1449" hidden="1">
      <c r="A1449" s="12">
        <v>24.0</v>
      </c>
      <c r="B1449" s="129" t="s">
        <v>5249</v>
      </c>
      <c r="C1449" s="12" t="s">
        <v>80</v>
      </c>
      <c r="D1449" s="128" t="s">
        <v>5250</v>
      </c>
      <c r="E1449" s="632" t="s">
        <v>5251</v>
      </c>
      <c r="F1449" s="12" t="s">
        <v>4059</v>
      </c>
      <c r="G1449" s="12" t="s">
        <v>4968</v>
      </c>
      <c r="H1449" s="472"/>
      <c r="I1449" s="12" t="s">
        <v>2890</v>
      </c>
      <c r="J1449" s="12" t="s">
        <v>2541</v>
      </c>
      <c r="K1449" s="71">
        <v>45912.0</v>
      </c>
      <c r="L1449" s="12" t="s">
        <v>5073</v>
      </c>
      <c r="M1449" s="19"/>
      <c r="N1449" s="19"/>
      <c r="O1449" s="594">
        <v>46010.0</v>
      </c>
      <c r="P1449" s="19"/>
    </row>
    <row r="1450" hidden="1">
      <c r="A1450" s="12">
        <v>25.0</v>
      </c>
      <c r="B1450" s="129" t="s">
        <v>5252</v>
      </c>
      <c r="C1450" s="12" t="s">
        <v>80</v>
      </c>
      <c r="D1450" s="128" t="s">
        <v>5253</v>
      </c>
      <c r="E1450" s="632" t="s">
        <v>5254</v>
      </c>
      <c r="F1450" s="12" t="s">
        <v>4059</v>
      </c>
      <c r="G1450" s="12" t="s">
        <v>4968</v>
      </c>
      <c r="H1450" s="472"/>
      <c r="I1450" s="12" t="s">
        <v>2890</v>
      </c>
      <c r="J1450" s="12" t="s">
        <v>2541</v>
      </c>
      <c r="K1450" s="460">
        <v>45973.0</v>
      </c>
      <c r="L1450" s="12" t="s">
        <v>5073</v>
      </c>
      <c r="M1450" s="19"/>
      <c r="N1450" s="19"/>
      <c r="O1450" s="594">
        <v>46010.0</v>
      </c>
      <c r="P1450" s="19"/>
    </row>
    <row r="1451" hidden="1">
      <c r="A1451" s="12">
        <v>26.0</v>
      </c>
      <c r="B1451" s="129" t="s">
        <v>5255</v>
      </c>
      <c r="C1451" s="12" t="s">
        <v>80</v>
      </c>
      <c r="D1451" s="128" t="s">
        <v>5256</v>
      </c>
      <c r="E1451" s="632" t="s">
        <v>5257</v>
      </c>
      <c r="F1451" s="12" t="s">
        <v>4059</v>
      </c>
      <c r="G1451" s="12" t="s">
        <v>4968</v>
      </c>
      <c r="H1451" s="472"/>
      <c r="I1451" s="37" t="s">
        <v>3465</v>
      </c>
      <c r="J1451" s="12" t="s">
        <v>2541</v>
      </c>
      <c r="K1451" s="460">
        <v>45973.0</v>
      </c>
      <c r="L1451" s="12" t="s">
        <v>5073</v>
      </c>
      <c r="M1451" s="19"/>
      <c r="N1451" s="19"/>
      <c r="O1451" s="594">
        <v>46010.0</v>
      </c>
      <c r="P1451" s="19"/>
    </row>
    <row r="1452" hidden="1">
      <c r="A1452" s="12">
        <v>27.0</v>
      </c>
      <c r="B1452" s="129" t="s">
        <v>5258</v>
      </c>
      <c r="C1452" s="12" t="s">
        <v>80</v>
      </c>
      <c r="D1452" s="128" t="s">
        <v>5259</v>
      </c>
      <c r="E1452" s="632" t="s">
        <v>5260</v>
      </c>
      <c r="F1452" s="12" t="s">
        <v>4059</v>
      </c>
      <c r="G1452" s="12" t="s">
        <v>4968</v>
      </c>
      <c r="H1452" s="472"/>
      <c r="I1452" s="12" t="s">
        <v>2890</v>
      </c>
      <c r="J1452" s="12" t="s">
        <v>2541</v>
      </c>
      <c r="K1452" s="460">
        <v>46003.0</v>
      </c>
      <c r="L1452" s="12" t="s">
        <v>5073</v>
      </c>
      <c r="M1452" s="19"/>
      <c r="N1452" s="19"/>
      <c r="O1452" s="594">
        <v>46010.0</v>
      </c>
      <c r="P1452" s="19"/>
    </row>
    <row r="1453" ht="16.5" hidden="1" customHeight="1">
      <c r="A1453" s="12">
        <v>28.0</v>
      </c>
      <c r="B1453" s="129" t="s">
        <v>5261</v>
      </c>
      <c r="C1453" s="12" t="s">
        <v>80</v>
      </c>
      <c r="D1453" s="128" t="s">
        <v>5262</v>
      </c>
      <c r="E1453" s="632" t="s">
        <v>5263</v>
      </c>
      <c r="F1453" s="12" t="s">
        <v>4059</v>
      </c>
      <c r="G1453" s="12" t="s">
        <v>4968</v>
      </c>
      <c r="H1453" s="472"/>
      <c r="I1453" s="12" t="s">
        <v>2890</v>
      </c>
      <c r="J1453" s="12" t="s">
        <v>2541</v>
      </c>
      <c r="K1453" s="460">
        <v>45973.0</v>
      </c>
      <c r="L1453" s="12" t="s">
        <v>5073</v>
      </c>
      <c r="M1453" s="19"/>
      <c r="N1453" s="19"/>
      <c r="O1453" s="594">
        <v>46010.0</v>
      </c>
      <c r="P1453" s="19"/>
    </row>
    <row r="1454" hidden="1">
      <c r="A1454" s="12">
        <v>29.0</v>
      </c>
      <c r="B1454" s="129" t="s">
        <v>5264</v>
      </c>
      <c r="C1454" s="12" t="s">
        <v>80</v>
      </c>
      <c r="D1454" s="128" t="s">
        <v>5265</v>
      </c>
      <c r="E1454" s="632" t="s">
        <v>5266</v>
      </c>
      <c r="F1454" s="12" t="s">
        <v>4059</v>
      </c>
      <c r="G1454" s="12" t="s">
        <v>4968</v>
      </c>
      <c r="H1454" s="472"/>
      <c r="I1454" s="12" t="s">
        <v>2890</v>
      </c>
      <c r="J1454" s="12" t="s">
        <v>2541</v>
      </c>
      <c r="K1454" s="460">
        <v>45973.0</v>
      </c>
      <c r="L1454" s="12" t="s">
        <v>5073</v>
      </c>
      <c r="M1454" s="19"/>
      <c r="N1454" s="19"/>
      <c r="O1454" s="594">
        <v>46010.0</v>
      </c>
      <c r="P1454" s="19"/>
    </row>
    <row r="1455" hidden="1">
      <c r="A1455" s="12">
        <v>30.0</v>
      </c>
      <c r="B1455" s="129" t="s">
        <v>5267</v>
      </c>
      <c r="C1455" s="12" t="s">
        <v>80</v>
      </c>
      <c r="D1455" s="128" t="s">
        <v>5268</v>
      </c>
      <c r="E1455" s="12" t="s">
        <v>5269</v>
      </c>
      <c r="F1455" s="12" t="s">
        <v>5270</v>
      </c>
      <c r="G1455" s="12" t="s">
        <v>4918</v>
      </c>
      <c r="H1455" s="472">
        <v>21.0</v>
      </c>
      <c r="I1455" s="12" t="s">
        <v>2890</v>
      </c>
      <c r="J1455" s="12" t="s">
        <v>5236</v>
      </c>
      <c r="K1455" s="32" t="s">
        <v>4951</v>
      </c>
      <c r="L1455" s="12" t="s">
        <v>374</v>
      </c>
      <c r="M1455" s="19"/>
      <c r="N1455" s="19"/>
      <c r="O1455" s="34" t="s">
        <v>5113</v>
      </c>
      <c r="P1455" s="385" t="s">
        <v>1432</v>
      </c>
    </row>
    <row r="1456" hidden="1">
      <c r="A1456" s="12">
        <v>31.0</v>
      </c>
      <c r="B1456" s="129" t="s">
        <v>5271</v>
      </c>
      <c r="C1456" s="12" t="s">
        <v>80</v>
      </c>
      <c r="D1456" s="128" t="s">
        <v>5272</v>
      </c>
      <c r="E1456" s="12" t="s">
        <v>5273</v>
      </c>
      <c r="F1456" s="12" t="s">
        <v>5274</v>
      </c>
      <c r="G1456" s="12" t="s">
        <v>5153</v>
      </c>
      <c r="H1456" s="472">
        <v>22.0</v>
      </c>
      <c r="I1456" s="12" t="s">
        <v>2890</v>
      </c>
      <c r="J1456" s="12" t="s">
        <v>5275</v>
      </c>
      <c r="K1456" s="34" t="s">
        <v>4691</v>
      </c>
      <c r="L1456" s="12" t="s">
        <v>374</v>
      </c>
      <c r="M1456" s="19"/>
      <c r="N1456" s="19"/>
      <c r="O1456" s="34" t="s">
        <v>210</v>
      </c>
      <c r="P1456" s="416" t="s">
        <v>4937</v>
      </c>
    </row>
    <row r="1457" hidden="1">
      <c r="A1457" s="12">
        <v>32.0</v>
      </c>
      <c r="B1457" s="129" t="s">
        <v>5276</v>
      </c>
      <c r="C1457" s="633" t="s">
        <v>1058</v>
      </c>
      <c r="D1457" s="128" t="s">
        <v>5277</v>
      </c>
      <c r="E1457" s="12" t="s">
        <v>5278</v>
      </c>
      <c r="F1457" s="12" t="s">
        <v>5279</v>
      </c>
      <c r="G1457" s="12" t="s">
        <v>5153</v>
      </c>
      <c r="H1457" s="472">
        <v>22.0</v>
      </c>
      <c r="I1457" s="12" t="s">
        <v>2890</v>
      </c>
      <c r="J1457" s="12" t="s">
        <v>5280</v>
      </c>
      <c r="K1457" s="19"/>
      <c r="L1457" s="12" t="s">
        <v>374</v>
      </c>
      <c r="M1457" s="19"/>
      <c r="N1457" s="19"/>
      <c r="O1457" s="34" t="s">
        <v>5281</v>
      </c>
      <c r="P1457" s="385" t="s">
        <v>1432</v>
      </c>
    </row>
    <row r="1458" hidden="1">
      <c r="A1458" s="12">
        <v>33.0</v>
      </c>
      <c r="B1458" s="496" t="s">
        <v>5282</v>
      </c>
      <c r="C1458" s="495" t="s">
        <v>651</v>
      </c>
      <c r="D1458" s="498" t="s">
        <v>5283</v>
      </c>
      <c r="E1458" s="495" t="s">
        <v>5284</v>
      </c>
      <c r="F1458" s="495" t="s">
        <v>349</v>
      </c>
      <c r="G1458" s="12" t="s">
        <v>5166</v>
      </c>
      <c r="H1458" s="472">
        <v>23.0</v>
      </c>
      <c r="I1458" s="495" t="s">
        <v>2890</v>
      </c>
      <c r="J1458" s="495"/>
      <c r="K1458" s="19"/>
      <c r="L1458" s="12" t="s">
        <v>374</v>
      </c>
      <c r="M1458" s="19"/>
      <c r="N1458" s="19"/>
      <c r="O1458" s="148">
        <v>45881.0</v>
      </c>
      <c r="P1458" s="407" t="s">
        <v>1798</v>
      </c>
    </row>
    <row r="1459" hidden="1">
      <c r="A1459" s="12">
        <v>34.0</v>
      </c>
      <c r="B1459" s="496" t="s">
        <v>5285</v>
      </c>
      <c r="C1459" s="495" t="s">
        <v>80</v>
      </c>
      <c r="D1459" s="498" t="s">
        <v>5286</v>
      </c>
      <c r="E1459" s="495" t="s">
        <v>5287</v>
      </c>
      <c r="F1459" s="495" t="s">
        <v>5288</v>
      </c>
      <c r="G1459" s="12" t="s">
        <v>5132</v>
      </c>
      <c r="H1459" s="472">
        <v>20.0</v>
      </c>
      <c r="I1459" s="495" t="s">
        <v>2890</v>
      </c>
      <c r="J1459" s="495"/>
      <c r="K1459" s="19"/>
      <c r="L1459" s="12" t="s">
        <v>374</v>
      </c>
      <c r="M1459" s="19"/>
      <c r="N1459" s="19"/>
      <c r="O1459" s="148">
        <v>45881.0</v>
      </c>
      <c r="P1459" s="385" t="s">
        <v>1432</v>
      </c>
    </row>
    <row r="1460" hidden="1">
      <c r="A1460" s="12">
        <v>35.0</v>
      </c>
      <c r="B1460" s="129" t="s">
        <v>5289</v>
      </c>
      <c r="C1460" s="12" t="s">
        <v>80</v>
      </c>
      <c r="D1460" s="128" t="s">
        <v>5290</v>
      </c>
      <c r="E1460" s="12" t="s">
        <v>5291</v>
      </c>
      <c r="F1460" s="12" t="s">
        <v>5292</v>
      </c>
      <c r="G1460" s="12" t="s">
        <v>4918</v>
      </c>
      <c r="H1460" s="472">
        <v>21.0</v>
      </c>
      <c r="I1460" s="12" t="s">
        <v>2890</v>
      </c>
      <c r="J1460" s="12" t="s">
        <v>5280</v>
      </c>
      <c r="K1460" s="34" t="s">
        <v>210</v>
      </c>
      <c r="L1460" s="12" t="s">
        <v>4884</v>
      </c>
      <c r="M1460" s="19"/>
      <c r="N1460" s="19"/>
      <c r="O1460" s="34" t="s">
        <v>5293</v>
      </c>
      <c r="P1460" s="385" t="s">
        <v>1432</v>
      </c>
    </row>
    <row r="1461" hidden="1">
      <c r="A1461" s="12">
        <v>36.0</v>
      </c>
      <c r="B1461" s="129" t="s">
        <v>5294</v>
      </c>
      <c r="C1461" s="12" t="s">
        <v>5198</v>
      </c>
      <c r="D1461" s="128" t="s">
        <v>5295</v>
      </c>
      <c r="E1461" s="12" t="s">
        <v>5296</v>
      </c>
      <c r="F1461" s="12" t="s">
        <v>356</v>
      </c>
      <c r="G1461" s="12" t="s">
        <v>5166</v>
      </c>
      <c r="H1461" s="472">
        <v>23.0</v>
      </c>
      <c r="I1461" s="12" t="s">
        <v>2890</v>
      </c>
      <c r="J1461" s="12" t="s">
        <v>5275</v>
      </c>
      <c r="K1461" s="34" t="s">
        <v>4912</v>
      </c>
      <c r="L1461" s="12" t="s">
        <v>4884</v>
      </c>
      <c r="M1461" s="19"/>
      <c r="N1461" s="19"/>
      <c r="O1461" s="34" t="s">
        <v>5179</v>
      </c>
      <c r="P1461" s="385" t="s">
        <v>1432</v>
      </c>
    </row>
    <row r="1462" hidden="1">
      <c r="A1462" s="12">
        <v>37.0</v>
      </c>
      <c r="B1462" s="129" t="s">
        <v>5297</v>
      </c>
      <c r="C1462" s="12" t="s">
        <v>80</v>
      </c>
      <c r="D1462" s="128" t="s">
        <v>5298</v>
      </c>
      <c r="E1462" s="12" t="s">
        <v>5299</v>
      </c>
      <c r="F1462" s="12" t="s">
        <v>207</v>
      </c>
      <c r="G1462" s="12" t="s">
        <v>5153</v>
      </c>
      <c r="H1462" s="472">
        <v>22.0</v>
      </c>
      <c r="I1462" s="12" t="s">
        <v>2890</v>
      </c>
      <c r="J1462" s="12" t="s">
        <v>5275</v>
      </c>
      <c r="K1462" s="34" t="s">
        <v>5015</v>
      </c>
      <c r="L1462" s="12" t="s">
        <v>5035</v>
      </c>
      <c r="M1462" s="19"/>
      <c r="N1462" s="19"/>
      <c r="O1462" s="34" t="s">
        <v>5022</v>
      </c>
      <c r="P1462" s="385" t="s">
        <v>1432</v>
      </c>
    </row>
    <row r="1463" hidden="1">
      <c r="A1463" s="12">
        <v>38.0</v>
      </c>
      <c r="B1463" s="129" t="s">
        <v>5300</v>
      </c>
      <c r="C1463" s="12" t="s">
        <v>5198</v>
      </c>
      <c r="D1463" s="128" t="s">
        <v>5301</v>
      </c>
      <c r="E1463" s="12" t="s">
        <v>5302</v>
      </c>
      <c r="F1463" s="12" t="s">
        <v>5303</v>
      </c>
      <c r="G1463" s="12" t="s">
        <v>5153</v>
      </c>
      <c r="H1463" s="472">
        <v>22.0</v>
      </c>
      <c r="I1463" s="12" t="s">
        <v>2890</v>
      </c>
      <c r="J1463" s="12" t="s">
        <v>51</v>
      </c>
      <c r="K1463" s="34" t="s">
        <v>5113</v>
      </c>
      <c r="L1463" s="12" t="s">
        <v>4884</v>
      </c>
      <c r="M1463" s="19"/>
      <c r="N1463" s="19"/>
      <c r="O1463" s="34" t="s">
        <v>5168</v>
      </c>
      <c r="P1463" s="385" t="s">
        <v>1432</v>
      </c>
    </row>
    <row r="1464" hidden="1">
      <c r="A1464" s="12">
        <v>39.0</v>
      </c>
      <c r="B1464" s="129" t="s">
        <v>5304</v>
      </c>
      <c r="C1464" s="12" t="s">
        <v>651</v>
      </c>
      <c r="D1464" s="128" t="s">
        <v>5305</v>
      </c>
      <c r="E1464" s="12" t="s">
        <v>5306</v>
      </c>
      <c r="F1464" s="12" t="s">
        <v>4779</v>
      </c>
      <c r="G1464" s="12" t="s">
        <v>5307</v>
      </c>
      <c r="H1464" s="472">
        <v>27.0</v>
      </c>
      <c r="I1464" s="12" t="s">
        <v>2890</v>
      </c>
      <c r="J1464" s="12" t="s">
        <v>4426</v>
      </c>
      <c r="K1464" s="34" t="s">
        <v>5308</v>
      </c>
      <c r="L1464" s="12" t="s">
        <v>4884</v>
      </c>
      <c r="M1464" s="19"/>
      <c r="N1464" s="19"/>
      <c r="O1464" s="34" t="s">
        <v>5293</v>
      </c>
      <c r="P1464" s="407" t="s">
        <v>1798</v>
      </c>
    </row>
    <row r="1465" hidden="1">
      <c r="A1465" s="12">
        <v>40.0</v>
      </c>
      <c r="B1465" s="129" t="s">
        <v>5309</v>
      </c>
      <c r="C1465" s="12" t="s">
        <v>5198</v>
      </c>
      <c r="D1465" s="128" t="s">
        <v>5310</v>
      </c>
      <c r="E1465" s="632" t="s">
        <v>5311</v>
      </c>
      <c r="F1465" s="12" t="s">
        <v>5312</v>
      </c>
      <c r="G1465" s="12" t="s">
        <v>5307</v>
      </c>
      <c r="H1465" s="472">
        <v>27.0</v>
      </c>
      <c r="I1465" s="12" t="s">
        <v>2890</v>
      </c>
      <c r="J1465" s="12" t="s">
        <v>2541</v>
      </c>
      <c r="K1465" s="460">
        <v>46003.0</v>
      </c>
      <c r="L1465" s="12" t="s">
        <v>778</v>
      </c>
      <c r="M1465" s="19"/>
      <c r="N1465" s="19"/>
      <c r="O1465" s="34" t="s">
        <v>5015</v>
      </c>
      <c r="P1465" s="19"/>
    </row>
    <row r="1466" hidden="1">
      <c r="A1466" s="12">
        <v>41.0</v>
      </c>
      <c r="B1466" s="129" t="s">
        <v>5313</v>
      </c>
      <c r="C1466" s="12" t="s">
        <v>5198</v>
      </c>
      <c r="D1466" s="128" t="s">
        <v>5314</v>
      </c>
      <c r="E1466" s="632" t="s">
        <v>5315</v>
      </c>
      <c r="F1466" s="12" t="s">
        <v>5316</v>
      </c>
      <c r="G1466" s="12" t="s">
        <v>5307</v>
      </c>
      <c r="H1466" s="472">
        <v>27.0</v>
      </c>
      <c r="I1466" s="12" t="s">
        <v>2890</v>
      </c>
      <c r="J1466" s="12" t="s">
        <v>2541</v>
      </c>
      <c r="K1466" s="460">
        <v>46003.0</v>
      </c>
      <c r="L1466" s="12" t="s">
        <v>778</v>
      </c>
      <c r="M1466" s="19"/>
      <c r="N1466" s="19"/>
      <c r="O1466" s="34" t="s">
        <v>5015</v>
      </c>
      <c r="P1466" s="19"/>
    </row>
    <row r="1467" hidden="1">
      <c r="A1467" s="12">
        <v>42.0</v>
      </c>
      <c r="B1467" s="129" t="s">
        <v>5317</v>
      </c>
      <c r="C1467" s="12" t="s">
        <v>80</v>
      </c>
      <c r="D1467" s="128" t="s">
        <v>5318</v>
      </c>
      <c r="E1467" s="632" t="s">
        <v>5319</v>
      </c>
      <c r="F1467" s="12" t="s">
        <v>5320</v>
      </c>
      <c r="G1467" s="12" t="s">
        <v>5020</v>
      </c>
      <c r="H1467" s="472">
        <v>17.0</v>
      </c>
      <c r="I1467" s="12" t="s">
        <v>2890</v>
      </c>
      <c r="J1467" s="12" t="s">
        <v>2541</v>
      </c>
      <c r="K1467" s="19"/>
      <c r="L1467" s="12" t="s">
        <v>778</v>
      </c>
      <c r="M1467" s="19"/>
      <c r="N1467" s="19"/>
      <c r="O1467" s="34" t="s">
        <v>5015</v>
      </c>
      <c r="P1467" s="19"/>
    </row>
    <row r="1468" hidden="1">
      <c r="A1468" s="12">
        <v>43.0</v>
      </c>
      <c r="B1468" s="129" t="s">
        <v>5321</v>
      </c>
      <c r="C1468" s="12" t="s">
        <v>80</v>
      </c>
      <c r="D1468" s="128" t="s">
        <v>5322</v>
      </c>
      <c r="E1468" s="632" t="s">
        <v>5323</v>
      </c>
      <c r="F1468" s="12" t="s">
        <v>5324</v>
      </c>
      <c r="G1468" s="12" t="s">
        <v>5020</v>
      </c>
      <c r="H1468" s="472">
        <v>17.0</v>
      </c>
      <c r="I1468" s="12" t="s">
        <v>2890</v>
      </c>
      <c r="J1468" s="12" t="s">
        <v>3099</v>
      </c>
      <c r="K1468" s="148">
        <v>45820.0</v>
      </c>
      <c r="L1468" s="12" t="s">
        <v>778</v>
      </c>
      <c r="M1468" s="19"/>
      <c r="N1468" s="19"/>
      <c r="O1468" s="34" t="s">
        <v>4951</v>
      </c>
      <c r="P1468" s="19"/>
    </row>
    <row r="1469" hidden="1">
      <c r="A1469" s="12">
        <v>44.0</v>
      </c>
      <c r="B1469" s="129" t="s">
        <v>5325</v>
      </c>
      <c r="C1469" s="12" t="s">
        <v>80</v>
      </c>
      <c r="D1469" s="128" t="s">
        <v>5326</v>
      </c>
      <c r="E1469" s="632" t="s">
        <v>5327</v>
      </c>
      <c r="F1469" s="12" t="s">
        <v>5324</v>
      </c>
      <c r="G1469" s="12" t="s">
        <v>5020</v>
      </c>
      <c r="H1469" s="472">
        <v>17.0</v>
      </c>
      <c r="I1469" s="12" t="s">
        <v>2890</v>
      </c>
      <c r="J1469" s="12" t="s">
        <v>3099</v>
      </c>
      <c r="K1469" s="19"/>
      <c r="L1469" s="12" t="s">
        <v>778</v>
      </c>
      <c r="M1469" s="19"/>
      <c r="N1469" s="19"/>
      <c r="O1469" s="34" t="s">
        <v>4951</v>
      </c>
      <c r="P1469" s="19"/>
    </row>
    <row r="1470" hidden="1">
      <c r="A1470" s="12">
        <v>45.0</v>
      </c>
      <c r="B1470" s="129" t="s">
        <v>5328</v>
      </c>
      <c r="C1470" s="12" t="s">
        <v>80</v>
      </c>
      <c r="D1470" s="128" t="s">
        <v>5329</v>
      </c>
      <c r="E1470" s="632" t="s">
        <v>5330</v>
      </c>
      <c r="F1470" s="12" t="s">
        <v>5324</v>
      </c>
      <c r="G1470" s="12" t="s">
        <v>5020</v>
      </c>
      <c r="H1470" s="472">
        <v>17.0</v>
      </c>
      <c r="I1470" s="12" t="s">
        <v>2890</v>
      </c>
      <c r="J1470" s="12" t="s">
        <v>3099</v>
      </c>
      <c r="K1470" s="19"/>
      <c r="L1470" s="12" t="s">
        <v>778</v>
      </c>
      <c r="M1470" s="19"/>
      <c r="N1470" s="19"/>
      <c r="O1470" s="34" t="s">
        <v>4951</v>
      </c>
      <c r="P1470" s="19"/>
    </row>
    <row r="1471" hidden="1">
      <c r="A1471" s="12">
        <v>46.0</v>
      </c>
      <c r="B1471" s="129" t="s">
        <v>5331</v>
      </c>
      <c r="C1471" s="12" t="s">
        <v>80</v>
      </c>
      <c r="D1471" s="128" t="s">
        <v>5332</v>
      </c>
      <c r="E1471" s="632" t="s">
        <v>5333</v>
      </c>
      <c r="F1471" s="12" t="s">
        <v>5324</v>
      </c>
      <c r="G1471" s="12" t="s">
        <v>5020</v>
      </c>
      <c r="H1471" s="472">
        <v>17.0</v>
      </c>
      <c r="I1471" s="630" t="s">
        <v>5334</v>
      </c>
      <c r="J1471" s="12" t="s">
        <v>3099</v>
      </c>
      <c r="K1471" s="19"/>
      <c r="L1471" s="12" t="s">
        <v>778</v>
      </c>
      <c r="M1471" s="19"/>
      <c r="N1471" s="19"/>
      <c r="O1471" s="34" t="s">
        <v>4951</v>
      </c>
      <c r="P1471" s="19"/>
    </row>
    <row r="1472" hidden="1">
      <c r="A1472" s="12">
        <v>47.0</v>
      </c>
      <c r="B1472" s="129" t="s">
        <v>5335</v>
      </c>
      <c r="C1472" s="12" t="s">
        <v>80</v>
      </c>
      <c r="D1472" s="128" t="s">
        <v>5336</v>
      </c>
      <c r="E1472" s="632" t="s">
        <v>5337</v>
      </c>
      <c r="F1472" s="12" t="s">
        <v>5324</v>
      </c>
      <c r="G1472" s="12" t="s">
        <v>5020</v>
      </c>
      <c r="H1472" s="472">
        <v>17.0</v>
      </c>
      <c r="I1472" s="12" t="s">
        <v>2890</v>
      </c>
      <c r="J1472" s="12" t="s">
        <v>3099</v>
      </c>
      <c r="K1472" s="34" t="s">
        <v>5338</v>
      </c>
      <c r="L1472" s="12" t="s">
        <v>778</v>
      </c>
      <c r="M1472" s="19"/>
      <c r="N1472" s="19"/>
      <c r="O1472" s="34" t="s">
        <v>5339</v>
      </c>
      <c r="P1472" s="19"/>
    </row>
    <row r="1473" hidden="1">
      <c r="A1473" s="12">
        <v>48.0</v>
      </c>
      <c r="B1473" s="129" t="s">
        <v>5340</v>
      </c>
      <c r="C1473" s="12" t="s">
        <v>80</v>
      </c>
      <c r="D1473" s="128" t="s">
        <v>5341</v>
      </c>
      <c r="E1473" s="632" t="s">
        <v>5342</v>
      </c>
      <c r="F1473" s="12" t="s">
        <v>5324</v>
      </c>
      <c r="G1473" s="12" t="s">
        <v>5020</v>
      </c>
      <c r="H1473" s="472">
        <v>17.0</v>
      </c>
      <c r="I1473" s="12" t="s">
        <v>2890</v>
      </c>
      <c r="J1473" s="12" t="s">
        <v>2541</v>
      </c>
      <c r="K1473" s="19"/>
      <c r="L1473" s="12" t="s">
        <v>778</v>
      </c>
      <c r="M1473" s="19"/>
      <c r="N1473" s="19"/>
      <c r="O1473" s="143" t="s">
        <v>4951</v>
      </c>
      <c r="P1473" s="19"/>
    </row>
    <row r="1474" hidden="1">
      <c r="A1474" s="12">
        <v>49.0</v>
      </c>
      <c r="B1474" s="129" t="s">
        <v>5343</v>
      </c>
      <c r="C1474" s="12" t="s">
        <v>80</v>
      </c>
      <c r="D1474" s="128" t="s">
        <v>5344</v>
      </c>
      <c r="E1474" s="632" t="s">
        <v>5345</v>
      </c>
      <c r="F1474" s="12" t="s">
        <v>5324</v>
      </c>
      <c r="G1474" s="12" t="s">
        <v>5020</v>
      </c>
      <c r="H1474" s="472">
        <v>17.0</v>
      </c>
      <c r="I1474" s="12" t="s">
        <v>2890</v>
      </c>
      <c r="J1474" s="12" t="s">
        <v>3099</v>
      </c>
      <c r="K1474" s="19"/>
      <c r="L1474" s="12" t="s">
        <v>778</v>
      </c>
      <c r="M1474" s="19"/>
      <c r="N1474" s="19"/>
      <c r="O1474" s="143" t="s">
        <v>4951</v>
      </c>
      <c r="P1474" s="19"/>
    </row>
    <row r="1475" hidden="1">
      <c r="A1475" s="12">
        <v>50.0</v>
      </c>
      <c r="B1475" s="129" t="s">
        <v>5346</v>
      </c>
      <c r="C1475" s="12" t="s">
        <v>80</v>
      </c>
      <c r="D1475" s="128" t="s">
        <v>5347</v>
      </c>
      <c r="E1475" s="632" t="s">
        <v>5348</v>
      </c>
      <c r="F1475" s="12" t="s">
        <v>5324</v>
      </c>
      <c r="G1475" s="12" t="s">
        <v>5020</v>
      </c>
      <c r="H1475" s="472">
        <v>17.0</v>
      </c>
      <c r="I1475" s="12" t="s">
        <v>2890</v>
      </c>
      <c r="J1475" s="12" t="s">
        <v>3099</v>
      </c>
      <c r="K1475" s="19"/>
      <c r="L1475" s="12" t="s">
        <v>778</v>
      </c>
      <c r="M1475" s="19"/>
      <c r="N1475" s="19"/>
      <c r="O1475" s="34" t="s">
        <v>5339</v>
      </c>
      <c r="P1475" s="19"/>
    </row>
    <row r="1476" hidden="1">
      <c r="A1476" s="12">
        <v>51.0</v>
      </c>
      <c r="B1476" s="129" t="s">
        <v>5349</v>
      </c>
      <c r="C1476" s="12" t="s">
        <v>80</v>
      </c>
      <c r="D1476" s="128" t="s">
        <v>5350</v>
      </c>
      <c r="E1476" s="632" t="s">
        <v>5351</v>
      </c>
      <c r="F1476" s="12" t="s">
        <v>5324</v>
      </c>
      <c r="G1476" s="12" t="s">
        <v>5020</v>
      </c>
      <c r="H1476" s="472">
        <v>17.0</v>
      </c>
      <c r="I1476" s="12" t="s">
        <v>2890</v>
      </c>
      <c r="J1476" s="12" t="s">
        <v>2541</v>
      </c>
      <c r="K1476" s="19"/>
      <c r="L1476" s="12" t="s">
        <v>778</v>
      </c>
      <c r="M1476" s="19"/>
      <c r="N1476" s="19"/>
      <c r="O1476" s="34" t="s">
        <v>5339</v>
      </c>
      <c r="P1476" s="19"/>
    </row>
    <row r="1477" hidden="1">
      <c r="A1477" s="12">
        <v>52.0</v>
      </c>
      <c r="B1477" s="129" t="s">
        <v>5352</v>
      </c>
      <c r="C1477" s="12" t="s">
        <v>80</v>
      </c>
      <c r="D1477" s="128" t="s">
        <v>5353</v>
      </c>
      <c r="E1477" s="632" t="s">
        <v>5354</v>
      </c>
      <c r="F1477" s="12" t="s">
        <v>5324</v>
      </c>
      <c r="G1477" s="12" t="s">
        <v>5020</v>
      </c>
      <c r="H1477" s="472">
        <v>17.0</v>
      </c>
      <c r="I1477" s="630" t="s">
        <v>3231</v>
      </c>
      <c r="J1477" s="12" t="s">
        <v>2541</v>
      </c>
      <c r="K1477" s="19"/>
      <c r="L1477" s="12" t="s">
        <v>778</v>
      </c>
      <c r="M1477" s="19"/>
      <c r="N1477" s="19"/>
      <c r="O1477" s="34" t="s">
        <v>5339</v>
      </c>
      <c r="P1477" s="19"/>
    </row>
    <row r="1478" hidden="1">
      <c r="A1478" s="12">
        <v>53.0</v>
      </c>
      <c r="B1478" s="129" t="s">
        <v>5355</v>
      </c>
      <c r="C1478" s="12" t="s">
        <v>80</v>
      </c>
      <c r="D1478" s="128" t="s">
        <v>5356</v>
      </c>
      <c r="E1478" s="632" t="s">
        <v>5357</v>
      </c>
      <c r="F1478" s="12" t="s">
        <v>5324</v>
      </c>
      <c r="G1478" s="12" t="s">
        <v>5020</v>
      </c>
      <c r="H1478" s="472">
        <v>17.0</v>
      </c>
      <c r="I1478" s="12" t="s">
        <v>2890</v>
      </c>
      <c r="J1478" s="12" t="s">
        <v>2541</v>
      </c>
      <c r="K1478" s="19"/>
      <c r="L1478" s="12" t="s">
        <v>778</v>
      </c>
      <c r="M1478" s="19"/>
      <c r="N1478" s="19"/>
      <c r="O1478" s="34" t="s">
        <v>5339</v>
      </c>
      <c r="P1478" s="19"/>
    </row>
    <row r="1479" hidden="1">
      <c r="A1479" s="12">
        <v>54.0</v>
      </c>
      <c r="B1479" s="129" t="s">
        <v>5358</v>
      </c>
      <c r="C1479" s="12" t="s">
        <v>80</v>
      </c>
      <c r="D1479" s="128" t="s">
        <v>5359</v>
      </c>
      <c r="E1479" s="632" t="s">
        <v>5360</v>
      </c>
      <c r="F1479" s="12" t="s">
        <v>5324</v>
      </c>
      <c r="G1479" s="12" t="s">
        <v>5020</v>
      </c>
      <c r="H1479" s="472">
        <v>17.0</v>
      </c>
      <c r="I1479" s="12" t="s">
        <v>2890</v>
      </c>
      <c r="J1479" s="12" t="s">
        <v>2541</v>
      </c>
      <c r="K1479" s="19"/>
      <c r="L1479" s="12" t="s">
        <v>778</v>
      </c>
      <c r="M1479" s="19"/>
      <c r="N1479" s="19"/>
      <c r="O1479" s="34" t="s">
        <v>5339</v>
      </c>
      <c r="P1479" s="19"/>
    </row>
    <row r="1480" hidden="1">
      <c r="A1480" s="12">
        <v>55.0</v>
      </c>
      <c r="B1480" s="129" t="s">
        <v>5361</v>
      </c>
      <c r="C1480" s="12" t="s">
        <v>80</v>
      </c>
      <c r="D1480" s="128" t="s">
        <v>5362</v>
      </c>
      <c r="E1480" s="632" t="s">
        <v>5363</v>
      </c>
      <c r="F1480" s="12" t="s">
        <v>5324</v>
      </c>
      <c r="G1480" s="12" t="s">
        <v>5020</v>
      </c>
      <c r="H1480" s="472">
        <v>17.0</v>
      </c>
      <c r="I1480" s="630" t="s">
        <v>5364</v>
      </c>
      <c r="J1480" s="12" t="s">
        <v>5365</v>
      </c>
      <c r="K1480" s="19"/>
      <c r="L1480" s="12" t="s">
        <v>778</v>
      </c>
      <c r="M1480" s="19"/>
      <c r="N1480" s="19"/>
      <c r="O1480" s="34" t="s">
        <v>5339</v>
      </c>
      <c r="P1480" s="19"/>
    </row>
    <row r="1481" hidden="1">
      <c r="A1481" s="12">
        <v>56.0</v>
      </c>
      <c r="B1481" s="129" t="s">
        <v>5366</v>
      </c>
      <c r="C1481" s="12" t="s">
        <v>80</v>
      </c>
      <c r="D1481" s="128" t="s">
        <v>5367</v>
      </c>
      <c r="E1481" s="632" t="s">
        <v>5368</v>
      </c>
      <c r="F1481" s="12" t="s">
        <v>5324</v>
      </c>
      <c r="G1481" s="12" t="s">
        <v>5020</v>
      </c>
      <c r="H1481" s="472">
        <v>17.0</v>
      </c>
      <c r="I1481" s="12" t="s">
        <v>2890</v>
      </c>
      <c r="J1481" s="12" t="s">
        <v>51</v>
      </c>
      <c r="K1481" s="19"/>
      <c r="L1481" s="12" t="s">
        <v>778</v>
      </c>
      <c r="M1481" s="19"/>
      <c r="N1481" s="19"/>
      <c r="O1481" s="34" t="s">
        <v>5339</v>
      </c>
      <c r="P1481" s="19"/>
    </row>
    <row r="1482" hidden="1">
      <c r="A1482" s="12">
        <v>57.0</v>
      </c>
      <c r="B1482" s="129" t="s">
        <v>5369</v>
      </c>
      <c r="C1482" s="12" t="s">
        <v>80</v>
      </c>
      <c r="D1482" s="128" t="s">
        <v>5370</v>
      </c>
      <c r="E1482" s="632" t="s">
        <v>5371</v>
      </c>
      <c r="F1482" s="12" t="s">
        <v>5324</v>
      </c>
      <c r="G1482" s="12" t="s">
        <v>5020</v>
      </c>
      <c r="H1482" s="472">
        <v>17.0</v>
      </c>
      <c r="I1482" s="630" t="s">
        <v>3231</v>
      </c>
      <c r="J1482" s="12" t="s">
        <v>51</v>
      </c>
      <c r="K1482" s="19"/>
      <c r="L1482" s="12" t="s">
        <v>778</v>
      </c>
      <c r="M1482" s="19"/>
      <c r="N1482" s="19"/>
      <c r="O1482" s="34" t="s">
        <v>5339</v>
      </c>
      <c r="P1482" s="19"/>
    </row>
    <row r="1483" hidden="1">
      <c r="A1483" s="12">
        <v>58.0</v>
      </c>
      <c r="B1483" s="129" t="s">
        <v>5372</v>
      </c>
      <c r="C1483" s="12" t="s">
        <v>80</v>
      </c>
      <c r="D1483" s="128" t="s">
        <v>5373</v>
      </c>
      <c r="E1483" s="632" t="s">
        <v>5374</v>
      </c>
      <c r="F1483" s="12" t="s">
        <v>5324</v>
      </c>
      <c r="G1483" s="12" t="s">
        <v>5020</v>
      </c>
      <c r="H1483" s="472">
        <v>17.0</v>
      </c>
      <c r="I1483" s="12" t="s">
        <v>2890</v>
      </c>
      <c r="J1483" s="12" t="s">
        <v>51</v>
      </c>
      <c r="K1483" s="19"/>
      <c r="L1483" s="12" t="s">
        <v>778</v>
      </c>
      <c r="M1483" s="19"/>
      <c r="N1483" s="19"/>
      <c r="O1483" s="34" t="s">
        <v>5339</v>
      </c>
      <c r="P1483" s="19"/>
    </row>
    <row r="1484" hidden="1">
      <c r="A1484" s="12">
        <v>59.0</v>
      </c>
      <c r="B1484" s="129" t="s">
        <v>5375</v>
      </c>
      <c r="C1484" s="12" t="s">
        <v>80</v>
      </c>
      <c r="D1484" s="128" t="s">
        <v>5376</v>
      </c>
      <c r="E1484" s="632" t="s">
        <v>5377</v>
      </c>
      <c r="F1484" s="12" t="s">
        <v>5324</v>
      </c>
      <c r="G1484" s="12" t="s">
        <v>5020</v>
      </c>
      <c r="H1484" s="472">
        <v>17.0</v>
      </c>
      <c r="I1484" s="12" t="s">
        <v>2890</v>
      </c>
      <c r="J1484" s="12" t="s">
        <v>374</v>
      </c>
      <c r="K1484" s="478">
        <v>46003.0</v>
      </c>
      <c r="L1484" s="12" t="s">
        <v>5378</v>
      </c>
      <c r="M1484" s="19"/>
      <c r="N1484" s="19"/>
      <c r="O1484" s="34" t="s">
        <v>5339</v>
      </c>
      <c r="P1484" s="19"/>
    </row>
    <row r="1485" hidden="1">
      <c r="A1485" s="12">
        <v>60.0</v>
      </c>
      <c r="B1485" s="129" t="s">
        <v>5379</v>
      </c>
      <c r="C1485" s="12" t="s">
        <v>80</v>
      </c>
      <c r="D1485" s="128" t="s">
        <v>5380</v>
      </c>
      <c r="E1485" s="632" t="s">
        <v>5381</v>
      </c>
      <c r="F1485" s="12" t="s">
        <v>5324</v>
      </c>
      <c r="G1485" s="12" t="s">
        <v>5020</v>
      </c>
      <c r="H1485" s="472">
        <v>17.0</v>
      </c>
      <c r="I1485" s="12" t="s">
        <v>2890</v>
      </c>
      <c r="J1485" s="12" t="s">
        <v>2541</v>
      </c>
      <c r="K1485" s="19"/>
      <c r="L1485" s="12" t="s">
        <v>778</v>
      </c>
      <c r="M1485" s="19"/>
      <c r="N1485" s="19"/>
      <c r="O1485" s="34" t="s">
        <v>5339</v>
      </c>
      <c r="P1485" s="19"/>
    </row>
    <row r="1486" hidden="1">
      <c r="A1486" s="12">
        <v>61.0</v>
      </c>
      <c r="B1486" s="129" t="s">
        <v>5382</v>
      </c>
      <c r="C1486" s="12" t="s">
        <v>80</v>
      </c>
      <c r="D1486" s="128" t="s">
        <v>5383</v>
      </c>
      <c r="E1486" s="632" t="s">
        <v>5384</v>
      </c>
      <c r="F1486" s="12" t="s">
        <v>5324</v>
      </c>
      <c r="G1486" s="12" t="s">
        <v>5020</v>
      </c>
      <c r="H1486" s="472">
        <v>17.0</v>
      </c>
      <c r="I1486" s="12" t="s">
        <v>2890</v>
      </c>
      <c r="J1486" s="12" t="s">
        <v>2541</v>
      </c>
      <c r="K1486" s="19"/>
      <c r="L1486" s="12" t="s">
        <v>778</v>
      </c>
      <c r="M1486" s="19"/>
      <c r="N1486" s="19"/>
      <c r="O1486" s="34" t="s">
        <v>5339</v>
      </c>
      <c r="P1486" s="19"/>
    </row>
    <row r="1487" hidden="1">
      <c r="A1487" s="12">
        <v>62.0</v>
      </c>
      <c r="B1487" s="129" t="s">
        <v>5385</v>
      </c>
      <c r="C1487" s="12" t="s">
        <v>80</v>
      </c>
      <c r="D1487" s="128" t="s">
        <v>5386</v>
      </c>
      <c r="E1487" s="632" t="s">
        <v>5387</v>
      </c>
      <c r="F1487" s="12" t="s">
        <v>5324</v>
      </c>
      <c r="G1487" s="12" t="s">
        <v>5020</v>
      </c>
      <c r="H1487" s="472">
        <v>17.0</v>
      </c>
      <c r="I1487" s="12" t="s">
        <v>2890</v>
      </c>
      <c r="J1487" s="12" t="s">
        <v>2541</v>
      </c>
      <c r="K1487" s="19"/>
      <c r="L1487" s="12" t="s">
        <v>778</v>
      </c>
      <c r="M1487" s="19"/>
      <c r="N1487" s="19"/>
      <c r="O1487" s="34" t="s">
        <v>5339</v>
      </c>
      <c r="P1487" s="19"/>
    </row>
    <row r="1488" hidden="1">
      <c r="A1488" s="12">
        <v>63.0</v>
      </c>
      <c r="B1488" s="129" t="s">
        <v>5388</v>
      </c>
      <c r="C1488" s="12" t="s">
        <v>80</v>
      </c>
      <c r="D1488" s="128" t="s">
        <v>5389</v>
      </c>
      <c r="E1488" s="632" t="s">
        <v>5390</v>
      </c>
      <c r="F1488" s="12" t="s">
        <v>5324</v>
      </c>
      <c r="G1488" s="12" t="s">
        <v>5020</v>
      </c>
      <c r="H1488" s="472">
        <v>17.0</v>
      </c>
      <c r="I1488" s="12" t="s">
        <v>2890</v>
      </c>
      <c r="J1488" s="12" t="s">
        <v>2541</v>
      </c>
      <c r="K1488" s="19"/>
      <c r="L1488" s="12" t="s">
        <v>778</v>
      </c>
      <c r="M1488" s="19"/>
      <c r="N1488" s="19"/>
      <c r="O1488" s="34" t="s">
        <v>5339</v>
      </c>
      <c r="P1488" s="19"/>
    </row>
    <row r="1489" hidden="1">
      <c r="A1489" s="12">
        <v>64.0</v>
      </c>
      <c r="B1489" s="129" t="s">
        <v>5391</v>
      </c>
      <c r="C1489" s="12" t="s">
        <v>80</v>
      </c>
      <c r="D1489" s="128" t="s">
        <v>5392</v>
      </c>
      <c r="E1489" s="632" t="s">
        <v>5393</v>
      </c>
      <c r="F1489" s="12" t="s">
        <v>5324</v>
      </c>
      <c r="G1489" s="12" t="s">
        <v>5020</v>
      </c>
      <c r="H1489" s="472">
        <v>17.0</v>
      </c>
      <c r="I1489" s="12" t="s">
        <v>2890</v>
      </c>
      <c r="J1489" s="12" t="s">
        <v>3099</v>
      </c>
      <c r="K1489" s="19"/>
      <c r="L1489" s="12" t="s">
        <v>778</v>
      </c>
      <c r="M1489" s="19"/>
      <c r="N1489" s="19"/>
      <c r="O1489" s="34" t="s">
        <v>5339</v>
      </c>
      <c r="P1489" s="19"/>
    </row>
    <row r="1490" hidden="1">
      <c r="A1490" s="12">
        <v>65.0</v>
      </c>
      <c r="B1490" s="129" t="s">
        <v>5394</v>
      </c>
      <c r="C1490" s="12" t="s">
        <v>80</v>
      </c>
      <c r="D1490" s="128" t="s">
        <v>5395</v>
      </c>
      <c r="E1490" s="632" t="s">
        <v>5396</v>
      </c>
      <c r="F1490" s="12" t="s">
        <v>5324</v>
      </c>
      <c r="G1490" s="12" t="s">
        <v>5020</v>
      </c>
      <c r="H1490" s="472">
        <v>17.0</v>
      </c>
      <c r="I1490" s="12" t="s">
        <v>2890</v>
      </c>
      <c r="J1490" s="12" t="s">
        <v>3099</v>
      </c>
      <c r="K1490" s="19"/>
      <c r="L1490" s="12" t="s">
        <v>778</v>
      </c>
      <c r="M1490" s="19"/>
      <c r="N1490" s="19"/>
      <c r="O1490" s="34" t="s">
        <v>5339</v>
      </c>
      <c r="P1490" s="19"/>
    </row>
    <row r="1491" hidden="1">
      <c r="A1491" s="12">
        <v>66.0</v>
      </c>
      <c r="B1491" s="129" t="s">
        <v>5397</v>
      </c>
      <c r="C1491" s="12" t="s">
        <v>80</v>
      </c>
      <c r="D1491" s="128" t="s">
        <v>5398</v>
      </c>
      <c r="E1491" s="632" t="s">
        <v>5399</v>
      </c>
      <c r="F1491" s="12" t="s">
        <v>5324</v>
      </c>
      <c r="G1491" s="12" t="s">
        <v>5020</v>
      </c>
      <c r="H1491" s="472">
        <v>17.0</v>
      </c>
      <c r="I1491" s="12" t="s">
        <v>2890</v>
      </c>
      <c r="J1491" s="12" t="s">
        <v>3099</v>
      </c>
      <c r="K1491" s="34" t="s">
        <v>5338</v>
      </c>
      <c r="L1491" s="12" t="s">
        <v>778</v>
      </c>
      <c r="M1491" s="19"/>
      <c r="N1491" s="19"/>
      <c r="O1491" s="34" t="s">
        <v>5339</v>
      </c>
      <c r="P1491" s="19"/>
    </row>
    <row r="1492" hidden="1">
      <c r="A1492" s="12">
        <v>67.0</v>
      </c>
      <c r="B1492" s="129" t="s">
        <v>5400</v>
      </c>
      <c r="C1492" s="12" t="s">
        <v>80</v>
      </c>
      <c r="D1492" s="128" t="s">
        <v>5401</v>
      </c>
      <c r="E1492" s="632" t="s">
        <v>5402</v>
      </c>
      <c r="F1492" s="12" t="s">
        <v>5324</v>
      </c>
      <c r="G1492" s="12" t="s">
        <v>5020</v>
      </c>
      <c r="H1492" s="472">
        <v>17.0</v>
      </c>
      <c r="I1492" s="12" t="s">
        <v>2890</v>
      </c>
      <c r="J1492" s="12" t="s">
        <v>374</v>
      </c>
      <c r="K1492" s="19"/>
      <c r="L1492" s="12" t="s">
        <v>778</v>
      </c>
      <c r="M1492" s="19"/>
      <c r="N1492" s="19"/>
      <c r="O1492" s="34" t="s">
        <v>5339</v>
      </c>
      <c r="P1492" s="19"/>
    </row>
    <row r="1493" hidden="1">
      <c r="A1493" s="12">
        <v>68.0</v>
      </c>
      <c r="B1493" s="129" t="s">
        <v>5403</v>
      </c>
      <c r="C1493" s="12" t="s">
        <v>80</v>
      </c>
      <c r="D1493" s="128" t="s">
        <v>5404</v>
      </c>
      <c r="E1493" s="632" t="s">
        <v>5405</v>
      </c>
      <c r="F1493" s="12" t="s">
        <v>5324</v>
      </c>
      <c r="G1493" s="12" t="s">
        <v>5020</v>
      </c>
      <c r="H1493" s="472">
        <v>17.0</v>
      </c>
      <c r="I1493" s="12" t="s">
        <v>2890</v>
      </c>
      <c r="J1493" s="12" t="s">
        <v>3099</v>
      </c>
      <c r="K1493" s="34" t="s">
        <v>5338</v>
      </c>
      <c r="L1493" s="12" t="s">
        <v>778</v>
      </c>
      <c r="M1493" s="19"/>
      <c r="N1493" s="19"/>
      <c r="O1493" s="34" t="s">
        <v>5339</v>
      </c>
      <c r="P1493" s="19"/>
    </row>
    <row r="1494" hidden="1">
      <c r="A1494" s="12">
        <v>69.0</v>
      </c>
      <c r="B1494" s="129" t="s">
        <v>5406</v>
      </c>
      <c r="C1494" s="12" t="s">
        <v>80</v>
      </c>
      <c r="D1494" s="128" t="s">
        <v>5407</v>
      </c>
      <c r="E1494" s="632" t="s">
        <v>5408</v>
      </c>
      <c r="F1494" s="12" t="s">
        <v>5324</v>
      </c>
      <c r="G1494" s="12" t="s">
        <v>5020</v>
      </c>
      <c r="H1494" s="472">
        <v>17.0</v>
      </c>
      <c r="I1494" s="12" t="s">
        <v>2890</v>
      </c>
      <c r="J1494" s="12" t="s">
        <v>51</v>
      </c>
      <c r="K1494" s="19"/>
      <c r="L1494" s="12" t="s">
        <v>778</v>
      </c>
      <c r="M1494" s="19"/>
      <c r="N1494" s="19"/>
      <c r="O1494" s="34" t="s">
        <v>5339</v>
      </c>
      <c r="P1494" s="19"/>
    </row>
    <row r="1495" hidden="1">
      <c r="A1495" s="12">
        <v>70.0</v>
      </c>
      <c r="B1495" s="129" t="s">
        <v>5409</v>
      </c>
      <c r="C1495" s="12" t="s">
        <v>80</v>
      </c>
      <c r="D1495" s="128" t="s">
        <v>5410</v>
      </c>
      <c r="E1495" s="632" t="s">
        <v>5411</v>
      </c>
      <c r="F1495" s="12" t="s">
        <v>5324</v>
      </c>
      <c r="G1495" s="12" t="s">
        <v>5020</v>
      </c>
      <c r="H1495" s="472">
        <v>17.0</v>
      </c>
      <c r="I1495" s="12" t="s">
        <v>2890</v>
      </c>
      <c r="J1495" s="12" t="s">
        <v>3099</v>
      </c>
      <c r="K1495" s="19"/>
      <c r="L1495" s="12" t="s">
        <v>778</v>
      </c>
      <c r="M1495" s="19"/>
      <c r="N1495" s="19"/>
      <c r="O1495" s="143" t="s">
        <v>4951</v>
      </c>
      <c r="P1495" s="19"/>
    </row>
    <row r="1496" hidden="1">
      <c r="A1496" s="339" t="s">
        <v>5412</v>
      </c>
      <c r="Q1496" s="35"/>
      <c r="R1496" s="35"/>
      <c r="S1496" s="35"/>
      <c r="T1496" s="35"/>
      <c r="U1496" s="35"/>
      <c r="V1496" s="35"/>
      <c r="W1496" s="35"/>
      <c r="X1496" s="35"/>
      <c r="Y1496" s="35"/>
      <c r="Z1496" s="35"/>
      <c r="AA1496" s="35"/>
      <c r="AB1496" s="35"/>
      <c r="AC1496" s="35"/>
      <c r="AD1496" s="35"/>
      <c r="AE1496" s="35"/>
      <c r="AF1496" s="35"/>
    </row>
    <row r="1497" hidden="1">
      <c r="A1497" s="4" t="s">
        <v>47</v>
      </c>
      <c r="B1497" s="534" t="s">
        <v>7</v>
      </c>
      <c r="C1497" s="4" t="s">
        <v>9</v>
      </c>
      <c r="D1497" s="4" t="s">
        <v>10</v>
      </c>
      <c r="E1497" s="4" t="s">
        <v>11</v>
      </c>
      <c r="F1497" s="4" t="s">
        <v>12</v>
      </c>
      <c r="G1497" s="4" t="s">
        <v>2378</v>
      </c>
      <c r="H1497" s="4" t="s">
        <v>2681</v>
      </c>
      <c r="I1497" s="4" t="s">
        <v>2847</v>
      </c>
      <c r="J1497" s="8" t="s">
        <v>14</v>
      </c>
      <c r="K1497" s="9" t="s">
        <v>16</v>
      </c>
      <c r="L1497" s="9" t="s">
        <v>4330</v>
      </c>
      <c r="M1497" s="9" t="s">
        <v>18</v>
      </c>
      <c r="N1497" s="9" t="s">
        <v>19</v>
      </c>
      <c r="O1497" s="9" t="s">
        <v>20</v>
      </c>
      <c r="P1497" s="9" t="s">
        <v>21</v>
      </c>
      <c r="Q1497" s="35"/>
      <c r="R1497" s="35"/>
      <c r="S1497" s="35"/>
      <c r="T1497" s="35"/>
      <c r="U1497" s="35"/>
      <c r="V1497" s="35"/>
      <c r="W1497" s="35"/>
      <c r="X1497" s="35"/>
      <c r="Y1497" s="35"/>
      <c r="Z1497" s="35"/>
      <c r="AA1497" s="35"/>
      <c r="AB1497" s="35"/>
      <c r="AC1497" s="35"/>
      <c r="AD1497" s="35"/>
      <c r="AE1497" s="35"/>
      <c r="AF1497" s="35"/>
    </row>
    <row r="1498" hidden="1">
      <c r="A1498" s="471">
        <v>1.0</v>
      </c>
      <c r="B1498" s="470" t="s">
        <v>5413</v>
      </c>
      <c r="C1498" s="471" t="s">
        <v>1185</v>
      </c>
      <c r="D1498" s="306" t="s">
        <v>5414</v>
      </c>
      <c r="E1498" s="471" t="s">
        <v>5415</v>
      </c>
      <c r="F1498" s="471" t="s">
        <v>5416</v>
      </c>
      <c r="G1498" s="471" t="s">
        <v>5417</v>
      </c>
      <c r="H1498" s="471">
        <v>20.0</v>
      </c>
      <c r="I1498" s="472" t="s">
        <v>2890</v>
      </c>
      <c r="J1498" s="34" t="s">
        <v>51</v>
      </c>
      <c r="K1498" s="34" t="s">
        <v>5179</v>
      </c>
      <c r="L1498" s="12" t="s">
        <v>4884</v>
      </c>
      <c r="M1498" s="19"/>
      <c r="N1498" s="19"/>
      <c r="O1498" s="148">
        <v>46023.0</v>
      </c>
      <c r="P1498" s="385" t="s">
        <v>1432</v>
      </c>
    </row>
    <row r="1499" hidden="1">
      <c r="A1499" s="471">
        <v>2.0</v>
      </c>
      <c r="B1499" s="470" t="s">
        <v>5418</v>
      </c>
      <c r="C1499" s="471" t="s">
        <v>80</v>
      </c>
      <c r="D1499" s="306" t="s">
        <v>5419</v>
      </c>
      <c r="E1499" s="471" t="s">
        <v>5420</v>
      </c>
      <c r="F1499" s="471" t="s">
        <v>1978</v>
      </c>
      <c r="G1499" s="471" t="s">
        <v>5417</v>
      </c>
      <c r="H1499" s="471">
        <v>20.0</v>
      </c>
      <c r="I1499" s="522" t="s">
        <v>5421</v>
      </c>
      <c r="J1499" s="34" t="s">
        <v>5422</v>
      </c>
      <c r="K1499" s="19"/>
      <c r="L1499" s="12" t="s">
        <v>4884</v>
      </c>
      <c r="M1499" s="19"/>
      <c r="N1499" s="19"/>
      <c r="O1499" s="34" t="s">
        <v>210</v>
      </c>
      <c r="P1499" s="407" t="s">
        <v>2560</v>
      </c>
    </row>
    <row r="1500" hidden="1">
      <c r="A1500" s="471">
        <v>3.0</v>
      </c>
      <c r="B1500" s="470" t="s">
        <v>5423</v>
      </c>
      <c r="C1500" s="471" t="s">
        <v>80</v>
      </c>
      <c r="D1500" s="306" t="s">
        <v>5424</v>
      </c>
      <c r="E1500" s="471" t="s">
        <v>5425</v>
      </c>
      <c r="F1500" s="471" t="s">
        <v>4358</v>
      </c>
      <c r="G1500" s="471" t="s">
        <v>5417</v>
      </c>
      <c r="H1500" s="471">
        <v>20.0</v>
      </c>
      <c r="I1500" s="472" t="s">
        <v>2890</v>
      </c>
      <c r="J1500" s="12" t="s">
        <v>5230</v>
      </c>
      <c r="K1500" s="34" t="s">
        <v>4912</v>
      </c>
      <c r="L1500" s="12" t="s">
        <v>4884</v>
      </c>
      <c r="M1500" s="19"/>
      <c r="N1500" s="19"/>
      <c r="O1500" s="34" t="s">
        <v>210</v>
      </c>
      <c r="P1500" s="385" t="s">
        <v>1432</v>
      </c>
    </row>
    <row r="1501" hidden="1">
      <c r="A1501" s="471">
        <v>4.0</v>
      </c>
      <c r="B1501" s="470" t="s">
        <v>5426</v>
      </c>
      <c r="C1501" s="471" t="s">
        <v>1185</v>
      </c>
      <c r="D1501" s="306" t="s">
        <v>5427</v>
      </c>
      <c r="E1501" s="471" t="s">
        <v>5428</v>
      </c>
      <c r="F1501" s="471" t="s">
        <v>356</v>
      </c>
      <c r="G1501" s="471" t="s">
        <v>5417</v>
      </c>
      <c r="H1501" s="471">
        <v>20.0</v>
      </c>
      <c r="I1501" s="472" t="s">
        <v>2890</v>
      </c>
      <c r="J1501" s="12" t="s">
        <v>5230</v>
      </c>
      <c r="K1501" s="34" t="s">
        <v>4912</v>
      </c>
      <c r="L1501" s="12" t="s">
        <v>4884</v>
      </c>
      <c r="M1501" s="19"/>
      <c r="N1501" s="19"/>
      <c r="O1501" s="34" t="s">
        <v>210</v>
      </c>
      <c r="P1501" s="385" t="s">
        <v>1432</v>
      </c>
    </row>
    <row r="1502" hidden="1">
      <c r="A1502" s="471">
        <v>5.0</v>
      </c>
      <c r="B1502" s="470" t="s">
        <v>5429</v>
      </c>
      <c r="C1502" s="471" t="s">
        <v>5430</v>
      </c>
      <c r="D1502" s="306" t="s">
        <v>5431</v>
      </c>
      <c r="E1502" s="471" t="s">
        <v>5432</v>
      </c>
      <c r="F1502" s="471" t="s">
        <v>356</v>
      </c>
      <c r="G1502" s="471" t="s">
        <v>4835</v>
      </c>
      <c r="H1502" s="471">
        <v>10.0</v>
      </c>
      <c r="I1502" s="472" t="s">
        <v>2890</v>
      </c>
      <c r="J1502" s="34" t="s">
        <v>5107</v>
      </c>
      <c r="K1502" s="148">
        <v>45912.0</v>
      </c>
      <c r="L1502" s="12" t="s">
        <v>4884</v>
      </c>
      <c r="M1502" s="19"/>
      <c r="N1502" s="19"/>
      <c r="O1502" s="34" t="s">
        <v>4691</v>
      </c>
      <c r="P1502" s="385" t="s">
        <v>1432</v>
      </c>
    </row>
    <row r="1503" hidden="1">
      <c r="A1503" s="471">
        <v>6.0</v>
      </c>
      <c r="B1503" s="470" t="s">
        <v>5433</v>
      </c>
      <c r="C1503" s="471" t="s">
        <v>80</v>
      </c>
      <c r="D1503" s="306" t="s">
        <v>5434</v>
      </c>
      <c r="E1503" s="471" t="s">
        <v>5435</v>
      </c>
      <c r="F1503" s="471" t="s">
        <v>5436</v>
      </c>
      <c r="G1503" s="471" t="s">
        <v>5417</v>
      </c>
      <c r="H1503" s="471">
        <v>20.0</v>
      </c>
      <c r="I1503" s="472" t="s">
        <v>2890</v>
      </c>
      <c r="J1503" s="34" t="s">
        <v>51</v>
      </c>
      <c r="K1503" s="34" t="s">
        <v>5113</v>
      </c>
      <c r="L1503" s="12" t="s">
        <v>4884</v>
      </c>
      <c r="M1503" s="19"/>
      <c r="N1503" s="19"/>
      <c r="O1503" s="34" t="s">
        <v>5437</v>
      </c>
      <c r="P1503" s="385" t="s">
        <v>1432</v>
      </c>
    </row>
    <row r="1504" hidden="1">
      <c r="A1504" s="471">
        <v>7.0</v>
      </c>
      <c r="B1504" s="470" t="s">
        <v>5438</v>
      </c>
      <c r="C1504" s="471" t="s">
        <v>80</v>
      </c>
      <c r="D1504" s="306" t="s">
        <v>5439</v>
      </c>
      <c r="E1504" s="632" t="s">
        <v>5087</v>
      </c>
      <c r="F1504" s="471" t="s">
        <v>3928</v>
      </c>
      <c r="G1504" s="14"/>
      <c r="H1504" s="14"/>
      <c r="I1504" s="472" t="s">
        <v>2890</v>
      </c>
      <c r="J1504" s="19"/>
      <c r="K1504" s="19"/>
      <c r="L1504" s="12" t="s">
        <v>5073</v>
      </c>
      <c r="M1504" s="19"/>
      <c r="N1504" s="19"/>
      <c r="O1504" s="19"/>
    </row>
    <row r="1505" hidden="1">
      <c r="A1505" s="471">
        <v>8.0</v>
      </c>
      <c r="B1505" s="470" t="s">
        <v>5440</v>
      </c>
      <c r="C1505" s="471" t="s">
        <v>651</v>
      </c>
      <c r="D1505" s="306" t="s">
        <v>5441</v>
      </c>
      <c r="E1505" s="471" t="s">
        <v>5442</v>
      </c>
      <c r="F1505" s="471" t="s">
        <v>4779</v>
      </c>
      <c r="G1505" s="471" t="s">
        <v>5443</v>
      </c>
      <c r="H1505" s="471">
        <v>21.0</v>
      </c>
      <c r="I1505" s="472" t="s">
        <v>2890</v>
      </c>
      <c r="J1505" s="34" t="s">
        <v>5444</v>
      </c>
      <c r="K1505" s="34" t="s">
        <v>5437</v>
      </c>
      <c r="L1505" s="12" t="s">
        <v>4884</v>
      </c>
      <c r="M1505" s="19"/>
      <c r="N1505" s="19"/>
      <c r="O1505" s="148">
        <v>46054.0</v>
      </c>
      <c r="P1505" s="385" t="s">
        <v>1432</v>
      </c>
    </row>
    <row r="1506" hidden="1">
      <c r="A1506" s="471">
        <v>9.0</v>
      </c>
      <c r="B1506" s="612" t="s">
        <v>5445</v>
      </c>
      <c r="C1506" s="471" t="s">
        <v>80</v>
      </c>
      <c r="D1506" s="306" t="s">
        <v>5446</v>
      </c>
      <c r="E1506" s="471" t="s">
        <v>5447</v>
      </c>
      <c r="F1506" s="471" t="s">
        <v>2444</v>
      </c>
      <c r="G1506" s="471" t="s">
        <v>5443</v>
      </c>
      <c r="H1506" s="471">
        <v>21.0</v>
      </c>
      <c r="I1506" s="522" t="s">
        <v>3231</v>
      </c>
      <c r="J1506" s="34" t="s">
        <v>2541</v>
      </c>
      <c r="K1506" s="34" t="s">
        <v>5022</v>
      </c>
      <c r="L1506" s="12" t="s">
        <v>5035</v>
      </c>
      <c r="M1506" s="19"/>
      <c r="N1506" s="19"/>
      <c r="O1506" s="34" t="s">
        <v>5113</v>
      </c>
      <c r="P1506" s="385" t="s">
        <v>1432</v>
      </c>
    </row>
    <row r="1507" hidden="1">
      <c r="A1507" s="471">
        <v>10.0</v>
      </c>
      <c r="B1507" s="470" t="s">
        <v>5448</v>
      </c>
      <c r="C1507" s="471" t="s">
        <v>80</v>
      </c>
      <c r="D1507" s="306" t="s">
        <v>5449</v>
      </c>
      <c r="E1507" s="471" t="s">
        <v>5450</v>
      </c>
      <c r="F1507" s="471" t="s">
        <v>4358</v>
      </c>
      <c r="G1507" s="471" t="s">
        <v>5443</v>
      </c>
      <c r="H1507" s="471">
        <v>21.0</v>
      </c>
      <c r="I1507" s="472" t="s">
        <v>2890</v>
      </c>
      <c r="J1507" s="34" t="s">
        <v>4195</v>
      </c>
      <c r="K1507" s="34" t="s">
        <v>5022</v>
      </c>
      <c r="L1507" s="12" t="s">
        <v>5035</v>
      </c>
      <c r="M1507" s="19"/>
      <c r="N1507" s="19"/>
      <c r="O1507" s="34" t="s">
        <v>5293</v>
      </c>
      <c r="P1507" s="385" t="s">
        <v>1432</v>
      </c>
    </row>
    <row r="1508" hidden="1">
      <c r="A1508" s="471">
        <v>11.0</v>
      </c>
      <c r="B1508" s="612" t="s">
        <v>5451</v>
      </c>
      <c r="C1508" s="471" t="s">
        <v>938</v>
      </c>
      <c r="D1508" s="306" t="s">
        <v>5452</v>
      </c>
      <c r="E1508" s="625" t="s">
        <v>5453</v>
      </c>
      <c r="F1508" s="471" t="s">
        <v>1836</v>
      </c>
      <c r="G1508" s="471" t="s">
        <v>5443</v>
      </c>
      <c r="H1508" s="471">
        <v>21.0</v>
      </c>
      <c r="I1508" s="472" t="s">
        <v>2890</v>
      </c>
      <c r="J1508" s="34" t="s">
        <v>5454</v>
      </c>
      <c r="K1508" s="34" t="s">
        <v>4691</v>
      </c>
      <c r="L1508" s="12" t="s">
        <v>5035</v>
      </c>
      <c r="M1508" s="19"/>
      <c r="N1508" s="19"/>
      <c r="O1508" s="32" t="s">
        <v>4810</v>
      </c>
      <c r="P1508" s="634" t="s">
        <v>4937</v>
      </c>
    </row>
    <row r="1509" hidden="1">
      <c r="A1509" s="471">
        <v>12.0</v>
      </c>
      <c r="B1509" s="612" t="s">
        <v>5455</v>
      </c>
      <c r="C1509" s="471" t="s">
        <v>938</v>
      </c>
      <c r="D1509" s="306" t="s">
        <v>5456</v>
      </c>
      <c r="E1509" s="625" t="s">
        <v>5457</v>
      </c>
      <c r="F1509" s="471" t="s">
        <v>1836</v>
      </c>
      <c r="G1509" s="471" t="s">
        <v>5443</v>
      </c>
      <c r="H1509" s="471">
        <v>21.0</v>
      </c>
      <c r="I1509" s="472" t="s">
        <v>2890</v>
      </c>
      <c r="J1509" s="34" t="s">
        <v>5454</v>
      </c>
      <c r="K1509" s="34" t="s">
        <v>5458</v>
      </c>
      <c r="L1509" s="12" t="s">
        <v>5035</v>
      </c>
      <c r="M1509" s="19"/>
      <c r="N1509" s="19"/>
      <c r="O1509" s="32" t="s">
        <v>4810</v>
      </c>
      <c r="P1509" s="634" t="s">
        <v>4937</v>
      </c>
    </row>
    <row r="1510" hidden="1">
      <c r="A1510" s="471">
        <v>13.0</v>
      </c>
      <c r="B1510" s="470" t="s">
        <v>5459</v>
      </c>
      <c r="C1510" s="471" t="s">
        <v>938</v>
      </c>
      <c r="D1510" s="306" t="s">
        <v>5460</v>
      </c>
      <c r="E1510" s="471" t="s">
        <v>5461</v>
      </c>
      <c r="F1510" s="471" t="s">
        <v>1836</v>
      </c>
      <c r="G1510" s="471" t="s">
        <v>5443</v>
      </c>
      <c r="H1510" s="471">
        <v>21.0</v>
      </c>
      <c r="I1510" s="472" t="s">
        <v>2890</v>
      </c>
      <c r="J1510" s="34" t="s">
        <v>5280</v>
      </c>
      <c r="K1510" s="34" t="s">
        <v>210</v>
      </c>
      <c r="L1510" s="12" t="s">
        <v>5035</v>
      </c>
      <c r="M1510" s="34" t="s">
        <v>5462</v>
      </c>
      <c r="N1510" s="34" t="s">
        <v>5463</v>
      </c>
      <c r="O1510" s="34" t="s">
        <v>5464</v>
      </c>
      <c r="P1510" s="385" t="s">
        <v>1432</v>
      </c>
    </row>
    <row r="1511" hidden="1">
      <c r="A1511" s="471">
        <v>14.0</v>
      </c>
      <c r="B1511" s="470" t="s">
        <v>5465</v>
      </c>
      <c r="C1511" s="471" t="s">
        <v>688</v>
      </c>
      <c r="D1511" s="306" t="s">
        <v>5466</v>
      </c>
      <c r="E1511" s="625" t="s">
        <v>5467</v>
      </c>
      <c r="F1511" s="471" t="s">
        <v>5468</v>
      </c>
      <c r="G1511" s="471" t="s">
        <v>5443</v>
      </c>
      <c r="H1511" s="471">
        <v>21.0</v>
      </c>
      <c r="I1511" s="472" t="s">
        <v>2890</v>
      </c>
      <c r="J1511" s="34" t="s">
        <v>5469</v>
      </c>
      <c r="K1511" s="34" t="s">
        <v>4810</v>
      </c>
      <c r="L1511" s="12" t="s">
        <v>5035</v>
      </c>
      <c r="M1511" s="19"/>
      <c r="N1511" s="19"/>
      <c r="O1511" s="148">
        <v>45658.0</v>
      </c>
      <c r="P1511" s="385" t="s">
        <v>1432</v>
      </c>
    </row>
    <row r="1512" hidden="1">
      <c r="A1512" s="471">
        <v>15.0</v>
      </c>
      <c r="B1512" s="470" t="s">
        <v>5470</v>
      </c>
      <c r="C1512" s="471" t="s">
        <v>397</v>
      </c>
      <c r="D1512" s="306" t="s">
        <v>5471</v>
      </c>
      <c r="E1512" s="625" t="s">
        <v>5472</v>
      </c>
      <c r="F1512" s="471" t="s">
        <v>5468</v>
      </c>
      <c r="G1512" s="471" t="s">
        <v>5443</v>
      </c>
      <c r="H1512" s="471">
        <v>21.0</v>
      </c>
      <c r="I1512" s="540" t="s">
        <v>3465</v>
      </c>
      <c r="J1512" s="34" t="s">
        <v>5469</v>
      </c>
      <c r="K1512" s="34" t="s">
        <v>4810</v>
      </c>
      <c r="L1512" s="12" t="s">
        <v>5035</v>
      </c>
      <c r="M1512" s="19"/>
      <c r="N1512" s="19"/>
      <c r="O1512" s="148">
        <v>45658.0</v>
      </c>
      <c r="P1512" s="385" t="s">
        <v>1432</v>
      </c>
    </row>
    <row r="1513" hidden="1">
      <c r="A1513" s="471">
        <v>16.0</v>
      </c>
      <c r="B1513" s="470" t="s">
        <v>5473</v>
      </c>
      <c r="C1513" s="471" t="s">
        <v>80</v>
      </c>
      <c r="D1513" s="306" t="s">
        <v>5474</v>
      </c>
      <c r="E1513" s="471" t="s">
        <v>5475</v>
      </c>
      <c r="F1513" s="471" t="s">
        <v>2401</v>
      </c>
      <c r="G1513" s="471" t="s">
        <v>5307</v>
      </c>
      <c r="H1513" s="471">
        <v>23.0</v>
      </c>
      <c r="I1513" s="472" t="s">
        <v>2890</v>
      </c>
      <c r="J1513" s="34" t="s">
        <v>51</v>
      </c>
      <c r="K1513" s="622">
        <v>46023.0</v>
      </c>
      <c r="L1513" s="12" t="s">
        <v>4884</v>
      </c>
      <c r="M1513" s="19"/>
      <c r="N1513" s="19"/>
      <c r="O1513" s="148">
        <v>45717.0</v>
      </c>
      <c r="P1513" s="385" t="s">
        <v>1432</v>
      </c>
    </row>
    <row r="1514" hidden="1">
      <c r="A1514" s="471">
        <v>17.0</v>
      </c>
      <c r="B1514" s="470" t="s">
        <v>5476</v>
      </c>
      <c r="C1514" s="471" t="s">
        <v>80</v>
      </c>
      <c r="D1514" s="306" t="s">
        <v>5477</v>
      </c>
      <c r="E1514" s="471" t="s">
        <v>5478</v>
      </c>
      <c r="F1514" s="471" t="s">
        <v>5479</v>
      </c>
      <c r="G1514" s="471" t="s">
        <v>4541</v>
      </c>
      <c r="H1514" s="471">
        <v>24.0</v>
      </c>
      <c r="I1514" s="472" t="s">
        <v>2890</v>
      </c>
      <c r="J1514" s="34" t="s">
        <v>5480</v>
      </c>
      <c r="K1514" s="34" t="s">
        <v>5293</v>
      </c>
      <c r="L1514" s="12" t="s">
        <v>4884</v>
      </c>
      <c r="M1514" s="19"/>
      <c r="N1514" s="19"/>
      <c r="O1514" s="148">
        <v>46143.0</v>
      </c>
      <c r="P1514" s="385" t="s">
        <v>1432</v>
      </c>
    </row>
    <row r="1515" hidden="1">
      <c r="A1515" s="471">
        <v>18.0</v>
      </c>
      <c r="B1515" s="470" t="s">
        <v>5481</v>
      </c>
      <c r="C1515" s="471" t="s">
        <v>80</v>
      </c>
      <c r="D1515" s="306" t="s">
        <v>5482</v>
      </c>
      <c r="E1515" s="471" t="s">
        <v>5483</v>
      </c>
      <c r="F1515" s="471" t="s">
        <v>172</v>
      </c>
      <c r="G1515" s="471" t="s">
        <v>4541</v>
      </c>
      <c r="H1515" s="471">
        <v>24.0</v>
      </c>
      <c r="I1515" s="522" t="s">
        <v>3231</v>
      </c>
      <c r="J1515" s="34" t="s">
        <v>51</v>
      </c>
      <c r="K1515" s="34" t="s">
        <v>4951</v>
      </c>
      <c r="L1515" s="12" t="s">
        <v>4884</v>
      </c>
      <c r="M1515" s="19"/>
      <c r="N1515" s="19"/>
      <c r="O1515" s="34" t="s">
        <v>5293</v>
      </c>
      <c r="P1515" s="634" t="s">
        <v>4937</v>
      </c>
    </row>
    <row r="1516" hidden="1">
      <c r="A1516" s="471">
        <v>19.0</v>
      </c>
      <c r="B1516" s="470" t="s">
        <v>5484</v>
      </c>
      <c r="C1516" s="471" t="s">
        <v>80</v>
      </c>
      <c r="D1516" s="306" t="s">
        <v>5485</v>
      </c>
      <c r="E1516" s="625" t="s">
        <v>5486</v>
      </c>
      <c r="F1516" s="471" t="s">
        <v>4666</v>
      </c>
      <c r="G1516" s="471" t="s">
        <v>5487</v>
      </c>
      <c r="H1516" s="471">
        <v>25.0</v>
      </c>
      <c r="I1516" s="522" t="s">
        <v>3231</v>
      </c>
      <c r="J1516" s="34" t="s">
        <v>5469</v>
      </c>
      <c r="K1516" s="34" t="s">
        <v>4810</v>
      </c>
      <c r="L1516" s="12" t="s">
        <v>374</v>
      </c>
      <c r="M1516" s="19"/>
      <c r="N1516" s="19"/>
      <c r="O1516" s="34" t="s">
        <v>4951</v>
      </c>
      <c r="P1516" s="385" t="s">
        <v>1432</v>
      </c>
    </row>
    <row r="1517" hidden="1">
      <c r="A1517" s="471">
        <v>20.0</v>
      </c>
      <c r="B1517" s="470" t="s">
        <v>5488</v>
      </c>
      <c r="C1517" s="471" t="s">
        <v>80</v>
      </c>
      <c r="D1517" s="306" t="s">
        <v>5489</v>
      </c>
      <c r="E1517" s="625" t="s">
        <v>5490</v>
      </c>
      <c r="F1517" s="471" t="s">
        <v>4666</v>
      </c>
      <c r="G1517" s="471" t="s">
        <v>5487</v>
      </c>
      <c r="H1517" s="471">
        <v>25.0</v>
      </c>
      <c r="I1517" s="472" t="s">
        <v>2890</v>
      </c>
      <c r="J1517" s="34" t="s">
        <v>5469</v>
      </c>
      <c r="K1517" s="34" t="s">
        <v>4810</v>
      </c>
      <c r="L1517" s="12" t="s">
        <v>374</v>
      </c>
      <c r="M1517" s="19"/>
      <c r="N1517" s="19"/>
      <c r="O1517" s="34" t="s">
        <v>4951</v>
      </c>
      <c r="P1517" s="385" t="s">
        <v>1432</v>
      </c>
    </row>
    <row r="1518" hidden="1">
      <c r="A1518" s="471">
        <v>21.0</v>
      </c>
      <c r="B1518" s="470" t="s">
        <v>5491</v>
      </c>
      <c r="C1518" s="471" t="s">
        <v>1185</v>
      </c>
      <c r="D1518" s="306" t="s">
        <v>5492</v>
      </c>
      <c r="E1518" s="471" t="s">
        <v>5493</v>
      </c>
      <c r="F1518" s="471" t="s">
        <v>2098</v>
      </c>
      <c r="G1518" s="471" t="s">
        <v>5132</v>
      </c>
      <c r="H1518" s="471">
        <v>16.0</v>
      </c>
      <c r="I1518" s="472" t="s">
        <v>2890</v>
      </c>
      <c r="J1518" s="34" t="s">
        <v>5454</v>
      </c>
      <c r="K1518" s="34" t="s">
        <v>4912</v>
      </c>
      <c r="L1518" s="12" t="s">
        <v>4884</v>
      </c>
      <c r="M1518" s="19"/>
      <c r="N1518" s="19"/>
      <c r="O1518" s="34" t="s">
        <v>210</v>
      </c>
      <c r="P1518" s="385" t="s">
        <v>1432</v>
      </c>
    </row>
    <row r="1519" hidden="1">
      <c r="A1519" s="471">
        <v>22.0</v>
      </c>
      <c r="B1519" s="470" t="s">
        <v>5494</v>
      </c>
      <c r="C1519" s="471" t="s">
        <v>1185</v>
      </c>
      <c r="D1519" s="306" t="s">
        <v>5495</v>
      </c>
      <c r="E1519" s="471" t="s">
        <v>5496</v>
      </c>
      <c r="F1519" s="471" t="s">
        <v>2098</v>
      </c>
      <c r="G1519" s="471" t="s">
        <v>5417</v>
      </c>
      <c r="H1519" s="471">
        <v>20.0</v>
      </c>
      <c r="I1519" s="522" t="s">
        <v>3043</v>
      </c>
      <c r="J1519" s="34" t="s">
        <v>5454</v>
      </c>
      <c r="K1519" s="34" t="s">
        <v>5015</v>
      </c>
      <c r="L1519" s="12" t="s">
        <v>4884</v>
      </c>
      <c r="M1519" s="19"/>
      <c r="N1519" s="19"/>
      <c r="O1519" s="34" t="s">
        <v>5022</v>
      </c>
      <c r="P1519" s="385" t="s">
        <v>1432</v>
      </c>
    </row>
    <row r="1520" hidden="1">
      <c r="A1520" s="471">
        <v>23.0</v>
      </c>
      <c r="B1520" s="470" t="s">
        <v>5497</v>
      </c>
      <c r="C1520" s="471" t="s">
        <v>1185</v>
      </c>
      <c r="D1520" s="306" t="s">
        <v>5498</v>
      </c>
      <c r="E1520" s="471" t="s">
        <v>5499</v>
      </c>
      <c r="F1520" s="471" t="s">
        <v>4367</v>
      </c>
      <c r="G1520" s="471" t="s">
        <v>4541</v>
      </c>
      <c r="H1520" s="471">
        <v>24.0</v>
      </c>
      <c r="I1520" s="472" t="s">
        <v>2890</v>
      </c>
      <c r="J1520" s="34" t="s">
        <v>5500</v>
      </c>
      <c r="K1520" s="148">
        <v>45689.0</v>
      </c>
      <c r="L1520" s="12" t="s">
        <v>4884</v>
      </c>
      <c r="M1520" s="19"/>
      <c r="N1520" s="19"/>
      <c r="O1520" s="19"/>
      <c r="P1520" s="385" t="s">
        <v>1432</v>
      </c>
    </row>
    <row r="1521" hidden="1">
      <c r="A1521" s="339" t="s">
        <v>5501</v>
      </c>
    </row>
    <row r="1522" hidden="1">
      <c r="A1522" s="4" t="s">
        <v>47</v>
      </c>
      <c r="B1522" s="534" t="s">
        <v>7</v>
      </c>
      <c r="C1522" s="4" t="s">
        <v>9</v>
      </c>
      <c r="D1522" s="4" t="s">
        <v>10</v>
      </c>
      <c r="E1522" s="4" t="s">
        <v>11</v>
      </c>
      <c r="F1522" s="4" t="s">
        <v>12</v>
      </c>
      <c r="G1522" s="4" t="s">
        <v>2378</v>
      </c>
      <c r="H1522" s="4" t="s">
        <v>2681</v>
      </c>
      <c r="I1522" s="4" t="s">
        <v>2847</v>
      </c>
      <c r="J1522" s="8" t="s">
        <v>14</v>
      </c>
      <c r="K1522" s="9" t="s">
        <v>16</v>
      </c>
      <c r="L1522" s="9" t="s">
        <v>4330</v>
      </c>
      <c r="M1522" s="9" t="s">
        <v>18</v>
      </c>
      <c r="N1522" s="9" t="s">
        <v>19</v>
      </c>
      <c r="O1522" s="9" t="s">
        <v>20</v>
      </c>
      <c r="P1522" s="9" t="s">
        <v>21</v>
      </c>
      <c r="Q1522" s="35"/>
      <c r="R1522" s="35"/>
      <c r="S1522" s="35"/>
      <c r="T1522" s="35"/>
      <c r="U1522" s="35"/>
      <c r="V1522" s="35"/>
      <c r="W1522" s="35"/>
      <c r="X1522" s="35"/>
      <c r="Y1522" s="35"/>
      <c r="Z1522" s="35"/>
      <c r="AA1522" s="35"/>
      <c r="AB1522" s="35"/>
      <c r="AC1522" s="35"/>
      <c r="AD1522" s="35"/>
      <c r="AE1522" s="35"/>
      <c r="AF1522" s="35"/>
    </row>
    <row r="1523" hidden="1">
      <c r="A1523" s="118">
        <v>1.0</v>
      </c>
      <c r="B1523" s="635" t="s">
        <v>5502</v>
      </c>
      <c r="C1523" s="118" t="s">
        <v>80</v>
      </c>
      <c r="D1523" s="636" t="s">
        <v>5503</v>
      </c>
      <c r="E1523" s="632" t="s">
        <v>5504</v>
      </c>
      <c r="F1523" s="118" t="s">
        <v>4059</v>
      </c>
      <c r="G1523" s="118" t="s">
        <v>5153</v>
      </c>
      <c r="H1523" s="118">
        <v>11.0</v>
      </c>
      <c r="I1523" s="12" t="s">
        <v>2890</v>
      </c>
      <c r="J1523" s="19"/>
      <c r="K1523" s="19"/>
      <c r="L1523" s="12" t="s">
        <v>778</v>
      </c>
      <c r="M1523" s="19"/>
      <c r="N1523" s="19"/>
      <c r="O1523" s="34" t="s">
        <v>5166</v>
      </c>
      <c r="P1523" s="19"/>
    </row>
    <row r="1524" hidden="1">
      <c r="A1524" s="118">
        <v>2.0</v>
      </c>
      <c r="B1524" s="635" t="s">
        <v>5505</v>
      </c>
      <c r="C1524" s="118" t="s">
        <v>80</v>
      </c>
      <c r="D1524" s="636" t="s">
        <v>5506</v>
      </c>
      <c r="E1524" s="632" t="s">
        <v>5507</v>
      </c>
      <c r="F1524" s="118" t="s">
        <v>4059</v>
      </c>
      <c r="G1524" s="118" t="s">
        <v>5153</v>
      </c>
      <c r="H1524" s="118">
        <v>11.0</v>
      </c>
      <c r="I1524" s="12" t="s">
        <v>2890</v>
      </c>
      <c r="J1524" s="19"/>
      <c r="K1524" s="19"/>
      <c r="L1524" s="12" t="s">
        <v>778</v>
      </c>
      <c r="M1524" s="19"/>
      <c r="N1524" s="19"/>
      <c r="O1524" s="34" t="s">
        <v>5166</v>
      </c>
      <c r="P1524" s="19"/>
    </row>
    <row r="1525" hidden="1">
      <c r="A1525" s="118">
        <v>3.0</v>
      </c>
      <c r="B1525" s="635" t="s">
        <v>5508</v>
      </c>
      <c r="C1525" s="118" t="s">
        <v>80</v>
      </c>
      <c r="D1525" s="636" t="s">
        <v>5509</v>
      </c>
      <c r="E1525" s="632" t="s">
        <v>5510</v>
      </c>
      <c r="F1525" s="118" t="s">
        <v>4059</v>
      </c>
      <c r="G1525" s="118" t="s">
        <v>5153</v>
      </c>
      <c r="H1525" s="118">
        <v>11.0</v>
      </c>
      <c r="I1525" s="12" t="s">
        <v>2890</v>
      </c>
      <c r="J1525" s="19"/>
      <c r="K1525" s="19"/>
      <c r="L1525" s="12" t="s">
        <v>778</v>
      </c>
      <c r="M1525" s="19"/>
      <c r="N1525" s="19"/>
      <c r="O1525" s="34" t="s">
        <v>5166</v>
      </c>
      <c r="P1525" s="19"/>
    </row>
    <row r="1526" hidden="1">
      <c r="A1526" s="118">
        <v>4.0</v>
      </c>
      <c r="B1526" s="635" t="s">
        <v>5511</v>
      </c>
      <c r="C1526" s="118" t="s">
        <v>80</v>
      </c>
      <c r="D1526" s="636" t="s">
        <v>5512</v>
      </c>
      <c r="E1526" s="632" t="s">
        <v>5513</v>
      </c>
      <c r="F1526" s="118" t="s">
        <v>4059</v>
      </c>
      <c r="G1526" s="118" t="s">
        <v>5153</v>
      </c>
      <c r="H1526" s="118">
        <v>11.0</v>
      </c>
      <c r="I1526" s="12" t="s">
        <v>2890</v>
      </c>
      <c r="J1526" s="19"/>
      <c r="K1526" s="19"/>
      <c r="L1526" s="12" t="s">
        <v>778</v>
      </c>
      <c r="M1526" s="19"/>
      <c r="N1526" s="19"/>
      <c r="O1526" s="34" t="s">
        <v>5166</v>
      </c>
      <c r="P1526" s="19"/>
    </row>
    <row r="1527" hidden="1">
      <c r="A1527" s="118">
        <v>5.0</v>
      </c>
      <c r="B1527" s="635" t="s">
        <v>5514</v>
      </c>
      <c r="C1527" s="118" t="s">
        <v>80</v>
      </c>
      <c r="D1527" s="636" t="s">
        <v>5515</v>
      </c>
      <c r="E1527" s="632" t="s">
        <v>5516</v>
      </c>
      <c r="F1527" s="118" t="s">
        <v>4059</v>
      </c>
      <c r="G1527" s="118" t="s">
        <v>5153</v>
      </c>
      <c r="H1527" s="118">
        <v>11.0</v>
      </c>
      <c r="I1527" s="12" t="s">
        <v>2890</v>
      </c>
      <c r="J1527" s="19"/>
      <c r="K1527" s="19"/>
      <c r="L1527" s="12" t="s">
        <v>778</v>
      </c>
      <c r="M1527" s="19"/>
      <c r="N1527" s="19"/>
      <c r="O1527" s="34" t="s">
        <v>5153</v>
      </c>
      <c r="P1527" s="19"/>
    </row>
    <row r="1528" hidden="1">
      <c r="A1528" s="118">
        <v>6.0</v>
      </c>
      <c r="B1528" s="635" t="s">
        <v>5517</v>
      </c>
      <c r="C1528" s="118" t="s">
        <v>80</v>
      </c>
      <c r="D1528" s="636" t="s">
        <v>5518</v>
      </c>
      <c r="E1528" s="632" t="s">
        <v>5519</v>
      </c>
      <c r="F1528" s="118" t="s">
        <v>4059</v>
      </c>
      <c r="G1528" s="118" t="s">
        <v>5153</v>
      </c>
      <c r="H1528" s="118">
        <v>11.0</v>
      </c>
      <c r="I1528" s="12" t="s">
        <v>2890</v>
      </c>
      <c r="J1528" s="19"/>
      <c r="K1528" s="19"/>
      <c r="L1528" s="12" t="s">
        <v>778</v>
      </c>
      <c r="M1528" s="19"/>
      <c r="N1528" s="19"/>
      <c r="O1528" s="34" t="s">
        <v>5153</v>
      </c>
      <c r="P1528" s="19"/>
    </row>
    <row r="1529" hidden="1">
      <c r="A1529" s="118">
        <v>7.0</v>
      </c>
      <c r="B1529" s="635" t="s">
        <v>5520</v>
      </c>
      <c r="C1529" s="118" t="s">
        <v>80</v>
      </c>
      <c r="D1529" s="636" t="s">
        <v>5521</v>
      </c>
      <c r="E1529" s="632" t="s">
        <v>5522</v>
      </c>
      <c r="F1529" s="118" t="s">
        <v>4059</v>
      </c>
      <c r="G1529" s="118" t="s">
        <v>5153</v>
      </c>
      <c r="H1529" s="118">
        <v>11.0</v>
      </c>
      <c r="I1529" s="12" t="s">
        <v>2890</v>
      </c>
      <c r="J1529" s="19"/>
      <c r="K1529" s="19"/>
      <c r="L1529" s="12" t="s">
        <v>778</v>
      </c>
      <c r="M1529" s="19"/>
      <c r="N1529" s="19"/>
      <c r="O1529" s="34" t="s">
        <v>5153</v>
      </c>
      <c r="P1529" s="19"/>
    </row>
    <row r="1530" hidden="1">
      <c r="A1530" s="118">
        <v>8.0</v>
      </c>
      <c r="B1530" s="635" t="s">
        <v>5523</v>
      </c>
      <c r="C1530" s="118" t="s">
        <v>80</v>
      </c>
      <c r="D1530" s="636" t="s">
        <v>5524</v>
      </c>
      <c r="E1530" s="632" t="s">
        <v>5525</v>
      </c>
      <c r="F1530" s="118" t="s">
        <v>4059</v>
      </c>
      <c r="G1530" s="118" t="s">
        <v>5153</v>
      </c>
      <c r="H1530" s="118">
        <v>11.0</v>
      </c>
      <c r="I1530" s="12" t="s">
        <v>2890</v>
      </c>
      <c r="J1530" s="19"/>
      <c r="K1530" s="19"/>
      <c r="L1530" s="12" t="s">
        <v>778</v>
      </c>
      <c r="M1530" s="19"/>
      <c r="N1530" s="19"/>
      <c r="O1530" s="34" t="s">
        <v>5153</v>
      </c>
      <c r="P1530" s="19"/>
    </row>
    <row r="1531" hidden="1">
      <c r="A1531" s="118">
        <v>9.0</v>
      </c>
      <c r="B1531" s="635" t="s">
        <v>5526</v>
      </c>
      <c r="C1531" s="118" t="s">
        <v>80</v>
      </c>
      <c r="D1531" s="636" t="s">
        <v>5527</v>
      </c>
      <c r="E1531" s="632" t="s">
        <v>5528</v>
      </c>
      <c r="F1531" s="118" t="s">
        <v>4059</v>
      </c>
      <c r="G1531" s="118" t="s">
        <v>5153</v>
      </c>
      <c r="H1531" s="118">
        <v>11.0</v>
      </c>
      <c r="I1531" s="12" t="s">
        <v>2890</v>
      </c>
      <c r="J1531" s="19"/>
      <c r="K1531" s="19"/>
      <c r="L1531" s="12" t="s">
        <v>778</v>
      </c>
      <c r="M1531" s="19"/>
      <c r="N1531" s="19"/>
      <c r="O1531" s="34" t="s">
        <v>5153</v>
      </c>
      <c r="P1531" s="19"/>
    </row>
    <row r="1532" hidden="1">
      <c r="A1532" s="118">
        <v>10.0</v>
      </c>
      <c r="B1532" s="635" t="s">
        <v>5529</v>
      </c>
      <c r="C1532" s="118" t="s">
        <v>80</v>
      </c>
      <c r="D1532" s="636" t="s">
        <v>5530</v>
      </c>
      <c r="E1532" s="632" t="s">
        <v>5531</v>
      </c>
      <c r="F1532" s="118" t="s">
        <v>4059</v>
      </c>
      <c r="G1532" s="118" t="s">
        <v>5153</v>
      </c>
      <c r="H1532" s="118">
        <v>11.0</v>
      </c>
      <c r="I1532" s="630" t="s">
        <v>3231</v>
      </c>
      <c r="J1532" s="19"/>
      <c r="K1532" s="19"/>
      <c r="L1532" s="12" t="s">
        <v>778</v>
      </c>
      <c r="M1532" s="19"/>
      <c r="N1532" s="19"/>
      <c r="O1532" s="34" t="s">
        <v>5153</v>
      </c>
      <c r="P1532" s="19"/>
    </row>
    <row r="1533" hidden="1">
      <c r="A1533" s="118">
        <v>11.0</v>
      </c>
      <c r="B1533" s="637" t="s">
        <v>5532</v>
      </c>
      <c r="C1533" s="118" t="s">
        <v>80</v>
      </c>
      <c r="D1533" s="636" t="s">
        <v>5533</v>
      </c>
      <c r="E1533" s="638" t="s">
        <v>5534</v>
      </c>
      <c r="F1533" s="118" t="s">
        <v>1312</v>
      </c>
      <c r="G1533" s="639">
        <v>46054.0</v>
      </c>
      <c r="H1533" s="118">
        <v>21.0</v>
      </c>
      <c r="I1533" s="12" t="s">
        <v>2890</v>
      </c>
      <c r="J1533" s="34" t="s">
        <v>5275</v>
      </c>
      <c r="K1533" s="19"/>
      <c r="L1533" s="12" t="s">
        <v>778</v>
      </c>
      <c r="M1533" s="19"/>
      <c r="N1533" s="19"/>
      <c r="O1533" s="34" t="s">
        <v>5015</v>
      </c>
      <c r="P1533" s="385" t="s">
        <v>1432</v>
      </c>
    </row>
    <row r="1534" hidden="1">
      <c r="A1534" s="118">
        <v>12.0</v>
      </c>
      <c r="B1534" s="637" t="s">
        <v>5535</v>
      </c>
      <c r="C1534" s="118" t="s">
        <v>80</v>
      </c>
      <c r="D1534" s="636" t="s">
        <v>5536</v>
      </c>
      <c r="E1534" s="638" t="s">
        <v>5537</v>
      </c>
      <c r="F1534" s="118" t="s">
        <v>1312</v>
      </c>
      <c r="G1534" s="639">
        <v>46054.0</v>
      </c>
      <c r="H1534" s="118">
        <v>21.0</v>
      </c>
      <c r="I1534" s="12" t="s">
        <v>2890</v>
      </c>
      <c r="J1534" s="34" t="s">
        <v>5275</v>
      </c>
      <c r="K1534" s="19"/>
      <c r="L1534" s="12" t="s">
        <v>778</v>
      </c>
      <c r="M1534" s="19"/>
      <c r="N1534" s="19"/>
      <c r="O1534" s="34" t="s">
        <v>5015</v>
      </c>
      <c r="P1534" s="385" t="s">
        <v>1432</v>
      </c>
    </row>
    <row r="1535" hidden="1">
      <c r="A1535" s="118">
        <v>13.0</v>
      </c>
      <c r="B1535" s="640" t="s">
        <v>5538</v>
      </c>
      <c r="C1535" s="118" t="s">
        <v>80</v>
      </c>
      <c r="D1535" s="636" t="s">
        <v>5539</v>
      </c>
      <c r="E1535" s="118" t="s">
        <v>5540</v>
      </c>
      <c r="F1535" s="118" t="s">
        <v>5541</v>
      </c>
      <c r="G1535" s="639">
        <v>46054.0</v>
      </c>
      <c r="H1535" s="118">
        <v>21.0</v>
      </c>
      <c r="I1535" s="37" t="s">
        <v>3465</v>
      </c>
      <c r="J1535" s="34" t="s">
        <v>5542</v>
      </c>
      <c r="K1535" s="34" t="s">
        <v>5437</v>
      </c>
      <c r="L1535" s="12" t="s">
        <v>5543</v>
      </c>
      <c r="M1535" s="19"/>
      <c r="N1535" s="19"/>
      <c r="O1535" s="148">
        <v>46054.0</v>
      </c>
      <c r="P1535" s="407" t="s">
        <v>2560</v>
      </c>
    </row>
    <row r="1536" hidden="1">
      <c r="A1536" s="118">
        <v>14.0</v>
      </c>
      <c r="B1536" s="635" t="s">
        <v>5544</v>
      </c>
      <c r="C1536" s="471" t="s">
        <v>1185</v>
      </c>
      <c r="D1536" s="636" t="s">
        <v>5545</v>
      </c>
      <c r="E1536" s="118" t="s">
        <v>5546</v>
      </c>
      <c r="F1536" s="118" t="s">
        <v>356</v>
      </c>
      <c r="G1536" s="639">
        <v>46113.0</v>
      </c>
      <c r="H1536" s="118">
        <v>23.0</v>
      </c>
      <c r="I1536" s="12" t="s">
        <v>2890</v>
      </c>
      <c r="J1536" s="34" t="s">
        <v>51</v>
      </c>
      <c r="K1536" s="34" t="s">
        <v>5015</v>
      </c>
      <c r="L1536" s="12" t="s">
        <v>51</v>
      </c>
      <c r="M1536" s="19"/>
      <c r="N1536" s="19"/>
      <c r="O1536" s="148">
        <v>45839.0</v>
      </c>
      <c r="P1536" s="385" t="s">
        <v>1432</v>
      </c>
    </row>
    <row r="1537" hidden="1">
      <c r="A1537" s="118">
        <v>15.0</v>
      </c>
      <c r="B1537" s="641" t="s">
        <v>5547</v>
      </c>
      <c r="C1537" s="471" t="s">
        <v>1185</v>
      </c>
      <c r="D1537" s="636" t="s">
        <v>5548</v>
      </c>
      <c r="E1537" s="118" t="s">
        <v>5549</v>
      </c>
      <c r="F1537" s="118" t="s">
        <v>2098</v>
      </c>
      <c r="G1537" s="642">
        <v>46082.0</v>
      </c>
      <c r="H1537" s="118">
        <v>22.0</v>
      </c>
      <c r="I1537" s="12" t="s">
        <v>2890</v>
      </c>
      <c r="J1537" s="34" t="s">
        <v>5550</v>
      </c>
      <c r="K1537" s="34" t="s">
        <v>1325</v>
      </c>
      <c r="L1537" s="12" t="s">
        <v>51</v>
      </c>
      <c r="M1537" s="19"/>
      <c r="N1537" s="19"/>
      <c r="O1537" s="148">
        <v>45717.0</v>
      </c>
      <c r="P1537" s="385" t="s">
        <v>1432</v>
      </c>
    </row>
    <row r="1538" hidden="1">
      <c r="A1538" s="118">
        <v>16.0</v>
      </c>
      <c r="B1538" s="635" t="s">
        <v>5551</v>
      </c>
      <c r="C1538" s="471" t="s">
        <v>1185</v>
      </c>
      <c r="D1538" s="636" t="s">
        <v>5552</v>
      </c>
      <c r="E1538" s="118" t="s">
        <v>5553</v>
      </c>
      <c r="F1538" s="118" t="s">
        <v>2098</v>
      </c>
      <c r="G1538" s="642">
        <v>46082.0</v>
      </c>
      <c r="H1538" s="118">
        <v>22.0</v>
      </c>
      <c r="I1538" s="630" t="s">
        <v>3231</v>
      </c>
      <c r="J1538" s="34" t="s">
        <v>5550</v>
      </c>
      <c r="K1538" s="34" t="s">
        <v>210</v>
      </c>
      <c r="L1538" s="12" t="s">
        <v>51</v>
      </c>
      <c r="M1538" s="19"/>
      <c r="N1538" s="19"/>
      <c r="O1538" s="34" t="s">
        <v>283</v>
      </c>
      <c r="P1538" s="385" t="s">
        <v>1432</v>
      </c>
    </row>
    <row r="1539" hidden="1">
      <c r="A1539" s="643">
        <v>17.0</v>
      </c>
      <c r="B1539" s="644" t="s">
        <v>5554</v>
      </c>
      <c r="C1539" s="118" t="s">
        <v>80</v>
      </c>
      <c r="D1539" s="636" t="s">
        <v>5555</v>
      </c>
      <c r="E1539" s="643" t="s">
        <v>5556</v>
      </c>
      <c r="F1539" s="645" t="s">
        <v>5557</v>
      </c>
      <c r="G1539" s="643" t="s">
        <v>5558</v>
      </c>
      <c r="H1539" s="643">
        <v>15.0</v>
      </c>
      <c r="I1539" s="646" t="s">
        <v>2890</v>
      </c>
      <c r="J1539" s="34" t="s">
        <v>2541</v>
      </c>
      <c r="K1539" s="34" t="s">
        <v>4349</v>
      </c>
      <c r="L1539" s="14"/>
      <c r="M1539" s="19"/>
      <c r="N1539" s="19"/>
      <c r="O1539" s="34" t="s">
        <v>4912</v>
      </c>
      <c r="P1539" s="385" t="s">
        <v>1432</v>
      </c>
    </row>
    <row r="1540" hidden="1">
      <c r="A1540" s="118">
        <v>18.0</v>
      </c>
      <c r="B1540" s="635" t="s">
        <v>5559</v>
      </c>
      <c r="C1540" s="118" t="s">
        <v>80</v>
      </c>
      <c r="D1540" s="636" t="s">
        <v>5560</v>
      </c>
      <c r="E1540" s="118" t="s">
        <v>5561</v>
      </c>
      <c r="F1540" s="118" t="s">
        <v>5562</v>
      </c>
      <c r="G1540" s="118" t="s">
        <v>5563</v>
      </c>
      <c r="H1540" s="118">
        <v>16.0</v>
      </c>
      <c r="I1540" s="12" t="s">
        <v>2890</v>
      </c>
      <c r="J1540" s="34" t="s">
        <v>5280</v>
      </c>
      <c r="K1540" s="34" t="s">
        <v>5133</v>
      </c>
      <c r="L1540" s="12" t="s">
        <v>51</v>
      </c>
      <c r="M1540" s="19"/>
      <c r="N1540" s="19"/>
      <c r="O1540" s="148">
        <v>46054.0</v>
      </c>
      <c r="P1540" s="407" t="s">
        <v>2560</v>
      </c>
    </row>
    <row r="1541" ht="17.25" hidden="1" customHeight="1">
      <c r="A1541" s="643">
        <v>19.0</v>
      </c>
      <c r="B1541" s="644" t="s">
        <v>5564</v>
      </c>
      <c r="C1541" s="118" t="s">
        <v>80</v>
      </c>
      <c r="D1541" s="636" t="s">
        <v>5565</v>
      </c>
      <c r="E1541" s="643" t="s">
        <v>5566</v>
      </c>
      <c r="F1541" s="118" t="s">
        <v>731</v>
      </c>
      <c r="G1541" s="643" t="s">
        <v>5567</v>
      </c>
      <c r="H1541" s="643">
        <v>11.0</v>
      </c>
      <c r="I1541" s="646" t="s">
        <v>2890</v>
      </c>
      <c r="J1541" s="34" t="s">
        <v>2541</v>
      </c>
      <c r="K1541" s="34" t="s">
        <v>4349</v>
      </c>
      <c r="L1541" s="14"/>
      <c r="M1541" s="19"/>
      <c r="N1541" s="19"/>
      <c r="O1541" s="34" t="s">
        <v>4810</v>
      </c>
      <c r="P1541" s="385" t="s">
        <v>1432</v>
      </c>
    </row>
    <row r="1542" ht="18.0" hidden="1" customHeight="1">
      <c r="A1542" s="118">
        <v>20.0</v>
      </c>
      <c r="B1542" s="635" t="s">
        <v>5568</v>
      </c>
      <c r="C1542" s="118" t="s">
        <v>80</v>
      </c>
      <c r="D1542" s="636" t="s">
        <v>5569</v>
      </c>
      <c r="E1542" s="118" t="s">
        <v>5570</v>
      </c>
      <c r="F1542" s="645" t="s">
        <v>5571</v>
      </c>
      <c r="G1542" s="118" t="s">
        <v>5572</v>
      </c>
      <c r="H1542" s="118">
        <v>17.0</v>
      </c>
      <c r="I1542" s="12" t="s">
        <v>2890</v>
      </c>
      <c r="J1542" s="34" t="s">
        <v>5573</v>
      </c>
      <c r="K1542" s="34" t="s">
        <v>5293</v>
      </c>
      <c r="L1542" s="12" t="s">
        <v>374</v>
      </c>
      <c r="M1542" s="19"/>
      <c r="N1542" s="19"/>
      <c r="O1542" s="148">
        <v>46266.0</v>
      </c>
      <c r="P1542" s="385" t="s">
        <v>1432</v>
      </c>
    </row>
    <row r="1543" hidden="1">
      <c r="A1543" s="118">
        <v>21.0</v>
      </c>
      <c r="B1543" s="635" t="s">
        <v>5574</v>
      </c>
      <c r="C1543" s="118" t="s">
        <v>80</v>
      </c>
      <c r="D1543" s="636" t="s">
        <v>5575</v>
      </c>
      <c r="E1543" s="118" t="s">
        <v>5576</v>
      </c>
      <c r="F1543" s="118" t="s">
        <v>5577</v>
      </c>
      <c r="G1543" s="118" t="s">
        <v>5578</v>
      </c>
      <c r="H1543" s="118">
        <v>19.0</v>
      </c>
      <c r="I1543" s="37" t="s">
        <v>5579</v>
      </c>
      <c r="J1543" s="34" t="s">
        <v>292</v>
      </c>
      <c r="K1543" s="143" t="s">
        <v>5168</v>
      </c>
      <c r="L1543" s="12" t="s">
        <v>374</v>
      </c>
      <c r="M1543" s="19"/>
      <c r="N1543" s="19"/>
      <c r="O1543" s="148">
        <v>46054.0</v>
      </c>
      <c r="P1543" s="407" t="s">
        <v>1798</v>
      </c>
    </row>
    <row r="1544" hidden="1">
      <c r="A1544" s="118">
        <v>22.0</v>
      </c>
      <c r="B1544" s="635" t="s">
        <v>5580</v>
      </c>
      <c r="C1544" s="118" t="s">
        <v>80</v>
      </c>
      <c r="D1544" s="636" t="s">
        <v>5581</v>
      </c>
      <c r="E1544" s="118" t="s">
        <v>5582</v>
      </c>
      <c r="F1544" s="118" t="s">
        <v>2444</v>
      </c>
      <c r="G1544" s="118" t="s">
        <v>5578</v>
      </c>
      <c r="H1544" s="118">
        <v>19.0</v>
      </c>
      <c r="I1544" s="12" t="s">
        <v>2890</v>
      </c>
      <c r="J1544" s="34" t="s">
        <v>5573</v>
      </c>
      <c r="K1544" s="143" t="s">
        <v>5168</v>
      </c>
      <c r="L1544" s="12" t="s">
        <v>51</v>
      </c>
      <c r="M1544" s="19"/>
      <c r="N1544" s="19"/>
      <c r="O1544" s="148">
        <v>45717.0</v>
      </c>
      <c r="P1544" s="407" t="s">
        <v>2560</v>
      </c>
    </row>
    <row r="1545" hidden="1">
      <c r="A1545" s="118">
        <v>23.0</v>
      </c>
      <c r="B1545" s="635" t="s">
        <v>5583</v>
      </c>
      <c r="C1545" s="118" t="s">
        <v>80</v>
      </c>
      <c r="D1545" s="636" t="s">
        <v>5584</v>
      </c>
      <c r="E1545" s="118" t="s">
        <v>5585</v>
      </c>
      <c r="F1545" s="118" t="s">
        <v>5586</v>
      </c>
      <c r="G1545" s="642">
        <v>46023.0</v>
      </c>
      <c r="H1545" s="118">
        <v>20.0</v>
      </c>
      <c r="I1545" s="12" t="s">
        <v>2890</v>
      </c>
      <c r="J1545" s="34" t="s">
        <v>51</v>
      </c>
      <c r="K1545" s="622">
        <v>46023.0</v>
      </c>
      <c r="L1545" s="12" t="s">
        <v>374</v>
      </c>
      <c r="M1545" s="19"/>
      <c r="N1545" s="19"/>
      <c r="O1545" s="148">
        <v>46143.0</v>
      </c>
      <c r="P1545" s="385" t="s">
        <v>1432</v>
      </c>
    </row>
    <row r="1546" hidden="1">
      <c r="A1546" s="118">
        <v>24.0</v>
      </c>
      <c r="B1546" s="640" t="s">
        <v>5587</v>
      </c>
      <c r="C1546" s="118" t="s">
        <v>80</v>
      </c>
      <c r="D1546" s="636" t="s">
        <v>5588</v>
      </c>
      <c r="E1546" s="118" t="s">
        <v>5589</v>
      </c>
      <c r="F1546" s="118" t="s">
        <v>5541</v>
      </c>
      <c r="G1546" s="118" t="s">
        <v>5578</v>
      </c>
      <c r="H1546" s="118">
        <v>19.0</v>
      </c>
      <c r="I1546" s="12" t="s">
        <v>2890</v>
      </c>
      <c r="J1546" s="34" t="s">
        <v>51</v>
      </c>
      <c r="K1546" s="148">
        <v>46054.0</v>
      </c>
      <c r="L1546" s="12" t="s">
        <v>374</v>
      </c>
      <c r="M1546" s="19"/>
      <c r="N1546" s="19"/>
      <c r="O1546" s="148">
        <v>46266.0</v>
      </c>
      <c r="P1546" s="385" t="s">
        <v>1432</v>
      </c>
    </row>
    <row r="1547" hidden="1">
      <c r="A1547" s="118">
        <v>25.0</v>
      </c>
      <c r="B1547" s="635" t="s">
        <v>5590</v>
      </c>
      <c r="C1547" s="118" t="s">
        <v>80</v>
      </c>
      <c r="D1547" s="636" t="s">
        <v>5591</v>
      </c>
      <c r="E1547" s="118" t="s">
        <v>5592</v>
      </c>
      <c r="F1547" s="118" t="s">
        <v>5593</v>
      </c>
      <c r="G1547" s="118" t="s">
        <v>5572</v>
      </c>
      <c r="H1547" s="118">
        <v>17.0</v>
      </c>
      <c r="I1547" s="12" t="s">
        <v>2890</v>
      </c>
      <c r="J1547" s="34" t="s">
        <v>5573</v>
      </c>
      <c r="K1547" s="143" t="s">
        <v>5168</v>
      </c>
      <c r="L1547" s="12" t="s">
        <v>51</v>
      </c>
      <c r="M1547" s="19"/>
      <c r="N1547" s="19"/>
      <c r="O1547" s="148">
        <v>46174.0</v>
      </c>
      <c r="P1547" s="385" t="s">
        <v>1432</v>
      </c>
    </row>
    <row r="1548" hidden="1">
      <c r="A1548" s="118">
        <v>26.0</v>
      </c>
      <c r="B1548" s="635" t="s">
        <v>5594</v>
      </c>
      <c r="C1548" s="471" t="s">
        <v>1185</v>
      </c>
      <c r="D1548" s="636" t="s">
        <v>5595</v>
      </c>
      <c r="E1548" s="118" t="s">
        <v>5596</v>
      </c>
      <c r="F1548" s="636" t="s">
        <v>25</v>
      </c>
      <c r="G1548" s="642">
        <v>46023.0</v>
      </c>
      <c r="H1548" s="118">
        <v>20.0</v>
      </c>
      <c r="I1548" s="12" t="s">
        <v>2890</v>
      </c>
      <c r="J1548" s="34" t="s">
        <v>5550</v>
      </c>
      <c r="K1548" s="34" t="s">
        <v>210</v>
      </c>
      <c r="L1548" s="12" t="s">
        <v>51</v>
      </c>
      <c r="M1548" s="19"/>
      <c r="N1548" s="19"/>
      <c r="O1548" s="148">
        <v>46143.0</v>
      </c>
      <c r="P1548" s="385" t="s">
        <v>1432</v>
      </c>
    </row>
    <row r="1549" hidden="1">
      <c r="A1549" s="118">
        <v>27.0</v>
      </c>
      <c r="B1549" s="635" t="s">
        <v>5597</v>
      </c>
      <c r="C1549" s="118" t="s">
        <v>1058</v>
      </c>
      <c r="D1549" s="636" t="s">
        <v>5598</v>
      </c>
      <c r="E1549" s="625" t="s">
        <v>5599</v>
      </c>
      <c r="F1549" s="636" t="s">
        <v>5600</v>
      </c>
      <c r="G1549" s="118" t="s">
        <v>5601</v>
      </c>
      <c r="H1549" s="118">
        <v>18.0</v>
      </c>
      <c r="I1549" s="12" t="s">
        <v>2890</v>
      </c>
      <c r="J1549" s="34" t="s">
        <v>2065</v>
      </c>
      <c r="K1549" s="34" t="s">
        <v>5020</v>
      </c>
      <c r="L1549" s="12" t="s">
        <v>374</v>
      </c>
      <c r="M1549" s="19"/>
      <c r="N1549" s="19"/>
      <c r="O1549" s="148">
        <v>46054.0</v>
      </c>
      <c r="P1549" s="407" t="s">
        <v>1798</v>
      </c>
    </row>
    <row r="1550" hidden="1">
      <c r="A1550" s="118">
        <v>28.0</v>
      </c>
      <c r="B1550" s="635" t="s">
        <v>5602</v>
      </c>
      <c r="C1550" s="118" t="s">
        <v>1058</v>
      </c>
      <c r="D1550" s="636" t="s">
        <v>5603</v>
      </c>
      <c r="E1550" s="625" t="s">
        <v>5604</v>
      </c>
      <c r="F1550" s="636" t="s">
        <v>5600</v>
      </c>
      <c r="G1550" s="118" t="s">
        <v>5601</v>
      </c>
      <c r="H1550" s="118">
        <v>18.0</v>
      </c>
      <c r="I1550" s="12" t="s">
        <v>2890</v>
      </c>
      <c r="J1550" s="34" t="s">
        <v>2065</v>
      </c>
      <c r="K1550" s="34" t="s">
        <v>5020</v>
      </c>
      <c r="L1550" s="12" t="s">
        <v>374</v>
      </c>
      <c r="M1550" s="19"/>
      <c r="N1550" s="19"/>
      <c r="O1550" s="148">
        <v>46054.0</v>
      </c>
      <c r="P1550" s="407" t="s">
        <v>1798</v>
      </c>
    </row>
    <row r="1551" hidden="1">
      <c r="A1551" s="118">
        <v>29.0</v>
      </c>
      <c r="B1551" s="637" t="s">
        <v>5605</v>
      </c>
      <c r="C1551" s="118" t="s">
        <v>938</v>
      </c>
      <c r="D1551" s="636" t="s">
        <v>5606</v>
      </c>
      <c r="E1551" s="608" t="s">
        <v>5607</v>
      </c>
      <c r="F1551" s="118" t="s">
        <v>243</v>
      </c>
      <c r="G1551" s="642">
        <v>46023.0</v>
      </c>
      <c r="H1551" s="118">
        <v>20.0</v>
      </c>
      <c r="I1551" s="12" t="s">
        <v>2890</v>
      </c>
      <c r="J1551" s="19"/>
      <c r="K1551" s="19"/>
      <c r="L1551" s="14"/>
      <c r="M1551" s="19"/>
      <c r="N1551" s="19"/>
      <c r="O1551" s="32" t="s">
        <v>4810</v>
      </c>
      <c r="P1551" s="634" t="s">
        <v>4937</v>
      </c>
    </row>
    <row r="1552" hidden="1">
      <c r="A1552" s="118">
        <v>30.0</v>
      </c>
      <c r="B1552" s="635" t="s">
        <v>5608</v>
      </c>
      <c r="C1552" s="118" t="s">
        <v>1185</v>
      </c>
      <c r="D1552" s="636" t="s">
        <v>5609</v>
      </c>
      <c r="E1552" s="118" t="s">
        <v>5610</v>
      </c>
      <c r="F1552" s="645" t="s">
        <v>5611</v>
      </c>
      <c r="G1552" s="642">
        <v>46023.0</v>
      </c>
      <c r="H1552" s="118">
        <v>20.0</v>
      </c>
      <c r="I1552" s="12" t="s">
        <v>2890</v>
      </c>
      <c r="J1552" s="34" t="s">
        <v>374</v>
      </c>
      <c r="K1552" s="34" t="s">
        <v>5168</v>
      </c>
      <c r="L1552" s="12" t="s">
        <v>374</v>
      </c>
      <c r="M1552" s="19"/>
      <c r="N1552" s="19"/>
      <c r="O1552" s="148">
        <v>46143.0</v>
      </c>
      <c r="P1552" s="385" t="s">
        <v>1432</v>
      </c>
    </row>
    <row r="1553" hidden="1">
      <c r="A1553" s="118">
        <v>31.0</v>
      </c>
      <c r="B1553" s="635" t="s">
        <v>5612</v>
      </c>
      <c r="C1553" s="471" t="s">
        <v>1025</v>
      </c>
      <c r="D1553" s="636" t="s">
        <v>5613</v>
      </c>
      <c r="E1553" s="118" t="s">
        <v>5614</v>
      </c>
      <c r="F1553" s="118" t="s">
        <v>2098</v>
      </c>
      <c r="G1553" s="642">
        <v>46023.0</v>
      </c>
      <c r="H1553" s="118">
        <v>20.0</v>
      </c>
      <c r="I1553" s="12" t="s">
        <v>2890</v>
      </c>
      <c r="J1553" s="34" t="s">
        <v>5550</v>
      </c>
      <c r="K1553" s="34" t="s">
        <v>5179</v>
      </c>
      <c r="L1553" s="12" t="s">
        <v>51</v>
      </c>
      <c r="M1553" s="19"/>
      <c r="N1553" s="19"/>
      <c r="O1553" s="148">
        <v>46023.0</v>
      </c>
      <c r="P1553" s="634" t="s">
        <v>4937</v>
      </c>
    </row>
    <row r="1554" hidden="1">
      <c r="A1554" s="118">
        <v>32.0</v>
      </c>
      <c r="B1554" s="635" t="s">
        <v>5615</v>
      </c>
      <c r="C1554" s="118" t="s">
        <v>938</v>
      </c>
      <c r="D1554" s="636" t="s">
        <v>5616</v>
      </c>
      <c r="E1554" s="118" t="s">
        <v>5617</v>
      </c>
      <c r="F1554" s="118" t="s">
        <v>243</v>
      </c>
      <c r="G1554" s="639">
        <v>46054.0</v>
      </c>
      <c r="H1554" s="118">
        <v>21.0</v>
      </c>
      <c r="I1554" s="12" t="s">
        <v>2890</v>
      </c>
      <c r="J1554" s="34" t="s">
        <v>2065</v>
      </c>
      <c r="K1554" s="34" t="s">
        <v>5339</v>
      </c>
      <c r="L1554" s="12" t="s">
        <v>374</v>
      </c>
      <c r="M1554" s="19"/>
      <c r="N1554" s="19"/>
      <c r="O1554" s="34" t="s">
        <v>5168</v>
      </c>
      <c r="P1554" s="385" t="s">
        <v>1432</v>
      </c>
    </row>
    <row r="1555" hidden="1">
      <c r="A1555" s="118">
        <v>33.0</v>
      </c>
      <c r="B1555" s="635" t="s">
        <v>5618</v>
      </c>
      <c r="C1555" s="118" t="s">
        <v>80</v>
      </c>
      <c r="D1555" s="636" t="s">
        <v>5619</v>
      </c>
      <c r="E1555" s="625" t="s">
        <v>5620</v>
      </c>
      <c r="F1555" s="118" t="s">
        <v>1802</v>
      </c>
      <c r="G1555" s="642">
        <v>46082.0</v>
      </c>
      <c r="H1555" s="118">
        <v>22.0</v>
      </c>
      <c r="I1555" s="12" t="s">
        <v>2890</v>
      </c>
      <c r="J1555" s="34" t="s">
        <v>5444</v>
      </c>
      <c r="K1555" s="34" t="s">
        <v>5437</v>
      </c>
      <c r="L1555" s="12" t="s">
        <v>374</v>
      </c>
      <c r="M1555" s="19"/>
      <c r="N1555" s="19"/>
      <c r="O1555" s="34" t="s">
        <v>5621</v>
      </c>
      <c r="P1555" s="385" t="s">
        <v>1432</v>
      </c>
    </row>
    <row r="1556" hidden="1">
      <c r="A1556" s="118">
        <v>34.0</v>
      </c>
      <c r="B1556" s="635" t="s">
        <v>5622</v>
      </c>
      <c r="C1556" s="118" t="s">
        <v>80</v>
      </c>
      <c r="D1556" s="636" t="s">
        <v>5623</v>
      </c>
      <c r="E1556" s="625" t="s">
        <v>5624</v>
      </c>
      <c r="F1556" s="118" t="s">
        <v>1802</v>
      </c>
      <c r="G1556" s="642">
        <v>46082.0</v>
      </c>
      <c r="H1556" s="118">
        <v>22.0</v>
      </c>
      <c r="I1556" s="12" t="s">
        <v>2890</v>
      </c>
      <c r="J1556" s="34" t="s">
        <v>5444</v>
      </c>
      <c r="K1556" s="34" t="s">
        <v>5437</v>
      </c>
      <c r="L1556" s="12" t="s">
        <v>374</v>
      </c>
      <c r="M1556" s="19"/>
      <c r="N1556" s="19"/>
      <c r="O1556" s="34" t="s">
        <v>5621</v>
      </c>
      <c r="P1556" s="385" t="s">
        <v>1432</v>
      </c>
    </row>
    <row r="1557" hidden="1">
      <c r="A1557" s="118">
        <v>35.0</v>
      </c>
      <c r="B1557" s="635" t="s">
        <v>5625</v>
      </c>
      <c r="C1557" s="118" t="s">
        <v>80</v>
      </c>
      <c r="D1557" s="636" t="s">
        <v>5626</v>
      </c>
      <c r="E1557" s="118" t="s">
        <v>5627</v>
      </c>
      <c r="F1557" s="118" t="s">
        <v>172</v>
      </c>
      <c r="G1557" s="642">
        <v>46082.0</v>
      </c>
      <c r="H1557" s="118">
        <v>22.0</v>
      </c>
      <c r="I1557" s="12" t="s">
        <v>2890</v>
      </c>
      <c r="J1557" s="34" t="s">
        <v>51</v>
      </c>
      <c r="K1557" s="34" t="s">
        <v>5293</v>
      </c>
      <c r="L1557" s="12" t="s">
        <v>51</v>
      </c>
      <c r="M1557" s="19"/>
      <c r="N1557" s="19"/>
      <c r="O1557" s="148">
        <v>46143.0</v>
      </c>
      <c r="P1557" s="385" t="s">
        <v>1432</v>
      </c>
    </row>
    <row r="1558" hidden="1">
      <c r="A1558" s="118">
        <v>36.0</v>
      </c>
      <c r="B1558" s="635" t="s">
        <v>5628</v>
      </c>
      <c r="C1558" s="118" t="s">
        <v>80</v>
      </c>
      <c r="D1558" s="636" t="s">
        <v>5629</v>
      </c>
      <c r="E1558" s="625" t="s">
        <v>5630</v>
      </c>
      <c r="F1558" s="118" t="s">
        <v>5631</v>
      </c>
      <c r="G1558" s="642">
        <v>46113.0</v>
      </c>
      <c r="H1558" s="118">
        <v>23.0</v>
      </c>
      <c r="I1558" s="12" t="s">
        <v>2890</v>
      </c>
      <c r="J1558" s="34" t="s">
        <v>51</v>
      </c>
      <c r="K1558" s="34" t="s">
        <v>210</v>
      </c>
      <c r="L1558" s="12" t="s">
        <v>374</v>
      </c>
      <c r="M1558" s="19"/>
      <c r="N1558" s="19"/>
      <c r="O1558" s="148">
        <v>46054.0</v>
      </c>
      <c r="P1558" s="385" t="s">
        <v>1432</v>
      </c>
    </row>
    <row r="1559" hidden="1">
      <c r="A1559" s="118">
        <v>37.0</v>
      </c>
      <c r="B1559" s="635" t="s">
        <v>5632</v>
      </c>
      <c r="C1559" s="118" t="s">
        <v>80</v>
      </c>
      <c r="D1559" s="636" t="s">
        <v>5633</v>
      </c>
      <c r="E1559" s="625" t="s">
        <v>5634</v>
      </c>
      <c r="F1559" s="118" t="s">
        <v>5631</v>
      </c>
      <c r="G1559" s="642">
        <v>46113.0</v>
      </c>
      <c r="H1559" s="118">
        <v>23.0</v>
      </c>
      <c r="I1559" s="12" t="s">
        <v>2890</v>
      </c>
      <c r="J1559" s="34" t="s">
        <v>51</v>
      </c>
      <c r="K1559" s="34" t="s">
        <v>210</v>
      </c>
      <c r="L1559" s="12" t="s">
        <v>374</v>
      </c>
      <c r="M1559" s="19"/>
      <c r="N1559" s="19"/>
      <c r="O1559" s="148">
        <v>46054.0</v>
      </c>
      <c r="P1559" s="407" t="s">
        <v>2560</v>
      </c>
    </row>
    <row r="1560" hidden="1">
      <c r="A1560" s="118">
        <v>38.0</v>
      </c>
      <c r="B1560" s="635" t="s">
        <v>5635</v>
      </c>
      <c r="C1560" s="118" t="s">
        <v>80</v>
      </c>
      <c r="D1560" s="636" t="s">
        <v>5636</v>
      </c>
      <c r="E1560" s="625" t="s">
        <v>5637</v>
      </c>
      <c r="F1560" s="118" t="s">
        <v>3012</v>
      </c>
      <c r="G1560" s="642">
        <v>46113.0</v>
      </c>
      <c r="H1560" s="118">
        <v>23.0</v>
      </c>
      <c r="I1560" s="12" t="s">
        <v>2890</v>
      </c>
      <c r="J1560" s="34" t="s">
        <v>5638</v>
      </c>
      <c r="K1560" s="34" t="s">
        <v>5111</v>
      </c>
      <c r="L1560" s="12" t="s">
        <v>374</v>
      </c>
      <c r="M1560" s="19"/>
      <c r="N1560" s="19"/>
      <c r="O1560" s="148">
        <v>45717.0</v>
      </c>
      <c r="P1560" s="634" t="s">
        <v>4937</v>
      </c>
    </row>
    <row r="1561" hidden="1">
      <c r="A1561" s="118">
        <v>39.0</v>
      </c>
      <c r="B1561" s="635" t="s">
        <v>5639</v>
      </c>
      <c r="C1561" s="118" t="s">
        <v>80</v>
      </c>
      <c r="D1561" s="636" t="s">
        <v>5640</v>
      </c>
      <c r="E1561" s="625" t="s">
        <v>5641</v>
      </c>
      <c r="F1561" s="118" t="s">
        <v>3012</v>
      </c>
      <c r="G1561" s="642">
        <v>46113.0</v>
      </c>
      <c r="H1561" s="118">
        <v>23.0</v>
      </c>
      <c r="I1561" s="12" t="s">
        <v>2890</v>
      </c>
      <c r="J1561" s="34" t="s">
        <v>5638</v>
      </c>
      <c r="K1561" s="34" t="s">
        <v>5111</v>
      </c>
      <c r="L1561" s="12" t="s">
        <v>374</v>
      </c>
      <c r="M1561" s="19"/>
      <c r="N1561" s="19"/>
      <c r="O1561" s="148">
        <v>45717.0</v>
      </c>
      <c r="P1561" s="634" t="s">
        <v>4937</v>
      </c>
    </row>
    <row r="1562" hidden="1">
      <c r="A1562" s="118">
        <v>40.0</v>
      </c>
      <c r="B1562" s="635" t="s">
        <v>5642</v>
      </c>
      <c r="C1562" s="118" t="s">
        <v>80</v>
      </c>
      <c r="D1562" s="636" t="s">
        <v>5643</v>
      </c>
      <c r="E1562" s="632" t="s">
        <v>5644</v>
      </c>
      <c r="F1562" s="118" t="s">
        <v>5320</v>
      </c>
      <c r="G1562" s="118" t="s">
        <v>5645</v>
      </c>
      <c r="H1562" s="118">
        <v>14.0</v>
      </c>
      <c r="I1562" s="12" t="s">
        <v>2890</v>
      </c>
      <c r="J1562" s="34" t="s">
        <v>699</v>
      </c>
      <c r="K1562" s="34" t="s">
        <v>5646</v>
      </c>
      <c r="L1562" s="14"/>
      <c r="M1562" s="19"/>
      <c r="N1562" s="19"/>
      <c r="O1562" s="34" t="s">
        <v>4541</v>
      </c>
      <c r="P1562" s="19"/>
    </row>
    <row r="1563" hidden="1">
      <c r="A1563" s="118">
        <v>41.0</v>
      </c>
      <c r="B1563" s="635" t="s">
        <v>5647</v>
      </c>
      <c r="C1563" s="118" t="s">
        <v>80</v>
      </c>
      <c r="D1563" s="636" t="s">
        <v>5648</v>
      </c>
      <c r="E1563" s="632" t="s">
        <v>5649</v>
      </c>
      <c r="F1563" s="118" t="s">
        <v>4059</v>
      </c>
      <c r="G1563" s="118" t="s">
        <v>5645</v>
      </c>
      <c r="H1563" s="118">
        <v>14.0</v>
      </c>
      <c r="I1563" s="12" t="s">
        <v>2890</v>
      </c>
      <c r="J1563" s="34" t="s">
        <v>699</v>
      </c>
      <c r="K1563" s="34" t="s">
        <v>5645</v>
      </c>
      <c r="L1563" s="14"/>
      <c r="M1563" s="19"/>
      <c r="N1563" s="19"/>
      <c r="O1563" s="71">
        <v>46023.0</v>
      </c>
      <c r="P1563" s="19"/>
    </row>
    <row r="1564" hidden="1">
      <c r="A1564" s="118">
        <v>42.0</v>
      </c>
      <c r="B1564" s="635" t="s">
        <v>5650</v>
      </c>
      <c r="C1564" s="118" t="s">
        <v>80</v>
      </c>
      <c r="D1564" s="636" t="s">
        <v>5651</v>
      </c>
      <c r="E1564" s="632" t="s">
        <v>5652</v>
      </c>
      <c r="F1564" s="118" t="s">
        <v>4059</v>
      </c>
      <c r="G1564" s="118" t="s">
        <v>5645</v>
      </c>
      <c r="H1564" s="118">
        <v>14.0</v>
      </c>
      <c r="I1564" s="12" t="s">
        <v>2890</v>
      </c>
      <c r="J1564" s="34" t="s">
        <v>699</v>
      </c>
      <c r="K1564" s="34" t="s">
        <v>5558</v>
      </c>
      <c r="L1564" s="14"/>
      <c r="M1564" s="19"/>
      <c r="N1564" s="19"/>
      <c r="O1564" s="71">
        <v>46023.0</v>
      </c>
      <c r="P1564" s="19"/>
    </row>
    <row r="1565" hidden="1">
      <c r="A1565" s="118">
        <v>43.0</v>
      </c>
      <c r="B1565" s="635" t="s">
        <v>5653</v>
      </c>
      <c r="C1565" s="118" t="s">
        <v>80</v>
      </c>
      <c r="D1565" s="636" t="s">
        <v>5654</v>
      </c>
      <c r="E1565" s="632" t="s">
        <v>5655</v>
      </c>
      <c r="F1565" s="118" t="s">
        <v>4059</v>
      </c>
      <c r="G1565" s="118" t="s">
        <v>5645</v>
      </c>
      <c r="H1565" s="118">
        <v>14.0</v>
      </c>
      <c r="I1565" s="12" t="s">
        <v>2890</v>
      </c>
      <c r="J1565" s="19"/>
      <c r="K1565" s="19"/>
      <c r="L1565" s="14"/>
      <c r="M1565" s="19"/>
      <c r="N1565" s="19"/>
      <c r="O1565" s="71">
        <v>46023.0</v>
      </c>
      <c r="P1565" s="19"/>
    </row>
    <row r="1566" hidden="1">
      <c r="A1566" s="118">
        <v>44.0</v>
      </c>
      <c r="B1566" s="635" t="s">
        <v>5656</v>
      </c>
      <c r="C1566" s="118" t="s">
        <v>80</v>
      </c>
      <c r="D1566" s="636" t="s">
        <v>5657</v>
      </c>
      <c r="E1566" s="632" t="s">
        <v>5658</v>
      </c>
      <c r="F1566" s="118" t="s">
        <v>4059</v>
      </c>
      <c r="G1566" s="118" t="s">
        <v>5645</v>
      </c>
      <c r="H1566" s="118">
        <v>14.0</v>
      </c>
      <c r="I1566" s="12" t="s">
        <v>2890</v>
      </c>
      <c r="J1566" s="19"/>
      <c r="K1566" s="19"/>
      <c r="L1566" s="14"/>
      <c r="M1566" s="19"/>
      <c r="N1566" s="19"/>
      <c r="O1566" s="71">
        <v>46023.0</v>
      </c>
      <c r="P1566" s="19"/>
    </row>
    <row r="1567" hidden="1">
      <c r="A1567" s="118">
        <v>45.0</v>
      </c>
      <c r="B1567" s="635" t="s">
        <v>5659</v>
      </c>
      <c r="C1567" s="118" t="s">
        <v>80</v>
      </c>
      <c r="D1567" s="636" t="s">
        <v>5660</v>
      </c>
      <c r="E1567" s="632" t="s">
        <v>5661</v>
      </c>
      <c r="F1567" s="118" t="s">
        <v>4059</v>
      </c>
      <c r="G1567" s="118" t="s">
        <v>5645</v>
      </c>
      <c r="H1567" s="118">
        <v>14.0</v>
      </c>
      <c r="I1567" s="12" t="s">
        <v>2890</v>
      </c>
      <c r="J1567" s="19"/>
      <c r="K1567" s="19"/>
      <c r="L1567" s="14"/>
      <c r="M1567" s="19"/>
      <c r="N1567" s="19"/>
      <c r="O1567" s="34" t="s">
        <v>5487</v>
      </c>
      <c r="P1567" s="19"/>
    </row>
    <row r="1568" hidden="1">
      <c r="A1568" s="118">
        <v>46.0</v>
      </c>
      <c r="B1568" s="635" t="s">
        <v>5662</v>
      </c>
      <c r="C1568" s="118" t="s">
        <v>80</v>
      </c>
      <c r="D1568" s="636" t="s">
        <v>5663</v>
      </c>
      <c r="E1568" s="632" t="s">
        <v>5664</v>
      </c>
      <c r="F1568" s="118" t="s">
        <v>4059</v>
      </c>
      <c r="G1568" s="118" t="s">
        <v>5645</v>
      </c>
      <c r="H1568" s="118">
        <v>14.0</v>
      </c>
      <c r="I1568" s="12" t="s">
        <v>2890</v>
      </c>
      <c r="J1568" s="19"/>
      <c r="K1568" s="19"/>
      <c r="L1568" s="14"/>
      <c r="M1568" s="19"/>
      <c r="N1568" s="19"/>
      <c r="O1568" s="34" t="s">
        <v>5487</v>
      </c>
      <c r="P1568" s="19"/>
    </row>
    <row r="1569" hidden="1">
      <c r="A1569" s="118">
        <v>47.0</v>
      </c>
      <c r="B1569" s="635" t="s">
        <v>5665</v>
      </c>
      <c r="C1569" s="118" t="s">
        <v>80</v>
      </c>
      <c r="D1569" s="636" t="s">
        <v>5666</v>
      </c>
      <c r="E1569" s="632" t="s">
        <v>5667</v>
      </c>
      <c r="F1569" s="118" t="s">
        <v>4059</v>
      </c>
      <c r="G1569" s="118" t="s">
        <v>5645</v>
      </c>
      <c r="H1569" s="118">
        <v>14.0</v>
      </c>
      <c r="I1569" s="630" t="s">
        <v>5668</v>
      </c>
      <c r="J1569" s="19"/>
      <c r="K1569" s="19"/>
      <c r="L1569" s="14"/>
      <c r="M1569" s="19"/>
      <c r="N1569" s="19"/>
      <c r="O1569" s="34" t="s">
        <v>5487</v>
      </c>
      <c r="P1569" s="19"/>
    </row>
    <row r="1570" hidden="1">
      <c r="A1570" s="339" t="s">
        <v>5669</v>
      </c>
      <c r="Q1570" s="35"/>
      <c r="R1570" s="35"/>
      <c r="S1570" s="35"/>
      <c r="T1570" s="35"/>
      <c r="U1570" s="35"/>
      <c r="V1570" s="35"/>
      <c r="W1570" s="35"/>
      <c r="X1570" s="35"/>
      <c r="Y1570" s="35"/>
      <c r="Z1570" s="35"/>
      <c r="AA1570" s="35"/>
      <c r="AB1570" s="35"/>
      <c r="AC1570" s="35"/>
      <c r="AD1570" s="35"/>
      <c r="AE1570" s="35"/>
      <c r="AF1570" s="35"/>
    </row>
    <row r="1571" hidden="1">
      <c r="A1571" s="4" t="s">
        <v>47</v>
      </c>
      <c r="B1571" s="534" t="s">
        <v>7</v>
      </c>
      <c r="C1571" s="4" t="s">
        <v>9</v>
      </c>
      <c r="D1571" s="4" t="s">
        <v>10</v>
      </c>
      <c r="E1571" s="4" t="s">
        <v>11</v>
      </c>
      <c r="F1571" s="4" t="s">
        <v>12</v>
      </c>
      <c r="G1571" s="4" t="s">
        <v>2378</v>
      </c>
      <c r="H1571" s="4" t="s">
        <v>2681</v>
      </c>
      <c r="I1571" s="4" t="s">
        <v>2847</v>
      </c>
      <c r="J1571" s="8" t="s">
        <v>14</v>
      </c>
      <c r="K1571" s="9" t="s">
        <v>16</v>
      </c>
      <c r="L1571" s="9" t="s">
        <v>4330</v>
      </c>
      <c r="M1571" s="9" t="s">
        <v>18</v>
      </c>
      <c r="N1571" s="9" t="s">
        <v>19</v>
      </c>
      <c r="O1571" s="9" t="s">
        <v>20</v>
      </c>
      <c r="P1571" s="9" t="s">
        <v>21</v>
      </c>
      <c r="Q1571" s="35"/>
      <c r="R1571" s="35"/>
      <c r="S1571" s="35"/>
      <c r="T1571" s="35"/>
      <c r="U1571" s="35"/>
      <c r="V1571" s="35"/>
      <c r="W1571" s="35"/>
      <c r="X1571" s="35"/>
      <c r="Y1571" s="35"/>
      <c r="Z1571" s="35"/>
      <c r="AA1571" s="35"/>
      <c r="AB1571" s="35"/>
      <c r="AC1571" s="35"/>
      <c r="AD1571" s="35"/>
      <c r="AE1571" s="35"/>
      <c r="AF1571" s="35"/>
    </row>
    <row r="1572" hidden="1">
      <c r="A1572" s="471">
        <v>1.0</v>
      </c>
      <c r="B1572" s="470" t="s">
        <v>5670</v>
      </c>
      <c r="C1572" s="471" t="s">
        <v>80</v>
      </c>
      <c r="D1572" s="342" t="s">
        <v>5671</v>
      </c>
      <c r="E1572" s="615" t="s">
        <v>5672</v>
      </c>
      <c r="F1572" s="471" t="s">
        <v>3928</v>
      </c>
      <c r="G1572" s="472" t="s">
        <v>5673</v>
      </c>
      <c r="H1572" s="12"/>
      <c r="I1572" s="472" t="s">
        <v>2890</v>
      </c>
      <c r="J1572" s="34" t="s">
        <v>5674</v>
      </c>
      <c r="K1572" s="19"/>
      <c r="L1572" s="14"/>
      <c r="M1572" s="19"/>
      <c r="N1572" s="19"/>
      <c r="O1572" s="71">
        <v>46054.0</v>
      </c>
      <c r="P1572" s="19"/>
    </row>
    <row r="1573" hidden="1">
      <c r="A1573" s="471">
        <v>2.0</v>
      </c>
      <c r="B1573" s="470" t="s">
        <v>5675</v>
      </c>
      <c r="C1573" s="471" t="s">
        <v>80</v>
      </c>
      <c r="D1573" s="342" t="s">
        <v>5676</v>
      </c>
      <c r="E1573" s="615" t="s">
        <v>5677</v>
      </c>
      <c r="F1573" s="471" t="s">
        <v>3928</v>
      </c>
      <c r="G1573" s="472" t="s">
        <v>5673</v>
      </c>
      <c r="H1573" s="12"/>
      <c r="I1573" s="472" t="s">
        <v>2890</v>
      </c>
      <c r="J1573" s="34" t="s">
        <v>5674</v>
      </c>
      <c r="K1573" s="19"/>
      <c r="L1573" s="14"/>
      <c r="M1573" s="19"/>
      <c r="N1573" s="19"/>
      <c r="O1573" s="71">
        <v>46054.0</v>
      </c>
      <c r="P1573" s="19"/>
    </row>
    <row r="1574" hidden="1">
      <c r="A1574" s="471">
        <v>3.0</v>
      </c>
      <c r="B1574" s="470" t="s">
        <v>5678</v>
      </c>
      <c r="C1574" s="471" t="s">
        <v>80</v>
      </c>
      <c r="D1574" s="342" t="s">
        <v>5679</v>
      </c>
      <c r="E1574" s="615" t="s">
        <v>5680</v>
      </c>
      <c r="F1574" s="471" t="s">
        <v>3928</v>
      </c>
      <c r="G1574" s="472" t="s">
        <v>5673</v>
      </c>
      <c r="H1574" s="12"/>
      <c r="I1574" s="472" t="s">
        <v>2890</v>
      </c>
      <c r="J1574" s="34" t="s">
        <v>5674</v>
      </c>
      <c r="K1574" s="19"/>
      <c r="L1574" s="14"/>
      <c r="M1574" s="19"/>
      <c r="N1574" s="19"/>
      <c r="O1574" s="71">
        <v>46054.0</v>
      </c>
      <c r="P1574" s="19"/>
    </row>
    <row r="1575" hidden="1">
      <c r="A1575" s="471">
        <v>4.0</v>
      </c>
      <c r="B1575" s="470" t="s">
        <v>5681</v>
      </c>
      <c r="C1575" s="471" t="s">
        <v>80</v>
      </c>
      <c r="D1575" s="342" t="s">
        <v>5682</v>
      </c>
      <c r="E1575" s="615" t="s">
        <v>5683</v>
      </c>
      <c r="F1575" s="471" t="s">
        <v>3928</v>
      </c>
      <c r="G1575" s="472" t="s">
        <v>5673</v>
      </c>
      <c r="H1575" s="12"/>
      <c r="I1575" s="472" t="s">
        <v>2890</v>
      </c>
      <c r="J1575" s="19"/>
      <c r="K1575" s="19"/>
      <c r="L1575" s="14"/>
      <c r="M1575" s="19"/>
      <c r="N1575" s="19"/>
      <c r="O1575" s="71">
        <v>46054.0</v>
      </c>
      <c r="P1575" s="19"/>
    </row>
    <row r="1576" hidden="1">
      <c r="A1576" s="471">
        <v>5.0</v>
      </c>
      <c r="B1576" s="470" t="s">
        <v>5684</v>
      </c>
      <c r="C1576" s="471" t="s">
        <v>80</v>
      </c>
      <c r="D1576" s="342" t="s">
        <v>5685</v>
      </c>
      <c r="E1576" s="615" t="s">
        <v>5686</v>
      </c>
      <c r="F1576" s="471" t="s">
        <v>3928</v>
      </c>
      <c r="G1576" s="472" t="s">
        <v>5673</v>
      </c>
      <c r="H1576" s="12"/>
      <c r="I1576" s="472" t="s">
        <v>2890</v>
      </c>
      <c r="J1576" s="34" t="s">
        <v>5687</v>
      </c>
      <c r="K1576" s="19"/>
      <c r="L1576" s="14"/>
      <c r="M1576" s="19"/>
      <c r="N1576" s="19"/>
      <c r="O1576" s="71">
        <v>46054.0</v>
      </c>
      <c r="P1576" s="19"/>
    </row>
    <row r="1577" hidden="1">
      <c r="A1577" s="471">
        <v>6.0</v>
      </c>
      <c r="B1577" s="470" t="s">
        <v>5688</v>
      </c>
      <c r="C1577" s="471" t="s">
        <v>80</v>
      </c>
      <c r="D1577" s="342" t="s">
        <v>5689</v>
      </c>
      <c r="E1577" s="615" t="s">
        <v>5690</v>
      </c>
      <c r="F1577" s="471" t="s">
        <v>3928</v>
      </c>
      <c r="G1577" s="472" t="s">
        <v>5673</v>
      </c>
      <c r="H1577" s="12"/>
      <c r="I1577" s="472" t="s">
        <v>2890</v>
      </c>
      <c r="J1577" s="34" t="s">
        <v>5687</v>
      </c>
      <c r="K1577" s="19"/>
      <c r="L1577" s="14"/>
      <c r="M1577" s="19"/>
      <c r="N1577" s="19"/>
      <c r="O1577" s="71">
        <v>46054.0</v>
      </c>
      <c r="P1577" s="19"/>
    </row>
    <row r="1578" hidden="1">
      <c r="A1578" s="471">
        <v>7.0</v>
      </c>
      <c r="B1578" s="470" t="s">
        <v>5691</v>
      </c>
      <c r="C1578" s="471" t="s">
        <v>80</v>
      </c>
      <c r="D1578" s="342" t="s">
        <v>5692</v>
      </c>
      <c r="E1578" s="615" t="s">
        <v>5693</v>
      </c>
      <c r="F1578" s="471" t="s">
        <v>3928</v>
      </c>
      <c r="G1578" s="472" t="s">
        <v>5673</v>
      </c>
      <c r="H1578" s="647"/>
      <c r="I1578" s="472" t="s">
        <v>2890</v>
      </c>
      <c r="J1578" s="19"/>
      <c r="K1578" s="19"/>
      <c r="L1578" s="14"/>
      <c r="M1578" s="19"/>
      <c r="N1578" s="19"/>
      <c r="O1578" s="71">
        <v>46054.0</v>
      </c>
      <c r="P1578" s="19"/>
    </row>
    <row r="1579" hidden="1">
      <c r="A1579" s="471">
        <v>8.0</v>
      </c>
      <c r="B1579" s="470" t="s">
        <v>5694</v>
      </c>
      <c r="C1579" s="471" t="s">
        <v>80</v>
      </c>
      <c r="D1579" s="342" t="s">
        <v>5695</v>
      </c>
      <c r="E1579" s="615" t="s">
        <v>5696</v>
      </c>
      <c r="F1579" s="471" t="s">
        <v>3928</v>
      </c>
      <c r="G1579" s="472" t="s">
        <v>5673</v>
      </c>
      <c r="H1579" s="647"/>
      <c r="I1579" s="472" t="s">
        <v>2890</v>
      </c>
      <c r="J1579" s="19"/>
      <c r="K1579" s="19"/>
      <c r="L1579" s="14"/>
      <c r="M1579" s="19"/>
      <c r="N1579" s="19"/>
      <c r="O1579" s="71">
        <v>46054.0</v>
      </c>
      <c r="P1579" s="19"/>
    </row>
    <row r="1580" hidden="1">
      <c r="A1580" s="471">
        <v>9.0</v>
      </c>
      <c r="B1580" s="470" t="s">
        <v>5697</v>
      </c>
      <c r="C1580" s="471" t="s">
        <v>5698</v>
      </c>
      <c r="D1580" s="342" t="s">
        <v>5699</v>
      </c>
      <c r="E1580" s="615" t="s">
        <v>44</v>
      </c>
      <c r="F1580" s="471" t="s">
        <v>44</v>
      </c>
      <c r="G1580" s="474">
        <v>46054.0</v>
      </c>
      <c r="H1580" s="647"/>
      <c r="I1580" s="472" t="s">
        <v>2890</v>
      </c>
      <c r="J1580" s="34" t="s">
        <v>5700</v>
      </c>
      <c r="K1580" s="148">
        <v>46174.0</v>
      </c>
      <c r="L1580" s="14"/>
      <c r="M1580" s="19"/>
      <c r="N1580" s="19"/>
      <c r="O1580" s="648">
        <v>46028.0</v>
      </c>
      <c r="P1580" s="19"/>
    </row>
    <row r="1581" hidden="1">
      <c r="A1581" s="471">
        <v>10.0</v>
      </c>
      <c r="B1581" s="470" t="s">
        <v>5701</v>
      </c>
      <c r="C1581" s="471" t="s">
        <v>1185</v>
      </c>
      <c r="D1581" s="342" t="s">
        <v>5702</v>
      </c>
      <c r="E1581" s="471" t="s">
        <v>5703</v>
      </c>
      <c r="F1581" s="471" t="s">
        <v>25</v>
      </c>
      <c r="G1581" s="431">
        <v>46113.0</v>
      </c>
      <c r="H1581" s="471">
        <v>20.0</v>
      </c>
      <c r="I1581" s="472" t="s">
        <v>2890</v>
      </c>
      <c r="J1581" s="34" t="s">
        <v>5704</v>
      </c>
      <c r="K1581" s="34" t="s">
        <v>5179</v>
      </c>
      <c r="L1581" s="12" t="s">
        <v>51</v>
      </c>
      <c r="M1581" s="19"/>
      <c r="N1581" s="19"/>
      <c r="O1581" s="148">
        <v>45839.0</v>
      </c>
      <c r="P1581" s="385" t="s">
        <v>1432</v>
      </c>
    </row>
    <row r="1582" hidden="1">
      <c r="A1582" s="471">
        <v>11.0</v>
      </c>
      <c r="B1582" s="470" t="s">
        <v>5705</v>
      </c>
      <c r="C1582" s="471" t="s">
        <v>1185</v>
      </c>
      <c r="D1582" s="342" t="s">
        <v>5706</v>
      </c>
      <c r="E1582" s="471" t="s">
        <v>5707</v>
      </c>
      <c r="F1582" s="471" t="s">
        <v>4367</v>
      </c>
      <c r="G1582" s="431">
        <v>46082.0</v>
      </c>
      <c r="H1582" s="471">
        <v>19.0</v>
      </c>
      <c r="I1582" s="472" t="s">
        <v>2890</v>
      </c>
      <c r="J1582" s="34" t="s">
        <v>5708</v>
      </c>
      <c r="K1582" s="622">
        <v>46023.0</v>
      </c>
      <c r="L1582" s="12" t="s">
        <v>374</v>
      </c>
      <c r="M1582" s="19"/>
      <c r="N1582" s="19"/>
      <c r="O1582" s="148">
        <v>45839.0</v>
      </c>
      <c r="P1582" s="385" t="s">
        <v>1432</v>
      </c>
    </row>
    <row r="1583" hidden="1">
      <c r="A1583" s="471">
        <v>12.0</v>
      </c>
      <c r="B1583" s="470" t="s">
        <v>5709</v>
      </c>
      <c r="C1583" s="471" t="s">
        <v>80</v>
      </c>
      <c r="D1583" s="342" t="s">
        <v>5710</v>
      </c>
      <c r="E1583" s="471" t="s">
        <v>5711</v>
      </c>
      <c r="F1583" s="471" t="s">
        <v>5712</v>
      </c>
      <c r="G1583" s="431">
        <v>46143.0</v>
      </c>
      <c r="H1583" s="471">
        <v>21.0</v>
      </c>
      <c r="I1583" s="472" t="s">
        <v>2890</v>
      </c>
      <c r="J1583" s="34" t="s">
        <v>51</v>
      </c>
      <c r="K1583" s="148">
        <v>45778.0</v>
      </c>
      <c r="L1583" s="12" t="s">
        <v>51</v>
      </c>
      <c r="M1583" s="19"/>
      <c r="N1583" s="19"/>
      <c r="O1583" s="148">
        <v>46357.0</v>
      </c>
      <c r="P1583" s="385" t="s">
        <v>1432</v>
      </c>
    </row>
    <row r="1584" hidden="1">
      <c r="A1584" s="471">
        <v>13.0</v>
      </c>
      <c r="B1584" s="470" t="s">
        <v>5713</v>
      </c>
      <c r="C1584" s="471" t="s">
        <v>80</v>
      </c>
      <c r="D1584" s="342" t="s">
        <v>5714</v>
      </c>
      <c r="E1584" s="625" t="s">
        <v>5715</v>
      </c>
      <c r="F1584" s="471" t="s">
        <v>4405</v>
      </c>
      <c r="G1584" s="431">
        <v>46143.0</v>
      </c>
      <c r="H1584" s="471">
        <v>21.0</v>
      </c>
      <c r="I1584" s="472" t="s">
        <v>2890</v>
      </c>
      <c r="J1584" s="34" t="s">
        <v>5704</v>
      </c>
      <c r="K1584" s="34" t="s">
        <v>5179</v>
      </c>
      <c r="L1584" s="12" t="s">
        <v>374</v>
      </c>
      <c r="M1584" s="19"/>
      <c r="N1584" s="19"/>
      <c r="O1584" s="148">
        <v>46054.0</v>
      </c>
      <c r="P1584" s="385" t="s">
        <v>1432</v>
      </c>
    </row>
    <row r="1585" hidden="1">
      <c r="A1585" s="471">
        <v>14.0</v>
      </c>
      <c r="B1585" s="470" t="s">
        <v>5716</v>
      </c>
      <c r="C1585" s="471" t="s">
        <v>80</v>
      </c>
      <c r="D1585" s="342" t="s">
        <v>5717</v>
      </c>
      <c r="E1585" s="625" t="s">
        <v>5718</v>
      </c>
      <c r="F1585" s="471" t="s">
        <v>4405</v>
      </c>
      <c r="G1585" s="431">
        <v>46143.0</v>
      </c>
      <c r="H1585" s="471">
        <v>21.0</v>
      </c>
      <c r="I1585" s="522" t="s">
        <v>4698</v>
      </c>
      <c r="J1585" s="34" t="s">
        <v>5704</v>
      </c>
      <c r="K1585" s="34" t="s">
        <v>5179</v>
      </c>
      <c r="L1585" s="12" t="s">
        <v>374</v>
      </c>
      <c r="M1585" s="19"/>
      <c r="N1585" s="19"/>
      <c r="O1585" s="148">
        <v>46054.0</v>
      </c>
      <c r="P1585" s="385" t="s">
        <v>1432</v>
      </c>
    </row>
    <row r="1586" hidden="1">
      <c r="A1586" s="471">
        <v>15.0</v>
      </c>
      <c r="B1586" s="470" t="s">
        <v>5719</v>
      </c>
      <c r="C1586" s="471" t="s">
        <v>80</v>
      </c>
      <c r="D1586" s="342" t="s">
        <v>5720</v>
      </c>
      <c r="E1586" s="471" t="s">
        <v>5721</v>
      </c>
      <c r="F1586" s="471" t="s">
        <v>2654</v>
      </c>
      <c r="G1586" s="431">
        <v>46143.0</v>
      </c>
      <c r="H1586" s="471">
        <v>21.0</v>
      </c>
      <c r="I1586" s="472" t="s">
        <v>2890</v>
      </c>
      <c r="J1586" s="34" t="s">
        <v>51</v>
      </c>
      <c r="K1586" s="148">
        <v>45778.0</v>
      </c>
      <c r="L1586" s="12" t="s">
        <v>51</v>
      </c>
      <c r="M1586" s="19"/>
      <c r="N1586" s="19"/>
      <c r="O1586" s="34" t="s">
        <v>5621</v>
      </c>
      <c r="P1586" s="385" t="s">
        <v>1432</v>
      </c>
    </row>
    <row r="1587" hidden="1">
      <c r="A1587" s="471">
        <v>16.0</v>
      </c>
      <c r="B1587" s="470" t="s">
        <v>5722</v>
      </c>
      <c r="C1587" s="471" t="s">
        <v>80</v>
      </c>
      <c r="D1587" s="342" t="s">
        <v>5723</v>
      </c>
      <c r="E1587" s="471" t="s">
        <v>5724</v>
      </c>
      <c r="F1587" s="471" t="s">
        <v>160</v>
      </c>
      <c r="G1587" s="431">
        <v>46143.0</v>
      </c>
      <c r="H1587" s="471">
        <v>21.0</v>
      </c>
      <c r="I1587" s="522" t="s">
        <v>3231</v>
      </c>
      <c r="J1587" s="34" t="s">
        <v>374</v>
      </c>
      <c r="K1587" s="148">
        <v>45778.0</v>
      </c>
      <c r="L1587" s="12" t="s">
        <v>51</v>
      </c>
      <c r="M1587" s="19"/>
      <c r="N1587" s="19"/>
      <c r="O1587" s="148">
        <v>46174.0</v>
      </c>
      <c r="P1587" s="385" t="s">
        <v>1432</v>
      </c>
    </row>
    <row r="1588" hidden="1">
      <c r="A1588" s="471">
        <v>17.0</v>
      </c>
      <c r="B1588" s="470" t="s">
        <v>5725</v>
      </c>
      <c r="C1588" s="471" t="s">
        <v>80</v>
      </c>
      <c r="D1588" s="342" t="s">
        <v>5726</v>
      </c>
      <c r="E1588" s="625" t="s">
        <v>5727</v>
      </c>
      <c r="F1588" s="471" t="s">
        <v>535</v>
      </c>
      <c r="G1588" s="431">
        <v>46174.0</v>
      </c>
      <c r="H1588" s="471">
        <v>22.0</v>
      </c>
      <c r="I1588" s="472" t="s">
        <v>2890</v>
      </c>
      <c r="J1588" s="34" t="s">
        <v>5704</v>
      </c>
      <c r="K1588" s="34" t="s">
        <v>5113</v>
      </c>
      <c r="L1588" s="12" t="s">
        <v>374</v>
      </c>
      <c r="M1588" s="19"/>
      <c r="N1588" s="19"/>
      <c r="O1588" s="148">
        <v>46235.0</v>
      </c>
      <c r="P1588" s="385" t="s">
        <v>1432</v>
      </c>
    </row>
    <row r="1589" hidden="1">
      <c r="A1589" s="471">
        <v>18.0</v>
      </c>
      <c r="B1589" s="470" t="s">
        <v>5728</v>
      </c>
      <c r="C1589" s="471" t="s">
        <v>80</v>
      </c>
      <c r="D1589" s="342" t="s">
        <v>5729</v>
      </c>
      <c r="E1589" s="625" t="s">
        <v>5730</v>
      </c>
      <c r="F1589" s="471" t="s">
        <v>535</v>
      </c>
      <c r="G1589" s="431">
        <v>46174.0</v>
      </c>
      <c r="H1589" s="471">
        <v>22.0</v>
      </c>
      <c r="I1589" s="472" t="s">
        <v>2890</v>
      </c>
      <c r="J1589" s="34" t="s">
        <v>5704</v>
      </c>
      <c r="K1589" s="34" t="s">
        <v>5113</v>
      </c>
      <c r="L1589" s="12" t="s">
        <v>374</v>
      </c>
      <c r="M1589" s="19"/>
      <c r="N1589" s="19"/>
      <c r="O1589" s="148">
        <v>46235.0</v>
      </c>
      <c r="P1589" s="385" t="s">
        <v>1432</v>
      </c>
    </row>
    <row r="1590" hidden="1">
      <c r="A1590" s="471">
        <v>19.0</v>
      </c>
      <c r="B1590" s="470" t="s">
        <v>5731</v>
      </c>
      <c r="C1590" s="471" t="s">
        <v>1025</v>
      </c>
      <c r="D1590" s="342" t="s">
        <v>5732</v>
      </c>
      <c r="E1590" s="625" t="s">
        <v>5733</v>
      </c>
      <c r="F1590" s="471" t="s">
        <v>1316</v>
      </c>
      <c r="G1590" s="431">
        <v>46143.0</v>
      </c>
      <c r="H1590" s="471">
        <v>21.0</v>
      </c>
      <c r="I1590" s="472" t="s">
        <v>2890</v>
      </c>
      <c r="J1590" s="34" t="s">
        <v>5704</v>
      </c>
      <c r="K1590" s="34" t="s">
        <v>5113</v>
      </c>
      <c r="L1590" s="12" t="s">
        <v>374</v>
      </c>
      <c r="M1590" s="19"/>
      <c r="N1590" s="19"/>
      <c r="O1590" s="148">
        <v>46204.0</v>
      </c>
      <c r="P1590" s="385" t="s">
        <v>1432</v>
      </c>
    </row>
    <row r="1591" hidden="1">
      <c r="A1591" s="471">
        <v>20.0</v>
      </c>
      <c r="B1591" s="470" t="s">
        <v>5734</v>
      </c>
      <c r="C1591" s="471" t="s">
        <v>80</v>
      </c>
      <c r="D1591" s="342" t="s">
        <v>5735</v>
      </c>
      <c r="E1591" s="625" t="s">
        <v>5736</v>
      </c>
      <c r="F1591" s="471" t="s">
        <v>1316</v>
      </c>
      <c r="G1591" s="431">
        <v>46143.0</v>
      </c>
      <c r="H1591" s="471">
        <v>21.0</v>
      </c>
      <c r="I1591" s="472" t="s">
        <v>2890</v>
      </c>
      <c r="J1591" s="34" t="s">
        <v>5704</v>
      </c>
      <c r="K1591" s="34" t="s">
        <v>5113</v>
      </c>
      <c r="L1591" s="12" t="s">
        <v>374</v>
      </c>
      <c r="M1591" s="19"/>
      <c r="N1591" s="19"/>
      <c r="O1591" s="148">
        <v>46204.0</v>
      </c>
      <c r="P1591" s="385" t="s">
        <v>1432</v>
      </c>
    </row>
    <row r="1592" hidden="1">
      <c r="A1592" s="471">
        <v>21.0</v>
      </c>
      <c r="B1592" s="470" t="s">
        <v>5737</v>
      </c>
      <c r="C1592" s="471" t="s">
        <v>80</v>
      </c>
      <c r="D1592" s="342" t="s">
        <v>5738</v>
      </c>
      <c r="E1592" s="471" t="s">
        <v>5739</v>
      </c>
      <c r="F1592" s="471" t="s">
        <v>4666</v>
      </c>
      <c r="G1592" s="431">
        <v>46204.0</v>
      </c>
      <c r="H1592" s="471">
        <v>23.0</v>
      </c>
      <c r="I1592" s="472" t="s">
        <v>2890</v>
      </c>
      <c r="J1592" s="34" t="s">
        <v>5704</v>
      </c>
      <c r="K1592" s="34" t="s">
        <v>5113</v>
      </c>
      <c r="L1592" s="12" t="s">
        <v>51</v>
      </c>
      <c r="M1592" s="19"/>
      <c r="N1592" s="19"/>
      <c r="O1592" s="19"/>
      <c r="P1592" s="634" t="s">
        <v>4937</v>
      </c>
    </row>
    <row r="1593" hidden="1">
      <c r="A1593" s="471">
        <v>22.0</v>
      </c>
      <c r="B1593" s="470" t="s">
        <v>5740</v>
      </c>
      <c r="C1593" s="471" t="s">
        <v>80</v>
      </c>
      <c r="D1593" s="342" t="s">
        <v>5741</v>
      </c>
      <c r="E1593" s="625" t="s">
        <v>5742</v>
      </c>
      <c r="F1593" s="471" t="s">
        <v>4358</v>
      </c>
      <c r="G1593" s="431">
        <v>46204.0</v>
      </c>
      <c r="H1593" s="471">
        <v>23.0</v>
      </c>
      <c r="I1593" s="472" t="s">
        <v>2890</v>
      </c>
      <c r="J1593" s="34" t="s">
        <v>5704</v>
      </c>
      <c r="K1593" s="34" t="s">
        <v>5293</v>
      </c>
      <c r="L1593" s="140"/>
      <c r="M1593" s="19"/>
      <c r="N1593" s="19"/>
      <c r="O1593" s="148">
        <v>46296.0</v>
      </c>
      <c r="P1593" s="385" t="s">
        <v>1432</v>
      </c>
    </row>
    <row r="1594" hidden="1">
      <c r="A1594" s="471">
        <v>23.0</v>
      </c>
      <c r="B1594" s="470" t="s">
        <v>5743</v>
      </c>
      <c r="C1594" s="471" t="s">
        <v>80</v>
      </c>
      <c r="D1594" s="342" t="s">
        <v>5744</v>
      </c>
      <c r="E1594" s="625" t="s">
        <v>5745</v>
      </c>
      <c r="F1594" s="471" t="s">
        <v>4358</v>
      </c>
      <c r="G1594" s="431">
        <v>46204.0</v>
      </c>
      <c r="H1594" s="471">
        <v>23.0</v>
      </c>
      <c r="I1594" s="472" t="s">
        <v>2890</v>
      </c>
      <c r="J1594" s="34" t="s">
        <v>5704</v>
      </c>
      <c r="K1594" s="34" t="s">
        <v>5293</v>
      </c>
      <c r="L1594" s="12" t="s">
        <v>5746</v>
      </c>
      <c r="M1594" s="19"/>
      <c r="N1594" s="19"/>
      <c r="O1594" s="148">
        <v>46296.0</v>
      </c>
      <c r="P1594" s="385" t="s">
        <v>1432</v>
      </c>
    </row>
    <row r="1595" hidden="1">
      <c r="A1595" s="471">
        <v>24.0</v>
      </c>
      <c r="B1595" s="470" t="s">
        <v>5747</v>
      </c>
      <c r="C1595" s="471" t="s">
        <v>80</v>
      </c>
      <c r="D1595" s="342" t="s">
        <v>5748</v>
      </c>
      <c r="E1595" s="471" t="s">
        <v>5749</v>
      </c>
      <c r="F1595" s="471" t="s">
        <v>5750</v>
      </c>
      <c r="G1595" s="431">
        <v>46204.0</v>
      </c>
      <c r="H1595" s="471">
        <v>23.0</v>
      </c>
      <c r="I1595" s="472" t="s">
        <v>2890</v>
      </c>
      <c r="J1595" s="34" t="s">
        <v>5708</v>
      </c>
      <c r="K1595" s="622">
        <v>46023.0</v>
      </c>
      <c r="L1595" s="12" t="s">
        <v>374</v>
      </c>
      <c r="M1595" s="19"/>
      <c r="N1595" s="19"/>
      <c r="O1595" s="148">
        <v>46235.0</v>
      </c>
      <c r="P1595" s="634" t="s">
        <v>4937</v>
      </c>
    </row>
    <row r="1596" hidden="1">
      <c r="A1596" s="471">
        <v>25.0</v>
      </c>
      <c r="B1596" s="470" t="s">
        <v>5751</v>
      </c>
      <c r="C1596" s="471" t="s">
        <v>80</v>
      </c>
      <c r="D1596" s="342" t="s">
        <v>5752</v>
      </c>
      <c r="E1596" s="471" t="s">
        <v>5753</v>
      </c>
      <c r="F1596" s="471" t="s">
        <v>5754</v>
      </c>
      <c r="G1596" s="431">
        <v>46204.0</v>
      </c>
      <c r="H1596" s="471">
        <v>23.0</v>
      </c>
      <c r="I1596" s="472" t="s">
        <v>2890</v>
      </c>
      <c r="J1596" s="34" t="s">
        <v>5708</v>
      </c>
      <c r="K1596" s="622">
        <v>46023.0</v>
      </c>
      <c r="L1596" s="12" t="s">
        <v>51</v>
      </c>
      <c r="M1596" s="19"/>
      <c r="N1596" s="19"/>
      <c r="O1596" s="148">
        <v>46266.0</v>
      </c>
      <c r="P1596" s="385" t="s">
        <v>1432</v>
      </c>
    </row>
    <row r="1597" hidden="1">
      <c r="A1597" s="471">
        <v>26.0</v>
      </c>
      <c r="B1597" s="470" t="s">
        <v>5755</v>
      </c>
      <c r="C1597" s="471" t="s">
        <v>80</v>
      </c>
      <c r="D1597" s="342" t="s">
        <v>5756</v>
      </c>
      <c r="E1597" s="471" t="s">
        <v>5757</v>
      </c>
      <c r="F1597" s="471" t="s">
        <v>5758</v>
      </c>
      <c r="G1597" s="431">
        <v>46204.0</v>
      </c>
      <c r="H1597" s="471">
        <v>23.0</v>
      </c>
      <c r="I1597" s="472" t="s">
        <v>2890</v>
      </c>
      <c r="J1597" s="34" t="s">
        <v>51</v>
      </c>
      <c r="K1597" s="622">
        <v>45778.0</v>
      </c>
      <c r="L1597" s="12" t="s">
        <v>51</v>
      </c>
      <c r="M1597" s="19"/>
      <c r="N1597" s="19"/>
      <c r="O1597" s="148">
        <v>45839.0</v>
      </c>
      <c r="P1597" s="385" t="s">
        <v>1432</v>
      </c>
    </row>
    <row r="1598" hidden="1">
      <c r="A1598" s="471">
        <v>27.0</v>
      </c>
      <c r="B1598" s="470" t="s">
        <v>5759</v>
      </c>
      <c r="C1598" s="471" t="s">
        <v>80</v>
      </c>
      <c r="D1598" s="342" t="s">
        <v>5760</v>
      </c>
      <c r="E1598" s="471" t="s">
        <v>5761</v>
      </c>
      <c r="F1598" s="471" t="s">
        <v>4872</v>
      </c>
      <c r="G1598" s="431">
        <v>46235.0</v>
      </c>
      <c r="H1598" s="471">
        <v>24.0</v>
      </c>
      <c r="I1598" s="472" t="s">
        <v>2890</v>
      </c>
      <c r="J1598" s="34" t="s">
        <v>5762</v>
      </c>
      <c r="K1598" s="622">
        <v>46054.0</v>
      </c>
      <c r="L1598" s="12" t="s">
        <v>374</v>
      </c>
      <c r="M1598" s="19"/>
      <c r="N1598" s="19"/>
      <c r="O1598" s="34" t="s">
        <v>5621</v>
      </c>
      <c r="P1598" s="385" t="s">
        <v>1432</v>
      </c>
    </row>
    <row r="1599" hidden="1">
      <c r="A1599" s="471">
        <v>28.0</v>
      </c>
      <c r="B1599" s="470" t="s">
        <v>5763</v>
      </c>
      <c r="C1599" s="471" t="s">
        <v>5764</v>
      </c>
      <c r="D1599" s="342" t="s">
        <v>5765</v>
      </c>
      <c r="E1599" s="649" t="s">
        <v>5766</v>
      </c>
      <c r="F1599" s="471" t="s">
        <v>1899</v>
      </c>
      <c r="G1599" s="431">
        <v>46235.0</v>
      </c>
      <c r="H1599" s="471">
        <v>24.0</v>
      </c>
      <c r="I1599" s="472" t="s">
        <v>2890</v>
      </c>
      <c r="J1599" s="19"/>
      <c r="K1599" s="19"/>
      <c r="L1599" s="14"/>
      <c r="M1599" s="19"/>
      <c r="N1599" s="19"/>
      <c r="O1599" s="34" t="s">
        <v>5015</v>
      </c>
      <c r="P1599" s="385" t="s">
        <v>1432</v>
      </c>
    </row>
    <row r="1600" hidden="1">
      <c r="A1600" s="471">
        <v>29.0</v>
      </c>
      <c r="B1600" s="470" t="s">
        <v>5767</v>
      </c>
      <c r="C1600" s="471" t="s">
        <v>80</v>
      </c>
      <c r="D1600" s="342" t="s">
        <v>5768</v>
      </c>
      <c r="E1600" s="471" t="s">
        <v>5769</v>
      </c>
      <c r="F1600" s="471" t="s">
        <v>207</v>
      </c>
      <c r="G1600" s="431">
        <v>46204.0</v>
      </c>
      <c r="H1600" s="471">
        <v>23.0</v>
      </c>
      <c r="I1600" s="472" t="s">
        <v>2890</v>
      </c>
      <c r="J1600" s="34" t="s">
        <v>5708</v>
      </c>
      <c r="K1600" s="622">
        <v>46023.0</v>
      </c>
      <c r="L1600" s="12" t="s">
        <v>51</v>
      </c>
      <c r="M1600" s="19"/>
      <c r="N1600" s="19"/>
      <c r="O1600" s="148">
        <v>46296.0</v>
      </c>
      <c r="P1600" s="385" t="s">
        <v>1432</v>
      </c>
    </row>
    <row r="1601" hidden="1">
      <c r="A1601" s="471">
        <v>30.0</v>
      </c>
      <c r="B1601" s="470" t="s">
        <v>5770</v>
      </c>
      <c r="C1601" s="471" t="s">
        <v>651</v>
      </c>
      <c r="D1601" s="342" t="s">
        <v>5771</v>
      </c>
      <c r="E1601" s="471" t="s">
        <v>5772</v>
      </c>
      <c r="F1601" s="471" t="s">
        <v>4779</v>
      </c>
      <c r="G1601" s="431">
        <v>46235.0</v>
      </c>
      <c r="H1601" s="471">
        <v>24.0</v>
      </c>
      <c r="I1601" s="522" t="s">
        <v>5364</v>
      </c>
      <c r="J1601" s="34" t="s">
        <v>5762</v>
      </c>
      <c r="K1601" s="622">
        <v>46054.0</v>
      </c>
      <c r="L1601" s="12" t="s">
        <v>374</v>
      </c>
      <c r="M1601" s="19"/>
      <c r="N1601" s="19"/>
      <c r="O1601" s="148">
        <v>46266.0</v>
      </c>
      <c r="P1601" s="385" t="s">
        <v>1432</v>
      </c>
    </row>
    <row r="1602" hidden="1">
      <c r="A1602" s="471">
        <v>31.0</v>
      </c>
      <c r="B1602" s="470" t="s">
        <v>5773</v>
      </c>
      <c r="C1602" s="471" t="s">
        <v>80</v>
      </c>
      <c r="D1602" s="342" t="s">
        <v>5774</v>
      </c>
      <c r="E1602" s="625" t="s">
        <v>5775</v>
      </c>
      <c r="F1602" s="471" t="s">
        <v>4666</v>
      </c>
      <c r="G1602" s="431">
        <v>46266.0</v>
      </c>
      <c r="H1602" s="471">
        <v>25.0</v>
      </c>
      <c r="I1602" s="472" t="s">
        <v>2890</v>
      </c>
      <c r="J1602" s="34" t="s">
        <v>5762</v>
      </c>
      <c r="K1602" s="622">
        <v>46082.0</v>
      </c>
      <c r="L1602" s="12" t="s">
        <v>5746</v>
      </c>
      <c r="M1602" s="19"/>
      <c r="N1602" s="19"/>
      <c r="O1602" s="148">
        <v>46357.0</v>
      </c>
      <c r="P1602" s="407" t="s">
        <v>1798</v>
      </c>
    </row>
    <row r="1603" hidden="1">
      <c r="A1603" s="471">
        <v>32.0</v>
      </c>
      <c r="B1603" s="470" t="s">
        <v>5776</v>
      </c>
      <c r="C1603" s="471" t="s">
        <v>80</v>
      </c>
      <c r="D1603" s="342" t="s">
        <v>5777</v>
      </c>
      <c r="E1603" s="625" t="s">
        <v>5778</v>
      </c>
      <c r="F1603" s="471" t="s">
        <v>4666</v>
      </c>
      <c r="G1603" s="431">
        <v>46266.0</v>
      </c>
      <c r="H1603" s="471">
        <v>25.0</v>
      </c>
      <c r="I1603" s="472" t="s">
        <v>2890</v>
      </c>
      <c r="J1603" s="34" t="s">
        <v>5762</v>
      </c>
      <c r="K1603" s="622">
        <v>46082.0</v>
      </c>
      <c r="L1603" s="12" t="s">
        <v>5746</v>
      </c>
      <c r="M1603" s="19"/>
      <c r="N1603" s="19"/>
      <c r="O1603" s="148">
        <v>46357.0</v>
      </c>
      <c r="P1603" s="407" t="s">
        <v>1798</v>
      </c>
    </row>
    <row r="1604" hidden="1">
      <c r="A1604" s="471">
        <v>33.0</v>
      </c>
      <c r="B1604" s="470" t="s">
        <v>5779</v>
      </c>
      <c r="C1604" s="471" t="s">
        <v>1185</v>
      </c>
      <c r="D1604" s="342" t="s">
        <v>5780</v>
      </c>
      <c r="E1604" s="471" t="s">
        <v>5781</v>
      </c>
      <c r="F1604" s="471" t="s">
        <v>25</v>
      </c>
      <c r="G1604" s="431">
        <v>46235.0</v>
      </c>
      <c r="H1604" s="471">
        <v>24.0</v>
      </c>
      <c r="I1604" s="472" t="s">
        <v>2890</v>
      </c>
      <c r="J1604" s="34" t="s">
        <v>5762</v>
      </c>
      <c r="K1604" s="622">
        <v>46082.0</v>
      </c>
      <c r="L1604" s="12" t="s">
        <v>51</v>
      </c>
      <c r="M1604" s="19"/>
      <c r="N1604" s="19"/>
      <c r="O1604" s="148">
        <v>46357.0</v>
      </c>
      <c r="P1604" s="385" t="s">
        <v>1432</v>
      </c>
    </row>
    <row r="1605" hidden="1">
      <c r="A1605" s="471">
        <v>34.0</v>
      </c>
      <c r="B1605" s="470" t="s">
        <v>5782</v>
      </c>
      <c r="C1605" s="471" t="s">
        <v>1185</v>
      </c>
      <c r="D1605" s="342" t="s">
        <v>5783</v>
      </c>
      <c r="E1605" s="471" t="s">
        <v>5784</v>
      </c>
      <c r="F1605" s="471" t="s">
        <v>25</v>
      </c>
      <c r="G1605" s="431">
        <v>46143.0</v>
      </c>
      <c r="H1605" s="471">
        <v>21.0</v>
      </c>
      <c r="I1605" s="472" t="s">
        <v>2890</v>
      </c>
      <c r="J1605" s="34" t="s">
        <v>5762</v>
      </c>
      <c r="K1605" s="622">
        <v>46054.0</v>
      </c>
      <c r="L1605" s="12" t="s">
        <v>51</v>
      </c>
      <c r="M1605" s="19"/>
      <c r="N1605" s="19"/>
      <c r="O1605" s="148">
        <v>45839.0</v>
      </c>
      <c r="P1605" s="385" t="s">
        <v>1432</v>
      </c>
    </row>
    <row r="1606" hidden="1">
      <c r="A1606" s="526">
        <v>35.0</v>
      </c>
      <c r="B1606" s="527" t="s">
        <v>5785</v>
      </c>
      <c r="C1606" s="526" t="s">
        <v>1185</v>
      </c>
      <c r="D1606" s="504" t="s">
        <v>5786</v>
      </c>
      <c r="E1606" s="526" t="s">
        <v>5787</v>
      </c>
      <c r="F1606" s="526" t="s">
        <v>4666</v>
      </c>
      <c r="G1606" s="431">
        <v>46113.0</v>
      </c>
      <c r="H1606" s="471">
        <v>20.0</v>
      </c>
      <c r="I1606" s="574" t="s">
        <v>2890</v>
      </c>
      <c r="J1606" s="19"/>
      <c r="K1606" s="19"/>
      <c r="L1606" s="14"/>
      <c r="M1606" s="19"/>
      <c r="N1606" s="19"/>
      <c r="O1606" s="34" t="s">
        <v>5022</v>
      </c>
      <c r="P1606" s="385" t="s">
        <v>1432</v>
      </c>
    </row>
    <row r="1607" hidden="1">
      <c r="A1607" s="471">
        <v>36.0</v>
      </c>
      <c r="B1607" s="621" t="s">
        <v>5788</v>
      </c>
      <c r="C1607" s="471" t="s">
        <v>5789</v>
      </c>
      <c r="D1607" s="342" t="s">
        <v>5790</v>
      </c>
      <c r="E1607" s="471" t="s">
        <v>5791</v>
      </c>
      <c r="F1607" s="471" t="s">
        <v>4358</v>
      </c>
      <c r="G1607" s="431">
        <v>46174.0</v>
      </c>
      <c r="H1607" s="471">
        <v>22.0</v>
      </c>
      <c r="I1607" s="472" t="s">
        <v>2890</v>
      </c>
      <c r="J1607" s="34" t="s">
        <v>5792</v>
      </c>
      <c r="K1607" s="622">
        <v>46143.0</v>
      </c>
      <c r="L1607" s="12" t="s">
        <v>374</v>
      </c>
      <c r="M1607" s="19"/>
      <c r="N1607" s="19"/>
      <c r="O1607" s="148">
        <v>45839.0</v>
      </c>
      <c r="P1607" s="385" t="s">
        <v>1432</v>
      </c>
    </row>
    <row r="1608" hidden="1">
      <c r="A1608" s="471">
        <v>37.0</v>
      </c>
      <c r="B1608" s="621" t="s">
        <v>5793</v>
      </c>
      <c r="C1608" s="471" t="s">
        <v>80</v>
      </c>
      <c r="D1608" s="342" t="s">
        <v>5794</v>
      </c>
      <c r="E1608" s="471" t="s">
        <v>5795</v>
      </c>
      <c r="F1608" s="471" t="s">
        <v>4358</v>
      </c>
      <c r="G1608" s="431">
        <v>46235.0</v>
      </c>
      <c r="H1608" s="471">
        <v>24.0</v>
      </c>
      <c r="I1608" s="472" t="s">
        <v>2890</v>
      </c>
      <c r="J1608" s="34" t="s">
        <v>5796</v>
      </c>
      <c r="K1608" s="622">
        <v>46204.0</v>
      </c>
      <c r="L1608" s="12" t="s">
        <v>51</v>
      </c>
      <c r="M1608" s="19"/>
      <c r="N1608" s="19"/>
      <c r="O1608" s="148">
        <v>46266.0</v>
      </c>
      <c r="P1608" s="385" t="s">
        <v>1432</v>
      </c>
    </row>
    <row r="1609" hidden="1">
      <c r="A1609" s="526">
        <v>38.0</v>
      </c>
      <c r="B1609" s="527" t="s">
        <v>5797</v>
      </c>
      <c r="C1609" s="526" t="s">
        <v>80</v>
      </c>
      <c r="D1609" s="504" t="s">
        <v>5798</v>
      </c>
      <c r="E1609" s="526" t="s">
        <v>5799</v>
      </c>
      <c r="F1609" s="526" t="s">
        <v>207</v>
      </c>
      <c r="G1609" s="431">
        <v>46235.0</v>
      </c>
      <c r="H1609" s="471">
        <v>24.0</v>
      </c>
      <c r="I1609" s="650" t="s">
        <v>4002</v>
      </c>
      <c r="J1609" s="19"/>
      <c r="K1609" s="19"/>
      <c r="L1609" s="14"/>
      <c r="M1609" s="19"/>
      <c r="N1609" s="19"/>
      <c r="O1609" s="19"/>
      <c r="P1609" s="385" t="s">
        <v>1432</v>
      </c>
    </row>
    <row r="1610" hidden="1">
      <c r="A1610" s="471">
        <v>39.0</v>
      </c>
      <c r="B1610" s="470" t="s">
        <v>5800</v>
      </c>
      <c r="C1610" s="471" t="s">
        <v>938</v>
      </c>
      <c r="D1610" s="342" t="s">
        <v>5801</v>
      </c>
      <c r="E1610" s="471" t="s">
        <v>5802</v>
      </c>
      <c r="F1610" s="471" t="s">
        <v>1836</v>
      </c>
      <c r="G1610" s="431">
        <v>46266.0</v>
      </c>
      <c r="H1610" s="471">
        <v>25.0</v>
      </c>
      <c r="I1610" s="472" t="s">
        <v>2890</v>
      </c>
      <c r="J1610" s="34" t="s">
        <v>5792</v>
      </c>
      <c r="K1610" s="622">
        <v>46082.0</v>
      </c>
      <c r="L1610" s="12" t="s">
        <v>374</v>
      </c>
      <c r="M1610" s="19"/>
      <c r="N1610" s="19"/>
      <c r="O1610" s="148">
        <v>46296.0</v>
      </c>
      <c r="P1610" s="385" t="s">
        <v>1432</v>
      </c>
    </row>
    <row r="1611" hidden="1">
      <c r="A1611" s="471">
        <v>40.0</v>
      </c>
      <c r="B1611" s="470" t="s">
        <v>5803</v>
      </c>
      <c r="C1611" s="471" t="s">
        <v>938</v>
      </c>
      <c r="D1611" s="342" t="s">
        <v>5804</v>
      </c>
      <c r="E1611" s="471" t="s">
        <v>5805</v>
      </c>
      <c r="F1611" s="471" t="s">
        <v>1836</v>
      </c>
      <c r="G1611" s="431">
        <v>46266.0</v>
      </c>
      <c r="H1611" s="471">
        <v>25.0</v>
      </c>
      <c r="I1611" s="472" t="s">
        <v>2890</v>
      </c>
      <c r="J1611" s="34" t="s">
        <v>5792</v>
      </c>
      <c r="K1611" s="622">
        <v>46082.0</v>
      </c>
      <c r="L1611" s="12" t="s">
        <v>374</v>
      </c>
      <c r="M1611" s="19"/>
      <c r="N1611" s="19"/>
      <c r="O1611" s="148">
        <v>46296.0</v>
      </c>
      <c r="P1611" s="385" t="s">
        <v>1432</v>
      </c>
    </row>
    <row r="1612" hidden="1">
      <c r="A1612" s="471">
        <v>41.0</v>
      </c>
      <c r="B1612" s="470" t="s">
        <v>5806</v>
      </c>
      <c r="C1612" s="471" t="s">
        <v>80</v>
      </c>
      <c r="D1612" s="342" t="s">
        <v>5807</v>
      </c>
      <c r="E1612" s="615" t="s">
        <v>5808</v>
      </c>
      <c r="F1612" s="471" t="s">
        <v>5809</v>
      </c>
      <c r="G1612" s="275" t="s">
        <v>5673</v>
      </c>
      <c r="H1612" s="471">
        <v>16.0</v>
      </c>
      <c r="I1612" s="472" t="s">
        <v>2890</v>
      </c>
      <c r="J1612" s="19"/>
      <c r="K1612" s="19"/>
      <c r="L1612" s="14"/>
      <c r="M1612" s="19"/>
      <c r="N1612" s="19"/>
      <c r="O1612" s="520">
        <v>46018.0</v>
      </c>
      <c r="P1612" s="19"/>
    </row>
    <row r="1613" hidden="1">
      <c r="A1613" s="471">
        <v>42.0</v>
      </c>
      <c r="B1613" s="470" t="s">
        <v>5810</v>
      </c>
      <c r="C1613" s="471" t="s">
        <v>80</v>
      </c>
      <c r="D1613" s="342" t="s">
        <v>5811</v>
      </c>
      <c r="E1613" s="615" t="s">
        <v>5812</v>
      </c>
      <c r="F1613" s="471" t="s">
        <v>5809</v>
      </c>
      <c r="G1613" s="275" t="s">
        <v>5673</v>
      </c>
      <c r="H1613" s="471">
        <v>16.0</v>
      </c>
      <c r="I1613" s="472" t="s">
        <v>2890</v>
      </c>
      <c r="J1613" s="34" t="s">
        <v>5813</v>
      </c>
      <c r="K1613" s="19"/>
      <c r="L1613" s="14"/>
      <c r="M1613" s="19"/>
      <c r="N1613" s="19"/>
      <c r="O1613" s="520">
        <v>46018.0</v>
      </c>
      <c r="P1613" s="19"/>
    </row>
    <row r="1614" hidden="1">
      <c r="A1614" s="471">
        <v>43.0</v>
      </c>
      <c r="B1614" s="470" t="s">
        <v>5814</v>
      </c>
      <c r="C1614" s="471" t="s">
        <v>80</v>
      </c>
      <c r="D1614" s="342" t="s">
        <v>5815</v>
      </c>
      <c r="E1614" s="615" t="s">
        <v>5816</v>
      </c>
      <c r="F1614" s="471" t="s">
        <v>5809</v>
      </c>
      <c r="G1614" s="275" t="s">
        <v>5673</v>
      </c>
      <c r="H1614" s="471">
        <v>16.0</v>
      </c>
      <c r="I1614" s="472" t="s">
        <v>2890</v>
      </c>
      <c r="J1614" s="19"/>
      <c r="K1614" s="19"/>
      <c r="L1614" s="14"/>
      <c r="M1614" s="19"/>
      <c r="N1614" s="19"/>
      <c r="O1614" s="520">
        <v>46018.0</v>
      </c>
      <c r="P1614" s="19"/>
    </row>
    <row r="1615" hidden="1">
      <c r="A1615" s="471">
        <v>44.0</v>
      </c>
      <c r="B1615" s="470" t="s">
        <v>5817</v>
      </c>
      <c r="C1615" s="471" t="s">
        <v>80</v>
      </c>
      <c r="D1615" s="342" t="s">
        <v>5818</v>
      </c>
      <c r="E1615" s="615" t="s">
        <v>5819</v>
      </c>
      <c r="F1615" s="471" t="s">
        <v>5809</v>
      </c>
      <c r="G1615" s="275" t="s">
        <v>5673</v>
      </c>
      <c r="H1615" s="471">
        <v>16.0</v>
      </c>
      <c r="I1615" s="472" t="s">
        <v>2890</v>
      </c>
      <c r="J1615" s="34" t="s">
        <v>5813</v>
      </c>
      <c r="K1615" s="19"/>
      <c r="L1615" s="14"/>
      <c r="M1615" s="19"/>
      <c r="N1615" s="19"/>
      <c r="O1615" s="520">
        <v>46018.0</v>
      </c>
      <c r="P1615" s="19"/>
    </row>
    <row r="1616" hidden="1">
      <c r="A1616" s="471">
        <v>45.0</v>
      </c>
      <c r="B1616" s="470" t="s">
        <v>5820</v>
      </c>
      <c r="C1616" s="471" t="s">
        <v>80</v>
      </c>
      <c r="D1616" s="342" t="s">
        <v>5821</v>
      </c>
      <c r="E1616" s="615" t="s">
        <v>5822</v>
      </c>
      <c r="F1616" s="471" t="s">
        <v>5809</v>
      </c>
      <c r="G1616" s="275" t="s">
        <v>5673</v>
      </c>
      <c r="H1616" s="471">
        <v>16.0</v>
      </c>
      <c r="I1616" s="472" t="s">
        <v>2890</v>
      </c>
      <c r="J1616" s="34" t="s">
        <v>5813</v>
      </c>
      <c r="K1616" s="19"/>
      <c r="L1616" s="14"/>
      <c r="M1616" s="19"/>
      <c r="N1616" s="19"/>
      <c r="O1616" s="520">
        <v>46018.0</v>
      </c>
      <c r="P1616" s="19"/>
    </row>
    <row r="1617" hidden="1">
      <c r="A1617" s="471">
        <v>46.0</v>
      </c>
      <c r="B1617" s="470" t="s">
        <v>5823</v>
      </c>
      <c r="C1617" s="471" t="s">
        <v>80</v>
      </c>
      <c r="D1617" s="342" t="s">
        <v>5824</v>
      </c>
      <c r="E1617" s="615" t="s">
        <v>5825</v>
      </c>
      <c r="F1617" s="471" t="s">
        <v>5809</v>
      </c>
      <c r="G1617" s="275" t="s">
        <v>5673</v>
      </c>
      <c r="H1617" s="471">
        <v>16.0</v>
      </c>
      <c r="I1617" s="472" t="s">
        <v>2890</v>
      </c>
      <c r="J1617" s="19"/>
      <c r="K1617" s="19"/>
      <c r="L1617" s="14"/>
      <c r="M1617" s="19"/>
      <c r="N1617" s="19"/>
      <c r="O1617" s="520">
        <v>46018.0</v>
      </c>
      <c r="P1617" s="19"/>
    </row>
    <row r="1618" hidden="1">
      <c r="A1618" s="471">
        <v>47.0</v>
      </c>
      <c r="B1618" s="470" t="s">
        <v>5826</v>
      </c>
      <c r="C1618" s="471" t="s">
        <v>80</v>
      </c>
      <c r="D1618" s="342" t="s">
        <v>5827</v>
      </c>
      <c r="E1618" s="615" t="s">
        <v>5828</v>
      </c>
      <c r="F1618" s="471" t="s">
        <v>5809</v>
      </c>
      <c r="G1618" s="275" t="s">
        <v>5673</v>
      </c>
      <c r="H1618" s="471">
        <v>16.0</v>
      </c>
      <c r="I1618" s="472" t="s">
        <v>2890</v>
      </c>
      <c r="J1618" s="34" t="s">
        <v>5813</v>
      </c>
      <c r="K1618" s="19"/>
      <c r="L1618" s="14"/>
      <c r="M1618" s="19"/>
      <c r="N1618" s="19"/>
      <c r="O1618" s="520">
        <v>46018.0</v>
      </c>
      <c r="P1618" s="19"/>
    </row>
    <row r="1619" hidden="1">
      <c r="A1619" s="471">
        <v>48.0</v>
      </c>
      <c r="B1619" s="470" t="s">
        <v>5829</v>
      </c>
      <c r="C1619" s="471" t="s">
        <v>1185</v>
      </c>
      <c r="D1619" s="342" t="s">
        <v>5830</v>
      </c>
      <c r="E1619" s="471" t="s">
        <v>5831</v>
      </c>
      <c r="F1619" s="471" t="s">
        <v>25</v>
      </c>
      <c r="G1619" s="431">
        <v>46143.0</v>
      </c>
      <c r="H1619" s="471">
        <v>21.0</v>
      </c>
      <c r="I1619" s="472" t="s">
        <v>2890</v>
      </c>
      <c r="J1619" s="34" t="s">
        <v>2065</v>
      </c>
      <c r="K1619" s="34" t="s">
        <v>5293</v>
      </c>
      <c r="L1619" s="12" t="s">
        <v>51</v>
      </c>
      <c r="M1619" s="19"/>
      <c r="N1619" s="19"/>
      <c r="O1619" s="148">
        <v>45839.0</v>
      </c>
      <c r="P1619" s="634" t="s">
        <v>4937</v>
      </c>
    </row>
    <row r="1620" hidden="1">
      <c r="A1620" s="339" t="s">
        <v>5832</v>
      </c>
    </row>
    <row r="1621" hidden="1">
      <c r="A1621" s="4" t="s">
        <v>47</v>
      </c>
      <c r="B1621" s="534" t="s">
        <v>7</v>
      </c>
      <c r="C1621" s="4" t="s">
        <v>9</v>
      </c>
      <c r="D1621" s="4" t="s">
        <v>10</v>
      </c>
      <c r="E1621" s="4" t="s">
        <v>11</v>
      </c>
      <c r="F1621" s="4" t="s">
        <v>12</v>
      </c>
      <c r="G1621" s="4" t="s">
        <v>2378</v>
      </c>
      <c r="H1621" s="4" t="s">
        <v>2681</v>
      </c>
      <c r="I1621" s="4" t="s">
        <v>2847</v>
      </c>
      <c r="J1621" s="8" t="s">
        <v>14</v>
      </c>
      <c r="K1621" s="9" t="s">
        <v>16</v>
      </c>
      <c r="L1621" s="9" t="s">
        <v>4330</v>
      </c>
      <c r="M1621" s="9" t="s">
        <v>18</v>
      </c>
      <c r="N1621" s="9" t="s">
        <v>19</v>
      </c>
      <c r="O1621" s="9" t="s">
        <v>20</v>
      </c>
      <c r="P1621" s="9" t="s">
        <v>21</v>
      </c>
      <c r="Q1621" s="35"/>
      <c r="R1621" s="35"/>
      <c r="S1621" s="35"/>
      <c r="T1621" s="35"/>
      <c r="U1621" s="35"/>
      <c r="V1621" s="35"/>
      <c r="W1621" s="35"/>
      <c r="X1621" s="35"/>
      <c r="Y1621" s="35"/>
      <c r="Z1621" s="35"/>
      <c r="AA1621" s="35"/>
      <c r="AB1621" s="35"/>
      <c r="AC1621" s="35"/>
      <c r="AD1621" s="35"/>
      <c r="AE1621" s="35"/>
      <c r="AF1621" s="35"/>
    </row>
    <row r="1622" hidden="1">
      <c r="A1622" s="471">
        <v>1.0</v>
      </c>
      <c r="B1622" s="470" t="s">
        <v>5833</v>
      </c>
      <c r="C1622" s="471" t="s">
        <v>80</v>
      </c>
      <c r="D1622" s="275" t="s">
        <v>5834</v>
      </c>
      <c r="E1622" s="625" t="s">
        <v>5835</v>
      </c>
      <c r="F1622" s="471" t="s">
        <v>4666</v>
      </c>
      <c r="G1622" s="474">
        <v>46235.0</v>
      </c>
      <c r="H1622" s="472">
        <v>20.0</v>
      </c>
      <c r="I1622" s="472" t="s">
        <v>2890</v>
      </c>
      <c r="J1622" s="34" t="s">
        <v>374</v>
      </c>
      <c r="K1622" s="148">
        <v>46266.0</v>
      </c>
      <c r="L1622" s="12" t="s">
        <v>374</v>
      </c>
      <c r="M1622" s="19"/>
      <c r="N1622" s="19"/>
      <c r="O1622" s="34" t="s">
        <v>5836</v>
      </c>
      <c r="P1622" s="385" t="s">
        <v>1432</v>
      </c>
    </row>
    <row r="1623" hidden="1">
      <c r="A1623" s="471">
        <v>2.0</v>
      </c>
      <c r="B1623" s="621" t="s">
        <v>5837</v>
      </c>
      <c r="C1623" s="471" t="s">
        <v>5838</v>
      </c>
      <c r="D1623" s="275" t="s">
        <v>5839</v>
      </c>
      <c r="E1623" s="625" t="s">
        <v>5840</v>
      </c>
      <c r="F1623" s="471" t="s">
        <v>4666</v>
      </c>
      <c r="G1623" s="474">
        <v>46327.0</v>
      </c>
      <c r="H1623" s="472">
        <v>23.0</v>
      </c>
      <c r="I1623" s="472" t="s">
        <v>2890</v>
      </c>
      <c r="J1623" s="34" t="s">
        <v>374</v>
      </c>
      <c r="K1623" s="148">
        <v>45992.0</v>
      </c>
      <c r="L1623" s="12" t="s">
        <v>374</v>
      </c>
      <c r="M1623" s="19"/>
      <c r="N1623" s="19"/>
      <c r="O1623" s="34" t="s">
        <v>5836</v>
      </c>
      <c r="P1623" s="385" t="s">
        <v>1432</v>
      </c>
    </row>
    <row r="1624" hidden="1">
      <c r="A1624" s="471">
        <v>3.0</v>
      </c>
      <c r="B1624" s="470" t="s">
        <v>5841</v>
      </c>
      <c r="C1624" s="471" t="s">
        <v>80</v>
      </c>
      <c r="D1624" s="275" t="s">
        <v>5842</v>
      </c>
      <c r="E1624" s="625" t="s">
        <v>5843</v>
      </c>
      <c r="F1624" s="471" t="s">
        <v>4666</v>
      </c>
      <c r="G1624" s="474">
        <v>46235.0</v>
      </c>
      <c r="H1624" s="472">
        <v>20.0</v>
      </c>
      <c r="I1624" s="472" t="s">
        <v>2890</v>
      </c>
      <c r="J1624" s="34" t="s">
        <v>374</v>
      </c>
      <c r="K1624" s="148">
        <v>46266.0</v>
      </c>
      <c r="L1624" s="12" t="s">
        <v>374</v>
      </c>
      <c r="M1624" s="19"/>
      <c r="N1624" s="19"/>
      <c r="O1624" s="34" t="s">
        <v>5836</v>
      </c>
      <c r="P1624" s="385" t="s">
        <v>1432</v>
      </c>
    </row>
    <row r="1625" hidden="1">
      <c r="A1625" s="471">
        <v>4.0</v>
      </c>
      <c r="B1625" s="470" t="s">
        <v>5844</v>
      </c>
      <c r="C1625" s="471" t="s">
        <v>1058</v>
      </c>
      <c r="D1625" s="275" t="s">
        <v>5845</v>
      </c>
      <c r="E1625" s="651" t="s">
        <v>5846</v>
      </c>
      <c r="F1625" s="471" t="s">
        <v>535</v>
      </c>
      <c r="G1625" s="474">
        <v>46266.0</v>
      </c>
      <c r="H1625" s="472">
        <v>21.0</v>
      </c>
      <c r="I1625" s="472" t="s">
        <v>2890</v>
      </c>
      <c r="J1625" s="19"/>
      <c r="K1625" s="19"/>
      <c r="L1625" s="12" t="s">
        <v>374</v>
      </c>
      <c r="M1625" s="19"/>
      <c r="N1625" s="19"/>
      <c r="O1625" s="148">
        <v>46174.0</v>
      </c>
      <c r="P1625" s="385" t="s">
        <v>1432</v>
      </c>
    </row>
    <row r="1626" hidden="1">
      <c r="A1626" s="526">
        <v>5.0</v>
      </c>
      <c r="B1626" s="527" t="s">
        <v>5847</v>
      </c>
      <c r="C1626" s="526" t="s">
        <v>80</v>
      </c>
      <c r="D1626" s="282" t="s">
        <v>5848</v>
      </c>
      <c r="E1626" s="526" t="s">
        <v>5849</v>
      </c>
      <c r="F1626" s="526" t="s">
        <v>4603</v>
      </c>
      <c r="G1626" s="474">
        <v>46266.0</v>
      </c>
      <c r="H1626" s="472">
        <v>21.0</v>
      </c>
      <c r="I1626" s="472" t="s">
        <v>2890</v>
      </c>
      <c r="J1626" s="19"/>
      <c r="K1626" s="19"/>
      <c r="L1626" s="12" t="s">
        <v>374</v>
      </c>
      <c r="M1626" s="19"/>
      <c r="N1626" s="19"/>
      <c r="O1626" s="34" t="s">
        <v>5022</v>
      </c>
      <c r="P1626" s="385" t="s">
        <v>1432</v>
      </c>
    </row>
    <row r="1627" hidden="1">
      <c r="A1627" s="471">
        <v>6.0</v>
      </c>
      <c r="B1627" s="470" t="s">
        <v>5850</v>
      </c>
      <c r="C1627" s="471" t="s">
        <v>80</v>
      </c>
      <c r="D1627" s="275" t="s">
        <v>5851</v>
      </c>
      <c r="E1627" s="625" t="s">
        <v>5852</v>
      </c>
      <c r="F1627" s="471" t="s">
        <v>4666</v>
      </c>
      <c r="G1627" s="474">
        <v>46296.0</v>
      </c>
      <c r="H1627" s="472">
        <v>22.0</v>
      </c>
      <c r="I1627" s="472" t="s">
        <v>2890</v>
      </c>
      <c r="J1627" s="34" t="s">
        <v>5796</v>
      </c>
      <c r="K1627" s="148">
        <v>46266.0</v>
      </c>
      <c r="L1627" s="12" t="s">
        <v>4158</v>
      </c>
      <c r="M1627" s="19"/>
      <c r="N1627" s="19"/>
      <c r="O1627" s="34" t="s">
        <v>283</v>
      </c>
      <c r="P1627" s="385" t="s">
        <v>1432</v>
      </c>
    </row>
    <row r="1628" hidden="1">
      <c r="A1628" s="471">
        <v>7.0</v>
      </c>
      <c r="B1628" s="470" t="s">
        <v>5853</v>
      </c>
      <c r="C1628" s="471" t="s">
        <v>80</v>
      </c>
      <c r="D1628" s="275" t="s">
        <v>5854</v>
      </c>
      <c r="E1628" s="625" t="s">
        <v>5855</v>
      </c>
      <c r="F1628" s="471" t="s">
        <v>4666</v>
      </c>
      <c r="G1628" s="474">
        <v>46296.0</v>
      </c>
      <c r="H1628" s="472">
        <v>22.0</v>
      </c>
      <c r="I1628" s="472" t="s">
        <v>2890</v>
      </c>
      <c r="J1628" s="34" t="s">
        <v>5796</v>
      </c>
      <c r="K1628" s="148">
        <v>46266.0</v>
      </c>
      <c r="L1628" s="12" t="s">
        <v>4158</v>
      </c>
      <c r="M1628" s="19"/>
      <c r="N1628" s="19"/>
      <c r="O1628" s="34" t="s">
        <v>283</v>
      </c>
      <c r="P1628" s="385" t="s">
        <v>1432</v>
      </c>
    </row>
    <row r="1629" hidden="1">
      <c r="A1629" s="471">
        <v>8.0</v>
      </c>
      <c r="B1629" s="470" t="s">
        <v>5856</v>
      </c>
      <c r="C1629" s="471" t="s">
        <v>80</v>
      </c>
      <c r="D1629" s="275" t="s">
        <v>5857</v>
      </c>
      <c r="E1629" s="471" t="s">
        <v>5858</v>
      </c>
      <c r="F1629" s="471" t="s">
        <v>4872</v>
      </c>
      <c r="G1629" s="474">
        <v>46296.0</v>
      </c>
      <c r="H1629" s="472">
        <v>22.0</v>
      </c>
      <c r="I1629" s="472" t="s">
        <v>2890</v>
      </c>
      <c r="J1629" s="34" t="s">
        <v>51</v>
      </c>
      <c r="K1629" s="622">
        <v>45870.0</v>
      </c>
      <c r="L1629" s="12" t="s">
        <v>51</v>
      </c>
      <c r="M1629" s="19"/>
      <c r="N1629" s="19"/>
      <c r="O1629" s="148">
        <v>45931.0</v>
      </c>
      <c r="P1629" s="385" t="s">
        <v>1432</v>
      </c>
    </row>
    <row r="1630" hidden="1">
      <c r="A1630" s="471">
        <v>9.0</v>
      </c>
      <c r="B1630" s="470" t="s">
        <v>5859</v>
      </c>
      <c r="C1630" s="471" t="s">
        <v>1058</v>
      </c>
      <c r="D1630" s="275" t="s">
        <v>5860</v>
      </c>
      <c r="E1630" s="625" t="s">
        <v>5861</v>
      </c>
      <c r="F1630" s="471" t="s">
        <v>2500</v>
      </c>
      <c r="G1630" s="474">
        <v>46296.0</v>
      </c>
      <c r="H1630" s="472">
        <v>22.0</v>
      </c>
      <c r="I1630" s="472" t="s">
        <v>2890</v>
      </c>
      <c r="J1630" s="34" t="s">
        <v>51</v>
      </c>
      <c r="K1630" s="622">
        <v>46054.0</v>
      </c>
      <c r="L1630" s="12" t="s">
        <v>4158</v>
      </c>
      <c r="M1630" s="19"/>
      <c r="N1630" s="19"/>
      <c r="O1630" s="34" t="s">
        <v>283</v>
      </c>
      <c r="P1630" s="385" t="s">
        <v>1432</v>
      </c>
    </row>
    <row r="1631" hidden="1">
      <c r="A1631" s="471">
        <v>10.0</v>
      </c>
      <c r="B1631" s="470" t="s">
        <v>5862</v>
      </c>
      <c r="C1631" s="471" t="s">
        <v>1058</v>
      </c>
      <c r="D1631" s="275" t="s">
        <v>5863</v>
      </c>
      <c r="E1631" s="625" t="s">
        <v>5864</v>
      </c>
      <c r="F1631" s="471" t="s">
        <v>5865</v>
      </c>
      <c r="G1631" s="474">
        <v>46296.0</v>
      </c>
      <c r="H1631" s="472">
        <v>22.0</v>
      </c>
      <c r="I1631" s="472" t="s">
        <v>2890</v>
      </c>
      <c r="J1631" s="34" t="s">
        <v>51</v>
      </c>
      <c r="K1631" s="622">
        <v>46054.0</v>
      </c>
      <c r="L1631" s="12" t="s">
        <v>4158</v>
      </c>
      <c r="M1631" s="19"/>
      <c r="N1631" s="19"/>
      <c r="O1631" s="34" t="s">
        <v>283</v>
      </c>
      <c r="P1631" s="385" t="s">
        <v>1432</v>
      </c>
    </row>
    <row r="1632" hidden="1">
      <c r="A1632" s="471">
        <v>11.0</v>
      </c>
      <c r="B1632" s="470" t="s">
        <v>5866</v>
      </c>
      <c r="C1632" s="471" t="s">
        <v>80</v>
      </c>
      <c r="D1632" s="275" t="s">
        <v>5867</v>
      </c>
      <c r="E1632" s="471" t="s">
        <v>5868</v>
      </c>
      <c r="F1632" s="471" t="s">
        <v>4405</v>
      </c>
      <c r="G1632" s="474">
        <v>46327.0</v>
      </c>
      <c r="H1632" s="472">
        <v>23.0</v>
      </c>
      <c r="I1632" s="472" t="s">
        <v>2890</v>
      </c>
      <c r="J1632" s="34" t="s">
        <v>5792</v>
      </c>
      <c r="K1632" s="622">
        <v>46204.0</v>
      </c>
      <c r="L1632" s="12" t="s">
        <v>51</v>
      </c>
      <c r="M1632" s="19"/>
      <c r="N1632" s="19"/>
      <c r="O1632" s="34" t="s">
        <v>5869</v>
      </c>
      <c r="P1632" s="385" t="s">
        <v>1432</v>
      </c>
    </row>
    <row r="1633" hidden="1">
      <c r="A1633" s="471">
        <v>12.0</v>
      </c>
      <c r="B1633" s="470" t="s">
        <v>5870</v>
      </c>
      <c r="C1633" s="471" t="s">
        <v>938</v>
      </c>
      <c r="D1633" s="275" t="s">
        <v>5871</v>
      </c>
      <c r="E1633" s="652" t="s">
        <v>5872</v>
      </c>
      <c r="F1633" s="471" t="s">
        <v>1836</v>
      </c>
      <c r="G1633" s="474">
        <v>46296.0</v>
      </c>
      <c r="H1633" s="472">
        <v>22.0</v>
      </c>
      <c r="I1633" s="472" t="s">
        <v>2890</v>
      </c>
      <c r="J1633" s="34" t="s">
        <v>5792</v>
      </c>
      <c r="K1633" s="622">
        <v>46082.0</v>
      </c>
      <c r="L1633" s="12" t="s">
        <v>5873</v>
      </c>
      <c r="M1633" s="19"/>
      <c r="N1633" s="19"/>
      <c r="O1633" s="34" t="s">
        <v>5621</v>
      </c>
      <c r="P1633" s="385" t="s">
        <v>1432</v>
      </c>
    </row>
    <row r="1634" hidden="1">
      <c r="A1634" s="471">
        <v>13.0</v>
      </c>
      <c r="B1634" s="470" t="s">
        <v>5874</v>
      </c>
      <c r="C1634" s="471" t="s">
        <v>938</v>
      </c>
      <c r="D1634" s="275" t="s">
        <v>5875</v>
      </c>
      <c r="E1634" s="652" t="s">
        <v>5876</v>
      </c>
      <c r="F1634" s="471" t="s">
        <v>1836</v>
      </c>
      <c r="G1634" s="474">
        <v>46296.0</v>
      </c>
      <c r="H1634" s="472">
        <v>22.0</v>
      </c>
      <c r="I1634" s="472" t="s">
        <v>2890</v>
      </c>
      <c r="J1634" s="34" t="s">
        <v>5792</v>
      </c>
      <c r="K1634" s="622">
        <v>46082.0</v>
      </c>
      <c r="L1634" s="12" t="s">
        <v>5873</v>
      </c>
      <c r="M1634" s="19"/>
      <c r="N1634" s="19"/>
      <c r="O1634" s="34" t="s">
        <v>5621</v>
      </c>
      <c r="P1634" s="385" t="s">
        <v>1432</v>
      </c>
    </row>
    <row r="1635" hidden="1">
      <c r="A1635" s="471">
        <v>14.0</v>
      </c>
      <c r="B1635" s="621" t="s">
        <v>5877</v>
      </c>
      <c r="C1635" s="471" t="s">
        <v>80</v>
      </c>
      <c r="D1635" s="275" t="s">
        <v>5878</v>
      </c>
      <c r="E1635" s="471" t="s">
        <v>5879</v>
      </c>
      <c r="F1635" s="471" t="s">
        <v>4405</v>
      </c>
      <c r="G1635" s="474">
        <v>46296.0</v>
      </c>
      <c r="H1635" s="472">
        <v>22.0</v>
      </c>
      <c r="I1635" s="472" t="s">
        <v>2890</v>
      </c>
      <c r="J1635" s="34" t="s">
        <v>5796</v>
      </c>
      <c r="K1635" s="622">
        <v>46143.0</v>
      </c>
      <c r="L1635" s="12" t="s">
        <v>51</v>
      </c>
      <c r="M1635" s="19"/>
      <c r="N1635" s="19"/>
      <c r="O1635" s="34" t="s">
        <v>5621</v>
      </c>
      <c r="P1635" s="385" t="s">
        <v>1432</v>
      </c>
    </row>
    <row r="1636" hidden="1">
      <c r="A1636" s="471">
        <v>15.0</v>
      </c>
      <c r="B1636" s="470" t="s">
        <v>5880</v>
      </c>
      <c r="C1636" s="471" t="s">
        <v>80</v>
      </c>
      <c r="D1636" s="275" t="s">
        <v>5881</v>
      </c>
      <c r="E1636" s="625" t="s">
        <v>5882</v>
      </c>
      <c r="F1636" s="471" t="s">
        <v>535</v>
      </c>
      <c r="G1636" s="474">
        <v>46327.0</v>
      </c>
      <c r="H1636" s="472">
        <v>23.0</v>
      </c>
      <c r="I1636" s="472" t="s">
        <v>2890</v>
      </c>
      <c r="J1636" s="34" t="s">
        <v>5796</v>
      </c>
      <c r="K1636" s="622">
        <v>46174.0</v>
      </c>
      <c r="L1636" s="12" t="s">
        <v>5883</v>
      </c>
      <c r="M1636" s="19"/>
      <c r="N1636" s="19"/>
      <c r="O1636" s="34" t="s">
        <v>283</v>
      </c>
      <c r="P1636" s="385" t="s">
        <v>1432</v>
      </c>
    </row>
    <row r="1637" hidden="1">
      <c r="A1637" s="471">
        <v>16.0</v>
      </c>
      <c r="B1637" s="470" t="s">
        <v>5884</v>
      </c>
      <c r="C1637" s="471" t="s">
        <v>80</v>
      </c>
      <c r="D1637" s="275" t="s">
        <v>5885</v>
      </c>
      <c r="E1637" s="625" t="s">
        <v>5886</v>
      </c>
      <c r="F1637" s="471" t="s">
        <v>535</v>
      </c>
      <c r="G1637" s="474">
        <v>46327.0</v>
      </c>
      <c r="H1637" s="472">
        <v>23.0</v>
      </c>
      <c r="I1637" s="472" t="s">
        <v>2890</v>
      </c>
      <c r="J1637" s="34" t="s">
        <v>5796</v>
      </c>
      <c r="K1637" s="622">
        <v>46174.0</v>
      </c>
      <c r="L1637" s="12" t="s">
        <v>5883</v>
      </c>
      <c r="M1637" s="19"/>
      <c r="N1637" s="19"/>
      <c r="O1637" s="34" t="s">
        <v>283</v>
      </c>
      <c r="P1637" s="385" t="s">
        <v>1432</v>
      </c>
    </row>
    <row r="1638" hidden="1">
      <c r="A1638" s="471">
        <v>17.0</v>
      </c>
      <c r="B1638" s="470" t="s">
        <v>5887</v>
      </c>
      <c r="C1638" s="471" t="s">
        <v>5888</v>
      </c>
      <c r="D1638" s="275" t="s">
        <v>5889</v>
      </c>
      <c r="E1638" s="471" t="s">
        <v>5890</v>
      </c>
      <c r="F1638" s="471" t="s">
        <v>4405</v>
      </c>
      <c r="G1638" s="653"/>
      <c r="H1638" s="653"/>
      <c r="I1638" s="472" t="s">
        <v>2890</v>
      </c>
      <c r="J1638" s="12" t="s">
        <v>5339</v>
      </c>
      <c r="K1638" s="14"/>
      <c r="L1638" s="12" t="s">
        <v>5107</v>
      </c>
      <c r="M1638" s="19"/>
      <c r="N1638" s="19"/>
      <c r="O1638" s="654" t="s">
        <v>5891</v>
      </c>
      <c r="P1638" s="385" t="s">
        <v>1432</v>
      </c>
    </row>
    <row r="1639" hidden="1">
      <c r="A1639" s="471">
        <v>18.0</v>
      </c>
      <c r="B1639" s="470" t="s">
        <v>5892</v>
      </c>
      <c r="C1639" s="471" t="s">
        <v>80</v>
      </c>
      <c r="D1639" s="275" t="s">
        <v>5893</v>
      </c>
      <c r="E1639" s="615" t="s">
        <v>44</v>
      </c>
      <c r="F1639" s="471" t="s">
        <v>5894</v>
      </c>
      <c r="G1639" s="474">
        <v>46054.0</v>
      </c>
      <c r="H1639" s="472">
        <v>14.0</v>
      </c>
      <c r="I1639" s="522" t="s">
        <v>5895</v>
      </c>
      <c r="J1639" s="34" t="s">
        <v>3099</v>
      </c>
      <c r="K1639" s="19"/>
      <c r="L1639" s="14"/>
      <c r="M1639" s="19"/>
      <c r="N1639" s="19"/>
      <c r="O1639" s="648">
        <v>46028.0</v>
      </c>
      <c r="P1639" s="19"/>
    </row>
    <row r="1640" hidden="1">
      <c r="A1640" s="471">
        <v>19.0</v>
      </c>
      <c r="B1640" s="470" t="s">
        <v>5896</v>
      </c>
      <c r="C1640" s="471" t="s">
        <v>80</v>
      </c>
      <c r="D1640" s="275" t="s">
        <v>5897</v>
      </c>
      <c r="E1640" s="615" t="s">
        <v>44</v>
      </c>
      <c r="F1640" s="471" t="s">
        <v>5894</v>
      </c>
      <c r="G1640" s="474">
        <v>46054.0</v>
      </c>
      <c r="H1640" s="472">
        <v>14.0</v>
      </c>
      <c r="I1640" s="472" t="s">
        <v>2890</v>
      </c>
      <c r="J1640" s="34" t="s">
        <v>3099</v>
      </c>
      <c r="K1640" s="19"/>
      <c r="L1640" s="14"/>
      <c r="M1640" s="19"/>
      <c r="N1640" s="19"/>
      <c r="O1640" s="648">
        <v>46028.0</v>
      </c>
      <c r="P1640" s="19"/>
    </row>
    <row r="1641" hidden="1">
      <c r="A1641" s="471">
        <v>20.0</v>
      </c>
      <c r="B1641" s="470" t="s">
        <v>5898</v>
      </c>
      <c r="C1641" s="471" t="s">
        <v>80</v>
      </c>
      <c r="D1641" s="275" t="s">
        <v>5899</v>
      </c>
      <c r="E1641" s="615" t="s">
        <v>44</v>
      </c>
      <c r="F1641" s="471" t="s">
        <v>5894</v>
      </c>
      <c r="G1641" s="474">
        <v>46054.0</v>
      </c>
      <c r="H1641" s="472">
        <v>14.0</v>
      </c>
      <c r="I1641" s="472" t="s">
        <v>2890</v>
      </c>
      <c r="J1641" s="34" t="s">
        <v>3099</v>
      </c>
      <c r="K1641" s="19"/>
      <c r="L1641" s="14"/>
      <c r="M1641" s="19"/>
      <c r="N1641" s="19"/>
      <c r="O1641" s="648">
        <v>46028.0</v>
      </c>
      <c r="P1641" s="19"/>
    </row>
    <row r="1642" hidden="1">
      <c r="A1642" s="471">
        <v>21.0</v>
      </c>
      <c r="B1642" s="470" t="s">
        <v>5900</v>
      </c>
      <c r="C1642" s="471" t="s">
        <v>80</v>
      </c>
      <c r="D1642" s="275" t="s">
        <v>5901</v>
      </c>
      <c r="E1642" s="615" t="s">
        <v>44</v>
      </c>
      <c r="F1642" s="471" t="s">
        <v>5894</v>
      </c>
      <c r="G1642" s="474">
        <v>46054.0</v>
      </c>
      <c r="H1642" s="472">
        <v>14.0</v>
      </c>
      <c r="I1642" s="472" t="s">
        <v>2890</v>
      </c>
      <c r="J1642" s="34" t="s">
        <v>2541</v>
      </c>
      <c r="K1642" s="19"/>
      <c r="L1642" s="14"/>
      <c r="M1642" s="19"/>
      <c r="N1642" s="19"/>
      <c r="O1642" s="648">
        <v>46028.0</v>
      </c>
      <c r="P1642" s="19"/>
    </row>
    <row r="1643" hidden="1">
      <c r="A1643" s="471">
        <v>22.0</v>
      </c>
      <c r="B1643" s="470" t="s">
        <v>5902</v>
      </c>
      <c r="C1643" s="471" t="s">
        <v>80</v>
      </c>
      <c r="D1643" s="275" t="s">
        <v>5903</v>
      </c>
      <c r="E1643" s="615" t="s">
        <v>44</v>
      </c>
      <c r="F1643" s="471" t="s">
        <v>5894</v>
      </c>
      <c r="G1643" s="474">
        <v>46054.0</v>
      </c>
      <c r="H1643" s="472">
        <v>14.0</v>
      </c>
      <c r="I1643" s="472" t="s">
        <v>2890</v>
      </c>
      <c r="J1643" s="34" t="s">
        <v>2541</v>
      </c>
      <c r="K1643" s="19"/>
      <c r="L1643" s="14"/>
      <c r="M1643" s="19"/>
      <c r="N1643" s="19"/>
      <c r="O1643" s="648">
        <v>46028.0</v>
      </c>
      <c r="P1643" s="19"/>
    </row>
    <row r="1644" hidden="1">
      <c r="A1644" s="471">
        <v>23.0</v>
      </c>
      <c r="B1644" s="470" t="s">
        <v>5904</v>
      </c>
      <c r="C1644" s="471" t="s">
        <v>80</v>
      </c>
      <c r="D1644" s="275" t="s">
        <v>5905</v>
      </c>
      <c r="E1644" s="615" t="s">
        <v>44</v>
      </c>
      <c r="F1644" s="471" t="s">
        <v>5894</v>
      </c>
      <c r="G1644" s="474">
        <v>46054.0</v>
      </c>
      <c r="H1644" s="472">
        <v>14.0</v>
      </c>
      <c r="I1644" s="472" t="s">
        <v>2890</v>
      </c>
      <c r="J1644" s="34" t="s">
        <v>2541</v>
      </c>
      <c r="K1644" s="19"/>
      <c r="L1644" s="14"/>
      <c r="M1644" s="19"/>
      <c r="N1644" s="19"/>
      <c r="O1644" s="648">
        <v>46028.0</v>
      </c>
      <c r="P1644" s="19"/>
    </row>
    <row r="1645" hidden="1">
      <c r="A1645" s="471">
        <v>24.0</v>
      </c>
      <c r="B1645" s="470" t="s">
        <v>5906</v>
      </c>
      <c r="C1645" s="471" t="s">
        <v>80</v>
      </c>
      <c r="D1645" s="275" t="s">
        <v>5907</v>
      </c>
      <c r="E1645" s="615" t="s">
        <v>44</v>
      </c>
      <c r="F1645" s="471" t="s">
        <v>5894</v>
      </c>
      <c r="G1645" s="474">
        <v>46054.0</v>
      </c>
      <c r="H1645" s="472">
        <v>14.0</v>
      </c>
      <c r="I1645" s="472" t="s">
        <v>2890</v>
      </c>
      <c r="J1645" s="34" t="s">
        <v>2541</v>
      </c>
      <c r="K1645" s="19"/>
      <c r="L1645" s="14"/>
      <c r="M1645" s="19"/>
      <c r="N1645" s="19"/>
      <c r="O1645" s="648">
        <v>46028.0</v>
      </c>
      <c r="P1645" s="19"/>
    </row>
    <row r="1646" hidden="1">
      <c r="A1646" s="471">
        <v>25.0</v>
      </c>
      <c r="B1646" s="470" t="s">
        <v>5908</v>
      </c>
      <c r="C1646" s="471" t="s">
        <v>80</v>
      </c>
      <c r="D1646" s="275" t="s">
        <v>5909</v>
      </c>
      <c r="E1646" s="615" t="s">
        <v>44</v>
      </c>
      <c r="F1646" s="471" t="s">
        <v>5894</v>
      </c>
      <c r="G1646" s="474">
        <v>46054.0</v>
      </c>
      <c r="H1646" s="472">
        <v>14.0</v>
      </c>
      <c r="I1646" s="472" t="s">
        <v>2890</v>
      </c>
      <c r="J1646" s="34" t="s">
        <v>2541</v>
      </c>
      <c r="K1646" s="19"/>
      <c r="L1646" s="14"/>
      <c r="M1646" s="19"/>
      <c r="N1646" s="19"/>
      <c r="O1646" s="648">
        <v>46028.0</v>
      </c>
      <c r="P1646" s="19"/>
    </row>
    <row r="1647" hidden="1">
      <c r="A1647" s="471">
        <v>26.0</v>
      </c>
      <c r="B1647" s="470" t="s">
        <v>5910</v>
      </c>
      <c r="C1647" s="471" t="s">
        <v>80</v>
      </c>
      <c r="D1647" s="275" t="s">
        <v>5911</v>
      </c>
      <c r="E1647" s="615" t="s">
        <v>44</v>
      </c>
      <c r="F1647" s="471" t="s">
        <v>5894</v>
      </c>
      <c r="G1647" s="474">
        <v>46054.0</v>
      </c>
      <c r="H1647" s="472">
        <v>14.0</v>
      </c>
      <c r="I1647" s="472" t="s">
        <v>2890</v>
      </c>
      <c r="J1647" s="34" t="s">
        <v>3099</v>
      </c>
      <c r="K1647" s="19"/>
      <c r="L1647" s="14"/>
      <c r="M1647" s="19"/>
      <c r="N1647" s="19"/>
      <c r="O1647" s="648">
        <v>46028.0</v>
      </c>
      <c r="P1647" s="19"/>
    </row>
    <row r="1648" hidden="1">
      <c r="A1648" s="471">
        <v>27.0</v>
      </c>
      <c r="B1648" s="470" t="s">
        <v>5912</v>
      </c>
      <c r="C1648" s="471" t="s">
        <v>80</v>
      </c>
      <c r="D1648" s="275" t="s">
        <v>5913</v>
      </c>
      <c r="E1648" s="615" t="s">
        <v>44</v>
      </c>
      <c r="F1648" s="471" t="s">
        <v>5894</v>
      </c>
      <c r="G1648" s="474">
        <v>46054.0</v>
      </c>
      <c r="H1648" s="472">
        <v>14.0</v>
      </c>
      <c r="I1648" s="472" t="s">
        <v>2890</v>
      </c>
      <c r="J1648" s="34" t="s">
        <v>3099</v>
      </c>
      <c r="K1648" s="19"/>
      <c r="L1648" s="14"/>
      <c r="M1648" s="19"/>
      <c r="N1648" s="19"/>
      <c r="O1648" s="648">
        <v>46028.0</v>
      </c>
      <c r="P1648" s="19"/>
    </row>
    <row r="1649" hidden="1">
      <c r="A1649" s="471">
        <v>28.0</v>
      </c>
      <c r="B1649" s="470" t="s">
        <v>5914</v>
      </c>
      <c r="C1649" s="471" t="s">
        <v>80</v>
      </c>
      <c r="D1649" s="275" t="s">
        <v>5915</v>
      </c>
      <c r="E1649" s="615" t="s">
        <v>44</v>
      </c>
      <c r="F1649" s="471" t="s">
        <v>5894</v>
      </c>
      <c r="G1649" s="474">
        <v>46054.0</v>
      </c>
      <c r="H1649" s="472">
        <v>14.0</v>
      </c>
      <c r="I1649" s="472" t="s">
        <v>2890</v>
      </c>
      <c r="J1649" s="34" t="s">
        <v>3099</v>
      </c>
      <c r="K1649" s="19"/>
      <c r="L1649" s="14"/>
      <c r="M1649" s="19"/>
      <c r="N1649" s="19"/>
      <c r="O1649" s="648">
        <v>46028.0</v>
      </c>
      <c r="P1649" s="19"/>
    </row>
    <row r="1650" hidden="1">
      <c r="A1650" s="471">
        <v>29.0</v>
      </c>
      <c r="B1650" s="470" t="s">
        <v>5916</v>
      </c>
      <c r="C1650" s="471" t="s">
        <v>80</v>
      </c>
      <c r="D1650" s="275" t="s">
        <v>5917</v>
      </c>
      <c r="E1650" s="615" t="s">
        <v>44</v>
      </c>
      <c r="F1650" s="471" t="s">
        <v>5894</v>
      </c>
      <c r="G1650" s="474">
        <v>46054.0</v>
      </c>
      <c r="H1650" s="472">
        <v>14.0</v>
      </c>
      <c r="I1650" s="472" t="s">
        <v>2890</v>
      </c>
      <c r="J1650" s="34" t="s">
        <v>3099</v>
      </c>
      <c r="K1650" s="19"/>
      <c r="L1650" s="14"/>
      <c r="M1650" s="19"/>
      <c r="N1650" s="19"/>
      <c r="O1650" s="648">
        <v>46028.0</v>
      </c>
      <c r="P1650" s="19"/>
    </row>
    <row r="1651" hidden="1">
      <c r="A1651" s="471">
        <v>30.0</v>
      </c>
      <c r="B1651" s="470" t="s">
        <v>5918</v>
      </c>
      <c r="C1651" s="471" t="s">
        <v>80</v>
      </c>
      <c r="D1651" s="275" t="s">
        <v>5919</v>
      </c>
      <c r="E1651" s="615" t="s">
        <v>5920</v>
      </c>
      <c r="F1651" s="471" t="s">
        <v>3928</v>
      </c>
      <c r="G1651" s="474">
        <v>46054.0</v>
      </c>
      <c r="H1651" s="472">
        <v>14.0</v>
      </c>
      <c r="I1651" s="472" t="s">
        <v>2890</v>
      </c>
      <c r="J1651" s="34" t="s">
        <v>3099</v>
      </c>
      <c r="K1651" s="19"/>
      <c r="L1651" s="14"/>
      <c r="M1651" s="19"/>
      <c r="N1651" s="19"/>
      <c r="O1651" s="648">
        <v>46028.0</v>
      </c>
      <c r="P1651" s="19"/>
    </row>
    <row r="1652" hidden="1">
      <c r="A1652" s="471">
        <v>31.0</v>
      </c>
      <c r="B1652" s="470" t="s">
        <v>5921</v>
      </c>
      <c r="C1652" s="471" t="s">
        <v>80</v>
      </c>
      <c r="D1652" s="275" t="s">
        <v>5922</v>
      </c>
      <c r="E1652" s="615" t="s">
        <v>5923</v>
      </c>
      <c r="F1652" s="471" t="s">
        <v>3928</v>
      </c>
      <c r="G1652" s="474">
        <v>46054.0</v>
      </c>
      <c r="H1652" s="472">
        <v>14.0</v>
      </c>
      <c r="I1652" s="472" t="s">
        <v>2890</v>
      </c>
      <c r="J1652" s="34" t="s">
        <v>3099</v>
      </c>
      <c r="K1652" s="19"/>
      <c r="L1652" s="14"/>
      <c r="M1652" s="19"/>
      <c r="N1652" s="19"/>
      <c r="O1652" s="648">
        <v>46028.0</v>
      </c>
      <c r="P1652" s="19"/>
    </row>
    <row r="1653" hidden="1">
      <c r="A1653" s="471">
        <v>32.0</v>
      </c>
      <c r="B1653" s="470" t="s">
        <v>5924</v>
      </c>
      <c r="C1653" s="471" t="s">
        <v>80</v>
      </c>
      <c r="D1653" s="275" t="s">
        <v>5925</v>
      </c>
      <c r="E1653" s="615" t="s">
        <v>5926</v>
      </c>
      <c r="F1653" s="471" t="s">
        <v>3928</v>
      </c>
      <c r="G1653" s="474">
        <v>46054.0</v>
      </c>
      <c r="H1653" s="472">
        <v>14.0</v>
      </c>
      <c r="I1653" s="472" t="s">
        <v>2890</v>
      </c>
      <c r="J1653" s="34" t="s">
        <v>3099</v>
      </c>
      <c r="K1653" s="19"/>
      <c r="L1653" s="14"/>
      <c r="M1653" s="19"/>
      <c r="N1653" s="19"/>
      <c r="O1653" s="648">
        <v>46028.0</v>
      </c>
      <c r="P1653" s="19"/>
    </row>
    <row r="1654" hidden="1">
      <c r="A1654" s="471">
        <v>33.0</v>
      </c>
      <c r="B1654" s="470" t="s">
        <v>5927</v>
      </c>
      <c r="C1654" s="471" t="s">
        <v>5928</v>
      </c>
      <c r="D1654" s="275" t="s">
        <v>5929</v>
      </c>
      <c r="E1654" s="550" t="s">
        <v>5930</v>
      </c>
      <c r="F1654" s="647"/>
      <c r="G1654" s="653"/>
      <c r="H1654" s="653"/>
      <c r="I1654" s="472" t="s">
        <v>2890</v>
      </c>
      <c r="J1654" s="19"/>
      <c r="K1654" s="19"/>
      <c r="L1654" s="14"/>
      <c r="M1654" s="19"/>
      <c r="N1654" s="19"/>
      <c r="O1654" s="19"/>
      <c r="P1654" s="634" t="s">
        <v>4937</v>
      </c>
    </row>
    <row r="1655" hidden="1">
      <c r="A1655" s="471">
        <v>34.0</v>
      </c>
      <c r="B1655" s="470" t="s">
        <v>5931</v>
      </c>
      <c r="C1655" s="471" t="s">
        <v>5928</v>
      </c>
      <c r="D1655" s="275" t="s">
        <v>5932</v>
      </c>
      <c r="E1655" s="550" t="s">
        <v>5930</v>
      </c>
      <c r="F1655" s="647"/>
      <c r="G1655" s="653"/>
      <c r="H1655" s="653"/>
      <c r="I1655" s="472" t="s">
        <v>2890</v>
      </c>
      <c r="J1655" s="19"/>
      <c r="K1655" s="19"/>
      <c r="L1655" s="14"/>
      <c r="M1655" s="19"/>
      <c r="N1655" s="19"/>
      <c r="O1655" s="19"/>
      <c r="P1655" s="634" t="s">
        <v>4937</v>
      </c>
    </row>
    <row r="1656" hidden="1">
      <c r="A1656" s="471">
        <v>35.0</v>
      </c>
      <c r="B1656" s="621" t="s">
        <v>5933</v>
      </c>
      <c r="C1656" s="471" t="s">
        <v>80</v>
      </c>
      <c r="D1656" s="275" t="s">
        <v>5934</v>
      </c>
      <c r="E1656" s="471" t="s">
        <v>5935</v>
      </c>
      <c r="F1656" s="471" t="s">
        <v>4405</v>
      </c>
      <c r="G1656" s="474">
        <v>46235.0</v>
      </c>
      <c r="H1656" s="472">
        <v>20.0</v>
      </c>
      <c r="I1656" s="472" t="s">
        <v>2890</v>
      </c>
      <c r="J1656" s="34" t="s">
        <v>5796</v>
      </c>
      <c r="K1656" s="622">
        <v>46143.0</v>
      </c>
      <c r="L1656" s="12" t="s">
        <v>51</v>
      </c>
      <c r="M1656" s="19"/>
      <c r="N1656" s="19"/>
      <c r="O1656" s="148">
        <v>46327.0</v>
      </c>
      <c r="P1656" s="385" t="s">
        <v>1432</v>
      </c>
    </row>
    <row r="1657" hidden="1">
      <c r="A1657" s="471">
        <v>36.0</v>
      </c>
      <c r="B1657" s="470" t="s">
        <v>5936</v>
      </c>
      <c r="C1657" s="471" t="s">
        <v>5937</v>
      </c>
      <c r="D1657" s="275" t="s">
        <v>5938</v>
      </c>
      <c r="E1657" s="471" t="s">
        <v>5939</v>
      </c>
      <c r="F1657" s="471" t="s">
        <v>4358</v>
      </c>
      <c r="G1657" s="474">
        <v>46357.0</v>
      </c>
      <c r="H1657" s="472">
        <v>24.0</v>
      </c>
      <c r="I1657" s="472" t="s">
        <v>2890</v>
      </c>
      <c r="J1657" s="19"/>
      <c r="K1657" s="19"/>
      <c r="L1657" s="14"/>
      <c r="M1657" s="19"/>
      <c r="N1657" s="19"/>
      <c r="O1657" s="34" t="s">
        <v>5437</v>
      </c>
      <c r="P1657" s="634" t="s">
        <v>4937</v>
      </c>
    </row>
    <row r="1658" hidden="1">
      <c r="A1658" s="471">
        <v>37.0</v>
      </c>
      <c r="B1658" s="470" t="s">
        <v>5940</v>
      </c>
      <c r="C1658" s="471" t="s">
        <v>1185</v>
      </c>
      <c r="D1658" s="275" t="s">
        <v>5941</v>
      </c>
      <c r="E1658" s="471" t="s">
        <v>5942</v>
      </c>
      <c r="F1658" s="471" t="s">
        <v>25</v>
      </c>
      <c r="G1658" s="474">
        <v>46357.0</v>
      </c>
      <c r="H1658" s="472">
        <v>24.0</v>
      </c>
      <c r="I1658" s="472" t="s">
        <v>2890</v>
      </c>
      <c r="J1658" s="34" t="s">
        <v>5796</v>
      </c>
      <c r="K1658" s="622">
        <v>46143.0</v>
      </c>
      <c r="L1658" s="12" t="s">
        <v>51</v>
      </c>
      <c r="M1658" s="19"/>
      <c r="N1658" s="19"/>
      <c r="O1658" s="34" t="s">
        <v>5621</v>
      </c>
      <c r="P1658" s="385" t="s">
        <v>1432</v>
      </c>
    </row>
    <row r="1659" hidden="1">
      <c r="A1659" s="526">
        <v>38.0</v>
      </c>
      <c r="B1659" s="527" t="s">
        <v>5943</v>
      </c>
      <c r="C1659" s="526" t="s">
        <v>80</v>
      </c>
      <c r="D1659" s="282" t="s">
        <v>5944</v>
      </c>
      <c r="E1659" s="526" t="s">
        <v>5945</v>
      </c>
      <c r="F1659" s="526" t="s">
        <v>4405</v>
      </c>
      <c r="G1659" s="474">
        <v>46357.0</v>
      </c>
      <c r="H1659" s="472">
        <v>24.0</v>
      </c>
      <c r="I1659" s="472" t="s">
        <v>2890</v>
      </c>
      <c r="J1659" s="19"/>
      <c r="K1659" s="19"/>
      <c r="L1659" s="14"/>
      <c r="M1659" s="19"/>
      <c r="N1659" s="19"/>
      <c r="O1659" s="34" t="s">
        <v>5621</v>
      </c>
      <c r="P1659" s="385" t="s">
        <v>1432</v>
      </c>
    </row>
    <row r="1660" hidden="1">
      <c r="A1660" s="471">
        <v>39.0</v>
      </c>
      <c r="B1660" s="470" t="s">
        <v>5946</v>
      </c>
      <c r="C1660" s="471" t="s">
        <v>1058</v>
      </c>
      <c r="D1660" s="275" t="s">
        <v>5947</v>
      </c>
      <c r="E1660" s="652" t="s">
        <v>5948</v>
      </c>
      <c r="F1660" s="471" t="s">
        <v>5949</v>
      </c>
      <c r="G1660" s="472" t="s">
        <v>5950</v>
      </c>
      <c r="H1660" s="472">
        <v>25.0</v>
      </c>
      <c r="I1660" s="472" t="s">
        <v>2890</v>
      </c>
      <c r="J1660" s="34" t="s">
        <v>5796</v>
      </c>
      <c r="K1660" s="622">
        <v>46174.0</v>
      </c>
      <c r="L1660" s="12" t="s">
        <v>5951</v>
      </c>
      <c r="M1660" s="19"/>
      <c r="N1660" s="19"/>
      <c r="O1660" s="34" t="s">
        <v>5621</v>
      </c>
      <c r="P1660" s="385" t="s">
        <v>1432</v>
      </c>
    </row>
    <row r="1661" hidden="1">
      <c r="A1661" s="471">
        <v>40.0</v>
      </c>
      <c r="B1661" s="470" t="s">
        <v>5952</v>
      </c>
      <c r="C1661" s="471" t="s">
        <v>1058</v>
      </c>
      <c r="D1661" s="275" t="s">
        <v>5953</v>
      </c>
      <c r="E1661" s="652" t="s">
        <v>5954</v>
      </c>
      <c r="F1661" s="471" t="s">
        <v>5949</v>
      </c>
      <c r="G1661" s="472" t="s">
        <v>5950</v>
      </c>
      <c r="H1661" s="472">
        <v>25.0</v>
      </c>
      <c r="I1661" s="472" t="s">
        <v>2890</v>
      </c>
      <c r="J1661" s="34" t="s">
        <v>5796</v>
      </c>
      <c r="K1661" s="622">
        <v>46174.0</v>
      </c>
      <c r="L1661" s="12" t="s">
        <v>5951</v>
      </c>
      <c r="M1661" s="19"/>
      <c r="N1661" s="19"/>
      <c r="O1661" s="34" t="s">
        <v>5621</v>
      </c>
      <c r="P1661" s="385" t="s">
        <v>1432</v>
      </c>
    </row>
    <row r="1662" hidden="1">
      <c r="A1662" s="339" t="s">
        <v>5955</v>
      </c>
    </row>
    <row r="1663" hidden="1">
      <c r="A1663" s="4" t="s">
        <v>47</v>
      </c>
      <c r="B1663" s="534" t="s">
        <v>7</v>
      </c>
      <c r="C1663" s="4" t="s">
        <v>9</v>
      </c>
      <c r="D1663" s="4" t="s">
        <v>10</v>
      </c>
      <c r="E1663" s="4" t="s">
        <v>11</v>
      </c>
      <c r="F1663" s="4" t="s">
        <v>12</v>
      </c>
      <c r="G1663" s="4" t="s">
        <v>2378</v>
      </c>
      <c r="H1663" s="4" t="s">
        <v>2681</v>
      </c>
      <c r="I1663" s="4" t="s">
        <v>2847</v>
      </c>
      <c r="J1663" s="8" t="s">
        <v>14</v>
      </c>
      <c r="K1663" s="9" t="s">
        <v>16</v>
      </c>
      <c r="L1663" s="9" t="s">
        <v>4330</v>
      </c>
      <c r="M1663" s="9" t="s">
        <v>18</v>
      </c>
      <c r="N1663" s="9" t="s">
        <v>19</v>
      </c>
      <c r="O1663" s="9" t="s">
        <v>20</v>
      </c>
      <c r="P1663" s="9" t="s">
        <v>21</v>
      </c>
      <c r="Q1663" s="35"/>
      <c r="R1663" s="35"/>
      <c r="S1663" s="35"/>
      <c r="T1663" s="35"/>
      <c r="U1663" s="35"/>
      <c r="V1663" s="35"/>
      <c r="W1663" s="35"/>
      <c r="X1663" s="35"/>
      <c r="Y1663" s="35"/>
      <c r="Z1663" s="35"/>
      <c r="AA1663" s="35"/>
      <c r="AB1663" s="35"/>
      <c r="AC1663" s="35"/>
      <c r="AD1663" s="35"/>
      <c r="AE1663" s="35"/>
      <c r="AF1663" s="35"/>
    </row>
    <row r="1664" hidden="1">
      <c r="A1664" s="471">
        <v>1.0</v>
      </c>
      <c r="B1664" s="655" t="s">
        <v>5956</v>
      </c>
      <c r="C1664" s="471" t="s">
        <v>1185</v>
      </c>
      <c r="D1664" s="471" t="s">
        <v>5957</v>
      </c>
      <c r="E1664" s="471" t="s">
        <v>5958</v>
      </c>
      <c r="F1664" s="471" t="s">
        <v>25</v>
      </c>
      <c r="G1664" s="471" t="s">
        <v>5959</v>
      </c>
      <c r="H1664" s="471">
        <v>23.0</v>
      </c>
      <c r="I1664" s="540" t="s">
        <v>3465</v>
      </c>
      <c r="J1664" s="34" t="s">
        <v>5960</v>
      </c>
      <c r="K1664" s="148">
        <v>46204.0</v>
      </c>
      <c r="L1664" s="12" t="s">
        <v>51</v>
      </c>
      <c r="M1664" s="19"/>
      <c r="N1664" s="19"/>
      <c r="O1664" s="148">
        <v>46296.0</v>
      </c>
      <c r="P1664" s="385" t="s">
        <v>1432</v>
      </c>
    </row>
    <row r="1665" hidden="1">
      <c r="A1665" s="656">
        <v>2.0</v>
      </c>
      <c r="B1665" s="657" t="s">
        <v>5961</v>
      </c>
      <c r="C1665" s="658" t="s">
        <v>1185</v>
      </c>
      <c r="D1665" s="658" t="s">
        <v>5962</v>
      </c>
      <c r="E1665" s="658" t="s">
        <v>5963</v>
      </c>
      <c r="F1665" s="658" t="s">
        <v>25</v>
      </c>
      <c r="G1665" s="658" t="s">
        <v>5959</v>
      </c>
      <c r="H1665" s="658">
        <v>21.0</v>
      </c>
      <c r="I1665" s="658" t="s">
        <v>2890</v>
      </c>
      <c r="J1665" s="34" t="s">
        <v>5964</v>
      </c>
      <c r="K1665" s="148">
        <v>46204.0</v>
      </c>
      <c r="L1665" s="658" t="s">
        <v>51</v>
      </c>
      <c r="M1665" s="656"/>
      <c r="N1665" s="656"/>
      <c r="O1665" s="656" t="s">
        <v>283</v>
      </c>
      <c r="P1665" s="659" t="s">
        <v>1432</v>
      </c>
      <c r="Q1665" s="656"/>
      <c r="R1665" s="656"/>
      <c r="S1665" s="656"/>
      <c r="T1665" s="656"/>
      <c r="U1665" s="656"/>
      <c r="V1665" s="656"/>
      <c r="W1665" s="656"/>
      <c r="X1665" s="656"/>
      <c r="Y1665" s="656"/>
      <c r="Z1665" s="656"/>
      <c r="AA1665" s="656"/>
      <c r="AB1665" s="656"/>
      <c r="AC1665" s="656"/>
      <c r="AD1665" s="656"/>
      <c r="AE1665" s="656"/>
      <c r="AF1665" s="656"/>
    </row>
    <row r="1666" hidden="1">
      <c r="A1666" s="471">
        <v>3.0</v>
      </c>
      <c r="B1666" s="655" t="s">
        <v>5965</v>
      </c>
      <c r="C1666" s="471" t="s">
        <v>1185</v>
      </c>
      <c r="D1666" s="471" t="s">
        <v>5966</v>
      </c>
      <c r="E1666" s="471" t="s">
        <v>5967</v>
      </c>
      <c r="F1666" s="471" t="s">
        <v>25</v>
      </c>
      <c r="G1666" s="471" t="s">
        <v>5968</v>
      </c>
      <c r="H1666" s="471">
        <v>24.0</v>
      </c>
      <c r="I1666" s="472" t="s">
        <v>2890</v>
      </c>
      <c r="J1666" s="34" t="s">
        <v>5964</v>
      </c>
      <c r="K1666" s="148">
        <v>46204.0</v>
      </c>
      <c r="L1666" s="12" t="s">
        <v>51</v>
      </c>
      <c r="M1666" s="19"/>
      <c r="N1666" s="19"/>
      <c r="O1666" s="34" t="s">
        <v>5621</v>
      </c>
      <c r="P1666" s="659" t="s">
        <v>1432</v>
      </c>
    </row>
    <row r="1667" hidden="1">
      <c r="A1667" s="471">
        <v>4.0</v>
      </c>
      <c r="B1667" s="660" t="s">
        <v>5969</v>
      </c>
      <c r="C1667" s="471" t="s">
        <v>3059</v>
      </c>
      <c r="D1667" s="471" t="s">
        <v>5970</v>
      </c>
      <c r="E1667" s="471" t="s">
        <v>5971</v>
      </c>
      <c r="F1667" s="471" t="s">
        <v>5972</v>
      </c>
      <c r="G1667" s="471" t="s">
        <v>5973</v>
      </c>
      <c r="H1667" s="471">
        <v>5.0</v>
      </c>
      <c r="I1667" s="472" t="s">
        <v>2890</v>
      </c>
      <c r="J1667" s="34" t="s">
        <v>5107</v>
      </c>
      <c r="K1667" s="34" t="s">
        <v>5022</v>
      </c>
      <c r="L1667" s="14"/>
      <c r="M1667" s="19"/>
      <c r="N1667" s="19"/>
      <c r="O1667" s="34" t="s">
        <v>210</v>
      </c>
      <c r="P1667" s="385" t="s">
        <v>1432</v>
      </c>
    </row>
    <row r="1668" hidden="1">
      <c r="A1668" s="471">
        <v>5.0</v>
      </c>
      <c r="B1668" s="660" t="s">
        <v>5974</v>
      </c>
      <c r="C1668" s="647"/>
      <c r="D1668" s="471" t="s">
        <v>5975</v>
      </c>
      <c r="E1668" s="471" t="s">
        <v>5976</v>
      </c>
      <c r="F1668" s="647"/>
      <c r="G1668" s="471" t="s">
        <v>5973</v>
      </c>
      <c r="H1668" s="471">
        <v>5.0</v>
      </c>
      <c r="I1668" s="472" t="s">
        <v>2890</v>
      </c>
      <c r="J1668" s="34" t="s">
        <v>5107</v>
      </c>
      <c r="K1668" s="19"/>
      <c r="L1668" s="14"/>
      <c r="M1668" s="19"/>
      <c r="N1668" s="19"/>
      <c r="O1668" s="654" t="s">
        <v>5891</v>
      </c>
      <c r="P1668" s="385" t="s">
        <v>1432</v>
      </c>
    </row>
    <row r="1669" hidden="1">
      <c r="A1669" s="471">
        <v>6.0</v>
      </c>
      <c r="B1669" s="660" t="s">
        <v>5977</v>
      </c>
      <c r="C1669" s="471" t="s">
        <v>80</v>
      </c>
      <c r="D1669" s="471" t="s">
        <v>5978</v>
      </c>
      <c r="E1669" s="558" t="s">
        <v>5979</v>
      </c>
      <c r="F1669" s="471" t="s">
        <v>2156</v>
      </c>
      <c r="G1669" s="471" t="s">
        <v>5487</v>
      </c>
      <c r="H1669" s="471">
        <v>8.0</v>
      </c>
      <c r="I1669" s="472" t="s">
        <v>2890</v>
      </c>
      <c r="J1669" s="19"/>
      <c r="K1669" s="19"/>
      <c r="L1669" s="14"/>
      <c r="M1669" s="19"/>
      <c r="N1669" s="19"/>
      <c r="O1669" s="148">
        <v>46023.0</v>
      </c>
      <c r="P1669" s="385" t="s">
        <v>1432</v>
      </c>
    </row>
    <row r="1670" hidden="1">
      <c r="A1670" s="471">
        <v>7.0</v>
      </c>
      <c r="B1670" s="660" t="s">
        <v>5980</v>
      </c>
      <c r="C1670" s="471" t="s">
        <v>80</v>
      </c>
      <c r="D1670" s="471" t="s">
        <v>5981</v>
      </c>
      <c r="E1670" s="558" t="s">
        <v>5982</v>
      </c>
      <c r="F1670" s="471" t="s">
        <v>2156</v>
      </c>
      <c r="G1670" s="471" t="s">
        <v>5487</v>
      </c>
      <c r="H1670" s="471">
        <v>8.0</v>
      </c>
      <c r="I1670" s="472" t="s">
        <v>2890</v>
      </c>
      <c r="J1670" s="19"/>
      <c r="K1670" s="19"/>
      <c r="L1670" s="14"/>
      <c r="M1670" s="19"/>
      <c r="N1670" s="19"/>
      <c r="O1670" s="148">
        <v>46023.0</v>
      </c>
      <c r="P1670" s="385" t="s">
        <v>1432</v>
      </c>
    </row>
    <row r="1671" hidden="1">
      <c r="A1671" s="471">
        <v>8.0</v>
      </c>
      <c r="B1671" s="660" t="s">
        <v>5983</v>
      </c>
      <c r="C1671" s="471" t="s">
        <v>80</v>
      </c>
      <c r="D1671" s="471" t="s">
        <v>5984</v>
      </c>
      <c r="E1671" s="558" t="s">
        <v>5985</v>
      </c>
      <c r="F1671" s="471" t="s">
        <v>2156</v>
      </c>
      <c r="G1671" s="471" t="s">
        <v>5487</v>
      </c>
      <c r="H1671" s="471">
        <v>8.0</v>
      </c>
      <c r="I1671" s="472" t="s">
        <v>2890</v>
      </c>
      <c r="J1671" s="19"/>
      <c r="K1671" s="19"/>
      <c r="L1671" s="14"/>
      <c r="M1671" s="19"/>
      <c r="N1671" s="19"/>
      <c r="O1671" s="148">
        <v>46023.0</v>
      </c>
      <c r="P1671" s="385" t="s">
        <v>1432</v>
      </c>
    </row>
    <row r="1672" hidden="1">
      <c r="A1672" s="471">
        <v>9.0</v>
      </c>
      <c r="B1672" s="655" t="s">
        <v>5986</v>
      </c>
      <c r="C1672" s="471" t="s">
        <v>2307</v>
      </c>
      <c r="D1672" s="471" t="s">
        <v>5987</v>
      </c>
      <c r="E1672" s="471" t="s">
        <v>5988</v>
      </c>
      <c r="F1672" s="471" t="s">
        <v>4358</v>
      </c>
      <c r="G1672" s="471" t="s">
        <v>5968</v>
      </c>
      <c r="H1672" s="471">
        <v>8.0</v>
      </c>
      <c r="I1672" s="540" t="s">
        <v>4253</v>
      </c>
      <c r="J1672" s="34" t="s">
        <v>5989</v>
      </c>
      <c r="K1672" s="661">
        <v>46357.0</v>
      </c>
      <c r="L1672" s="12" t="s">
        <v>374</v>
      </c>
      <c r="M1672" s="19"/>
      <c r="N1672" s="19"/>
      <c r="O1672" s="71">
        <v>46358.0</v>
      </c>
      <c r="P1672" s="407" t="s">
        <v>1798</v>
      </c>
    </row>
    <row r="1673" hidden="1">
      <c r="A1673" s="471">
        <v>10.0</v>
      </c>
      <c r="B1673" s="655" t="s">
        <v>5990</v>
      </c>
      <c r="C1673" s="471" t="s">
        <v>80</v>
      </c>
      <c r="D1673" s="471" t="s">
        <v>5991</v>
      </c>
      <c r="E1673" s="615" t="s">
        <v>5992</v>
      </c>
      <c r="F1673" s="471" t="s">
        <v>3583</v>
      </c>
      <c r="G1673" s="525">
        <v>46174.0</v>
      </c>
      <c r="H1673" s="471">
        <v>15.0</v>
      </c>
      <c r="I1673" s="472" t="s">
        <v>2890</v>
      </c>
      <c r="J1673" s="34" t="s">
        <v>2541</v>
      </c>
      <c r="K1673" s="19"/>
      <c r="L1673" s="12"/>
      <c r="M1673" s="19"/>
      <c r="N1673" s="19"/>
      <c r="O1673" s="648">
        <v>46029.0</v>
      </c>
      <c r="P1673" s="19"/>
    </row>
    <row r="1674" hidden="1">
      <c r="A1674" s="471">
        <v>11.0</v>
      </c>
      <c r="B1674" s="655" t="s">
        <v>5993</v>
      </c>
      <c r="C1674" s="471" t="s">
        <v>80</v>
      </c>
      <c r="D1674" s="471" t="s">
        <v>5994</v>
      </c>
      <c r="E1674" s="615" t="s">
        <v>5995</v>
      </c>
      <c r="F1674" s="471" t="s">
        <v>3583</v>
      </c>
      <c r="G1674" s="525">
        <v>46143.0</v>
      </c>
      <c r="H1674" s="471">
        <v>14.0</v>
      </c>
      <c r="I1674" s="472" t="s">
        <v>2890</v>
      </c>
      <c r="J1674" s="34" t="s">
        <v>2541</v>
      </c>
      <c r="K1674" s="19"/>
      <c r="L1674" s="12"/>
      <c r="M1674" s="19"/>
      <c r="N1674" s="19"/>
      <c r="O1674" s="648">
        <v>46029.0</v>
      </c>
      <c r="P1674" s="19"/>
    </row>
    <row r="1675" hidden="1">
      <c r="A1675" s="471">
        <v>12.0</v>
      </c>
      <c r="B1675" s="655" t="s">
        <v>5996</v>
      </c>
      <c r="C1675" s="471" t="s">
        <v>80</v>
      </c>
      <c r="D1675" s="471" t="s">
        <v>288</v>
      </c>
      <c r="E1675" s="471" t="s">
        <v>290</v>
      </c>
      <c r="F1675" s="471" t="s">
        <v>510</v>
      </c>
      <c r="G1675" s="471" t="s">
        <v>5997</v>
      </c>
      <c r="H1675" s="471">
        <v>25.0</v>
      </c>
      <c r="I1675" s="472" t="s">
        <v>2890</v>
      </c>
      <c r="J1675" s="34" t="s">
        <v>5964</v>
      </c>
      <c r="K1675" s="148">
        <v>46235.0</v>
      </c>
      <c r="L1675" s="12" t="s">
        <v>5998</v>
      </c>
      <c r="M1675" s="19"/>
      <c r="N1675" s="19"/>
      <c r="O1675" s="34" t="s">
        <v>5621</v>
      </c>
      <c r="P1675" s="385" t="s">
        <v>1432</v>
      </c>
    </row>
    <row r="1676" hidden="1">
      <c r="A1676" s="471">
        <v>13.0</v>
      </c>
      <c r="B1676" s="655" t="s">
        <v>5999</v>
      </c>
      <c r="C1676" s="471" t="s">
        <v>80</v>
      </c>
      <c r="D1676" s="471" t="s">
        <v>6000</v>
      </c>
      <c r="E1676" s="615" t="s">
        <v>6001</v>
      </c>
      <c r="F1676" s="471" t="s">
        <v>3583</v>
      </c>
      <c r="G1676" s="525">
        <v>46204.0</v>
      </c>
      <c r="H1676" s="471">
        <v>16.0</v>
      </c>
      <c r="I1676" s="472" t="s">
        <v>2890</v>
      </c>
      <c r="J1676" s="34" t="s">
        <v>2541</v>
      </c>
      <c r="K1676" s="19"/>
      <c r="L1676" s="12"/>
      <c r="M1676" s="19"/>
      <c r="N1676" s="19"/>
      <c r="O1676" s="648">
        <v>46029.0</v>
      </c>
      <c r="P1676" s="19"/>
    </row>
    <row r="1677" hidden="1">
      <c r="A1677" s="471">
        <v>14.0</v>
      </c>
      <c r="B1677" s="655" t="s">
        <v>6002</v>
      </c>
      <c r="C1677" s="471" t="s">
        <v>80</v>
      </c>
      <c r="D1677" s="471" t="s">
        <v>6003</v>
      </c>
      <c r="E1677" s="615" t="s">
        <v>6004</v>
      </c>
      <c r="F1677" s="471" t="s">
        <v>3583</v>
      </c>
      <c r="G1677" s="525">
        <v>46204.0</v>
      </c>
      <c r="H1677" s="471">
        <v>16.0</v>
      </c>
      <c r="I1677" s="472" t="s">
        <v>2890</v>
      </c>
      <c r="J1677" s="34" t="s">
        <v>2541</v>
      </c>
      <c r="K1677" s="19"/>
      <c r="L1677" s="12"/>
      <c r="M1677" s="19"/>
      <c r="N1677" s="19"/>
      <c r="O1677" s="648">
        <v>46029.0</v>
      </c>
      <c r="P1677" s="19"/>
    </row>
    <row r="1678" hidden="1">
      <c r="A1678" s="471">
        <v>15.0</v>
      </c>
      <c r="B1678" s="662" t="s">
        <v>6005</v>
      </c>
      <c r="C1678" s="526" t="s">
        <v>80</v>
      </c>
      <c r="D1678" s="526" t="s">
        <v>6006</v>
      </c>
      <c r="E1678" s="526" t="s">
        <v>6007</v>
      </c>
      <c r="F1678" s="526" t="s">
        <v>3583</v>
      </c>
      <c r="G1678" s="528">
        <v>46204.0</v>
      </c>
      <c r="H1678" s="526">
        <v>16.0</v>
      </c>
      <c r="I1678" s="650" t="s">
        <v>3231</v>
      </c>
      <c r="J1678" s="19"/>
      <c r="K1678" s="19"/>
      <c r="L1678" s="14"/>
      <c r="M1678" s="19"/>
      <c r="N1678" s="19"/>
      <c r="O1678" s="34" t="s">
        <v>4541</v>
      </c>
      <c r="P1678" s="19"/>
    </row>
    <row r="1679" hidden="1">
      <c r="A1679" s="471">
        <v>16.0</v>
      </c>
      <c r="B1679" s="660" t="s">
        <v>6008</v>
      </c>
      <c r="C1679" s="471" t="s">
        <v>80</v>
      </c>
      <c r="D1679" s="471" t="s">
        <v>6009</v>
      </c>
      <c r="E1679" s="471" t="s">
        <v>181</v>
      </c>
      <c r="F1679" s="471" t="s">
        <v>436</v>
      </c>
      <c r="G1679" s="471" t="s">
        <v>5997</v>
      </c>
      <c r="H1679" s="471">
        <v>25.0</v>
      </c>
      <c r="I1679" s="472" t="s">
        <v>2890</v>
      </c>
      <c r="J1679" s="34" t="s">
        <v>374</v>
      </c>
      <c r="K1679" s="19"/>
      <c r="L1679" s="12" t="s">
        <v>374</v>
      </c>
      <c r="M1679" s="19"/>
      <c r="N1679" s="34" t="s">
        <v>6010</v>
      </c>
      <c r="O1679" s="19"/>
      <c r="P1679" s="19"/>
    </row>
    <row r="1680" hidden="1">
      <c r="A1680" s="471">
        <v>17.0</v>
      </c>
      <c r="B1680" s="655" t="s">
        <v>6011</v>
      </c>
      <c r="C1680" s="471" t="s">
        <v>80</v>
      </c>
      <c r="D1680" s="471" t="s">
        <v>6012</v>
      </c>
      <c r="E1680" s="615" t="s">
        <v>6013</v>
      </c>
      <c r="F1680" s="471" t="s">
        <v>3928</v>
      </c>
      <c r="G1680" s="525">
        <v>46204.0</v>
      </c>
      <c r="H1680" s="471">
        <v>16.0</v>
      </c>
      <c r="I1680" s="472" t="s">
        <v>2890</v>
      </c>
      <c r="J1680" s="34" t="s">
        <v>3099</v>
      </c>
      <c r="K1680" s="19"/>
      <c r="L1680" s="12"/>
      <c r="M1680" s="19"/>
      <c r="N1680" s="19"/>
      <c r="O1680" s="600">
        <v>46032.0</v>
      </c>
      <c r="P1680" s="19"/>
    </row>
    <row r="1681" hidden="1">
      <c r="A1681" s="471">
        <v>18.0</v>
      </c>
      <c r="B1681" s="655" t="s">
        <v>6014</v>
      </c>
      <c r="C1681" s="471" t="s">
        <v>80</v>
      </c>
      <c r="D1681" s="471" t="s">
        <v>6015</v>
      </c>
      <c r="E1681" s="615" t="s">
        <v>6016</v>
      </c>
      <c r="F1681" s="471" t="s">
        <v>3928</v>
      </c>
      <c r="G1681" s="525">
        <v>46204.0</v>
      </c>
      <c r="H1681" s="471">
        <v>16.0</v>
      </c>
      <c r="I1681" s="472" t="s">
        <v>2890</v>
      </c>
      <c r="J1681" s="34" t="s">
        <v>3099</v>
      </c>
      <c r="K1681" s="19"/>
      <c r="L1681" s="12"/>
      <c r="M1681" s="19"/>
      <c r="N1681" s="19"/>
      <c r="O1681" s="600">
        <v>46032.0</v>
      </c>
      <c r="P1681" s="19"/>
    </row>
    <row r="1682" hidden="1">
      <c r="A1682" s="471">
        <v>19.0</v>
      </c>
      <c r="B1682" s="655" t="s">
        <v>6017</v>
      </c>
      <c r="C1682" s="471" t="s">
        <v>80</v>
      </c>
      <c r="D1682" s="471" t="s">
        <v>6018</v>
      </c>
      <c r="E1682" s="615" t="s">
        <v>6019</v>
      </c>
      <c r="F1682" s="471" t="s">
        <v>3928</v>
      </c>
      <c r="G1682" s="525">
        <v>46204.0</v>
      </c>
      <c r="H1682" s="471">
        <v>16.0</v>
      </c>
      <c r="I1682" s="472" t="s">
        <v>2890</v>
      </c>
      <c r="J1682" s="34" t="s">
        <v>3099</v>
      </c>
      <c r="K1682" s="19"/>
      <c r="L1682" s="12"/>
      <c r="M1682" s="19"/>
      <c r="N1682" s="19"/>
      <c r="O1682" s="600">
        <v>46032.0</v>
      </c>
      <c r="P1682" s="19"/>
    </row>
    <row r="1683" hidden="1">
      <c r="A1683" s="471">
        <v>20.0</v>
      </c>
      <c r="B1683" s="655" t="s">
        <v>6020</v>
      </c>
      <c r="C1683" s="471" t="s">
        <v>80</v>
      </c>
      <c r="D1683" s="471" t="s">
        <v>6021</v>
      </c>
      <c r="E1683" s="615" t="s">
        <v>6022</v>
      </c>
      <c r="F1683" s="471" t="s">
        <v>3928</v>
      </c>
      <c r="G1683" s="525">
        <v>46204.0</v>
      </c>
      <c r="H1683" s="471">
        <v>16.0</v>
      </c>
      <c r="I1683" s="472" t="s">
        <v>2890</v>
      </c>
      <c r="J1683" s="34" t="s">
        <v>3099</v>
      </c>
      <c r="K1683" s="19"/>
      <c r="L1683" s="12"/>
      <c r="M1683" s="19"/>
      <c r="N1683" s="19"/>
      <c r="O1683" s="600">
        <v>46032.0</v>
      </c>
      <c r="P1683" s="19"/>
    </row>
    <row r="1684" hidden="1">
      <c r="A1684" s="526">
        <v>21.0</v>
      </c>
      <c r="B1684" s="662" t="s">
        <v>6023</v>
      </c>
      <c r="C1684" s="526" t="s">
        <v>6024</v>
      </c>
      <c r="D1684" s="526" t="s">
        <v>6025</v>
      </c>
      <c r="E1684" s="526" t="s">
        <v>6026</v>
      </c>
      <c r="F1684" s="526" t="s">
        <v>4358</v>
      </c>
      <c r="G1684" s="526" t="s">
        <v>6027</v>
      </c>
      <c r="H1684" s="526">
        <v>26.0</v>
      </c>
      <c r="I1684" s="574" t="s">
        <v>2890</v>
      </c>
      <c r="J1684" s="19"/>
      <c r="K1684" s="19"/>
      <c r="L1684" s="14"/>
      <c r="M1684" s="19"/>
      <c r="N1684" s="19"/>
      <c r="O1684" s="19"/>
      <c r="P1684" s="385" t="s">
        <v>1432</v>
      </c>
    </row>
    <row r="1685" hidden="1">
      <c r="A1685" s="471">
        <v>22.0</v>
      </c>
      <c r="B1685" s="655" t="s">
        <v>6028</v>
      </c>
      <c r="C1685" s="471" t="s">
        <v>80</v>
      </c>
      <c r="D1685" s="471" t="s">
        <v>6029</v>
      </c>
      <c r="E1685" s="471" t="s">
        <v>6030</v>
      </c>
      <c r="F1685" s="471" t="s">
        <v>6031</v>
      </c>
      <c r="G1685" s="471" t="s">
        <v>6027</v>
      </c>
      <c r="H1685" s="471">
        <v>26.0</v>
      </c>
      <c r="I1685" s="472" t="s">
        <v>2890</v>
      </c>
      <c r="J1685" s="34" t="s">
        <v>5964</v>
      </c>
      <c r="K1685" s="148">
        <v>46235.0</v>
      </c>
      <c r="L1685" s="12" t="s">
        <v>51</v>
      </c>
      <c r="M1685" s="19"/>
      <c r="N1685" s="19"/>
      <c r="O1685" s="34" t="s">
        <v>5869</v>
      </c>
      <c r="P1685" s="385" t="s">
        <v>1432</v>
      </c>
    </row>
    <row r="1686" hidden="1">
      <c r="A1686" s="526">
        <v>23.0</v>
      </c>
      <c r="B1686" s="662" t="s">
        <v>6032</v>
      </c>
      <c r="C1686" s="526" t="s">
        <v>80</v>
      </c>
      <c r="D1686" s="526" t="s">
        <v>6033</v>
      </c>
      <c r="E1686" s="526" t="s">
        <v>6034</v>
      </c>
      <c r="F1686" s="526" t="s">
        <v>6035</v>
      </c>
      <c r="G1686" s="528">
        <v>46023.0</v>
      </c>
      <c r="H1686" s="526">
        <v>10.0</v>
      </c>
      <c r="I1686" s="574" t="s">
        <v>2890</v>
      </c>
      <c r="J1686" s="19"/>
      <c r="K1686" s="19"/>
      <c r="L1686" s="14"/>
      <c r="M1686" s="19"/>
      <c r="N1686" s="19"/>
      <c r="O1686" s="148">
        <v>45717.0</v>
      </c>
      <c r="P1686" s="385" t="s">
        <v>1432</v>
      </c>
    </row>
    <row r="1687" hidden="1">
      <c r="A1687" s="339" t="s">
        <v>6036</v>
      </c>
    </row>
    <row r="1688" hidden="1">
      <c r="A1688" s="4" t="s">
        <v>47</v>
      </c>
      <c r="B1688" s="534" t="s">
        <v>7</v>
      </c>
      <c r="C1688" s="4" t="s">
        <v>9</v>
      </c>
      <c r="D1688" s="4" t="s">
        <v>10</v>
      </c>
      <c r="E1688" s="4" t="s">
        <v>11</v>
      </c>
      <c r="F1688" s="4" t="s">
        <v>12</v>
      </c>
      <c r="G1688" s="4" t="s">
        <v>2378</v>
      </c>
      <c r="H1688" s="4" t="s">
        <v>2681</v>
      </c>
      <c r="I1688" s="4" t="s">
        <v>2847</v>
      </c>
      <c r="J1688" s="8" t="s">
        <v>14</v>
      </c>
      <c r="K1688" s="9" t="s">
        <v>16</v>
      </c>
      <c r="L1688" s="9" t="s">
        <v>4330</v>
      </c>
      <c r="M1688" s="9" t="s">
        <v>18</v>
      </c>
      <c r="N1688" s="9" t="s">
        <v>19</v>
      </c>
      <c r="O1688" s="9" t="s">
        <v>20</v>
      </c>
      <c r="P1688" s="9" t="s">
        <v>21</v>
      </c>
      <c r="Q1688" s="35"/>
      <c r="R1688" s="35"/>
      <c r="S1688" s="35"/>
      <c r="T1688" s="35"/>
      <c r="U1688" s="35"/>
      <c r="V1688" s="35"/>
      <c r="W1688" s="35"/>
      <c r="X1688" s="35"/>
      <c r="Y1688" s="35"/>
      <c r="Z1688" s="35"/>
      <c r="AA1688" s="35"/>
      <c r="AB1688" s="35"/>
      <c r="AC1688" s="35"/>
      <c r="AD1688" s="35"/>
      <c r="AE1688" s="35"/>
      <c r="AF1688" s="35"/>
    </row>
    <row r="1689" hidden="1">
      <c r="A1689" s="526">
        <v>1.0</v>
      </c>
      <c r="B1689" s="527" t="s">
        <v>6037</v>
      </c>
      <c r="C1689" s="526" t="s">
        <v>80</v>
      </c>
      <c r="D1689" s="619" t="s">
        <v>6038</v>
      </c>
      <c r="E1689" s="526" t="s">
        <v>6039</v>
      </c>
      <c r="F1689" s="526" t="s">
        <v>207</v>
      </c>
      <c r="G1689" s="526" t="s">
        <v>6027</v>
      </c>
      <c r="H1689" s="526">
        <v>24.0</v>
      </c>
      <c r="I1689" s="526" t="s">
        <v>6040</v>
      </c>
      <c r="L1689" s="140"/>
      <c r="O1689" s="143" t="s">
        <v>5437</v>
      </c>
      <c r="P1689" s="385" t="s">
        <v>1432</v>
      </c>
    </row>
    <row r="1690" hidden="1">
      <c r="A1690" s="471">
        <v>2.0</v>
      </c>
      <c r="B1690" s="621" t="s">
        <v>6041</v>
      </c>
      <c r="C1690" s="471" t="s">
        <v>80</v>
      </c>
      <c r="D1690" s="306" t="s">
        <v>6042</v>
      </c>
      <c r="E1690" s="471" t="s">
        <v>6043</v>
      </c>
      <c r="F1690" s="471" t="s">
        <v>4405</v>
      </c>
      <c r="G1690" s="471" t="s">
        <v>6027</v>
      </c>
      <c r="H1690" s="471">
        <v>24.0</v>
      </c>
      <c r="I1690" s="531" t="s">
        <v>3043</v>
      </c>
      <c r="J1690" s="34" t="s">
        <v>6044</v>
      </c>
      <c r="K1690" s="148">
        <v>46204.0</v>
      </c>
      <c r="L1690" s="12" t="s">
        <v>374</v>
      </c>
      <c r="M1690" s="19"/>
      <c r="N1690" s="19"/>
      <c r="O1690" s="34" t="s">
        <v>5621</v>
      </c>
      <c r="P1690" s="385" t="s">
        <v>1432</v>
      </c>
    </row>
    <row r="1691" hidden="1">
      <c r="A1691" s="471">
        <v>3.0</v>
      </c>
      <c r="B1691" s="470" t="s">
        <v>6045</v>
      </c>
      <c r="C1691" s="471" t="s">
        <v>1185</v>
      </c>
      <c r="D1691" s="306" t="s">
        <v>6046</v>
      </c>
      <c r="E1691" s="471" t="s">
        <v>6047</v>
      </c>
      <c r="F1691" s="471" t="s">
        <v>4367</v>
      </c>
      <c r="G1691" s="471" t="s">
        <v>6027</v>
      </c>
      <c r="H1691" s="471">
        <v>24.0</v>
      </c>
      <c r="I1691" s="471" t="s">
        <v>2890</v>
      </c>
      <c r="J1691" s="34" t="s">
        <v>6048</v>
      </c>
      <c r="K1691" s="148">
        <v>46266.0</v>
      </c>
      <c r="L1691" s="12" t="s">
        <v>51</v>
      </c>
      <c r="M1691" s="19"/>
      <c r="N1691" s="19"/>
      <c r="O1691" s="34" t="s">
        <v>6049</v>
      </c>
      <c r="P1691" s="385" t="s">
        <v>1432</v>
      </c>
    </row>
    <row r="1692" hidden="1">
      <c r="A1692" s="471">
        <v>4.0</v>
      </c>
      <c r="B1692" s="470" t="s">
        <v>6050</v>
      </c>
      <c r="C1692" s="471" t="s">
        <v>1246</v>
      </c>
      <c r="D1692" s="306" t="s">
        <v>6051</v>
      </c>
      <c r="E1692" s="471" t="s">
        <v>6052</v>
      </c>
      <c r="F1692" s="471" t="s">
        <v>1391</v>
      </c>
      <c r="G1692" s="525">
        <v>46082.0</v>
      </c>
      <c r="H1692" s="471">
        <v>10.0</v>
      </c>
      <c r="I1692" s="471" t="s">
        <v>2890</v>
      </c>
      <c r="J1692" s="19"/>
      <c r="K1692" s="19"/>
      <c r="L1692" s="12" t="s">
        <v>374</v>
      </c>
      <c r="M1692" s="19"/>
      <c r="N1692" s="19"/>
      <c r="O1692" s="148">
        <v>46082.0</v>
      </c>
      <c r="P1692" s="385" t="s">
        <v>1432</v>
      </c>
    </row>
    <row r="1693" hidden="1">
      <c r="A1693" s="471">
        <v>5.0</v>
      </c>
      <c r="B1693" s="470" t="s">
        <v>6053</v>
      </c>
      <c r="C1693" s="471" t="s">
        <v>651</v>
      </c>
      <c r="D1693" s="306" t="s">
        <v>6054</v>
      </c>
      <c r="E1693" s="471" t="s">
        <v>6055</v>
      </c>
      <c r="F1693" s="471" t="s">
        <v>6056</v>
      </c>
      <c r="G1693" s="471" t="s">
        <v>6057</v>
      </c>
      <c r="H1693" s="471">
        <v>25.0</v>
      </c>
      <c r="I1693" s="471" t="s">
        <v>2890</v>
      </c>
      <c r="J1693" s="34" t="s">
        <v>6048</v>
      </c>
      <c r="K1693" s="148">
        <v>46235.0</v>
      </c>
      <c r="L1693" s="12" t="s">
        <v>374</v>
      </c>
      <c r="M1693" s="19"/>
      <c r="N1693" s="19"/>
      <c r="O1693" s="34" t="s">
        <v>6058</v>
      </c>
      <c r="P1693" s="385" t="s">
        <v>1432</v>
      </c>
    </row>
    <row r="1694" hidden="1">
      <c r="A1694" s="471">
        <v>6.0</v>
      </c>
      <c r="B1694" s="470" t="s">
        <v>6059</v>
      </c>
      <c r="C1694" s="471" t="s">
        <v>80</v>
      </c>
      <c r="D1694" s="306" t="s">
        <v>6060</v>
      </c>
      <c r="E1694" s="471" t="s">
        <v>6061</v>
      </c>
      <c r="F1694" s="471" t="s">
        <v>4358</v>
      </c>
      <c r="G1694" s="471" t="s">
        <v>6057</v>
      </c>
      <c r="H1694" s="471">
        <v>25.0</v>
      </c>
      <c r="I1694" s="471" t="s">
        <v>2890</v>
      </c>
      <c r="J1694" s="34" t="s">
        <v>6062</v>
      </c>
      <c r="K1694" s="148">
        <v>46235.0</v>
      </c>
      <c r="L1694" s="12" t="s">
        <v>51</v>
      </c>
      <c r="M1694" s="19"/>
      <c r="N1694" s="19"/>
      <c r="O1694" s="34" t="s">
        <v>6063</v>
      </c>
      <c r="P1694" s="385" t="s">
        <v>1432</v>
      </c>
    </row>
    <row r="1695" hidden="1">
      <c r="A1695" s="471">
        <v>7.0</v>
      </c>
      <c r="B1695" s="470" t="s">
        <v>6064</v>
      </c>
      <c r="C1695" s="471" t="s">
        <v>1185</v>
      </c>
      <c r="D1695" s="306" t="s">
        <v>6065</v>
      </c>
      <c r="E1695" s="471" t="s">
        <v>6066</v>
      </c>
      <c r="F1695" s="471" t="s">
        <v>25</v>
      </c>
      <c r="G1695" s="471" t="s">
        <v>6057</v>
      </c>
      <c r="H1695" s="471">
        <v>25.0</v>
      </c>
      <c r="I1695" s="471" t="s">
        <v>2890</v>
      </c>
      <c r="J1695" s="34" t="s">
        <v>6048</v>
      </c>
      <c r="K1695" s="148">
        <v>46235.0</v>
      </c>
      <c r="L1695" s="12" t="s">
        <v>51</v>
      </c>
      <c r="M1695" s="19"/>
      <c r="N1695" s="19"/>
      <c r="O1695" s="34" t="s">
        <v>6063</v>
      </c>
      <c r="P1695" s="385" t="s">
        <v>1432</v>
      </c>
    </row>
    <row r="1696" hidden="1">
      <c r="A1696" s="471">
        <v>8.0</v>
      </c>
      <c r="B1696" s="470" t="s">
        <v>6067</v>
      </c>
      <c r="C1696" s="471" t="s">
        <v>1185</v>
      </c>
      <c r="D1696" s="306" t="s">
        <v>6068</v>
      </c>
      <c r="E1696" s="471" t="s">
        <v>6069</v>
      </c>
      <c r="F1696" s="471" t="s">
        <v>25</v>
      </c>
      <c r="G1696" s="471" t="s">
        <v>6057</v>
      </c>
      <c r="H1696" s="471">
        <v>25.0</v>
      </c>
      <c r="I1696" s="471" t="s">
        <v>2890</v>
      </c>
      <c r="J1696" s="34" t="s">
        <v>6062</v>
      </c>
      <c r="K1696" s="148">
        <v>46235.0</v>
      </c>
      <c r="L1696" s="12" t="s">
        <v>51</v>
      </c>
      <c r="M1696" s="19"/>
      <c r="N1696" s="19"/>
      <c r="O1696" s="34" t="s">
        <v>6070</v>
      </c>
      <c r="P1696" s="385" t="s">
        <v>1432</v>
      </c>
    </row>
    <row r="1697" hidden="1">
      <c r="A1697" s="471">
        <v>9.0</v>
      </c>
      <c r="B1697" s="470" t="s">
        <v>6071</v>
      </c>
      <c r="C1697" s="471" t="s">
        <v>1185</v>
      </c>
      <c r="D1697" s="306" t="s">
        <v>6072</v>
      </c>
      <c r="E1697" s="663" t="s">
        <v>6073</v>
      </c>
      <c r="F1697" s="471" t="s">
        <v>25</v>
      </c>
      <c r="G1697" s="471" t="s">
        <v>6057</v>
      </c>
      <c r="H1697" s="471">
        <v>25.0</v>
      </c>
      <c r="I1697" s="471" t="s">
        <v>2890</v>
      </c>
      <c r="J1697" s="34" t="s">
        <v>6062</v>
      </c>
      <c r="K1697" s="148">
        <v>46266.0</v>
      </c>
      <c r="L1697" s="12" t="s">
        <v>51</v>
      </c>
      <c r="M1697" s="19"/>
      <c r="N1697" s="19"/>
      <c r="O1697" s="34" t="s">
        <v>5869</v>
      </c>
      <c r="P1697" s="385" t="s">
        <v>1432</v>
      </c>
    </row>
    <row r="1698" hidden="1">
      <c r="A1698" s="471">
        <v>10.0</v>
      </c>
      <c r="B1698" s="470" t="s">
        <v>6074</v>
      </c>
      <c r="C1698" s="471" t="s">
        <v>1185</v>
      </c>
      <c r="D1698" s="306" t="s">
        <v>6075</v>
      </c>
      <c r="E1698" s="471" t="s">
        <v>6076</v>
      </c>
      <c r="F1698" s="471" t="s">
        <v>25</v>
      </c>
      <c r="G1698" s="471" t="s">
        <v>6077</v>
      </c>
      <c r="H1698" s="471">
        <v>26.0</v>
      </c>
      <c r="I1698" s="471" t="s">
        <v>2890</v>
      </c>
      <c r="J1698" s="34" t="s">
        <v>6048</v>
      </c>
      <c r="K1698" s="148">
        <v>46266.0</v>
      </c>
      <c r="L1698" s="12" t="s">
        <v>51</v>
      </c>
      <c r="M1698" s="19"/>
      <c r="N1698" s="19"/>
      <c r="O1698" s="34" t="s">
        <v>6058</v>
      </c>
      <c r="P1698" s="385" t="s">
        <v>1432</v>
      </c>
    </row>
    <row r="1699" hidden="1">
      <c r="A1699" s="471">
        <v>11.0</v>
      </c>
      <c r="B1699" s="470" t="s">
        <v>6078</v>
      </c>
      <c r="C1699" s="471" t="s">
        <v>1185</v>
      </c>
      <c r="D1699" s="306" t="s">
        <v>6079</v>
      </c>
      <c r="E1699" s="471" t="s">
        <v>6080</v>
      </c>
      <c r="F1699" s="471" t="s">
        <v>356</v>
      </c>
      <c r="G1699" s="471" t="s">
        <v>6057</v>
      </c>
      <c r="H1699" s="471">
        <v>25.0</v>
      </c>
      <c r="I1699" s="471" t="s">
        <v>2890</v>
      </c>
      <c r="J1699" s="34" t="s">
        <v>6062</v>
      </c>
      <c r="K1699" s="148">
        <v>46266.0</v>
      </c>
      <c r="L1699" s="12" t="s">
        <v>51</v>
      </c>
      <c r="M1699" s="19"/>
      <c r="N1699" s="19"/>
      <c r="O1699" s="34" t="s">
        <v>6049</v>
      </c>
      <c r="P1699" s="385" t="s">
        <v>1432</v>
      </c>
    </row>
    <row r="1700" hidden="1">
      <c r="A1700" s="471">
        <v>12.0</v>
      </c>
      <c r="B1700" s="470" t="s">
        <v>6081</v>
      </c>
      <c r="C1700" s="471" t="s">
        <v>80</v>
      </c>
      <c r="D1700" s="306" t="s">
        <v>6082</v>
      </c>
      <c r="E1700" s="558" t="s">
        <v>6083</v>
      </c>
      <c r="F1700" s="471" t="s">
        <v>4666</v>
      </c>
      <c r="G1700" s="471" t="s">
        <v>6077</v>
      </c>
      <c r="H1700" s="471">
        <v>26.0</v>
      </c>
      <c r="I1700" s="471" t="s">
        <v>2890</v>
      </c>
      <c r="J1700" s="34" t="s">
        <v>6084</v>
      </c>
      <c r="K1700" s="148">
        <v>46296.0</v>
      </c>
      <c r="L1700" s="12" t="s">
        <v>4431</v>
      </c>
      <c r="M1700" s="19"/>
      <c r="N1700" s="19"/>
      <c r="O1700" s="34" t="s">
        <v>6049</v>
      </c>
      <c r="P1700" s="385" t="s">
        <v>1432</v>
      </c>
    </row>
    <row r="1701" ht="15.0" hidden="1" customHeight="1">
      <c r="A1701" s="471">
        <v>13.0</v>
      </c>
      <c r="B1701" s="470" t="s">
        <v>6085</v>
      </c>
      <c r="C1701" s="471" t="s">
        <v>80</v>
      </c>
      <c r="D1701" s="306" t="s">
        <v>6086</v>
      </c>
      <c r="E1701" s="558" t="s">
        <v>6087</v>
      </c>
      <c r="F1701" s="471" t="s">
        <v>4666</v>
      </c>
      <c r="G1701" s="471" t="s">
        <v>6077</v>
      </c>
      <c r="H1701" s="471">
        <v>26.0</v>
      </c>
      <c r="I1701" s="471" t="s">
        <v>2890</v>
      </c>
      <c r="J1701" s="34" t="s">
        <v>6084</v>
      </c>
      <c r="K1701" s="148">
        <v>46296.0</v>
      </c>
      <c r="L1701" s="12" t="s">
        <v>374</v>
      </c>
      <c r="M1701" s="19"/>
      <c r="N1701" s="19"/>
      <c r="O1701" s="34" t="s">
        <v>6049</v>
      </c>
      <c r="P1701" s="385" t="s">
        <v>1432</v>
      </c>
    </row>
    <row r="1702" hidden="1">
      <c r="A1702" s="471">
        <v>14.0</v>
      </c>
      <c r="B1702" s="470" t="s">
        <v>6088</v>
      </c>
      <c r="C1702" s="471" t="s">
        <v>1185</v>
      </c>
      <c r="D1702" s="306" t="s">
        <v>6089</v>
      </c>
      <c r="E1702" s="471" t="s">
        <v>6090</v>
      </c>
      <c r="F1702" s="471" t="s">
        <v>4367</v>
      </c>
      <c r="G1702" s="471" t="s">
        <v>6057</v>
      </c>
      <c r="H1702" s="471">
        <v>25.0</v>
      </c>
      <c r="I1702" s="471" t="s">
        <v>2890</v>
      </c>
      <c r="J1702" s="34" t="s">
        <v>6091</v>
      </c>
      <c r="K1702" s="101" t="s">
        <v>5869</v>
      </c>
      <c r="L1702" s="12" t="s">
        <v>374</v>
      </c>
      <c r="M1702" s="19"/>
      <c r="N1702" s="19"/>
      <c r="O1702" s="34" t="s">
        <v>6049</v>
      </c>
      <c r="P1702" s="385" t="s">
        <v>1432</v>
      </c>
    </row>
    <row r="1703" hidden="1">
      <c r="A1703" s="471">
        <v>15.0</v>
      </c>
      <c r="B1703" s="470" t="s">
        <v>6092</v>
      </c>
      <c r="C1703" s="471" t="s">
        <v>938</v>
      </c>
      <c r="D1703" s="306" t="s">
        <v>6093</v>
      </c>
      <c r="E1703" s="558" t="s">
        <v>6094</v>
      </c>
      <c r="F1703" s="471" t="s">
        <v>243</v>
      </c>
      <c r="G1703" s="471" t="s">
        <v>6057</v>
      </c>
      <c r="H1703" s="471">
        <v>25.0</v>
      </c>
      <c r="I1703" s="471" t="s">
        <v>2890</v>
      </c>
      <c r="J1703" s="34" t="s">
        <v>6044</v>
      </c>
      <c r="K1703" s="148">
        <v>46204.0</v>
      </c>
      <c r="L1703" s="12" t="s">
        <v>374</v>
      </c>
      <c r="M1703" s="19"/>
      <c r="N1703" s="19"/>
      <c r="O1703" s="34" t="s">
        <v>6049</v>
      </c>
      <c r="P1703" s="385" t="s">
        <v>1432</v>
      </c>
    </row>
    <row r="1704" hidden="1">
      <c r="A1704" s="471">
        <v>16.0</v>
      </c>
      <c r="B1704" s="470" t="s">
        <v>6095</v>
      </c>
      <c r="C1704" s="471" t="s">
        <v>938</v>
      </c>
      <c r="D1704" s="306" t="s">
        <v>6096</v>
      </c>
      <c r="E1704" s="558" t="s">
        <v>6097</v>
      </c>
      <c r="F1704" s="471" t="s">
        <v>243</v>
      </c>
      <c r="G1704" s="471" t="s">
        <v>6057</v>
      </c>
      <c r="H1704" s="471">
        <v>25.0</v>
      </c>
      <c r="I1704" s="531" t="s">
        <v>3231</v>
      </c>
      <c r="J1704" s="34" t="s">
        <v>6044</v>
      </c>
      <c r="K1704" s="148">
        <v>46204.0</v>
      </c>
      <c r="L1704" s="12" t="s">
        <v>374</v>
      </c>
      <c r="M1704" s="19"/>
      <c r="N1704" s="19"/>
      <c r="O1704" s="34" t="s">
        <v>6049</v>
      </c>
      <c r="P1704" s="385" t="s">
        <v>1432</v>
      </c>
    </row>
    <row r="1705" hidden="1">
      <c r="A1705" s="471">
        <v>17.0</v>
      </c>
      <c r="B1705" s="470" t="s">
        <v>6098</v>
      </c>
      <c r="C1705" s="471" t="s">
        <v>80</v>
      </c>
      <c r="D1705" s="306" t="s">
        <v>6099</v>
      </c>
      <c r="E1705" s="663" t="s">
        <v>6100</v>
      </c>
      <c r="F1705" s="471" t="s">
        <v>356</v>
      </c>
      <c r="G1705" s="471" t="s">
        <v>6057</v>
      </c>
      <c r="H1705" s="471">
        <v>25.0</v>
      </c>
      <c r="I1705" s="471" t="s">
        <v>2890</v>
      </c>
      <c r="J1705" s="34" t="s">
        <v>6062</v>
      </c>
      <c r="K1705" s="148">
        <v>46266.0</v>
      </c>
      <c r="L1705" s="12" t="s">
        <v>51</v>
      </c>
      <c r="M1705" s="19"/>
      <c r="N1705" s="19"/>
      <c r="O1705" s="34" t="s">
        <v>5869</v>
      </c>
      <c r="P1705" s="385" t="s">
        <v>1432</v>
      </c>
    </row>
    <row r="1706" hidden="1">
      <c r="A1706" s="471">
        <v>18.0</v>
      </c>
      <c r="B1706" s="470" t="s">
        <v>6101</v>
      </c>
      <c r="C1706" s="471" t="s">
        <v>80</v>
      </c>
      <c r="D1706" s="306" t="s">
        <v>6102</v>
      </c>
      <c r="E1706" s="615" t="s">
        <v>6103</v>
      </c>
      <c r="F1706" s="471" t="s">
        <v>6104</v>
      </c>
      <c r="G1706" s="525">
        <v>46235.0</v>
      </c>
      <c r="H1706" s="471">
        <v>15.0</v>
      </c>
      <c r="I1706" s="471" t="s">
        <v>2890</v>
      </c>
      <c r="J1706" s="19"/>
      <c r="K1706" s="19"/>
      <c r="L1706" s="12" t="s">
        <v>2541</v>
      </c>
      <c r="M1706" s="19"/>
      <c r="N1706" s="19"/>
      <c r="O1706" s="34" t="s">
        <v>5997</v>
      </c>
      <c r="P1706" s="19"/>
    </row>
    <row r="1707" hidden="1">
      <c r="A1707" s="471">
        <v>19.0</v>
      </c>
      <c r="B1707" s="470" t="s">
        <v>6105</v>
      </c>
      <c r="C1707" s="471" t="s">
        <v>80</v>
      </c>
      <c r="D1707" s="306" t="s">
        <v>6106</v>
      </c>
      <c r="E1707" s="471" t="s">
        <v>6107</v>
      </c>
      <c r="F1707" s="471" t="s">
        <v>356</v>
      </c>
      <c r="G1707" s="471" t="s">
        <v>6077</v>
      </c>
      <c r="H1707" s="471">
        <v>26.0</v>
      </c>
      <c r="I1707" s="471" t="s">
        <v>2890</v>
      </c>
      <c r="J1707" s="34" t="s">
        <v>6108</v>
      </c>
      <c r="K1707" s="148">
        <v>46266.0</v>
      </c>
      <c r="L1707" s="12" t="s">
        <v>51</v>
      </c>
      <c r="M1707" s="19"/>
      <c r="N1707" s="19"/>
      <c r="O1707" s="34" t="s">
        <v>6063</v>
      </c>
      <c r="P1707" s="385" t="s">
        <v>1432</v>
      </c>
    </row>
    <row r="1708" hidden="1">
      <c r="A1708" s="471">
        <v>20.0</v>
      </c>
      <c r="B1708" s="470" t="s">
        <v>6109</v>
      </c>
      <c r="C1708" s="471" t="s">
        <v>3059</v>
      </c>
      <c r="D1708" s="306" t="s">
        <v>6110</v>
      </c>
      <c r="E1708" s="471" t="s">
        <v>6111</v>
      </c>
      <c r="F1708" s="471" t="s">
        <v>4405</v>
      </c>
      <c r="G1708" s="525">
        <v>46113.0</v>
      </c>
      <c r="H1708" s="471">
        <v>11.0</v>
      </c>
      <c r="I1708" s="471" t="s">
        <v>2890</v>
      </c>
      <c r="J1708" s="19"/>
      <c r="K1708" s="19"/>
      <c r="L1708" s="14"/>
      <c r="M1708" s="19"/>
      <c r="N1708" s="19"/>
      <c r="O1708" s="19"/>
      <c r="P1708" s="385" t="s">
        <v>1432</v>
      </c>
    </row>
    <row r="1709" hidden="1">
      <c r="A1709" s="471">
        <v>21.0</v>
      </c>
      <c r="B1709" s="470" t="s">
        <v>6112</v>
      </c>
      <c r="C1709" s="471" t="s">
        <v>80</v>
      </c>
      <c r="D1709" s="306" t="s">
        <v>6113</v>
      </c>
      <c r="E1709" s="664" t="s">
        <v>6114</v>
      </c>
      <c r="F1709" s="471" t="s">
        <v>4405</v>
      </c>
      <c r="G1709" s="471" t="s">
        <v>6115</v>
      </c>
      <c r="H1709" s="471">
        <v>27.0</v>
      </c>
      <c r="I1709" s="471" t="s">
        <v>2890</v>
      </c>
      <c r="J1709" s="19"/>
      <c r="K1709" s="19"/>
      <c r="L1709" s="12" t="s">
        <v>374</v>
      </c>
      <c r="M1709" s="19"/>
      <c r="N1709" s="19"/>
      <c r="O1709" s="148">
        <v>46235.0</v>
      </c>
      <c r="P1709" s="385" t="s">
        <v>1432</v>
      </c>
    </row>
    <row r="1710" hidden="1">
      <c r="A1710" s="471">
        <v>22.0</v>
      </c>
      <c r="B1710" s="470" t="s">
        <v>6116</v>
      </c>
      <c r="C1710" s="471" t="s">
        <v>80</v>
      </c>
      <c r="D1710" s="306" t="s">
        <v>6117</v>
      </c>
      <c r="E1710" s="615" t="s">
        <v>6118</v>
      </c>
      <c r="F1710" s="471" t="s">
        <v>3583</v>
      </c>
      <c r="G1710" s="525">
        <v>46296.0</v>
      </c>
      <c r="H1710" s="471">
        <v>17.0</v>
      </c>
      <c r="I1710" s="471" t="s">
        <v>2890</v>
      </c>
      <c r="J1710" s="19"/>
      <c r="K1710" s="19"/>
      <c r="L1710" s="14"/>
      <c r="M1710" s="19"/>
      <c r="N1710" s="19"/>
      <c r="O1710" s="148">
        <v>46143.0</v>
      </c>
      <c r="P1710" s="19"/>
    </row>
    <row r="1711" hidden="1">
      <c r="A1711" s="526">
        <v>23.0</v>
      </c>
      <c r="B1711" s="527" t="s">
        <v>6119</v>
      </c>
      <c r="C1711" s="526" t="s">
        <v>80</v>
      </c>
      <c r="D1711" s="619" t="s">
        <v>6120</v>
      </c>
      <c r="E1711" s="615" t="s">
        <v>6121</v>
      </c>
      <c r="F1711" s="526" t="s">
        <v>3583</v>
      </c>
      <c r="G1711" s="528">
        <v>46296.0</v>
      </c>
      <c r="H1711" s="526">
        <v>17.0</v>
      </c>
      <c r="I1711" s="526" t="s">
        <v>2890</v>
      </c>
      <c r="J1711" s="19"/>
      <c r="K1711" s="19"/>
      <c r="L1711" s="14"/>
      <c r="M1711" s="19"/>
      <c r="N1711" s="19"/>
      <c r="O1711" s="148">
        <v>46143.0</v>
      </c>
      <c r="P1711" s="19"/>
    </row>
    <row r="1712" hidden="1">
      <c r="A1712" s="526">
        <v>24.0</v>
      </c>
      <c r="B1712" s="527" t="s">
        <v>6122</v>
      </c>
      <c r="C1712" s="526" t="s">
        <v>80</v>
      </c>
      <c r="D1712" s="619" t="s">
        <v>6123</v>
      </c>
      <c r="E1712" s="615" t="s">
        <v>6124</v>
      </c>
      <c r="F1712" s="526" t="s">
        <v>3583</v>
      </c>
      <c r="G1712" s="528">
        <v>46296.0</v>
      </c>
      <c r="H1712" s="526">
        <v>17.0</v>
      </c>
      <c r="I1712" s="526" t="s">
        <v>2890</v>
      </c>
      <c r="L1712" s="140"/>
      <c r="O1712" s="665">
        <v>46054.0</v>
      </c>
    </row>
    <row r="1713" hidden="1">
      <c r="A1713" s="339" t="s">
        <v>6125</v>
      </c>
    </row>
    <row r="1714" ht="30.0" hidden="1" customHeight="1">
      <c r="A1714" s="4" t="s">
        <v>47</v>
      </c>
      <c r="B1714" s="534" t="s">
        <v>7</v>
      </c>
      <c r="C1714" s="4" t="s">
        <v>9</v>
      </c>
      <c r="D1714" s="4" t="s">
        <v>10</v>
      </c>
      <c r="E1714" s="4" t="s">
        <v>11</v>
      </c>
      <c r="F1714" s="4" t="s">
        <v>12</v>
      </c>
      <c r="G1714" s="4" t="s">
        <v>2378</v>
      </c>
      <c r="H1714" s="4" t="s">
        <v>2681</v>
      </c>
      <c r="I1714" s="4" t="s">
        <v>2847</v>
      </c>
      <c r="J1714" s="8" t="s">
        <v>14</v>
      </c>
      <c r="K1714" s="9" t="s">
        <v>16</v>
      </c>
      <c r="L1714" s="9" t="s">
        <v>4330</v>
      </c>
      <c r="M1714" s="9" t="s">
        <v>18</v>
      </c>
      <c r="N1714" s="9" t="s">
        <v>19</v>
      </c>
      <c r="O1714" s="9" t="s">
        <v>20</v>
      </c>
      <c r="P1714" s="9" t="s">
        <v>21</v>
      </c>
      <c r="Q1714" s="35"/>
      <c r="R1714" s="35"/>
      <c r="S1714" s="35"/>
      <c r="T1714" s="35"/>
      <c r="U1714" s="35"/>
      <c r="V1714" s="35"/>
      <c r="W1714" s="35"/>
      <c r="X1714" s="35"/>
      <c r="Y1714" s="35"/>
      <c r="Z1714" s="35"/>
      <c r="AA1714" s="35"/>
      <c r="AB1714" s="35"/>
      <c r="AC1714" s="35"/>
      <c r="AD1714" s="35"/>
      <c r="AE1714" s="35"/>
      <c r="AF1714" s="35"/>
    </row>
    <row r="1715" hidden="1">
      <c r="A1715" s="471">
        <v>1.0</v>
      </c>
      <c r="B1715" s="621" t="s">
        <v>6126</v>
      </c>
      <c r="C1715" s="471" t="s">
        <v>80</v>
      </c>
      <c r="D1715" s="306" t="s">
        <v>6127</v>
      </c>
      <c r="E1715" s="471" t="s">
        <v>6128</v>
      </c>
      <c r="F1715" s="471" t="s">
        <v>4666</v>
      </c>
      <c r="G1715" s="471" t="s">
        <v>6129</v>
      </c>
      <c r="H1715" s="471">
        <v>21.0</v>
      </c>
      <c r="I1715" s="12" t="s">
        <v>2890</v>
      </c>
      <c r="J1715" s="34" t="s">
        <v>6130</v>
      </c>
      <c r="K1715" s="101" t="s">
        <v>5621</v>
      </c>
      <c r="L1715" s="12" t="s">
        <v>374</v>
      </c>
      <c r="M1715" s="19"/>
      <c r="N1715" s="19"/>
      <c r="O1715" s="34" t="s">
        <v>6049</v>
      </c>
      <c r="P1715" s="385" t="s">
        <v>1432</v>
      </c>
    </row>
    <row r="1716" hidden="1">
      <c r="A1716" s="471">
        <v>2.0</v>
      </c>
      <c r="B1716" s="470" t="s">
        <v>6131</v>
      </c>
      <c r="C1716" s="471" t="s">
        <v>80</v>
      </c>
      <c r="D1716" s="306" t="s">
        <v>6132</v>
      </c>
      <c r="E1716" s="613" t="s">
        <v>6133</v>
      </c>
      <c r="F1716" s="471" t="s">
        <v>5712</v>
      </c>
      <c r="G1716" s="471" t="s">
        <v>6129</v>
      </c>
      <c r="H1716" s="471">
        <v>21.0</v>
      </c>
      <c r="I1716" s="12" t="s">
        <v>2890</v>
      </c>
      <c r="J1716" s="34" t="s">
        <v>6044</v>
      </c>
      <c r="K1716" s="148">
        <v>46204.0</v>
      </c>
      <c r="L1716" s="12" t="s">
        <v>4431</v>
      </c>
      <c r="M1716" s="19"/>
      <c r="N1716" s="19"/>
      <c r="O1716" s="34" t="s">
        <v>6049</v>
      </c>
      <c r="P1716" s="385" t="s">
        <v>1432</v>
      </c>
    </row>
    <row r="1717" ht="14.25" hidden="1" customHeight="1">
      <c r="A1717" s="471">
        <v>3.0</v>
      </c>
      <c r="B1717" s="470" t="s">
        <v>6134</v>
      </c>
      <c r="C1717" s="471" t="s">
        <v>80</v>
      </c>
      <c r="D1717" s="306" t="s">
        <v>6135</v>
      </c>
      <c r="E1717" s="613" t="s">
        <v>6136</v>
      </c>
      <c r="F1717" s="471" t="s">
        <v>5712</v>
      </c>
      <c r="G1717" s="471" t="s">
        <v>6129</v>
      </c>
      <c r="H1717" s="471">
        <v>21.0</v>
      </c>
      <c r="I1717" s="12" t="s">
        <v>2890</v>
      </c>
      <c r="J1717" s="34" t="s">
        <v>6044</v>
      </c>
      <c r="K1717" s="148">
        <v>46204.0</v>
      </c>
      <c r="L1717" s="12" t="s">
        <v>4431</v>
      </c>
      <c r="M1717" s="19"/>
      <c r="N1717" s="19"/>
      <c r="O1717" s="34" t="s">
        <v>6049</v>
      </c>
      <c r="P1717" s="385" t="s">
        <v>1432</v>
      </c>
    </row>
    <row r="1718" hidden="1">
      <c r="A1718" s="471">
        <v>4.0</v>
      </c>
      <c r="B1718" s="621" t="s">
        <v>6137</v>
      </c>
      <c r="C1718" s="471" t="s">
        <v>80</v>
      </c>
      <c r="D1718" s="306" t="s">
        <v>6138</v>
      </c>
      <c r="E1718" s="471" t="s">
        <v>6139</v>
      </c>
      <c r="F1718" s="471" t="s">
        <v>4367</v>
      </c>
      <c r="G1718" s="471" t="s">
        <v>6129</v>
      </c>
      <c r="H1718" s="471">
        <v>21.0</v>
      </c>
      <c r="I1718" s="12" t="s">
        <v>2890</v>
      </c>
      <c r="J1718" s="34" t="s">
        <v>6140</v>
      </c>
      <c r="K1718" s="148">
        <v>46235.0</v>
      </c>
      <c r="L1718" s="12" t="s">
        <v>51</v>
      </c>
      <c r="M1718" s="19"/>
      <c r="N1718" s="19"/>
      <c r="O1718" s="34" t="s">
        <v>6049</v>
      </c>
      <c r="P1718" s="385" t="s">
        <v>1432</v>
      </c>
    </row>
    <row r="1719" hidden="1">
      <c r="A1719" s="526">
        <v>5.0</v>
      </c>
      <c r="B1719" s="527" t="s">
        <v>6141</v>
      </c>
      <c r="C1719" s="526" t="s">
        <v>80</v>
      </c>
      <c r="D1719" s="619" t="s">
        <v>6142</v>
      </c>
      <c r="E1719" s="526" t="s">
        <v>6143</v>
      </c>
      <c r="F1719" s="526" t="s">
        <v>4358</v>
      </c>
      <c r="G1719" s="526" t="s">
        <v>6129</v>
      </c>
      <c r="H1719" s="526">
        <v>21.0</v>
      </c>
      <c r="I1719" s="495" t="s">
        <v>2890</v>
      </c>
      <c r="J1719" s="19"/>
      <c r="K1719" s="19"/>
      <c r="L1719" s="14"/>
      <c r="M1719" s="19"/>
      <c r="N1719" s="19"/>
      <c r="O1719" s="148">
        <v>46143.0</v>
      </c>
      <c r="P1719" s="385" t="s">
        <v>1432</v>
      </c>
    </row>
    <row r="1720" hidden="1">
      <c r="A1720" s="471">
        <v>6.0</v>
      </c>
      <c r="B1720" s="470" t="s">
        <v>6144</v>
      </c>
      <c r="C1720" s="471" t="s">
        <v>1185</v>
      </c>
      <c r="D1720" s="306" t="s">
        <v>6145</v>
      </c>
      <c r="E1720" s="471" t="s">
        <v>6146</v>
      </c>
      <c r="F1720" s="471" t="s">
        <v>25</v>
      </c>
      <c r="G1720" s="471" t="s">
        <v>6147</v>
      </c>
      <c r="H1720" s="471">
        <v>22.0</v>
      </c>
      <c r="I1720" s="12" t="s">
        <v>2890</v>
      </c>
      <c r="J1720" s="34" t="s">
        <v>51</v>
      </c>
      <c r="K1720" s="148">
        <v>46296.0</v>
      </c>
      <c r="L1720" s="12" t="s">
        <v>51</v>
      </c>
      <c r="M1720" s="19"/>
      <c r="N1720" s="19"/>
      <c r="O1720" s="34" t="s">
        <v>6148</v>
      </c>
      <c r="P1720" s="385" t="s">
        <v>1432</v>
      </c>
    </row>
    <row r="1721" hidden="1">
      <c r="A1721" s="471">
        <v>7.0</v>
      </c>
      <c r="B1721" s="470" t="s">
        <v>6149</v>
      </c>
      <c r="C1721" s="471" t="s">
        <v>80</v>
      </c>
      <c r="D1721" s="306" t="s">
        <v>6150</v>
      </c>
      <c r="E1721" s="471" t="s">
        <v>6151</v>
      </c>
      <c r="F1721" s="471" t="s">
        <v>6031</v>
      </c>
      <c r="G1721" s="471" t="s">
        <v>6152</v>
      </c>
      <c r="H1721" s="471">
        <v>23.0</v>
      </c>
      <c r="I1721" s="12" t="s">
        <v>2890</v>
      </c>
      <c r="J1721" s="34" t="s">
        <v>6153</v>
      </c>
      <c r="K1721" s="101" t="s">
        <v>6154</v>
      </c>
      <c r="L1721" s="12" t="s">
        <v>51</v>
      </c>
      <c r="M1721" s="19"/>
      <c r="N1721" s="19"/>
      <c r="O1721" s="34" t="s">
        <v>6063</v>
      </c>
      <c r="P1721" s="634" t="s">
        <v>4937</v>
      </c>
    </row>
    <row r="1722" hidden="1">
      <c r="A1722" s="471">
        <v>8.0</v>
      </c>
      <c r="B1722" s="470" t="s">
        <v>6155</v>
      </c>
      <c r="C1722" s="471" t="s">
        <v>80</v>
      </c>
      <c r="D1722" s="306" t="s">
        <v>6156</v>
      </c>
      <c r="E1722" s="471" t="s">
        <v>6157</v>
      </c>
      <c r="F1722" s="471" t="s">
        <v>6158</v>
      </c>
      <c r="G1722" s="471" t="s">
        <v>6147</v>
      </c>
      <c r="H1722" s="471">
        <v>22.0</v>
      </c>
      <c r="I1722" s="12" t="s">
        <v>2890</v>
      </c>
      <c r="J1722" s="34" t="s">
        <v>6084</v>
      </c>
      <c r="K1722" s="148">
        <v>46357.0</v>
      </c>
      <c r="L1722" s="12" t="s">
        <v>51</v>
      </c>
      <c r="M1722" s="19"/>
      <c r="N1722" s="19"/>
      <c r="O1722" s="34" t="s">
        <v>6049</v>
      </c>
      <c r="P1722" s="385" t="s">
        <v>1432</v>
      </c>
    </row>
    <row r="1723" hidden="1">
      <c r="A1723" s="471">
        <v>9.0</v>
      </c>
      <c r="B1723" s="470" t="s">
        <v>6159</v>
      </c>
      <c r="C1723" s="471" t="s">
        <v>80</v>
      </c>
      <c r="D1723" s="306" t="s">
        <v>6160</v>
      </c>
      <c r="E1723" s="471" t="s">
        <v>6161</v>
      </c>
      <c r="F1723" s="471" t="s">
        <v>2540</v>
      </c>
      <c r="G1723" s="471" t="s">
        <v>6147</v>
      </c>
      <c r="H1723" s="471">
        <v>22.0</v>
      </c>
      <c r="I1723" s="12" t="s">
        <v>2890</v>
      </c>
      <c r="J1723" s="34" t="s">
        <v>6108</v>
      </c>
      <c r="K1723" s="148">
        <v>46266.0</v>
      </c>
      <c r="L1723" s="12" t="s">
        <v>5951</v>
      </c>
      <c r="M1723" s="19"/>
      <c r="N1723" s="19"/>
      <c r="O1723" s="34" t="s">
        <v>6162</v>
      </c>
      <c r="P1723" s="385" t="s">
        <v>1432</v>
      </c>
    </row>
    <row r="1724" hidden="1">
      <c r="A1724" s="471">
        <v>10.0</v>
      </c>
      <c r="B1724" s="470" t="s">
        <v>6163</v>
      </c>
      <c r="C1724" s="471" t="s">
        <v>80</v>
      </c>
      <c r="D1724" s="306" t="s">
        <v>6164</v>
      </c>
      <c r="E1724" s="471" t="s">
        <v>6165</v>
      </c>
      <c r="F1724" s="471" t="s">
        <v>2486</v>
      </c>
      <c r="G1724" s="471" t="s">
        <v>6147</v>
      </c>
      <c r="H1724" s="471">
        <v>22.0</v>
      </c>
      <c r="I1724" s="12" t="s">
        <v>2890</v>
      </c>
      <c r="J1724" s="34" t="s">
        <v>6153</v>
      </c>
      <c r="K1724" s="101" t="s">
        <v>283</v>
      </c>
      <c r="L1724" s="12" t="s">
        <v>51</v>
      </c>
      <c r="M1724" s="19"/>
      <c r="N1724" s="19"/>
      <c r="O1724" s="34" t="s">
        <v>5836</v>
      </c>
      <c r="P1724" s="385" t="s">
        <v>1432</v>
      </c>
    </row>
    <row r="1725" hidden="1">
      <c r="A1725" s="471">
        <v>11.0</v>
      </c>
      <c r="B1725" s="470" t="s">
        <v>6166</v>
      </c>
      <c r="C1725" s="471" t="s">
        <v>80</v>
      </c>
      <c r="D1725" s="306" t="s">
        <v>6167</v>
      </c>
      <c r="E1725" s="471" t="s">
        <v>6168</v>
      </c>
      <c r="F1725" s="471" t="s">
        <v>1959</v>
      </c>
      <c r="G1725" s="471" t="s">
        <v>6147</v>
      </c>
      <c r="H1725" s="471">
        <v>22.0</v>
      </c>
      <c r="I1725" s="12" t="s">
        <v>2890</v>
      </c>
      <c r="J1725" s="34" t="s">
        <v>51</v>
      </c>
      <c r="K1725" s="34" t="s">
        <v>6169</v>
      </c>
      <c r="L1725" s="12" t="s">
        <v>51</v>
      </c>
      <c r="M1725" s="19"/>
      <c r="N1725" s="19"/>
      <c r="O1725" s="34" t="s">
        <v>5836</v>
      </c>
      <c r="P1725" s="385" t="s">
        <v>1432</v>
      </c>
    </row>
    <row r="1726" hidden="1">
      <c r="A1726" s="471">
        <v>12.0</v>
      </c>
      <c r="B1726" s="470" t="s">
        <v>6170</v>
      </c>
      <c r="C1726" s="471" t="s">
        <v>80</v>
      </c>
      <c r="D1726" s="306" t="s">
        <v>6171</v>
      </c>
      <c r="E1726" s="613" t="s">
        <v>6172</v>
      </c>
      <c r="F1726" s="471" t="s">
        <v>4358</v>
      </c>
      <c r="G1726" s="471" t="s">
        <v>6152</v>
      </c>
      <c r="H1726" s="471">
        <v>23.0</v>
      </c>
      <c r="I1726" s="12" t="s">
        <v>2890</v>
      </c>
      <c r="J1726" s="34" t="s">
        <v>6173</v>
      </c>
      <c r="K1726" s="148">
        <v>46357.0</v>
      </c>
      <c r="L1726" s="12" t="s">
        <v>374</v>
      </c>
      <c r="M1726" s="19"/>
      <c r="N1726" s="19"/>
      <c r="O1726" s="34" t="s">
        <v>6174</v>
      </c>
      <c r="P1726" s="385" t="s">
        <v>1432</v>
      </c>
    </row>
    <row r="1727" hidden="1">
      <c r="A1727" s="471">
        <v>13.0</v>
      </c>
      <c r="B1727" s="470" t="s">
        <v>6175</v>
      </c>
      <c r="C1727" s="471" t="s">
        <v>80</v>
      </c>
      <c r="D1727" s="306" t="s">
        <v>6176</v>
      </c>
      <c r="E1727" s="613" t="s">
        <v>6177</v>
      </c>
      <c r="F1727" s="471" t="s">
        <v>4358</v>
      </c>
      <c r="G1727" s="471" t="s">
        <v>6152</v>
      </c>
      <c r="H1727" s="471">
        <v>23.0</v>
      </c>
      <c r="I1727" s="12" t="s">
        <v>2890</v>
      </c>
      <c r="J1727" s="34" t="s">
        <v>6173</v>
      </c>
      <c r="K1727" s="148">
        <v>46357.0</v>
      </c>
      <c r="L1727" s="12" t="s">
        <v>374</v>
      </c>
      <c r="M1727" s="19"/>
      <c r="N1727" s="19"/>
      <c r="O1727" s="34" t="s">
        <v>6174</v>
      </c>
      <c r="P1727" s="385" t="s">
        <v>1432</v>
      </c>
    </row>
    <row r="1728" hidden="1">
      <c r="A1728" s="471">
        <v>14.0</v>
      </c>
      <c r="B1728" s="470" t="s">
        <v>6178</v>
      </c>
      <c r="C1728" s="471" t="s">
        <v>1185</v>
      </c>
      <c r="D1728" s="306" t="s">
        <v>6179</v>
      </c>
      <c r="E1728" s="471" t="s">
        <v>6180</v>
      </c>
      <c r="F1728" s="471" t="s">
        <v>2098</v>
      </c>
      <c r="G1728" s="471" t="s">
        <v>6152</v>
      </c>
      <c r="H1728" s="471">
        <v>23.0</v>
      </c>
      <c r="I1728" s="12" t="s">
        <v>2890</v>
      </c>
      <c r="J1728" s="34" t="s">
        <v>6108</v>
      </c>
      <c r="K1728" s="148">
        <v>46296.0</v>
      </c>
      <c r="L1728" s="12" t="s">
        <v>51</v>
      </c>
      <c r="M1728" s="19"/>
      <c r="N1728" s="19"/>
      <c r="O1728" s="34" t="s">
        <v>5836</v>
      </c>
      <c r="P1728" s="385" t="s">
        <v>1432</v>
      </c>
    </row>
    <row r="1729" hidden="1">
      <c r="A1729" s="471">
        <v>15.0</v>
      </c>
      <c r="B1729" s="470" t="s">
        <v>6181</v>
      </c>
      <c r="C1729" s="471" t="s">
        <v>1185</v>
      </c>
      <c r="D1729" s="306" t="s">
        <v>6182</v>
      </c>
      <c r="E1729" s="471" t="s">
        <v>6183</v>
      </c>
      <c r="F1729" s="471" t="s">
        <v>2098</v>
      </c>
      <c r="G1729" s="471" t="s">
        <v>6152</v>
      </c>
      <c r="H1729" s="471">
        <v>23.0</v>
      </c>
      <c r="I1729" s="12" t="s">
        <v>2890</v>
      </c>
      <c r="J1729" s="34" t="s">
        <v>6084</v>
      </c>
      <c r="K1729" s="148">
        <v>46357.0</v>
      </c>
      <c r="L1729" s="12" t="s">
        <v>51</v>
      </c>
      <c r="M1729" s="19"/>
      <c r="N1729" s="19"/>
      <c r="O1729" s="34" t="s">
        <v>6049</v>
      </c>
      <c r="P1729" s="385" t="s">
        <v>1432</v>
      </c>
    </row>
    <row r="1730" hidden="1">
      <c r="A1730" s="471">
        <v>16.0</v>
      </c>
      <c r="B1730" s="470" t="s">
        <v>6184</v>
      </c>
      <c r="C1730" s="471" t="s">
        <v>1185</v>
      </c>
      <c r="D1730" s="306" t="s">
        <v>6185</v>
      </c>
      <c r="E1730" s="471" t="s">
        <v>6186</v>
      </c>
      <c r="F1730" s="471" t="s">
        <v>2098</v>
      </c>
      <c r="G1730" s="471" t="s">
        <v>6152</v>
      </c>
      <c r="H1730" s="471">
        <v>23.0</v>
      </c>
      <c r="I1730" s="12" t="s">
        <v>2890</v>
      </c>
      <c r="J1730" s="34" t="s">
        <v>6084</v>
      </c>
      <c r="K1730" s="148">
        <v>46357.0</v>
      </c>
      <c r="L1730" s="12" t="s">
        <v>51</v>
      </c>
      <c r="M1730" s="19"/>
      <c r="N1730" s="19"/>
      <c r="O1730" s="34" t="s">
        <v>5836</v>
      </c>
      <c r="P1730" s="385" t="s">
        <v>1432</v>
      </c>
    </row>
    <row r="1731" hidden="1">
      <c r="A1731" s="471">
        <v>17.0</v>
      </c>
      <c r="B1731" s="470" t="s">
        <v>6187</v>
      </c>
      <c r="C1731" s="471" t="s">
        <v>1185</v>
      </c>
      <c r="D1731" s="306" t="s">
        <v>6188</v>
      </c>
      <c r="E1731" s="471" t="s">
        <v>6189</v>
      </c>
      <c r="F1731" s="471" t="s">
        <v>2098</v>
      </c>
      <c r="G1731" s="471" t="s">
        <v>6152</v>
      </c>
      <c r="H1731" s="471">
        <v>23.0</v>
      </c>
      <c r="I1731" s="12" t="s">
        <v>2890</v>
      </c>
      <c r="J1731" s="34" t="s">
        <v>6062</v>
      </c>
      <c r="K1731" s="148">
        <v>46296.0</v>
      </c>
      <c r="L1731" s="12" t="s">
        <v>51</v>
      </c>
      <c r="M1731" s="19"/>
      <c r="N1731" s="19"/>
      <c r="O1731" s="34" t="s">
        <v>6148</v>
      </c>
      <c r="P1731" s="385" t="s">
        <v>1432</v>
      </c>
    </row>
    <row r="1732" hidden="1">
      <c r="A1732" s="471">
        <v>18.0</v>
      </c>
      <c r="B1732" s="470" t="s">
        <v>6190</v>
      </c>
      <c r="C1732" s="471" t="s">
        <v>938</v>
      </c>
      <c r="D1732" s="306" t="s">
        <v>6191</v>
      </c>
      <c r="E1732" s="613" t="s">
        <v>6192</v>
      </c>
      <c r="F1732" s="471" t="s">
        <v>243</v>
      </c>
      <c r="G1732" s="471" t="s">
        <v>6152</v>
      </c>
      <c r="H1732" s="471">
        <v>23.0</v>
      </c>
      <c r="I1732" s="12" t="s">
        <v>2890</v>
      </c>
      <c r="J1732" s="34" t="s">
        <v>6084</v>
      </c>
      <c r="K1732" s="148">
        <v>46357.0</v>
      </c>
      <c r="L1732" s="12" t="s">
        <v>5951</v>
      </c>
      <c r="M1732" s="19"/>
      <c r="N1732" s="19"/>
      <c r="O1732" s="34" t="s">
        <v>6049</v>
      </c>
      <c r="P1732" s="385" t="s">
        <v>1432</v>
      </c>
    </row>
    <row r="1733" hidden="1">
      <c r="A1733" s="471">
        <v>19.0</v>
      </c>
      <c r="B1733" s="470" t="s">
        <v>6193</v>
      </c>
      <c r="C1733" s="471" t="s">
        <v>938</v>
      </c>
      <c r="D1733" s="306" t="s">
        <v>6194</v>
      </c>
      <c r="E1733" s="613" t="s">
        <v>6195</v>
      </c>
      <c r="F1733" s="471" t="s">
        <v>243</v>
      </c>
      <c r="G1733" s="471" t="s">
        <v>6152</v>
      </c>
      <c r="H1733" s="471">
        <v>23.0</v>
      </c>
      <c r="I1733" s="12" t="s">
        <v>2890</v>
      </c>
      <c r="J1733" s="34" t="s">
        <v>6084</v>
      </c>
      <c r="K1733" s="148">
        <v>46357.0</v>
      </c>
      <c r="L1733" s="12" t="s">
        <v>5951</v>
      </c>
      <c r="M1733" s="19"/>
      <c r="N1733" s="19"/>
      <c r="O1733" s="34" t="s">
        <v>6049</v>
      </c>
      <c r="P1733" s="385" t="s">
        <v>1432</v>
      </c>
    </row>
    <row r="1734" hidden="1">
      <c r="A1734" s="526">
        <v>20.0</v>
      </c>
      <c r="B1734" s="527" t="s">
        <v>6196</v>
      </c>
      <c r="C1734" s="526" t="s">
        <v>1246</v>
      </c>
      <c r="D1734" s="619" t="s">
        <v>6197</v>
      </c>
      <c r="E1734" s="526" t="s">
        <v>6198</v>
      </c>
      <c r="F1734" s="526" t="s">
        <v>6199</v>
      </c>
      <c r="G1734" s="666">
        <v>46204.0</v>
      </c>
      <c r="H1734" s="526">
        <v>8.0</v>
      </c>
      <c r="I1734" s="495" t="s">
        <v>2890</v>
      </c>
      <c r="J1734" s="19"/>
      <c r="K1734" s="19"/>
      <c r="L1734" s="14"/>
      <c r="M1734" s="19"/>
      <c r="N1734" s="19"/>
      <c r="O1734" s="148">
        <v>46023.0</v>
      </c>
      <c r="P1734" s="19"/>
    </row>
    <row r="1735" hidden="1">
      <c r="A1735" s="471">
        <v>21.0</v>
      </c>
      <c r="B1735" s="470" t="s">
        <v>6200</v>
      </c>
      <c r="C1735" s="471" t="s">
        <v>1185</v>
      </c>
      <c r="D1735" s="306" t="s">
        <v>6201</v>
      </c>
      <c r="E1735" s="615" t="s">
        <v>6202</v>
      </c>
      <c r="F1735" s="471" t="s">
        <v>3583</v>
      </c>
      <c r="G1735" s="471" t="s">
        <v>6203</v>
      </c>
      <c r="H1735" s="471">
        <v>14.0</v>
      </c>
      <c r="I1735" s="12" t="s">
        <v>2890</v>
      </c>
      <c r="J1735" s="34" t="s">
        <v>2541</v>
      </c>
      <c r="K1735" s="19"/>
      <c r="L1735" s="14"/>
      <c r="M1735" s="19"/>
      <c r="N1735" s="19"/>
      <c r="O1735" s="34" t="s">
        <v>6027</v>
      </c>
      <c r="P1735" s="19"/>
    </row>
    <row r="1736" hidden="1">
      <c r="A1736" s="471">
        <v>22.0</v>
      </c>
      <c r="B1736" s="470" t="s">
        <v>6204</v>
      </c>
      <c r="C1736" s="471" t="s">
        <v>1185</v>
      </c>
      <c r="D1736" s="306" t="s">
        <v>6205</v>
      </c>
      <c r="E1736" s="615" t="s">
        <v>6206</v>
      </c>
      <c r="F1736" s="471" t="s">
        <v>3583</v>
      </c>
      <c r="G1736" s="471" t="s">
        <v>6203</v>
      </c>
      <c r="H1736" s="471">
        <v>14.0</v>
      </c>
      <c r="I1736" s="12" t="s">
        <v>2890</v>
      </c>
      <c r="J1736" s="34" t="s">
        <v>2541</v>
      </c>
      <c r="K1736" s="19"/>
      <c r="L1736" s="14"/>
      <c r="M1736" s="19"/>
      <c r="N1736" s="19"/>
      <c r="O1736" s="34" t="s">
        <v>6027</v>
      </c>
      <c r="P1736" s="19"/>
    </row>
    <row r="1737" hidden="1">
      <c r="A1737" s="471">
        <v>23.0</v>
      </c>
      <c r="B1737" s="470" t="s">
        <v>6207</v>
      </c>
      <c r="C1737" s="471" t="s">
        <v>80</v>
      </c>
      <c r="D1737" s="306" t="s">
        <v>6208</v>
      </c>
      <c r="E1737" s="615" t="s">
        <v>6209</v>
      </c>
      <c r="F1737" s="471" t="s">
        <v>3583</v>
      </c>
      <c r="G1737" s="471" t="s">
        <v>6203</v>
      </c>
      <c r="H1737" s="471">
        <v>14.0</v>
      </c>
      <c r="I1737" s="12" t="s">
        <v>2890</v>
      </c>
      <c r="J1737" s="34" t="s">
        <v>2541</v>
      </c>
      <c r="K1737" s="19"/>
      <c r="L1737" s="14"/>
      <c r="M1737" s="19"/>
      <c r="N1737" s="19"/>
      <c r="O1737" s="34" t="s">
        <v>6027</v>
      </c>
      <c r="P1737" s="19"/>
    </row>
    <row r="1738" hidden="1">
      <c r="A1738" s="471">
        <v>24.0</v>
      </c>
      <c r="B1738" s="470" t="s">
        <v>6210</v>
      </c>
      <c r="C1738" s="471" t="s">
        <v>80</v>
      </c>
      <c r="D1738" s="306" t="s">
        <v>6211</v>
      </c>
      <c r="E1738" s="471" t="s">
        <v>6212</v>
      </c>
      <c r="F1738" s="471" t="s">
        <v>6213</v>
      </c>
      <c r="G1738" s="471" t="s">
        <v>6214</v>
      </c>
      <c r="H1738" s="471">
        <v>24.0</v>
      </c>
      <c r="I1738" s="12" t="s">
        <v>2890</v>
      </c>
      <c r="J1738" s="34" t="s">
        <v>6062</v>
      </c>
      <c r="K1738" s="148">
        <v>46266.0</v>
      </c>
      <c r="L1738" s="12" t="s">
        <v>6215</v>
      </c>
      <c r="M1738" s="19"/>
      <c r="N1738" s="19"/>
      <c r="O1738" s="34" t="s">
        <v>6058</v>
      </c>
      <c r="P1738" s="385" t="s">
        <v>1432</v>
      </c>
    </row>
    <row r="1739" hidden="1">
      <c r="A1739" s="471">
        <v>25.0</v>
      </c>
      <c r="B1739" s="470" t="s">
        <v>6216</v>
      </c>
      <c r="C1739" s="647"/>
      <c r="D1739" s="306" t="s">
        <v>6217</v>
      </c>
      <c r="E1739" s="615" t="s">
        <v>44</v>
      </c>
      <c r="F1739" s="647"/>
      <c r="G1739" s="471" t="s">
        <v>6203</v>
      </c>
      <c r="H1739" s="471">
        <v>14.0</v>
      </c>
      <c r="I1739" s="12" t="s">
        <v>2890</v>
      </c>
      <c r="J1739" s="19"/>
      <c r="K1739" s="19"/>
      <c r="L1739" s="14"/>
      <c r="M1739" s="19"/>
      <c r="N1739" s="19"/>
      <c r="O1739" s="34" t="s">
        <v>5997</v>
      </c>
      <c r="P1739" s="19"/>
    </row>
    <row r="1740" hidden="1">
      <c r="A1740" s="471">
        <v>26.0</v>
      </c>
      <c r="B1740" s="470" t="s">
        <v>6218</v>
      </c>
      <c r="C1740" s="647"/>
      <c r="D1740" s="306" t="s">
        <v>6219</v>
      </c>
      <c r="E1740" s="615" t="s">
        <v>44</v>
      </c>
      <c r="F1740" s="647"/>
      <c r="G1740" s="471" t="s">
        <v>6203</v>
      </c>
      <c r="H1740" s="471">
        <v>14.0</v>
      </c>
      <c r="I1740" s="12" t="s">
        <v>2890</v>
      </c>
      <c r="J1740" s="19"/>
      <c r="K1740" s="19"/>
      <c r="L1740" s="14"/>
      <c r="M1740" s="19"/>
      <c r="N1740" s="19"/>
      <c r="O1740" s="34" t="s">
        <v>5997</v>
      </c>
      <c r="P1740" s="19"/>
    </row>
    <row r="1741" hidden="1">
      <c r="A1741" s="471">
        <v>27.0</v>
      </c>
      <c r="B1741" s="470" t="s">
        <v>6220</v>
      </c>
      <c r="C1741" s="647"/>
      <c r="D1741" s="306" t="s">
        <v>6221</v>
      </c>
      <c r="E1741" s="615" t="s">
        <v>44</v>
      </c>
      <c r="F1741" s="647"/>
      <c r="G1741" s="471" t="s">
        <v>6203</v>
      </c>
      <c r="H1741" s="471">
        <v>14.0</v>
      </c>
      <c r="I1741" s="12" t="s">
        <v>2890</v>
      </c>
      <c r="J1741" s="19"/>
      <c r="K1741" s="19"/>
      <c r="L1741" s="14"/>
      <c r="M1741" s="19"/>
      <c r="N1741" s="19"/>
      <c r="O1741" s="34" t="s">
        <v>5997</v>
      </c>
      <c r="P1741" s="19"/>
    </row>
    <row r="1742" hidden="1">
      <c r="A1742" s="471">
        <v>28.0</v>
      </c>
      <c r="B1742" s="470" t="s">
        <v>6222</v>
      </c>
      <c r="C1742" s="647"/>
      <c r="D1742" s="306" t="s">
        <v>6223</v>
      </c>
      <c r="E1742" s="615" t="s">
        <v>44</v>
      </c>
      <c r="F1742" s="647"/>
      <c r="G1742" s="471" t="s">
        <v>6203</v>
      </c>
      <c r="H1742" s="471">
        <v>14.0</v>
      </c>
      <c r="I1742" s="12" t="s">
        <v>2890</v>
      </c>
      <c r="J1742" s="19"/>
      <c r="K1742" s="19"/>
      <c r="L1742" s="14"/>
      <c r="M1742" s="19"/>
      <c r="N1742" s="19"/>
      <c r="O1742" s="34" t="s">
        <v>5997</v>
      </c>
      <c r="P1742" s="19"/>
    </row>
    <row r="1743" hidden="1">
      <c r="A1743" s="471">
        <v>29.0</v>
      </c>
      <c r="B1743" s="470" t="s">
        <v>6224</v>
      </c>
      <c r="C1743" s="647"/>
      <c r="D1743" s="306" t="s">
        <v>6225</v>
      </c>
      <c r="E1743" s="615" t="s">
        <v>44</v>
      </c>
      <c r="F1743" s="647"/>
      <c r="G1743" s="471" t="s">
        <v>6203</v>
      </c>
      <c r="H1743" s="471">
        <v>14.0</v>
      </c>
      <c r="I1743" s="12" t="s">
        <v>2890</v>
      </c>
      <c r="J1743" s="19"/>
      <c r="K1743" s="19"/>
      <c r="L1743" s="14"/>
      <c r="M1743" s="19"/>
      <c r="N1743" s="19"/>
      <c r="O1743" s="34" t="s">
        <v>5997</v>
      </c>
      <c r="P1743" s="19"/>
    </row>
    <row r="1744" hidden="1">
      <c r="A1744" s="471">
        <v>30.0</v>
      </c>
      <c r="B1744" s="470" t="s">
        <v>6226</v>
      </c>
      <c r="C1744" s="647"/>
      <c r="D1744" s="306" t="s">
        <v>6227</v>
      </c>
      <c r="E1744" s="615" t="s">
        <v>44</v>
      </c>
      <c r="F1744" s="647"/>
      <c r="G1744" s="471" t="s">
        <v>6203</v>
      </c>
      <c r="H1744" s="471">
        <v>14.0</v>
      </c>
      <c r="I1744" s="630" t="s">
        <v>5364</v>
      </c>
      <c r="J1744" s="19"/>
      <c r="K1744" s="19"/>
      <c r="L1744" s="14"/>
      <c r="M1744" s="19"/>
      <c r="N1744" s="19"/>
      <c r="O1744" s="34" t="s">
        <v>5997</v>
      </c>
      <c r="P1744" s="19"/>
    </row>
    <row r="1745" hidden="1">
      <c r="A1745" s="471">
        <v>31.0</v>
      </c>
      <c r="B1745" s="470" t="s">
        <v>6228</v>
      </c>
      <c r="C1745" s="647"/>
      <c r="D1745" s="306" t="s">
        <v>6229</v>
      </c>
      <c r="E1745" s="615" t="s">
        <v>44</v>
      </c>
      <c r="F1745" s="647"/>
      <c r="G1745" s="471" t="s">
        <v>6203</v>
      </c>
      <c r="H1745" s="471">
        <v>14.0</v>
      </c>
      <c r="I1745" s="12" t="s">
        <v>2890</v>
      </c>
      <c r="J1745" s="19"/>
      <c r="K1745" s="19"/>
      <c r="L1745" s="14"/>
      <c r="M1745" s="19"/>
      <c r="N1745" s="19"/>
      <c r="O1745" s="34" t="s">
        <v>5997</v>
      </c>
      <c r="P1745" s="19"/>
    </row>
    <row r="1746" hidden="1">
      <c r="A1746" s="471">
        <v>32.0</v>
      </c>
      <c r="B1746" s="621" t="s">
        <v>6230</v>
      </c>
      <c r="C1746" s="471" t="s">
        <v>80</v>
      </c>
      <c r="D1746" s="306" t="s">
        <v>6231</v>
      </c>
      <c r="E1746" s="471" t="s">
        <v>6232</v>
      </c>
      <c r="F1746" s="471" t="s">
        <v>4358</v>
      </c>
      <c r="G1746" s="471" t="s">
        <v>6214</v>
      </c>
      <c r="H1746" s="471">
        <v>24.0</v>
      </c>
      <c r="I1746" s="12" t="s">
        <v>2890</v>
      </c>
      <c r="J1746" s="34" t="s">
        <v>6062</v>
      </c>
      <c r="K1746" s="148">
        <v>46266.0</v>
      </c>
      <c r="L1746" s="12" t="s">
        <v>374</v>
      </c>
      <c r="M1746" s="19"/>
      <c r="N1746" s="19"/>
      <c r="O1746" s="34" t="s">
        <v>6049</v>
      </c>
      <c r="P1746" s="385" t="s">
        <v>1432</v>
      </c>
    </row>
    <row r="1747" hidden="1">
      <c r="A1747" s="471">
        <v>33.0</v>
      </c>
      <c r="B1747" s="470" t="s">
        <v>6233</v>
      </c>
      <c r="C1747" s="471" t="s">
        <v>80</v>
      </c>
      <c r="D1747" s="306" t="s">
        <v>6234</v>
      </c>
      <c r="E1747" s="613" t="s">
        <v>6235</v>
      </c>
      <c r="F1747" s="471" t="s">
        <v>3029</v>
      </c>
      <c r="G1747" s="471" t="s">
        <v>6214</v>
      </c>
      <c r="H1747" s="471">
        <v>24.0</v>
      </c>
      <c r="I1747" s="12" t="s">
        <v>2890</v>
      </c>
      <c r="J1747" s="34" t="s">
        <v>6153</v>
      </c>
      <c r="K1747" s="101" t="s">
        <v>5621</v>
      </c>
      <c r="L1747" s="12" t="s">
        <v>374</v>
      </c>
      <c r="M1747" s="19"/>
      <c r="N1747" s="19"/>
      <c r="O1747" s="34" t="s">
        <v>5836</v>
      </c>
      <c r="P1747" s="385" t="s">
        <v>1432</v>
      </c>
    </row>
    <row r="1748" hidden="1">
      <c r="A1748" s="471">
        <v>34.0</v>
      </c>
      <c r="B1748" s="470" t="s">
        <v>6236</v>
      </c>
      <c r="C1748" s="471" t="s">
        <v>80</v>
      </c>
      <c r="D1748" s="306" t="s">
        <v>6237</v>
      </c>
      <c r="E1748" s="613" t="s">
        <v>6238</v>
      </c>
      <c r="F1748" s="471" t="s">
        <v>3029</v>
      </c>
      <c r="G1748" s="471" t="s">
        <v>6214</v>
      </c>
      <c r="H1748" s="471">
        <v>24.0</v>
      </c>
      <c r="I1748" s="12" t="s">
        <v>2890</v>
      </c>
      <c r="J1748" s="34" t="s">
        <v>6153</v>
      </c>
      <c r="K1748" s="101" t="s">
        <v>5621</v>
      </c>
      <c r="L1748" s="12" t="s">
        <v>374</v>
      </c>
      <c r="M1748" s="19"/>
      <c r="N1748" s="19"/>
      <c r="O1748" s="34" t="s">
        <v>5836</v>
      </c>
      <c r="P1748" s="385" t="s">
        <v>1432</v>
      </c>
    </row>
    <row r="1749" hidden="1">
      <c r="A1749" s="471">
        <v>35.0</v>
      </c>
      <c r="B1749" s="470" t="s">
        <v>6239</v>
      </c>
      <c r="C1749" s="471" t="s">
        <v>80</v>
      </c>
      <c r="D1749" s="306" t="s">
        <v>6240</v>
      </c>
      <c r="E1749" s="471" t="s">
        <v>6241</v>
      </c>
      <c r="F1749" s="471" t="s">
        <v>4358</v>
      </c>
      <c r="G1749" s="471" t="s">
        <v>6242</v>
      </c>
      <c r="H1749" s="471">
        <v>25.0</v>
      </c>
      <c r="I1749" s="12" t="s">
        <v>2890</v>
      </c>
      <c r="J1749" s="34" t="s">
        <v>6153</v>
      </c>
      <c r="K1749" s="19"/>
      <c r="L1749" s="12" t="s">
        <v>374</v>
      </c>
      <c r="M1749" s="19"/>
      <c r="N1749" s="19"/>
      <c r="O1749" s="34" t="s">
        <v>6243</v>
      </c>
      <c r="P1749" s="385" t="s">
        <v>1432</v>
      </c>
    </row>
    <row r="1750" hidden="1">
      <c r="A1750" s="471">
        <v>36.0</v>
      </c>
      <c r="B1750" s="470" t="s">
        <v>6244</v>
      </c>
      <c r="C1750" s="471" t="s">
        <v>80</v>
      </c>
      <c r="D1750" s="306" t="s">
        <v>6245</v>
      </c>
      <c r="E1750" s="471" t="s">
        <v>6246</v>
      </c>
      <c r="F1750" s="471" t="s">
        <v>356</v>
      </c>
      <c r="G1750" s="471" t="s">
        <v>6214</v>
      </c>
      <c r="H1750" s="471">
        <v>24.0</v>
      </c>
      <c r="I1750" s="12" t="s">
        <v>2890</v>
      </c>
      <c r="J1750" s="34" t="s">
        <v>6062</v>
      </c>
      <c r="K1750" s="148">
        <v>46357.0</v>
      </c>
      <c r="L1750" s="12" t="s">
        <v>51</v>
      </c>
      <c r="M1750" s="19"/>
      <c r="N1750" s="19"/>
      <c r="O1750" s="34" t="s">
        <v>6070</v>
      </c>
      <c r="P1750" s="385" t="s">
        <v>1432</v>
      </c>
    </row>
    <row r="1751" hidden="1">
      <c r="A1751" s="471">
        <v>37.0</v>
      </c>
      <c r="B1751" s="470" t="s">
        <v>6247</v>
      </c>
      <c r="C1751" s="471" t="s">
        <v>80</v>
      </c>
      <c r="D1751" s="306" t="s">
        <v>6248</v>
      </c>
      <c r="E1751" s="471" t="s">
        <v>6249</v>
      </c>
      <c r="F1751" s="471" t="s">
        <v>4452</v>
      </c>
      <c r="G1751" s="471" t="s">
        <v>6250</v>
      </c>
      <c r="H1751" s="471">
        <v>26.0</v>
      </c>
      <c r="I1751" s="12" t="s">
        <v>2890</v>
      </c>
      <c r="J1751" s="34" t="s">
        <v>6251</v>
      </c>
      <c r="K1751" s="34" t="s">
        <v>6252</v>
      </c>
      <c r="L1751" s="12" t="s">
        <v>51</v>
      </c>
      <c r="M1751" s="19"/>
      <c r="N1751" s="19"/>
      <c r="O1751" s="34" t="s">
        <v>6253</v>
      </c>
      <c r="P1751" s="385" t="s">
        <v>1432</v>
      </c>
    </row>
    <row r="1752" hidden="1">
      <c r="A1752" s="471">
        <v>38.0</v>
      </c>
      <c r="B1752" s="470" t="s">
        <v>6254</v>
      </c>
      <c r="C1752" s="471" t="s">
        <v>80</v>
      </c>
      <c r="D1752" s="306" t="s">
        <v>6255</v>
      </c>
      <c r="E1752" s="471" t="s">
        <v>6256</v>
      </c>
      <c r="F1752" s="471" t="s">
        <v>6257</v>
      </c>
      <c r="G1752" s="471" t="s">
        <v>6242</v>
      </c>
      <c r="H1752" s="471">
        <v>25.0</v>
      </c>
      <c r="I1752" s="12" t="s">
        <v>2890</v>
      </c>
      <c r="J1752" s="34" t="s">
        <v>6251</v>
      </c>
      <c r="K1752" s="34" t="s">
        <v>6258</v>
      </c>
      <c r="L1752" s="12" t="s">
        <v>51</v>
      </c>
      <c r="M1752" s="19"/>
      <c r="N1752" s="19"/>
      <c r="O1752" s="34" t="s">
        <v>6253</v>
      </c>
      <c r="P1752" s="385" t="s">
        <v>1432</v>
      </c>
    </row>
    <row r="1753" hidden="1">
      <c r="A1753" s="471">
        <v>39.0</v>
      </c>
      <c r="B1753" s="470" t="s">
        <v>6259</v>
      </c>
      <c r="C1753" s="471" t="s">
        <v>80</v>
      </c>
      <c r="D1753" s="306" t="s">
        <v>6260</v>
      </c>
      <c r="E1753" s="613" t="s">
        <v>6261</v>
      </c>
      <c r="F1753" s="471" t="s">
        <v>6262</v>
      </c>
      <c r="G1753" s="471" t="s">
        <v>6242</v>
      </c>
      <c r="H1753" s="471">
        <v>25.0</v>
      </c>
      <c r="I1753" s="12" t="s">
        <v>2890</v>
      </c>
      <c r="J1753" s="34" t="s">
        <v>6173</v>
      </c>
      <c r="K1753" s="148">
        <v>46357.0</v>
      </c>
      <c r="L1753" s="12" t="s">
        <v>374</v>
      </c>
      <c r="M1753" s="19"/>
      <c r="N1753" s="19"/>
      <c r="O1753" s="34" t="s">
        <v>6070</v>
      </c>
      <c r="P1753" s="385" t="s">
        <v>1432</v>
      </c>
    </row>
    <row r="1754" hidden="1">
      <c r="A1754" s="471">
        <v>40.0</v>
      </c>
      <c r="B1754" s="470" t="s">
        <v>6263</v>
      </c>
      <c r="C1754" s="471" t="s">
        <v>80</v>
      </c>
      <c r="D1754" s="306" t="s">
        <v>6264</v>
      </c>
      <c r="E1754" s="613" t="s">
        <v>6265</v>
      </c>
      <c r="F1754" s="471" t="s">
        <v>6262</v>
      </c>
      <c r="G1754" s="471" t="s">
        <v>6242</v>
      </c>
      <c r="H1754" s="471">
        <v>25.0</v>
      </c>
      <c r="I1754" s="12" t="s">
        <v>2890</v>
      </c>
      <c r="J1754" s="34" t="s">
        <v>6173</v>
      </c>
      <c r="K1754" s="148">
        <v>46357.0</v>
      </c>
      <c r="L1754" s="12" t="s">
        <v>374</v>
      </c>
      <c r="M1754" s="19"/>
      <c r="N1754" s="19"/>
      <c r="O1754" s="34" t="s">
        <v>6070</v>
      </c>
      <c r="P1754" s="385" t="s">
        <v>1432</v>
      </c>
    </row>
    <row r="1755" hidden="1">
      <c r="A1755" s="339" t="s">
        <v>6266</v>
      </c>
    </row>
    <row r="1756" hidden="1">
      <c r="A1756" s="4" t="s">
        <v>47</v>
      </c>
      <c r="B1756" s="534" t="s">
        <v>7</v>
      </c>
      <c r="C1756" s="4" t="s">
        <v>9</v>
      </c>
      <c r="D1756" s="4" t="s">
        <v>10</v>
      </c>
      <c r="E1756" s="4" t="s">
        <v>11</v>
      </c>
      <c r="F1756" s="4" t="s">
        <v>12</v>
      </c>
      <c r="G1756" s="4" t="s">
        <v>2378</v>
      </c>
      <c r="H1756" s="4" t="s">
        <v>2681</v>
      </c>
      <c r="I1756" s="4" t="s">
        <v>2847</v>
      </c>
      <c r="J1756" s="8" t="s">
        <v>14</v>
      </c>
      <c r="K1756" s="9" t="s">
        <v>16</v>
      </c>
      <c r="L1756" s="9" t="s">
        <v>4330</v>
      </c>
      <c r="M1756" s="9" t="s">
        <v>18</v>
      </c>
      <c r="N1756" s="9" t="s">
        <v>19</v>
      </c>
      <c r="O1756" s="9" t="s">
        <v>20</v>
      </c>
      <c r="P1756" s="9" t="s">
        <v>21</v>
      </c>
      <c r="Q1756" s="35"/>
      <c r="R1756" s="35"/>
      <c r="S1756" s="35"/>
      <c r="T1756" s="35"/>
      <c r="U1756" s="35"/>
      <c r="V1756" s="35"/>
      <c r="W1756" s="35"/>
      <c r="X1756" s="35"/>
      <c r="Y1756" s="35"/>
      <c r="Z1756" s="35"/>
      <c r="AA1756" s="35"/>
      <c r="AB1756" s="35"/>
      <c r="AC1756" s="35"/>
      <c r="AD1756" s="35"/>
      <c r="AE1756" s="35"/>
      <c r="AF1756" s="35"/>
    </row>
    <row r="1757" hidden="1">
      <c r="A1757" s="471">
        <v>1.0</v>
      </c>
      <c r="B1757" s="549" t="s">
        <v>6267</v>
      </c>
      <c r="C1757" s="471" t="s">
        <v>80</v>
      </c>
      <c r="D1757" s="306" t="s">
        <v>6268</v>
      </c>
      <c r="E1757" s="471" t="s">
        <v>6269</v>
      </c>
      <c r="F1757" s="471" t="s">
        <v>4367</v>
      </c>
      <c r="G1757" s="471" t="s">
        <v>5836</v>
      </c>
      <c r="H1757" s="471">
        <v>21.0</v>
      </c>
      <c r="I1757" s="472" t="s">
        <v>2890</v>
      </c>
      <c r="J1757" s="34" t="s">
        <v>6270</v>
      </c>
      <c r="K1757" s="148">
        <v>46143.0</v>
      </c>
      <c r="L1757" s="12" t="s">
        <v>374</v>
      </c>
      <c r="M1757" s="19"/>
      <c r="N1757" s="19"/>
      <c r="O1757" s="148">
        <v>46296.0</v>
      </c>
      <c r="P1757" s="385" t="s">
        <v>1432</v>
      </c>
    </row>
    <row r="1758" hidden="1">
      <c r="A1758" s="471">
        <v>2.0</v>
      </c>
      <c r="B1758" s="470" t="s">
        <v>6271</v>
      </c>
      <c r="C1758" s="471" t="s">
        <v>651</v>
      </c>
      <c r="D1758" s="306" t="s">
        <v>6272</v>
      </c>
      <c r="E1758" s="471" t="s">
        <v>6273</v>
      </c>
      <c r="F1758" s="471" t="s">
        <v>4779</v>
      </c>
      <c r="G1758" s="525">
        <v>46357.0</v>
      </c>
      <c r="H1758" s="471">
        <v>25.0</v>
      </c>
      <c r="I1758" s="472" t="s">
        <v>2890</v>
      </c>
      <c r="J1758" s="34" t="s">
        <v>6270</v>
      </c>
      <c r="K1758" s="148">
        <v>46143.0</v>
      </c>
      <c r="L1758" s="12" t="s">
        <v>51</v>
      </c>
      <c r="M1758" s="19"/>
      <c r="N1758" s="19"/>
      <c r="O1758" s="148">
        <v>46266.0</v>
      </c>
      <c r="P1758" s="385" t="s">
        <v>1432</v>
      </c>
    </row>
    <row r="1759" hidden="1">
      <c r="A1759" s="471">
        <v>3.0</v>
      </c>
      <c r="B1759" s="470" t="s">
        <v>6274</v>
      </c>
      <c r="C1759" s="471" t="s">
        <v>80</v>
      </c>
      <c r="D1759" s="306" t="s">
        <v>6275</v>
      </c>
      <c r="E1759" s="471" t="s">
        <v>6276</v>
      </c>
      <c r="F1759" s="471" t="s">
        <v>4367</v>
      </c>
      <c r="G1759" s="471" t="s">
        <v>6277</v>
      </c>
      <c r="H1759" s="471">
        <v>25.0</v>
      </c>
      <c r="I1759" s="472" t="s">
        <v>2890</v>
      </c>
      <c r="J1759" s="34" t="s">
        <v>6270</v>
      </c>
      <c r="K1759" s="148">
        <v>46143.0</v>
      </c>
      <c r="L1759" s="12" t="s">
        <v>51</v>
      </c>
      <c r="M1759" s="19"/>
      <c r="N1759" s="19"/>
      <c r="O1759" s="148">
        <v>46296.0</v>
      </c>
      <c r="P1759" s="385" t="s">
        <v>1432</v>
      </c>
    </row>
    <row r="1760" hidden="1">
      <c r="A1760" s="471">
        <v>4.0</v>
      </c>
      <c r="B1760" s="470" t="s">
        <v>6278</v>
      </c>
      <c r="C1760" s="471" t="s">
        <v>80</v>
      </c>
      <c r="D1760" s="306" t="s">
        <v>6279</v>
      </c>
      <c r="E1760" s="615" t="s">
        <v>6280</v>
      </c>
      <c r="F1760" s="471" t="s">
        <v>3928</v>
      </c>
      <c r="G1760" s="471" t="s">
        <v>5997</v>
      </c>
      <c r="H1760" s="471">
        <v>14.0</v>
      </c>
      <c r="I1760" s="472" t="s">
        <v>2890</v>
      </c>
      <c r="J1760" s="34" t="s">
        <v>3099</v>
      </c>
      <c r="K1760" s="19"/>
      <c r="L1760" s="14"/>
      <c r="M1760" s="19"/>
      <c r="N1760" s="19"/>
      <c r="O1760" s="34" t="s">
        <v>6027</v>
      </c>
      <c r="P1760" s="19"/>
    </row>
    <row r="1761" hidden="1">
      <c r="A1761" s="471">
        <v>5.0</v>
      </c>
      <c r="B1761" s="470" t="s">
        <v>6281</v>
      </c>
      <c r="C1761" s="471" t="s">
        <v>80</v>
      </c>
      <c r="D1761" s="306" t="s">
        <v>6282</v>
      </c>
      <c r="E1761" s="615" t="s">
        <v>6283</v>
      </c>
      <c r="F1761" s="471" t="s">
        <v>3928</v>
      </c>
      <c r="G1761" s="471" t="s">
        <v>5997</v>
      </c>
      <c r="H1761" s="471">
        <v>14.0</v>
      </c>
      <c r="I1761" s="472" t="s">
        <v>2890</v>
      </c>
      <c r="J1761" s="34" t="s">
        <v>3099</v>
      </c>
      <c r="K1761" s="19"/>
      <c r="L1761" s="14"/>
      <c r="M1761" s="19"/>
      <c r="N1761" s="19"/>
      <c r="O1761" s="34" t="s">
        <v>6027</v>
      </c>
      <c r="P1761" s="19"/>
    </row>
    <row r="1762" hidden="1">
      <c r="A1762" s="471">
        <v>6.0</v>
      </c>
      <c r="B1762" s="470" t="s">
        <v>6284</v>
      </c>
      <c r="C1762" s="471" t="s">
        <v>80</v>
      </c>
      <c r="D1762" s="306" t="s">
        <v>6285</v>
      </c>
      <c r="E1762" s="615" t="s">
        <v>6286</v>
      </c>
      <c r="F1762" s="471" t="s">
        <v>3928</v>
      </c>
      <c r="G1762" s="471" t="s">
        <v>5997</v>
      </c>
      <c r="H1762" s="471">
        <v>14.0</v>
      </c>
      <c r="I1762" s="472" t="s">
        <v>2890</v>
      </c>
      <c r="J1762" s="34" t="s">
        <v>3099</v>
      </c>
      <c r="K1762" s="19"/>
      <c r="L1762" s="14"/>
      <c r="M1762" s="19"/>
      <c r="N1762" s="19"/>
      <c r="O1762" s="34" t="s">
        <v>6027</v>
      </c>
      <c r="P1762" s="19"/>
    </row>
    <row r="1763" hidden="1">
      <c r="A1763" s="471">
        <v>7.0</v>
      </c>
      <c r="B1763" s="470" t="s">
        <v>6287</v>
      </c>
      <c r="C1763" s="471" t="s">
        <v>80</v>
      </c>
      <c r="D1763" s="306" t="s">
        <v>6288</v>
      </c>
      <c r="E1763" s="615" t="s">
        <v>6289</v>
      </c>
      <c r="F1763" s="471" t="s">
        <v>3928</v>
      </c>
      <c r="G1763" s="471" t="s">
        <v>5997</v>
      </c>
      <c r="H1763" s="471">
        <v>14.0</v>
      </c>
      <c r="I1763" s="522" t="s">
        <v>3043</v>
      </c>
      <c r="J1763" s="34" t="s">
        <v>3099</v>
      </c>
      <c r="K1763" s="19"/>
      <c r="L1763" s="14"/>
      <c r="M1763" s="19"/>
      <c r="N1763" s="19"/>
      <c r="O1763" s="34" t="s">
        <v>6027</v>
      </c>
      <c r="P1763" s="19"/>
    </row>
    <row r="1764" hidden="1">
      <c r="A1764" s="471">
        <v>8.0</v>
      </c>
      <c r="B1764" s="470" t="s">
        <v>6290</v>
      </c>
      <c r="C1764" s="471" t="s">
        <v>80</v>
      </c>
      <c r="D1764" s="306" t="s">
        <v>6291</v>
      </c>
      <c r="E1764" s="615" t="s">
        <v>6292</v>
      </c>
      <c r="F1764" s="471" t="s">
        <v>3928</v>
      </c>
      <c r="G1764" s="471" t="s">
        <v>5997</v>
      </c>
      <c r="H1764" s="471">
        <v>14.0</v>
      </c>
      <c r="I1764" s="472" t="s">
        <v>2890</v>
      </c>
      <c r="J1764" s="34" t="s">
        <v>3099</v>
      </c>
      <c r="K1764" s="19"/>
      <c r="L1764" s="14"/>
      <c r="M1764" s="19"/>
      <c r="N1764" s="19"/>
      <c r="O1764" s="34" t="s">
        <v>6027</v>
      </c>
      <c r="P1764" s="19"/>
    </row>
    <row r="1765" hidden="1">
      <c r="A1765" s="471">
        <v>9.0</v>
      </c>
      <c r="B1765" s="470" t="s">
        <v>6293</v>
      </c>
      <c r="C1765" s="471" t="s">
        <v>80</v>
      </c>
      <c r="D1765" s="306" t="s">
        <v>6294</v>
      </c>
      <c r="E1765" s="615" t="s">
        <v>6295</v>
      </c>
      <c r="F1765" s="471" t="s">
        <v>3583</v>
      </c>
      <c r="G1765" s="471" t="s">
        <v>6027</v>
      </c>
      <c r="H1765" s="471">
        <v>15.0</v>
      </c>
      <c r="I1765" s="472" t="s">
        <v>2890</v>
      </c>
      <c r="J1765" s="34" t="s">
        <v>2541</v>
      </c>
      <c r="K1765" s="19"/>
      <c r="L1765" s="14"/>
      <c r="M1765" s="19"/>
      <c r="N1765" s="19"/>
      <c r="O1765" s="34" t="s">
        <v>6296</v>
      </c>
      <c r="P1765" s="19"/>
    </row>
    <row r="1766" hidden="1">
      <c r="A1766" s="471">
        <v>10.0</v>
      </c>
      <c r="B1766" s="470" t="s">
        <v>6297</v>
      </c>
      <c r="C1766" s="471" t="s">
        <v>80</v>
      </c>
      <c r="D1766" s="306" t="s">
        <v>6298</v>
      </c>
      <c r="E1766" s="613" t="s">
        <v>6299</v>
      </c>
      <c r="F1766" s="471" t="s">
        <v>5712</v>
      </c>
      <c r="G1766" s="471" t="s">
        <v>5836</v>
      </c>
      <c r="H1766" s="471">
        <v>21.0</v>
      </c>
      <c r="I1766" s="472" t="s">
        <v>2890</v>
      </c>
      <c r="J1766" s="34" t="s">
        <v>6173</v>
      </c>
      <c r="K1766" s="34" t="s">
        <v>283</v>
      </c>
      <c r="L1766" s="12" t="s">
        <v>374</v>
      </c>
      <c r="M1766" s="19"/>
      <c r="N1766" s="19"/>
      <c r="O1766" s="34" t="s">
        <v>6174</v>
      </c>
      <c r="P1766" s="385" t="s">
        <v>1432</v>
      </c>
    </row>
    <row r="1767" hidden="1">
      <c r="A1767" s="471">
        <v>11.0</v>
      </c>
      <c r="B1767" s="470" t="s">
        <v>6300</v>
      </c>
      <c r="C1767" s="471" t="s">
        <v>80</v>
      </c>
      <c r="D1767" s="306" t="s">
        <v>6301</v>
      </c>
      <c r="E1767" s="613" t="s">
        <v>6302</v>
      </c>
      <c r="F1767" s="471" t="s">
        <v>5712</v>
      </c>
      <c r="G1767" s="471" t="s">
        <v>5836</v>
      </c>
      <c r="H1767" s="471">
        <v>21.0</v>
      </c>
      <c r="I1767" s="472" t="s">
        <v>2890</v>
      </c>
      <c r="J1767" s="34" t="s">
        <v>6173</v>
      </c>
      <c r="K1767" s="34" t="s">
        <v>283</v>
      </c>
      <c r="L1767" s="12" t="s">
        <v>374</v>
      </c>
      <c r="M1767" s="19"/>
      <c r="N1767" s="19"/>
      <c r="O1767" s="34" t="s">
        <v>6174</v>
      </c>
      <c r="P1767" s="385" t="s">
        <v>1432</v>
      </c>
    </row>
    <row r="1768" hidden="1">
      <c r="A1768" s="471">
        <v>12.0</v>
      </c>
      <c r="B1768" s="470" t="s">
        <v>6303</v>
      </c>
      <c r="C1768" s="471" t="s">
        <v>80</v>
      </c>
      <c r="D1768" s="306" t="s">
        <v>6304</v>
      </c>
      <c r="E1768" s="471" t="s">
        <v>6305</v>
      </c>
      <c r="F1768" s="471" t="s">
        <v>6306</v>
      </c>
      <c r="G1768" s="471" t="s">
        <v>6307</v>
      </c>
      <c r="H1768" s="471">
        <v>23.0</v>
      </c>
      <c r="I1768" s="472" t="s">
        <v>2890</v>
      </c>
      <c r="J1768" s="34" t="s">
        <v>6130</v>
      </c>
      <c r="K1768" s="34" t="s">
        <v>5621</v>
      </c>
      <c r="L1768" s="12" t="s">
        <v>51</v>
      </c>
      <c r="M1768" s="19"/>
      <c r="N1768" s="19"/>
      <c r="O1768" s="34" t="s">
        <v>5836</v>
      </c>
      <c r="P1768" s="385" t="s">
        <v>1432</v>
      </c>
    </row>
    <row r="1769" hidden="1">
      <c r="A1769" s="471">
        <v>13.0</v>
      </c>
      <c r="B1769" s="470" t="s">
        <v>6308</v>
      </c>
      <c r="C1769" s="471" t="s">
        <v>1185</v>
      </c>
      <c r="D1769" s="306" t="s">
        <v>6309</v>
      </c>
      <c r="E1769" s="471" t="s">
        <v>6310</v>
      </c>
      <c r="F1769" s="471" t="s">
        <v>2098</v>
      </c>
      <c r="G1769" s="471" t="s">
        <v>6311</v>
      </c>
      <c r="H1769" s="471">
        <v>24.0</v>
      </c>
      <c r="I1769" s="472" t="s">
        <v>2890</v>
      </c>
      <c r="J1769" s="34" t="s">
        <v>6312</v>
      </c>
      <c r="K1769" s="34" t="s">
        <v>5621</v>
      </c>
      <c r="L1769" s="12" t="s">
        <v>51</v>
      </c>
      <c r="M1769" s="19"/>
      <c r="N1769" s="19"/>
      <c r="O1769" s="34" t="s">
        <v>6148</v>
      </c>
      <c r="P1769" s="385" t="s">
        <v>1432</v>
      </c>
    </row>
    <row r="1770" hidden="1">
      <c r="A1770" s="471">
        <v>14.0</v>
      </c>
      <c r="B1770" s="470" t="s">
        <v>6313</v>
      </c>
      <c r="C1770" s="471" t="s">
        <v>1185</v>
      </c>
      <c r="D1770" s="306" t="s">
        <v>6314</v>
      </c>
      <c r="E1770" s="471" t="s">
        <v>6315</v>
      </c>
      <c r="F1770" s="471" t="s">
        <v>2098</v>
      </c>
      <c r="G1770" s="471" t="s">
        <v>6311</v>
      </c>
      <c r="H1770" s="471">
        <v>24.0</v>
      </c>
      <c r="I1770" s="472" t="s">
        <v>2890</v>
      </c>
      <c r="J1770" s="34" t="s">
        <v>6312</v>
      </c>
      <c r="K1770" s="34" t="s">
        <v>5621</v>
      </c>
      <c r="L1770" s="12" t="s">
        <v>51</v>
      </c>
      <c r="M1770" s="19"/>
      <c r="N1770" s="19"/>
      <c r="O1770" s="34" t="s">
        <v>6148</v>
      </c>
      <c r="P1770" s="634" t="s">
        <v>4937</v>
      </c>
    </row>
    <row r="1771" hidden="1">
      <c r="A1771" s="471">
        <v>15.0</v>
      </c>
      <c r="B1771" s="470" t="s">
        <v>6316</v>
      </c>
      <c r="C1771" s="471" t="s">
        <v>80</v>
      </c>
      <c r="D1771" s="306" t="s">
        <v>6317</v>
      </c>
      <c r="E1771" s="613" t="s">
        <v>6318</v>
      </c>
      <c r="F1771" s="471" t="s">
        <v>4367</v>
      </c>
      <c r="G1771" s="471" t="s">
        <v>6307</v>
      </c>
      <c r="H1771" s="471">
        <v>23.0</v>
      </c>
      <c r="I1771" s="472" t="s">
        <v>2890</v>
      </c>
      <c r="J1771" s="34" t="s">
        <v>6312</v>
      </c>
      <c r="K1771" s="34" t="s">
        <v>5869</v>
      </c>
      <c r="L1771" s="12" t="s">
        <v>374</v>
      </c>
      <c r="M1771" s="19"/>
      <c r="N1771" s="19"/>
      <c r="O1771" s="34" t="s">
        <v>6148</v>
      </c>
      <c r="P1771" s="385" t="s">
        <v>1432</v>
      </c>
    </row>
    <row r="1772" hidden="1">
      <c r="A1772" s="471">
        <v>16.0</v>
      </c>
      <c r="B1772" s="470" t="s">
        <v>6319</v>
      </c>
      <c r="C1772" s="471" t="s">
        <v>80</v>
      </c>
      <c r="D1772" s="306" t="s">
        <v>6320</v>
      </c>
      <c r="E1772" s="613" t="s">
        <v>6321</v>
      </c>
      <c r="F1772" s="471" t="s">
        <v>4367</v>
      </c>
      <c r="G1772" s="471" t="s">
        <v>6307</v>
      </c>
      <c r="H1772" s="471">
        <v>23.0</v>
      </c>
      <c r="I1772" s="472" t="s">
        <v>2890</v>
      </c>
      <c r="J1772" s="34" t="s">
        <v>6312</v>
      </c>
      <c r="K1772" s="34" t="s">
        <v>5869</v>
      </c>
      <c r="L1772" s="12" t="s">
        <v>374</v>
      </c>
      <c r="M1772" s="19"/>
      <c r="N1772" s="19"/>
      <c r="O1772" s="34" t="s">
        <v>6148</v>
      </c>
      <c r="P1772" s="385" t="s">
        <v>1432</v>
      </c>
    </row>
    <row r="1773" hidden="1">
      <c r="A1773" s="471">
        <v>17.0</v>
      </c>
      <c r="B1773" s="470" t="s">
        <v>6322</v>
      </c>
      <c r="C1773" s="471" t="s">
        <v>80</v>
      </c>
      <c r="D1773" s="306" t="s">
        <v>6323</v>
      </c>
      <c r="E1773" s="471" t="s">
        <v>6324</v>
      </c>
      <c r="F1773" s="471" t="s">
        <v>6325</v>
      </c>
      <c r="G1773" s="471" t="s">
        <v>6307</v>
      </c>
      <c r="H1773" s="471">
        <v>23.0</v>
      </c>
      <c r="I1773" s="472" t="s">
        <v>2890</v>
      </c>
      <c r="J1773" s="34" t="s">
        <v>362</v>
      </c>
      <c r="K1773" s="34" t="s">
        <v>6049</v>
      </c>
      <c r="L1773" s="12" t="s">
        <v>51</v>
      </c>
      <c r="M1773" s="19"/>
      <c r="N1773" s="19"/>
      <c r="O1773" s="34" t="s">
        <v>6243</v>
      </c>
      <c r="P1773" s="385" t="s">
        <v>1432</v>
      </c>
    </row>
    <row r="1774" hidden="1">
      <c r="A1774" s="471">
        <v>18.0</v>
      </c>
      <c r="B1774" s="549" t="s">
        <v>6326</v>
      </c>
      <c r="C1774" s="471" t="s">
        <v>80</v>
      </c>
      <c r="D1774" s="306" t="s">
        <v>6327</v>
      </c>
      <c r="E1774" s="471" t="s">
        <v>6328</v>
      </c>
      <c r="F1774" s="471" t="s">
        <v>4666</v>
      </c>
      <c r="G1774" s="471" t="s">
        <v>6148</v>
      </c>
      <c r="H1774" s="471">
        <v>26.0</v>
      </c>
      <c r="I1774" s="472" t="s">
        <v>2890</v>
      </c>
      <c r="J1774" s="34" t="s">
        <v>6312</v>
      </c>
      <c r="K1774" s="19"/>
      <c r="L1774" s="12" t="s">
        <v>374</v>
      </c>
      <c r="M1774" s="19"/>
      <c r="N1774" s="19"/>
      <c r="O1774" s="34" t="s">
        <v>6329</v>
      </c>
      <c r="P1774" s="385" t="s">
        <v>1432</v>
      </c>
    </row>
    <row r="1775" hidden="1">
      <c r="A1775" s="471">
        <v>19.0</v>
      </c>
      <c r="B1775" s="470" t="s">
        <v>6330</v>
      </c>
      <c r="C1775" s="471" t="s">
        <v>80</v>
      </c>
      <c r="D1775" s="306" t="s">
        <v>6331</v>
      </c>
      <c r="E1775" s="471" t="s">
        <v>6332</v>
      </c>
      <c r="F1775" s="471" t="s">
        <v>436</v>
      </c>
      <c r="G1775" s="471" t="s">
        <v>6311</v>
      </c>
      <c r="H1775" s="471">
        <v>24.0</v>
      </c>
      <c r="I1775" s="540" t="s">
        <v>3465</v>
      </c>
      <c r="J1775" s="34" t="s">
        <v>51</v>
      </c>
      <c r="K1775" s="622">
        <v>46083.0</v>
      </c>
      <c r="L1775" s="12" t="s">
        <v>374</v>
      </c>
      <c r="M1775" s="19"/>
      <c r="N1775" s="19"/>
      <c r="O1775" s="661">
        <v>46328.0</v>
      </c>
      <c r="P1775" s="385" t="s">
        <v>1432</v>
      </c>
    </row>
    <row r="1776" hidden="1">
      <c r="A1776" s="471">
        <v>20.0</v>
      </c>
      <c r="B1776" s="470" t="s">
        <v>6333</v>
      </c>
      <c r="C1776" s="471" t="s">
        <v>80</v>
      </c>
      <c r="D1776" s="306" t="s">
        <v>6334</v>
      </c>
      <c r="E1776" s="613" t="s">
        <v>6335</v>
      </c>
      <c r="F1776" s="471" t="s">
        <v>6336</v>
      </c>
      <c r="G1776" s="471" t="s">
        <v>6277</v>
      </c>
      <c r="H1776" s="471">
        <v>25.0</v>
      </c>
      <c r="I1776" s="472" t="s">
        <v>2890</v>
      </c>
      <c r="J1776" s="34" t="s">
        <v>6337</v>
      </c>
      <c r="K1776" s="34" t="s">
        <v>6154</v>
      </c>
      <c r="L1776" s="12" t="s">
        <v>374</v>
      </c>
      <c r="M1776" s="19"/>
      <c r="N1776" s="19"/>
      <c r="O1776" s="34" t="s">
        <v>5836</v>
      </c>
      <c r="P1776" s="385" t="s">
        <v>1432</v>
      </c>
    </row>
    <row r="1777" hidden="1">
      <c r="A1777" s="471">
        <v>21.0</v>
      </c>
      <c r="B1777" s="470" t="s">
        <v>6338</v>
      </c>
      <c r="C1777" s="471" t="s">
        <v>80</v>
      </c>
      <c r="D1777" s="306" t="s">
        <v>6339</v>
      </c>
      <c r="E1777" s="613" t="s">
        <v>6340</v>
      </c>
      <c r="F1777" s="471" t="s">
        <v>6336</v>
      </c>
      <c r="G1777" s="471" t="s">
        <v>6277</v>
      </c>
      <c r="H1777" s="471">
        <v>25.0</v>
      </c>
      <c r="I1777" s="472" t="s">
        <v>2890</v>
      </c>
      <c r="J1777" s="34" t="s">
        <v>6337</v>
      </c>
      <c r="K1777" s="34" t="s">
        <v>6154</v>
      </c>
      <c r="L1777" s="12" t="s">
        <v>374</v>
      </c>
      <c r="M1777" s="19"/>
      <c r="N1777" s="19"/>
      <c r="O1777" s="34" t="s">
        <v>5836</v>
      </c>
      <c r="P1777" s="385" t="s">
        <v>1432</v>
      </c>
    </row>
    <row r="1778" hidden="1">
      <c r="A1778" s="471">
        <v>22.0</v>
      </c>
      <c r="B1778" s="470" t="s">
        <v>6341</v>
      </c>
      <c r="C1778" s="471" t="s">
        <v>80</v>
      </c>
      <c r="D1778" s="306" t="s">
        <v>6342</v>
      </c>
      <c r="E1778" s="471" t="s">
        <v>6343</v>
      </c>
      <c r="F1778" s="471" t="s">
        <v>356</v>
      </c>
      <c r="G1778" s="471" t="s">
        <v>6311</v>
      </c>
      <c r="H1778" s="471">
        <v>24.0</v>
      </c>
      <c r="I1778" s="472" t="s">
        <v>2890</v>
      </c>
      <c r="J1778" s="34" t="s">
        <v>6312</v>
      </c>
      <c r="K1778" s="34" t="s">
        <v>5869</v>
      </c>
      <c r="L1778" s="12" t="s">
        <v>51</v>
      </c>
      <c r="M1778" s="19"/>
      <c r="N1778" s="19"/>
      <c r="O1778" s="34" t="s">
        <v>6148</v>
      </c>
      <c r="P1778" s="385" t="s">
        <v>1432</v>
      </c>
    </row>
    <row r="1779" hidden="1">
      <c r="A1779" s="471">
        <v>23.0</v>
      </c>
      <c r="B1779" s="470" t="s">
        <v>6344</v>
      </c>
      <c r="C1779" s="471" t="s">
        <v>80</v>
      </c>
      <c r="D1779" s="306" t="s">
        <v>6345</v>
      </c>
      <c r="E1779" s="471" t="s">
        <v>6346</v>
      </c>
      <c r="F1779" s="471" t="s">
        <v>356</v>
      </c>
      <c r="G1779" s="471" t="s">
        <v>6311</v>
      </c>
      <c r="H1779" s="471">
        <v>24.0</v>
      </c>
      <c r="I1779" s="472" t="s">
        <v>2890</v>
      </c>
      <c r="J1779" s="34" t="s">
        <v>51</v>
      </c>
      <c r="K1779" s="34" t="s">
        <v>6154</v>
      </c>
      <c r="L1779" s="12" t="s">
        <v>51</v>
      </c>
      <c r="M1779" s="19"/>
      <c r="N1779" s="19"/>
      <c r="O1779" s="34" t="s">
        <v>6148</v>
      </c>
      <c r="P1779" s="385" t="s">
        <v>1432</v>
      </c>
    </row>
    <row r="1780" hidden="1">
      <c r="A1780" s="471">
        <v>24.0</v>
      </c>
      <c r="B1780" s="470" t="s">
        <v>6347</v>
      </c>
      <c r="C1780" s="471" t="s">
        <v>80</v>
      </c>
      <c r="D1780" s="306" t="s">
        <v>6348</v>
      </c>
      <c r="E1780" s="471" t="s">
        <v>6349</v>
      </c>
      <c r="F1780" s="471" t="s">
        <v>6350</v>
      </c>
      <c r="G1780" s="471" t="s">
        <v>6277</v>
      </c>
      <c r="H1780" s="471">
        <v>25.0</v>
      </c>
      <c r="I1780" s="472" t="s">
        <v>2890</v>
      </c>
      <c r="J1780" s="34" t="s">
        <v>51</v>
      </c>
      <c r="K1780" s="34" t="s">
        <v>283</v>
      </c>
      <c r="L1780" s="12" t="s">
        <v>374</v>
      </c>
      <c r="M1780" s="19"/>
      <c r="N1780" s="19"/>
      <c r="O1780" s="71">
        <v>46175.0</v>
      </c>
      <c r="P1780" s="385" t="s">
        <v>1432</v>
      </c>
    </row>
    <row r="1781" hidden="1">
      <c r="A1781" s="339" t="s">
        <v>6351</v>
      </c>
    </row>
    <row r="1782" hidden="1">
      <c r="A1782" s="4" t="s">
        <v>47</v>
      </c>
      <c r="B1782" s="534" t="s">
        <v>7</v>
      </c>
      <c r="C1782" s="4" t="s">
        <v>9</v>
      </c>
      <c r="D1782" s="4" t="s">
        <v>10</v>
      </c>
      <c r="E1782" s="4" t="s">
        <v>11</v>
      </c>
      <c r="F1782" s="4" t="s">
        <v>12</v>
      </c>
      <c r="G1782" s="4" t="s">
        <v>2378</v>
      </c>
      <c r="H1782" s="4" t="s">
        <v>2681</v>
      </c>
      <c r="I1782" s="4" t="s">
        <v>2847</v>
      </c>
      <c r="J1782" s="8" t="s">
        <v>14</v>
      </c>
      <c r="K1782" s="9" t="s">
        <v>16</v>
      </c>
      <c r="L1782" s="9" t="s">
        <v>4330</v>
      </c>
      <c r="M1782" s="9" t="s">
        <v>18</v>
      </c>
      <c r="N1782" s="9" t="s">
        <v>19</v>
      </c>
      <c r="O1782" s="9" t="s">
        <v>20</v>
      </c>
      <c r="P1782" s="9" t="s">
        <v>21</v>
      </c>
      <c r="Q1782" s="35"/>
      <c r="R1782" s="35"/>
      <c r="S1782" s="35"/>
      <c r="T1782" s="35"/>
      <c r="U1782" s="35"/>
      <c r="V1782" s="35"/>
      <c r="W1782" s="35"/>
      <c r="X1782" s="35"/>
      <c r="Y1782" s="35"/>
      <c r="Z1782" s="35"/>
      <c r="AA1782" s="35"/>
      <c r="AB1782" s="35"/>
      <c r="AC1782" s="35"/>
      <c r="AD1782" s="35"/>
      <c r="AE1782" s="35"/>
      <c r="AF1782" s="35"/>
    </row>
    <row r="1783" hidden="1">
      <c r="A1783" s="526">
        <v>1.0</v>
      </c>
      <c r="B1783" s="527" t="s">
        <v>6352</v>
      </c>
      <c r="C1783" s="526" t="s">
        <v>80</v>
      </c>
      <c r="D1783" s="526" t="s">
        <v>6353</v>
      </c>
      <c r="E1783" s="526" t="s">
        <v>6354</v>
      </c>
      <c r="F1783" s="526" t="s">
        <v>4666</v>
      </c>
      <c r="G1783" s="526" t="s">
        <v>6250</v>
      </c>
      <c r="H1783" s="526">
        <v>20.0</v>
      </c>
      <c r="I1783" s="574" t="s">
        <v>2890</v>
      </c>
      <c r="J1783" s="34" t="s">
        <v>6270</v>
      </c>
      <c r="K1783" s="148">
        <v>46174.0</v>
      </c>
      <c r="L1783" s="140"/>
      <c r="O1783" s="571">
        <v>46235.0</v>
      </c>
      <c r="P1783" s="385" t="s">
        <v>1432</v>
      </c>
    </row>
    <row r="1784" hidden="1">
      <c r="A1784" s="526">
        <v>2.0</v>
      </c>
      <c r="B1784" s="527" t="s">
        <v>6355</v>
      </c>
      <c r="C1784" s="526" t="s">
        <v>80</v>
      </c>
      <c r="D1784" s="526" t="s">
        <v>6356</v>
      </c>
      <c r="E1784" s="526" t="s">
        <v>6357</v>
      </c>
      <c r="F1784" s="526" t="s">
        <v>4405</v>
      </c>
      <c r="G1784" s="526" t="s">
        <v>6358</v>
      </c>
      <c r="H1784" s="526">
        <v>22.0</v>
      </c>
      <c r="I1784" s="574" t="s">
        <v>2890</v>
      </c>
      <c r="J1784" s="34" t="s">
        <v>6270</v>
      </c>
      <c r="K1784" s="148">
        <v>46174.0</v>
      </c>
      <c r="L1784" s="140"/>
      <c r="O1784" s="571">
        <v>46235.0</v>
      </c>
      <c r="P1784" s="385" t="s">
        <v>1432</v>
      </c>
    </row>
    <row r="1785" hidden="1">
      <c r="A1785" s="471">
        <v>3.0</v>
      </c>
      <c r="B1785" s="621" t="s">
        <v>6359</v>
      </c>
      <c r="C1785" s="471" t="s">
        <v>80</v>
      </c>
      <c r="D1785" s="471" t="s">
        <v>6360</v>
      </c>
      <c r="E1785" s="471" t="s">
        <v>6361</v>
      </c>
      <c r="F1785" s="471" t="s">
        <v>4405</v>
      </c>
      <c r="G1785" s="471" t="s">
        <v>6362</v>
      </c>
      <c r="H1785" s="471">
        <v>21.0</v>
      </c>
      <c r="I1785" s="472" t="s">
        <v>2890</v>
      </c>
      <c r="J1785" s="34" t="s">
        <v>6130</v>
      </c>
      <c r="K1785" s="34" t="s">
        <v>5621</v>
      </c>
      <c r="L1785" s="12" t="s">
        <v>374</v>
      </c>
      <c r="M1785" s="19"/>
      <c r="N1785" s="19"/>
      <c r="O1785" s="34" t="s">
        <v>6148</v>
      </c>
      <c r="P1785" s="385" t="s">
        <v>1432</v>
      </c>
    </row>
    <row r="1786" hidden="1">
      <c r="A1786" s="471">
        <v>4.0</v>
      </c>
      <c r="B1786" s="470" t="s">
        <v>6363</v>
      </c>
      <c r="C1786" s="471" t="s">
        <v>1185</v>
      </c>
      <c r="D1786" s="471" t="s">
        <v>6364</v>
      </c>
      <c r="E1786" s="471" t="s">
        <v>6365</v>
      </c>
      <c r="F1786" s="471" t="s">
        <v>25</v>
      </c>
      <c r="G1786" s="471" t="s">
        <v>6366</v>
      </c>
      <c r="H1786" s="471">
        <v>24.0</v>
      </c>
      <c r="I1786" s="472" t="s">
        <v>2890</v>
      </c>
      <c r="J1786" s="34" t="s">
        <v>5035</v>
      </c>
      <c r="K1786" s="34" t="s">
        <v>5621</v>
      </c>
      <c r="L1786" s="12" t="s">
        <v>374</v>
      </c>
      <c r="M1786" s="19"/>
      <c r="N1786" s="19"/>
      <c r="O1786" s="34" t="s">
        <v>5464</v>
      </c>
      <c r="P1786" s="385" t="s">
        <v>1432</v>
      </c>
    </row>
    <row r="1787" hidden="1">
      <c r="A1787" s="471">
        <v>4.0</v>
      </c>
      <c r="B1787" s="470" t="s">
        <v>6363</v>
      </c>
      <c r="C1787" s="471" t="s">
        <v>1185</v>
      </c>
      <c r="D1787" s="471" t="s">
        <v>6364</v>
      </c>
      <c r="E1787" s="471" t="s">
        <v>6365</v>
      </c>
      <c r="F1787" s="471" t="s">
        <v>25</v>
      </c>
      <c r="G1787" s="471" t="s">
        <v>6366</v>
      </c>
      <c r="H1787" s="471">
        <v>24.0</v>
      </c>
      <c r="I1787" s="472" t="s">
        <v>2890</v>
      </c>
      <c r="J1787" s="34" t="s">
        <v>5035</v>
      </c>
      <c r="K1787" s="34" t="s">
        <v>5621</v>
      </c>
      <c r="L1787" s="12" t="s">
        <v>374</v>
      </c>
      <c r="M1787" s="19"/>
      <c r="N1787" s="19"/>
      <c r="O1787" s="34" t="s">
        <v>5464</v>
      </c>
      <c r="P1787" s="385" t="s">
        <v>1432</v>
      </c>
    </row>
    <row r="1788" ht="19.5" hidden="1" customHeight="1">
      <c r="A1788" s="471">
        <v>6.0</v>
      </c>
      <c r="B1788" s="470" t="s">
        <v>6367</v>
      </c>
      <c r="C1788" s="471" t="s">
        <v>6368</v>
      </c>
      <c r="D1788" s="471" t="s">
        <v>6369</v>
      </c>
      <c r="E1788" s="471" t="s">
        <v>6370</v>
      </c>
      <c r="F1788" s="471" t="s">
        <v>1199</v>
      </c>
      <c r="G1788" s="471" t="s">
        <v>6358</v>
      </c>
      <c r="H1788" s="471">
        <v>22.0</v>
      </c>
      <c r="I1788" s="472" t="s">
        <v>2890</v>
      </c>
      <c r="J1788" s="34" t="s">
        <v>5035</v>
      </c>
      <c r="K1788" s="34" t="s">
        <v>6371</v>
      </c>
      <c r="L1788" s="12" t="s">
        <v>374</v>
      </c>
      <c r="M1788" s="19"/>
      <c r="N1788" s="19"/>
      <c r="O1788" s="34" t="s">
        <v>6372</v>
      </c>
      <c r="P1788" s="385" t="s">
        <v>1432</v>
      </c>
    </row>
    <row r="1789" hidden="1">
      <c r="A1789" s="471">
        <v>7.0</v>
      </c>
      <c r="B1789" s="470" t="s">
        <v>6373</v>
      </c>
      <c r="C1789" s="471" t="s">
        <v>80</v>
      </c>
      <c r="D1789" s="471" t="s">
        <v>6374</v>
      </c>
      <c r="E1789" s="613" t="s">
        <v>6375</v>
      </c>
      <c r="F1789" s="471" t="s">
        <v>6376</v>
      </c>
      <c r="G1789" s="471" t="s">
        <v>6377</v>
      </c>
      <c r="H1789" s="471">
        <v>23.0</v>
      </c>
      <c r="I1789" s="522" t="s">
        <v>5364</v>
      </c>
      <c r="J1789" s="34" t="s">
        <v>6378</v>
      </c>
      <c r="K1789" s="34" t="s">
        <v>6070</v>
      </c>
      <c r="L1789" s="12" t="s">
        <v>374</v>
      </c>
      <c r="M1789" s="19"/>
      <c r="N1789" s="19"/>
      <c r="O1789" s="34" t="s">
        <v>6243</v>
      </c>
      <c r="P1789" s="407" t="s">
        <v>1798</v>
      </c>
    </row>
    <row r="1790" hidden="1">
      <c r="A1790" s="471">
        <v>8.0</v>
      </c>
      <c r="B1790" s="470" t="s">
        <v>6379</v>
      </c>
      <c r="C1790" s="471" t="s">
        <v>80</v>
      </c>
      <c r="D1790" s="471" t="s">
        <v>6380</v>
      </c>
      <c r="E1790" s="613" t="s">
        <v>6381</v>
      </c>
      <c r="F1790" s="471" t="s">
        <v>6376</v>
      </c>
      <c r="G1790" s="471" t="s">
        <v>6377</v>
      </c>
      <c r="H1790" s="471">
        <v>23.0</v>
      </c>
      <c r="I1790" s="472" t="s">
        <v>2890</v>
      </c>
      <c r="J1790" s="34" t="s">
        <v>6378</v>
      </c>
      <c r="K1790" s="34" t="s">
        <v>6070</v>
      </c>
      <c r="L1790" s="12" t="s">
        <v>374</v>
      </c>
      <c r="M1790" s="19"/>
      <c r="N1790" s="19"/>
      <c r="O1790" s="34" t="s">
        <v>6243</v>
      </c>
      <c r="P1790" s="407" t="s">
        <v>1798</v>
      </c>
    </row>
    <row r="1791" hidden="1">
      <c r="A1791" s="471">
        <v>9.0</v>
      </c>
      <c r="B1791" s="470" t="s">
        <v>6382</v>
      </c>
      <c r="C1791" s="471" t="s">
        <v>1185</v>
      </c>
      <c r="D1791" s="471" t="s">
        <v>6383</v>
      </c>
      <c r="E1791" s="471" t="s">
        <v>6384</v>
      </c>
      <c r="F1791" s="471" t="s">
        <v>25</v>
      </c>
      <c r="G1791" s="471" t="s">
        <v>6385</v>
      </c>
      <c r="H1791" s="471">
        <v>25.0</v>
      </c>
      <c r="I1791" s="472" t="s">
        <v>2890</v>
      </c>
      <c r="J1791" s="34" t="s">
        <v>6386</v>
      </c>
      <c r="K1791" s="34" t="s">
        <v>6058</v>
      </c>
      <c r="L1791" s="12" t="s">
        <v>51</v>
      </c>
      <c r="M1791" s="19"/>
      <c r="N1791" s="19"/>
      <c r="O1791" s="34" t="s">
        <v>6253</v>
      </c>
      <c r="P1791" s="385" t="s">
        <v>1432</v>
      </c>
    </row>
    <row r="1792" hidden="1">
      <c r="A1792" s="471">
        <v>10.0</v>
      </c>
      <c r="B1792" s="470" t="s">
        <v>6387</v>
      </c>
      <c r="C1792" s="471" t="s">
        <v>80</v>
      </c>
      <c r="D1792" s="471" t="s">
        <v>6388</v>
      </c>
      <c r="E1792" s="471" t="s">
        <v>6389</v>
      </c>
      <c r="F1792" s="471" t="s">
        <v>4405</v>
      </c>
      <c r="G1792" s="471" t="s">
        <v>6385</v>
      </c>
      <c r="H1792" s="471">
        <v>25.0</v>
      </c>
      <c r="I1792" s="472" t="s">
        <v>2890</v>
      </c>
      <c r="J1792" s="34" t="s">
        <v>6386</v>
      </c>
      <c r="K1792" s="34" t="s">
        <v>6058</v>
      </c>
      <c r="L1792" s="12" t="s">
        <v>51</v>
      </c>
      <c r="M1792" s="19"/>
      <c r="N1792" s="19"/>
      <c r="O1792" s="34" t="s">
        <v>6148</v>
      </c>
      <c r="P1792" s="385" t="s">
        <v>1432</v>
      </c>
    </row>
    <row r="1793" hidden="1">
      <c r="A1793" s="471">
        <v>11.0</v>
      </c>
      <c r="B1793" s="470" t="s">
        <v>6390</v>
      </c>
      <c r="C1793" s="471" t="s">
        <v>80</v>
      </c>
      <c r="D1793" s="471" t="s">
        <v>6391</v>
      </c>
      <c r="E1793" s="471" t="s">
        <v>6392</v>
      </c>
      <c r="F1793" s="471" t="s">
        <v>4405</v>
      </c>
      <c r="G1793" s="471" t="s">
        <v>6385</v>
      </c>
      <c r="H1793" s="471">
        <v>25.0</v>
      </c>
      <c r="I1793" s="472" t="s">
        <v>2890</v>
      </c>
      <c r="J1793" s="34" t="s">
        <v>6386</v>
      </c>
      <c r="K1793" s="34" t="s">
        <v>6058</v>
      </c>
      <c r="L1793" s="12" t="s">
        <v>51</v>
      </c>
      <c r="M1793" s="19"/>
      <c r="N1793" s="19"/>
      <c r="O1793" s="34" t="s">
        <v>6393</v>
      </c>
      <c r="P1793" s="385" t="s">
        <v>1432</v>
      </c>
    </row>
    <row r="1794" hidden="1">
      <c r="A1794" s="471">
        <v>12.0</v>
      </c>
      <c r="B1794" s="470" t="s">
        <v>6394</v>
      </c>
      <c r="C1794" s="471" t="s">
        <v>80</v>
      </c>
      <c r="D1794" s="471" t="s">
        <v>6395</v>
      </c>
      <c r="E1794" s="471" t="s">
        <v>6396</v>
      </c>
      <c r="F1794" s="471" t="s">
        <v>356</v>
      </c>
      <c r="G1794" s="471" t="s">
        <v>6385</v>
      </c>
      <c r="H1794" s="471">
        <v>25.0</v>
      </c>
      <c r="I1794" s="522" t="s">
        <v>5364</v>
      </c>
      <c r="J1794" s="34" t="s">
        <v>6397</v>
      </c>
      <c r="K1794" s="34" t="s">
        <v>6063</v>
      </c>
      <c r="L1794" s="12" t="s">
        <v>51</v>
      </c>
      <c r="M1794" s="19"/>
      <c r="N1794" s="19"/>
      <c r="O1794" s="19"/>
      <c r="P1794" s="385" t="s">
        <v>1432</v>
      </c>
    </row>
    <row r="1795" hidden="1">
      <c r="A1795" s="471">
        <v>13.0</v>
      </c>
      <c r="B1795" s="470" t="s">
        <v>6398</v>
      </c>
      <c r="C1795" s="471" t="s">
        <v>80</v>
      </c>
      <c r="D1795" s="471" t="s">
        <v>6399</v>
      </c>
      <c r="E1795" s="471" t="s">
        <v>6400</v>
      </c>
      <c r="F1795" s="471" t="s">
        <v>356</v>
      </c>
      <c r="G1795" s="471" t="s">
        <v>6385</v>
      </c>
      <c r="H1795" s="471">
        <v>25.0</v>
      </c>
      <c r="I1795" s="472" t="s">
        <v>2890</v>
      </c>
      <c r="J1795" s="34" t="s">
        <v>6397</v>
      </c>
      <c r="K1795" s="34" t="s">
        <v>6063</v>
      </c>
      <c r="L1795" s="12" t="s">
        <v>51</v>
      </c>
      <c r="M1795" s="19"/>
      <c r="N1795" s="19"/>
      <c r="O1795" s="19"/>
      <c r="P1795" s="385" t="s">
        <v>1432</v>
      </c>
    </row>
    <row r="1796" hidden="1">
      <c r="A1796" s="471">
        <v>14.0</v>
      </c>
      <c r="B1796" s="470" t="s">
        <v>6401</v>
      </c>
      <c r="C1796" s="647"/>
      <c r="D1796" s="471" t="s">
        <v>6402</v>
      </c>
      <c r="E1796" s="593" t="s">
        <v>6403</v>
      </c>
      <c r="F1796" s="647"/>
      <c r="G1796" s="647"/>
      <c r="H1796" s="647"/>
      <c r="I1796" s="472" t="s">
        <v>2890</v>
      </c>
      <c r="J1796" s="19"/>
      <c r="K1796" s="148">
        <v>45819.0</v>
      </c>
      <c r="L1796" s="12" t="s">
        <v>5107</v>
      </c>
      <c r="M1796" s="19"/>
      <c r="N1796" s="19"/>
      <c r="O1796" s="34" t="s">
        <v>5891</v>
      </c>
    </row>
    <row r="1797" hidden="1">
      <c r="A1797" s="471">
        <v>15.0</v>
      </c>
      <c r="B1797" s="470" t="s">
        <v>6404</v>
      </c>
      <c r="C1797" s="647"/>
      <c r="D1797" s="471" t="s">
        <v>6405</v>
      </c>
      <c r="E1797" s="593" t="s">
        <v>6403</v>
      </c>
      <c r="F1797" s="647"/>
      <c r="G1797" s="647"/>
      <c r="H1797" s="647"/>
      <c r="I1797" s="472" t="s">
        <v>2890</v>
      </c>
      <c r="J1797" s="19"/>
      <c r="K1797" s="148">
        <v>45819.0</v>
      </c>
      <c r="L1797" s="12" t="s">
        <v>5107</v>
      </c>
      <c r="M1797" s="19"/>
      <c r="N1797" s="19"/>
      <c r="O1797" s="34" t="s">
        <v>5891</v>
      </c>
    </row>
    <row r="1798" hidden="1">
      <c r="A1798" s="471">
        <v>16.0</v>
      </c>
      <c r="B1798" s="470" t="s">
        <v>6406</v>
      </c>
      <c r="C1798" s="471" t="s">
        <v>80</v>
      </c>
      <c r="D1798" s="471" t="s">
        <v>6407</v>
      </c>
      <c r="E1798" s="471" t="s">
        <v>6408</v>
      </c>
      <c r="F1798" s="471" t="s">
        <v>1563</v>
      </c>
      <c r="G1798" s="471" t="s">
        <v>6366</v>
      </c>
      <c r="H1798" s="471">
        <v>24.0</v>
      </c>
      <c r="I1798" s="472" t="s">
        <v>2890</v>
      </c>
      <c r="J1798" s="19"/>
      <c r="K1798" s="19"/>
      <c r="L1798" s="12" t="s">
        <v>374</v>
      </c>
      <c r="M1798" s="19"/>
      <c r="N1798" s="19"/>
      <c r="O1798" s="34" t="s">
        <v>6409</v>
      </c>
      <c r="P1798" s="385" t="s">
        <v>1432</v>
      </c>
    </row>
    <row r="1799" hidden="1">
      <c r="A1799" s="339" t="s">
        <v>6410</v>
      </c>
    </row>
    <row r="1800" hidden="1">
      <c r="A1800" s="4" t="s">
        <v>47</v>
      </c>
      <c r="B1800" s="534" t="s">
        <v>7</v>
      </c>
      <c r="C1800" s="4" t="s">
        <v>9</v>
      </c>
      <c r="D1800" s="4" t="s">
        <v>10</v>
      </c>
      <c r="E1800" s="4" t="s">
        <v>11</v>
      </c>
      <c r="F1800" s="4" t="s">
        <v>12</v>
      </c>
      <c r="G1800" s="4" t="s">
        <v>2378</v>
      </c>
      <c r="H1800" s="4" t="s">
        <v>2681</v>
      </c>
      <c r="I1800" s="4" t="s">
        <v>2847</v>
      </c>
      <c r="J1800" s="8" t="s">
        <v>14</v>
      </c>
      <c r="K1800" s="9" t="s">
        <v>16</v>
      </c>
      <c r="L1800" s="9" t="s">
        <v>4330</v>
      </c>
      <c r="M1800" s="9" t="s">
        <v>18</v>
      </c>
      <c r="N1800" s="9" t="s">
        <v>19</v>
      </c>
      <c r="O1800" s="9" t="s">
        <v>20</v>
      </c>
      <c r="P1800" s="9" t="s">
        <v>21</v>
      </c>
      <c r="Q1800" s="35"/>
      <c r="R1800" s="35"/>
      <c r="S1800" s="35"/>
      <c r="T1800" s="35"/>
      <c r="U1800" s="35"/>
      <c r="V1800" s="35"/>
      <c r="W1800" s="35"/>
      <c r="X1800" s="35"/>
      <c r="Y1800" s="35"/>
      <c r="Z1800" s="35"/>
      <c r="AA1800" s="35"/>
      <c r="AB1800" s="35"/>
      <c r="AC1800" s="35"/>
      <c r="AD1800" s="35"/>
      <c r="AE1800" s="35"/>
      <c r="AF1800" s="35"/>
    </row>
    <row r="1801" hidden="1">
      <c r="A1801" s="472">
        <v>1.0</v>
      </c>
      <c r="B1801" s="595" t="s">
        <v>6411</v>
      </c>
      <c r="C1801" s="472" t="s">
        <v>80</v>
      </c>
      <c r="D1801" s="472" t="s">
        <v>6412</v>
      </c>
      <c r="E1801" s="667" t="s">
        <v>6413</v>
      </c>
      <c r="F1801" s="472" t="s">
        <v>356</v>
      </c>
      <c r="G1801" s="472" t="s">
        <v>6148</v>
      </c>
      <c r="H1801" s="472">
        <v>19.0</v>
      </c>
      <c r="I1801" s="472" t="s">
        <v>2890</v>
      </c>
      <c r="J1801" s="34" t="s">
        <v>2065</v>
      </c>
      <c r="K1801" s="34" t="s">
        <v>6049</v>
      </c>
      <c r="L1801" s="12" t="s">
        <v>374</v>
      </c>
      <c r="M1801" s="19"/>
      <c r="N1801" s="19"/>
      <c r="O1801" s="34" t="s">
        <v>6253</v>
      </c>
      <c r="P1801" s="385" t="s">
        <v>1432</v>
      </c>
    </row>
    <row r="1802" hidden="1">
      <c r="A1802" s="472">
        <v>2.0</v>
      </c>
      <c r="B1802" s="595" t="s">
        <v>6414</v>
      </c>
      <c r="C1802" s="472" t="s">
        <v>80</v>
      </c>
      <c r="D1802" s="472" t="s">
        <v>6415</v>
      </c>
      <c r="E1802" s="667" t="s">
        <v>6416</v>
      </c>
      <c r="F1802" s="472" t="s">
        <v>356</v>
      </c>
      <c r="G1802" s="472" t="s">
        <v>6148</v>
      </c>
      <c r="H1802" s="472">
        <v>19.0</v>
      </c>
      <c r="I1802" s="472" t="s">
        <v>2890</v>
      </c>
      <c r="J1802" s="34" t="s">
        <v>2065</v>
      </c>
      <c r="K1802" s="34" t="s">
        <v>6049</v>
      </c>
      <c r="L1802" s="12" t="s">
        <v>374</v>
      </c>
      <c r="M1802" s="19"/>
      <c r="N1802" s="19"/>
      <c r="O1802" s="34" t="s">
        <v>6253</v>
      </c>
      <c r="P1802" s="385" t="s">
        <v>1432</v>
      </c>
    </row>
    <row r="1803" hidden="1">
      <c r="A1803" s="472">
        <v>3.0</v>
      </c>
      <c r="B1803" s="595" t="s">
        <v>6417</v>
      </c>
      <c r="C1803" s="472" t="s">
        <v>80</v>
      </c>
      <c r="D1803" s="472" t="s">
        <v>6418</v>
      </c>
      <c r="E1803" s="472" t="s">
        <v>6419</v>
      </c>
      <c r="F1803" s="472" t="s">
        <v>356</v>
      </c>
      <c r="G1803" s="472" t="s">
        <v>6148</v>
      </c>
      <c r="H1803" s="472">
        <v>19.0</v>
      </c>
      <c r="I1803" s="472" t="s">
        <v>2890</v>
      </c>
      <c r="J1803" s="34" t="s">
        <v>6397</v>
      </c>
      <c r="K1803" s="34" t="s">
        <v>6063</v>
      </c>
      <c r="L1803" s="12" t="s">
        <v>51</v>
      </c>
      <c r="M1803" s="19"/>
      <c r="N1803" s="19"/>
      <c r="O1803" s="34" t="s">
        <v>5464</v>
      </c>
      <c r="P1803" s="385" t="s">
        <v>1432</v>
      </c>
    </row>
    <row r="1804" hidden="1">
      <c r="A1804" s="472">
        <v>4.0</v>
      </c>
      <c r="B1804" s="595" t="s">
        <v>6420</v>
      </c>
      <c r="C1804" s="472" t="s">
        <v>80</v>
      </c>
      <c r="D1804" s="472" t="s">
        <v>6421</v>
      </c>
      <c r="E1804" s="472" t="s">
        <v>6422</v>
      </c>
      <c r="F1804" s="472" t="s">
        <v>436</v>
      </c>
      <c r="G1804" s="472" t="s">
        <v>6148</v>
      </c>
      <c r="H1804" s="472">
        <v>19.0</v>
      </c>
      <c r="I1804" s="472" t="s">
        <v>2890</v>
      </c>
      <c r="J1804" s="34" t="s">
        <v>6091</v>
      </c>
      <c r="K1804" s="34" t="s">
        <v>5869</v>
      </c>
      <c r="L1804" s="12" t="s">
        <v>374</v>
      </c>
      <c r="M1804" s="19"/>
      <c r="N1804" s="19"/>
      <c r="O1804" s="34" t="s">
        <v>6423</v>
      </c>
      <c r="P1804" s="385" t="s">
        <v>1432</v>
      </c>
    </row>
    <row r="1805" hidden="1">
      <c r="A1805" s="472">
        <v>5.0</v>
      </c>
      <c r="B1805" s="595" t="s">
        <v>6424</v>
      </c>
      <c r="C1805" s="472" t="s">
        <v>80</v>
      </c>
      <c r="D1805" s="472" t="s">
        <v>6425</v>
      </c>
      <c r="E1805" s="472" t="s">
        <v>6426</v>
      </c>
      <c r="F1805" s="472" t="s">
        <v>1959</v>
      </c>
      <c r="G1805" s="472" t="s">
        <v>6243</v>
      </c>
      <c r="H1805" s="472">
        <v>20.0</v>
      </c>
      <c r="I1805" s="472" t="s">
        <v>2890</v>
      </c>
      <c r="J1805" s="34" t="s">
        <v>6091</v>
      </c>
      <c r="K1805" s="34" t="s">
        <v>5869</v>
      </c>
      <c r="L1805" s="12" t="s">
        <v>4884</v>
      </c>
      <c r="M1805" s="19"/>
      <c r="N1805" s="19"/>
      <c r="O1805" s="34" t="s">
        <v>5836</v>
      </c>
      <c r="P1805" s="385" t="s">
        <v>1432</v>
      </c>
    </row>
    <row r="1806" hidden="1">
      <c r="A1806" s="472">
        <v>6.0</v>
      </c>
      <c r="B1806" s="595" t="s">
        <v>6427</v>
      </c>
      <c r="C1806" s="472" t="s">
        <v>80</v>
      </c>
      <c r="D1806" s="472" t="s">
        <v>6428</v>
      </c>
      <c r="E1806" s="472" t="s">
        <v>6429</v>
      </c>
      <c r="F1806" s="472" t="s">
        <v>356</v>
      </c>
      <c r="G1806" s="472" t="s">
        <v>6243</v>
      </c>
      <c r="H1806" s="472">
        <v>20.0</v>
      </c>
      <c r="I1806" s="472" t="s">
        <v>2890</v>
      </c>
      <c r="J1806" s="34" t="s">
        <v>6091</v>
      </c>
      <c r="K1806" s="34" t="s">
        <v>5869</v>
      </c>
      <c r="L1806" s="12" t="s">
        <v>4884</v>
      </c>
      <c r="M1806" s="19"/>
      <c r="N1806" s="19"/>
      <c r="O1806" s="34" t="s">
        <v>5464</v>
      </c>
      <c r="P1806" s="385" t="s">
        <v>1432</v>
      </c>
    </row>
    <row r="1807" hidden="1">
      <c r="A1807" s="472">
        <v>7.0</v>
      </c>
      <c r="B1807" s="595" t="s">
        <v>6430</v>
      </c>
      <c r="C1807" s="472" t="s">
        <v>688</v>
      </c>
      <c r="D1807" s="472" t="s">
        <v>6431</v>
      </c>
      <c r="E1807" s="667" t="s">
        <v>6432</v>
      </c>
      <c r="F1807" s="472" t="s">
        <v>6433</v>
      </c>
      <c r="G1807" s="472" t="s">
        <v>5464</v>
      </c>
      <c r="H1807" s="472">
        <v>21.0</v>
      </c>
      <c r="I1807" s="472" t="s">
        <v>2890</v>
      </c>
      <c r="J1807" s="34" t="s">
        <v>6378</v>
      </c>
      <c r="K1807" s="34" t="s">
        <v>6434</v>
      </c>
      <c r="L1807" s="12" t="s">
        <v>6435</v>
      </c>
      <c r="M1807" s="19"/>
      <c r="N1807" s="19"/>
      <c r="O1807" s="19"/>
      <c r="P1807" s="385" t="s">
        <v>1432</v>
      </c>
    </row>
    <row r="1808" hidden="1">
      <c r="A1808" s="472">
        <v>8.0</v>
      </c>
      <c r="B1808" s="595" t="s">
        <v>6436</v>
      </c>
      <c r="C1808" s="472" t="s">
        <v>397</v>
      </c>
      <c r="D1808" s="472" t="s">
        <v>6437</v>
      </c>
      <c r="E1808" s="667" t="s">
        <v>6438</v>
      </c>
      <c r="F1808" s="472" t="s">
        <v>6433</v>
      </c>
      <c r="G1808" s="472" t="s">
        <v>5464</v>
      </c>
      <c r="H1808" s="472">
        <v>21.0</v>
      </c>
      <c r="I1808" s="472" t="s">
        <v>2890</v>
      </c>
      <c r="J1808" s="34" t="s">
        <v>6378</v>
      </c>
      <c r="K1808" s="34" t="s">
        <v>6434</v>
      </c>
      <c r="L1808" s="12" t="s">
        <v>6435</v>
      </c>
      <c r="M1808" s="19"/>
      <c r="N1808" s="19"/>
      <c r="O1808" s="19"/>
      <c r="P1808" s="385" t="s">
        <v>1432</v>
      </c>
    </row>
    <row r="1809" hidden="1">
      <c r="A1809" s="472">
        <v>9.0</v>
      </c>
      <c r="B1809" s="595" t="s">
        <v>6439</v>
      </c>
      <c r="C1809" s="472" t="s">
        <v>1185</v>
      </c>
      <c r="D1809" s="472" t="s">
        <v>6440</v>
      </c>
      <c r="E1809" s="472" t="s">
        <v>6441</v>
      </c>
      <c r="F1809" s="472" t="s">
        <v>25</v>
      </c>
      <c r="G1809" s="474">
        <v>46024.0</v>
      </c>
      <c r="H1809" s="472">
        <v>23.0</v>
      </c>
      <c r="I1809" s="472" t="s">
        <v>2890</v>
      </c>
      <c r="J1809" s="34" t="s">
        <v>2065</v>
      </c>
      <c r="K1809" s="34" t="s">
        <v>6063</v>
      </c>
      <c r="L1809" s="12" t="s">
        <v>4884</v>
      </c>
      <c r="M1809" s="19"/>
      <c r="N1809" s="19"/>
      <c r="O1809" s="71">
        <v>46114.0</v>
      </c>
      <c r="P1809" s="385" t="s">
        <v>1432</v>
      </c>
    </row>
    <row r="1810" hidden="1">
      <c r="A1810" s="472">
        <v>10.0</v>
      </c>
      <c r="B1810" s="595" t="s">
        <v>6442</v>
      </c>
      <c r="C1810" s="472" t="s">
        <v>1185</v>
      </c>
      <c r="D1810" s="472" t="s">
        <v>6443</v>
      </c>
      <c r="E1810" s="472" t="s">
        <v>6444</v>
      </c>
      <c r="F1810" s="472" t="s">
        <v>25</v>
      </c>
      <c r="G1810" s="474">
        <v>46024.0</v>
      </c>
      <c r="H1810" s="472">
        <v>23.0</v>
      </c>
      <c r="I1810" s="472" t="s">
        <v>2890</v>
      </c>
      <c r="J1810" s="34" t="s">
        <v>2065</v>
      </c>
      <c r="K1810" s="34" t="s">
        <v>6049</v>
      </c>
      <c r="L1810" s="12" t="s">
        <v>4884</v>
      </c>
      <c r="M1810" s="19"/>
      <c r="N1810" s="19"/>
      <c r="O1810" s="71">
        <v>46083.0</v>
      </c>
      <c r="P1810" s="385" t="s">
        <v>1432</v>
      </c>
    </row>
    <row r="1811" hidden="1">
      <c r="A1811" s="472">
        <v>11.0</v>
      </c>
      <c r="B1811" s="595" t="s">
        <v>6445</v>
      </c>
      <c r="C1811" s="472" t="s">
        <v>1185</v>
      </c>
      <c r="D1811" s="472" t="s">
        <v>6446</v>
      </c>
      <c r="E1811" s="472" t="s">
        <v>6447</v>
      </c>
      <c r="F1811" s="472" t="s">
        <v>6448</v>
      </c>
      <c r="G1811" s="472" t="s">
        <v>6253</v>
      </c>
      <c r="H1811" s="472">
        <v>22.0</v>
      </c>
      <c r="I1811" s="472" t="s">
        <v>2890</v>
      </c>
      <c r="J1811" s="34" t="s">
        <v>6449</v>
      </c>
      <c r="K1811" s="19"/>
      <c r="L1811" s="12" t="s">
        <v>4884</v>
      </c>
      <c r="M1811" s="19"/>
      <c r="N1811" s="19"/>
      <c r="O1811" s="71">
        <v>46358.0</v>
      </c>
      <c r="P1811" s="385" t="s">
        <v>1432</v>
      </c>
    </row>
    <row r="1812" hidden="1">
      <c r="A1812" s="472">
        <v>12.0</v>
      </c>
      <c r="B1812" s="597" t="s">
        <v>6450</v>
      </c>
      <c r="C1812" s="472" t="s">
        <v>80</v>
      </c>
      <c r="D1812" s="472" t="s">
        <v>6451</v>
      </c>
      <c r="E1812" s="472" t="s">
        <v>6452</v>
      </c>
      <c r="F1812" s="472" t="s">
        <v>4405</v>
      </c>
      <c r="G1812" s="472" t="s">
        <v>6277</v>
      </c>
      <c r="H1812" s="472">
        <v>18.0</v>
      </c>
      <c r="I1812" s="472" t="s">
        <v>2890</v>
      </c>
      <c r="J1812" s="34" t="s">
        <v>2065</v>
      </c>
      <c r="K1812" s="34" t="s">
        <v>6070</v>
      </c>
      <c r="L1812" s="12" t="s">
        <v>374</v>
      </c>
      <c r="M1812" s="19"/>
      <c r="N1812" s="19"/>
      <c r="O1812" s="34" t="s">
        <v>6453</v>
      </c>
      <c r="P1812" s="385" t="s">
        <v>1432</v>
      </c>
    </row>
    <row r="1813" hidden="1">
      <c r="A1813" s="472">
        <v>13.0</v>
      </c>
      <c r="B1813" s="595" t="s">
        <v>6454</v>
      </c>
      <c r="C1813" s="472" t="s">
        <v>80</v>
      </c>
      <c r="D1813" s="472" t="s">
        <v>6455</v>
      </c>
      <c r="E1813" s="668" t="s">
        <v>6456</v>
      </c>
      <c r="F1813" s="472" t="s">
        <v>4358</v>
      </c>
      <c r="G1813" s="474">
        <v>46024.0</v>
      </c>
      <c r="H1813" s="472">
        <v>23.0</v>
      </c>
      <c r="I1813" s="472" t="s">
        <v>2890</v>
      </c>
      <c r="J1813" s="34" t="s">
        <v>6457</v>
      </c>
      <c r="K1813" s="19"/>
      <c r="L1813" s="12" t="s">
        <v>374</v>
      </c>
      <c r="M1813" s="19"/>
      <c r="N1813" s="19"/>
      <c r="O1813" s="148">
        <v>46297.0</v>
      </c>
      <c r="P1813" s="407" t="s">
        <v>1798</v>
      </c>
    </row>
    <row r="1814" hidden="1">
      <c r="A1814" s="472">
        <v>14.0</v>
      </c>
      <c r="B1814" s="595" t="s">
        <v>6458</v>
      </c>
      <c r="C1814" s="472" t="s">
        <v>80</v>
      </c>
      <c r="D1814" s="472" t="s">
        <v>6459</v>
      </c>
      <c r="E1814" s="668" t="s">
        <v>6460</v>
      </c>
      <c r="F1814" s="472" t="s">
        <v>4358</v>
      </c>
      <c r="G1814" s="474">
        <v>46024.0</v>
      </c>
      <c r="H1814" s="472">
        <v>23.0</v>
      </c>
      <c r="I1814" s="472" t="s">
        <v>2890</v>
      </c>
      <c r="J1814" s="34" t="s">
        <v>6457</v>
      </c>
      <c r="K1814" s="19"/>
      <c r="L1814" s="12" t="s">
        <v>374</v>
      </c>
      <c r="M1814" s="19"/>
      <c r="N1814" s="19"/>
      <c r="O1814" s="148">
        <v>46297.0</v>
      </c>
      <c r="P1814" s="407" t="s">
        <v>1798</v>
      </c>
    </row>
    <row r="1815" hidden="1">
      <c r="A1815" s="472">
        <v>15.0</v>
      </c>
      <c r="B1815" s="595" t="s">
        <v>6461</v>
      </c>
      <c r="C1815" s="472" t="s">
        <v>80</v>
      </c>
      <c r="D1815" s="472" t="s">
        <v>6462</v>
      </c>
      <c r="E1815" s="668" t="s">
        <v>6463</v>
      </c>
      <c r="F1815" s="472" t="s">
        <v>4358</v>
      </c>
      <c r="G1815" s="474">
        <v>46024.0</v>
      </c>
      <c r="H1815" s="472">
        <v>23.0</v>
      </c>
      <c r="I1815" s="472" t="s">
        <v>2890</v>
      </c>
      <c r="J1815" s="34" t="s">
        <v>6457</v>
      </c>
      <c r="K1815" s="19"/>
      <c r="L1815" s="12" t="s">
        <v>374</v>
      </c>
      <c r="M1815" s="19"/>
      <c r="N1815" s="19"/>
      <c r="O1815" s="148">
        <v>46297.0</v>
      </c>
      <c r="P1815" s="407" t="s">
        <v>1798</v>
      </c>
    </row>
    <row r="1816" hidden="1">
      <c r="A1816" s="472">
        <v>16.0</v>
      </c>
      <c r="B1816" s="595" t="s">
        <v>6464</v>
      </c>
      <c r="C1816" s="472" t="s">
        <v>80</v>
      </c>
      <c r="D1816" s="472" t="s">
        <v>6465</v>
      </c>
      <c r="E1816" s="472" t="s">
        <v>6466</v>
      </c>
      <c r="F1816" s="472" t="s">
        <v>4367</v>
      </c>
      <c r="G1816" s="474">
        <v>46024.0</v>
      </c>
      <c r="H1816" s="472">
        <v>23.0</v>
      </c>
      <c r="I1816" s="472" t="s">
        <v>2890</v>
      </c>
      <c r="J1816" s="34" t="s">
        <v>6467</v>
      </c>
      <c r="K1816" s="34" t="s">
        <v>6070</v>
      </c>
      <c r="L1816" s="12" t="s">
        <v>51</v>
      </c>
      <c r="M1816" s="19"/>
      <c r="N1816" s="19"/>
      <c r="O1816" s="71">
        <v>46114.0</v>
      </c>
      <c r="P1816" s="385" t="s">
        <v>1432</v>
      </c>
    </row>
    <row r="1817" hidden="1">
      <c r="A1817" s="472">
        <v>17.0</v>
      </c>
      <c r="B1817" s="595" t="s">
        <v>6468</v>
      </c>
      <c r="C1817" s="472" t="s">
        <v>80</v>
      </c>
      <c r="D1817" s="472" t="s">
        <v>6469</v>
      </c>
      <c r="E1817" s="599" t="s">
        <v>6470</v>
      </c>
      <c r="F1817" s="472" t="s">
        <v>3928</v>
      </c>
      <c r="G1817" s="472" t="s">
        <v>5836</v>
      </c>
      <c r="H1817" s="472">
        <v>14.0</v>
      </c>
      <c r="I1817" s="522" t="s">
        <v>3457</v>
      </c>
      <c r="J1817" s="34" t="s">
        <v>3099</v>
      </c>
      <c r="K1817" s="34" t="s">
        <v>6063</v>
      </c>
      <c r="L1817" s="12"/>
      <c r="M1817" s="19"/>
      <c r="N1817" s="19"/>
      <c r="O1817" s="34" t="s">
        <v>6471</v>
      </c>
      <c r="P1817" s="19"/>
    </row>
    <row r="1818" hidden="1">
      <c r="A1818" s="472">
        <v>18.0</v>
      </c>
      <c r="B1818" s="595" t="s">
        <v>6472</v>
      </c>
      <c r="C1818" s="472" t="s">
        <v>80</v>
      </c>
      <c r="D1818" s="472" t="s">
        <v>6473</v>
      </c>
      <c r="E1818" s="599" t="s">
        <v>6474</v>
      </c>
      <c r="F1818" s="472" t="s">
        <v>3928</v>
      </c>
      <c r="G1818" s="472" t="s">
        <v>5836</v>
      </c>
      <c r="H1818" s="472">
        <v>14.0</v>
      </c>
      <c r="I1818" s="472" t="s">
        <v>2890</v>
      </c>
      <c r="J1818" s="34" t="s">
        <v>3099</v>
      </c>
      <c r="K1818" s="34" t="s">
        <v>6058</v>
      </c>
      <c r="L1818" s="12"/>
      <c r="M1818" s="19"/>
      <c r="N1818" s="19"/>
      <c r="O1818" s="34" t="s">
        <v>6471</v>
      </c>
      <c r="P1818" s="19"/>
    </row>
    <row r="1819" hidden="1">
      <c r="A1819" s="472">
        <v>19.0</v>
      </c>
      <c r="B1819" s="595" t="s">
        <v>6475</v>
      </c>
      <c r="C1819" s="472" t="s">
        <v>80</v>
      </c>
      <c r="D1819" s="472" t="s">
        <v>6476</v>
      </c>
      <c r="E1819" s="599" t="s">
        <v>6477</v>
      </c>
      <c r="F1819" s="472" t="s">
        <v>3928</v>
      </c>
      <c r="G1819" s="472" t="s">
        <v>5836</v>
      </c>
      <c r="H1819" s="472">
        <v>14.0</v>
      </c>
      <c r="I1819" s="472" t="s">
        <v>2890</v>
      </c>
      <c r="J1819" s="34" t="s">
        <v>3099</v>
      </c>
      <c r="K1819" s="34" t="s">
        <v>6049</v>
      </c>
      <c r="L1819" s="12"/>
      <c r="M1819" s="19"/>
      <c r="N1819" s="19"/>
      <c r="O1819" s="34" t="s">
        <v>6471</v>
      </c>
      <c r="P1819" s="19"/>
    </row>
    <row r="1820" hidden="1">
      <c r="A1820" s="472">
        <v>20.0</v>
      </c>
      <c r="B1820" s="595" t="s">
        <v>6478</v>
      </c>
      <c r="C1820" s="472" t="s">
        <v>80</v>
      </c>
      <c r="D1820" s="472" t="s">
        <v>6479</v>
      </c>
      <c r="E1820" s="599" t="s">
        <v>6480</v>
      </c>
      <c r="F1820" s="472" t="s">
        <v>3928</v>
      </c>
      <c r="G1820" s="472" t="s">
        <v>5836</v>
      </c>
      <c r="H1820" s="472">
        <v>14.0</v>
      </c>
      <c r="I1820" s="540" t="s">
        <v>3465</v>
      </c>
      <c r="J1820" s="34" t="s">
        <v>3099</v>
      </c>
      <c r="K1820" s="34" t="s">
        <v>6049</v>
      </c>
      <c r="L1820" s="12"/>
      <c r="M1820" s="19"/>
      <c r="N1820" s="19"/>
      <c r="O1820" s="34" t="s">
        <v>6471</v>
      </c>
      <c r="P1820" s="19"/>
    </row>
    <row r="1821" hidden="1">
      <c r="A1821" s="472">
        <v>21.0</v>
      </c>
      <c r="B1821" s="595" t="s">
        <v>6481</v>
      </c>
      <c r="C1821" s="472" t="s">
        <v>80</v>
      </c>
      <c r="D1821" s="472" t="s">
        <v>6482</v>
      </c>
      <c r="E1821" s="599" t="s">
        <v>6483</v>
      </c>
      <c r="F1821" s="472" t="s">
        <v>3928</v>
      </c>
      <c r="G1821" s="472" t="s">
        <v>5836</v>
      </c>
      <c r="H1821" s="472">
        <v>14.0</v>
      </c>
      <c r="I1821" s="472" t="s">
        <v>2890</v>
      </c>
      <c r="J1821" s="34" t="s">
        <v>3099</v>
      </c>
      <c r="K1821" s="34" t="s">
        <v>6049</v>
      </c>
      <c r="L1821" s="12"/>
      <c r="M1821" s="19"/>
      <c r="N1821" s="19"/>
      <c r="O1821" s="34" t="s">
        <v>6471</v>
      </c>
      <c r="P1821" s="19"/>
    </row>
    <row r="1822" hidden="1">
      <c r="A1822" s="472">
        <v>22.0</v>
      </c>
      <c r="B1822" s="595" t="s">
        <v>6484</v>
      </c>
      <c r="C1822" s="472" t="s">
        <v>80</v>
      </c>
      <c r="D1822" s="472" t="s">
        <v>6485</v>
      </c>
      <c r="E1822" s="599" t="s">
        <v>6486</v>
      </c>
      <c r="F1822" s="472" t="s">
        <v>3928</v>
      </c>
      <c r="G1822" s="472" t="s">
        <v>5836</v>
      </c>
      <c r="H1822" s="472">
        <v>14.0</v>
      </c>
      <c r="I1822" s="472" t="s">
        <v>2890</v>
      </c>
      <c r="J1822" s="34" t="s">
        <v>3099</v>
      </c>
      <c r="K1822" s="34" t="s">
        <v>6070</v>
      </c>
      <c r="L1822" s="12"/>
      <c r="M1822" s="19"/>
      <c r="N1822" s="19"/>
      <c r="O1822" s="34" t="s">
        <v>6471</v>
      </c>
      <c r="P1822" s="19"/>
    </row>
    <row r="1823" hidden="1">
      <c r="A1823" s="472">
        <v>23.0</v>
      </c>
      <c r="B1823" s="595" t="s">
        <v>6487</v>
      </c>
      <c r="C1823" s="472" t="s">
        <v>80</v>
      </c>
      <c r="D1823" s="472" t="s">
        <v>6488</v>
      </c>
      <c r="E1823" s="599" t="s">
        <v>6489</v>
      </c>
      <c r="F1823" s="472" t="s">
        <v>3928</v>
      </c>
      <c r="G1823" s="472" t="s">
        <v>5836</v>
      </c>
      <c r="H1823" s="472">
        <v>14.0</v>
      </c>
      <c r="I1823" s="472" t="s">
        <v>2890</v>
      </c>
      <c r="J1823" s="34" t="s">
        <v>3099</v>
      </c>
      <c r="K1823" s="34" t="s">
        <v>6049</v>
      </c>
      <c r="L1823" s="12"/>
      <c r="M1823" s="19"/>
      <c r="N1823" s="19"/>
      <c r="O1823" s="34" t="s">
        <v>6471</v>
      </c>
      <c r="P1823" s="19"/>
    </row>
    <row r="1824" hidden="1">
      <c r="A1824" s="472">
        <v>24.0</v>
      </c>
      <c r="B1824" s="595" t="s">
        <v>6490</v>
      </c>
      <c r="C1824" s="472" t="s">
        <v>80</v>
      </c>
      <c r="D1824" s="472" t="s">
        <v>6491</v>
      </c>
      <c r="E1824" s="599" t="s">
        <v>6492</v>
      </c>
      <c r="F1824" s="472" t="s">
        <v>3928</v>
      </c>
      <c r="G1824" s="472" t="s">
        <v>5836</v>
      </c>
      <c r="H1824" s="472">
        <v>14.0</v>
      </c>
      <c r="I1824" s="472" t="s">
        <v>2890</v>
      </c>
      <c r="J1824" s="34" t="s">
        <v>3099</v>
      </c>
      <c r="K1824" s="34" t="s">
        <v>6070</v>
      </c>
      <c r="L1824" s="12"/>
      <c r="M1824" s="19"/>
      <c r="N1824" s="19"/>
      <c r="O1824" s="34" t="s">
        <v>6471</v>
      </c>
      <c r="P1824" s="19"/>
    </row>
    <row r="1825" hidden="1">
      <c r="A1825" s="472">
        <v>25.0</v>
      </c>
      <c r="B1825" s="595" t="s">
        <v>6493</v>
      </c>
      <c r="C1825" s="472" t="s">
        <v>80</v>
      </c>
      <c r="D1825" s="472" t="s">
        <v>6494</v>
      </c>
      <c r="E1825" s="599" t="s">
        <v>6495</v>
      </c>
      <c r="F1825" s="472" t="s">
        <v>3928</v>
      </c>
      <c r="G1825" s="472" t="s">
        <v>5836</v>
      </c>
      <c r="H1825" s="472">
        <v>14.0</v>
      </c>
      <c r="I1825" s="472" t="s">
        <v>2890</v>
      </c>
      <c r="J1825" s="34" t="s">
        <v>3099</v>
      </c>
      <c r="K1825" s="34" t="s">
        <v>6070</v>
      </c>
      <c r="L1825" s="12"/>
      <c r="M1825" s="19"/>
      <c r="N1825" s="19"/>
      <c r="O1825" s="34" t="s">
        <v>6471</v>
      </c>
      <c r="P1825" s="19"/>
    </row>
    <row r="1826" hidden="1">
      <c r="A1826" s="472">
        <v>27.0</v>
      </c>
      <c r="B1826" s="595" t="s">
        <v>6496</v>
      </c>
      <c r="C1826" s="472" t="s">
        <v>80</v>
      </c>
      <c r="D1826" s="472" t="s">
        <v>6497</v>
      </c>
      <c r="E1826" s="599" t="s">
        <v>6498</v>
      </c>
      <c r="F1826" s="472" t="s">
        <v>3583</v>
      </c>
      <c r="G1826" s="472" t="s">
        <v>6174</v>
      </c>
      <c r="H1826" s="472">
        <v>15.0</v>
      </c>
      <c r="I1826" s="472" t="s">
        <v>2890</v>
      </c>
      <c r="J1826" s="19"/>
      <c r="K1826" s="19"/>
      <c r="L1826" s="14"/>
      <c r="M1826" s="19"/>
      <c r="N1826" s="19"/>
      <c r="O1826" s="34" t="s">
        <v>6499</v>
      </c>
      <c r="P1826" s="19"/>
    </row>
    <row r="1827" hidden="1">
      <c r="A1827" s="472">
        <v>26.0</v>
      </c>
      <c r="B1827" s="595" t="s">
        <v>6500</v>
      </c>
      <c r="C1827" s="472" t="s">
        <v>1185</v>
      </c>
      <c r="D1827" s="472" t="s">
        <v>6501</v>
      </c>
      <c r="E1827" s="599" t="s">
        <v>6502</v>
      </c>
      <c r="F1827" s="472" t="s">
        <v>3583</v>
      </c>
      <c r="G1827" s="472" t="s">
        <v>5836</v>
      </c>
      <c r="H1827" s="472">
        <v>14.0</v>
      </c>
      <c r="I1827" s="472" t="s">
        <v>2890</v>
      </c>
      <c r="J1827" s="19"/>
      <c r="K1827" s="19"/>
      <c r="L1827" s="14"/>
      <c r="M1827" s="19"/>
      <c r="N1827" s="19"/>
      <c r="O1827" s="34" t="s">
        <v>6499</v>
      </c>
      <c r="P1827" s="19"/>
    </row>
    <row r="1828" hidden="1">
      <c r="A1828" s="472">
        <v>28.0</v>
      </c>
      <c r="B1828" s="595" t="s">
        <v>6503</v>
      </c>
      <c r="C1828" s="472" t="s">
        <v>80</v>
      </c>
      <c r="D1828" s="472" t="s">
        <v>6504</v>
      </c>
      <c r="E1828" s="599" t="s">
        <v>6505</v>
      </c>
      <c r="F1828" s="472" t="s">
        <v>3583</v>
      </c>
      <c r="G1828" s="472" t="s">
        <v>6174</v>
      </c>
      <c r="H1828" s="472">
        <v>15.0</v>
      </c>
      <c r="I1828" s="540" t="s">
        <v>3465</v>
      </c>
      <c r="J1828" s="19"/>
      <c r="K1828" s="19"/>
      <c r="L1828" s="14"/>
      <c r="M1828" s="19"/>
      <c r="N1828" s="19"/>
      <c r="O1828" s="34" t="s">
        <v>6499</v>
      </c>
      <c r="P1828" s="19"/>
    </row>
    <row r="1829" hidden="1">
      <c r="A1829" s="472">
        <v>29.0</v>
      </c>
      <c r="B1829" s="595" t="s">
        <v>6506</v>
      </c>
      <c r="C1829" s="472" t="s">
        <v>80</v>
      </c>
      <c r="D1829" s="472" t="s">
        <v>6507</v>
      </c>
      <c r="E1829" s="599" t="s">
        <v>6508</v>
      </c>
      <c r="F1829" s="472" t="s">
        <v>3583</v>
      </c>
      <c r="G1829" s="472" t="s">
        <v>6174</v>
      </c>
      <c r="H1829" s="472">
        <v>15.0</v>
      </c>
      <c r="I1829" s="472" t="s">
        <v>2890</v>
      </c>
      <c r="J1829" s="19"/>
      <c r="K1829" s="19"/>
      <c r="L1829" s="14"/>
      <c r="M1829" s="19"/>
      <c r="N1829" s="19"/>
      <c r="O1829" s="34" t="s">
        <v>6499</v>
      </c>
      <c r="P1829" s="19"/>
    </row>
    <row r="1830" hidden="1">
      <c r="A1830" s="472">
        <v>30.0</v>
      </c>
      <c r="B1830" s="595" t="s">
        <v>6509</v>
      </c>
      <c r="C1830" s="472" t="s">
        <v>80</v>
      </c>
      <c r="D1830" s="472" t="s">
        <v>6510</v>
      </c>
      <c r="E1830" s="599" t="s">
        <v>6511</v>
      </c>
      <c r="F1830" s="472" t="s">
        <v>3583</v>
      </c>
      <c r="G1830" s="472" t="s">
        <v>6174</v>
      </c>
      <c r="H1830" s="472">
        <v>15.0</v>
      </c>
      <c r="I1830" s="472" t="s">
        <v>2890</v>
      </c>
      <c r="J1830" s="19"/>
      <c r="K1830" s="19"/>
      <c r="L1830" s="14"/>
      <c r="M1830" s="19"/>
      <c r="N1830" s="19"/>
      <c r="O1830" s="34" t="s">
        <v>6499</v>
      </c>
      <c r="P1830" s="19"/>
    </row>
    <row r="1831" hidden="1">
      <c r="A1831" s="472">
        <v>31.0</v>
      </c>
      <c r="B1831" s="595" t="s">
        <v>6512</v>
      </c>
      <c r="C1831" s="472" t="s">
        <v>80</v>
      </c>
      <c r="D1831" s="472" t="s">
        <v>6513</v>
      </c>
      <c r="E1831" s="599" t="s">
        <v>6514</v>
      </c>
      <c r="F1831" s="472" t="s">
        <v>3583</v>
      </c>
      <c r="G1831" s="472" t="s">
        <v>6174</v>
      </c>
      <c r="H1831" s="472">
        <v>15.0</v>
      </c>
      <c r="I1831" s="472" t="s">
        <v>2890</v>
      </c>
      <c r="J1831" s="19"/>
      <c r="K1831" s="19"/>
      <c r="L1831" s="14"/>
      <c r="M1831" s="19"/>
      <c r="N1831" s="19"/>
      <c r="O1831" s="34" t="s">
        <v>6499</v>
      </c>
      <c r="P1831" s="19"/>
    </row>
    <row r="1832" hidden="1">
      <c r="A1832" s="574">
        <v>32.0</v>
      </c>
      <c r="B1832" s="601" t="s">
        <v>6515</v>
      </c>
      <c r="C1832" s="574" t="s">
        <v>80</v>
      </c>
      <c r="D1832" s="574" t="s">
        <v>6516</v>
      </c>
      <c r="E1832" s="574" t="s">
        <v>6517</v>
      </c>
      <c r="F1832" s="574" t="s">
        <v>4358</v>
      </c>
      <c r="G1832" s="474">
        <v>46083.0</v>
      </c>
      <c r="H1832" s="472">
        <v>25.0</v>
      </c>
      <c r="I1832" s="574" t="s">
        <v>2890</v>
      </c>
      <c r="J1832" s="34" t="s">
        <v>6518</v>
      </c>
      <c r="K1832" s="148"/>
      <c r="L1832" s="12" t="s">
        <v>374</v>
      </c>
      <c r="M1832" s="19"/>
      <c r="N1832" s="19"/>
      <c r="O1832" s="34" t="s">
        <v>5869</v>
      </c>
      <c r="P1832" s="385" t="s">
        <v>1432</v>
      </c>
    </row>
    <row r="1833" hidden="1">
      <c r="A1833" s="574">
        <v>33.0</v>
      </c>
      <c r="B1833" s="601" t="s">
        <v>6519</v>
      </c>
      <c r="C1833" s="574" t="s">
        <v>80</v>
      </c>
      <c r="D1833" s="574" t="s">
        <v>6520</v>
      </c>
      <c r="E1833" s="574" t="s">
        <v>6521</v>
      </c>
      <c r="F1833" s="574" t="s">
        <v>4666</v>
      </c>
      <c r="G1833" s="472" t="s">
        <v>6522</v>
      </c>
      <c r="H1833" s="472">
        <v>22.0</v>
      </c>
      <c r="I1833" s="650" t="s">
        <v>5895</v>
      </c>
      <c r="J1833" s="34" t="s">
        <v>6518</v>
      </c>
      <c r="K1833" s="19"/>
      <c r="L1833" s="12" t="s">
        <v>374</v>
      </c>
      <c r="M1833" s="19"/>
      <c r="N1833" s="19"/>
      <c r="O1833" s="34" t="s">
        <v>5621</v>
      </c>
      <c r="P1833" s="385" t="s">
        <v>1432</v>
      </c>
    </row>
    <row r="1834" hidden="1">
      <c r="A1834" s="574">
        <v>34.0</v>
      </c>
      <c r="B1834" s="601" t="s">
        <v>6523</v>
      </c>
      <c r="C1834" s="574" t="s">
        <v>3059</v>
      </c>
      <c r="D1834" s="574" t="s">
        <v>6524</v>
      </c>
      <c r="E1834" s="574" t="s">
        <v>6525</v>
      </c>
      <c r="F1834" s="574" t="s">
        <v>4358</v>
      </c>
      <c r="G1834" s="669">
        <v>46024.0</v>
      </c>
      <c r="H1834" s="472">
        <v>23.0</v>
      </c>
      <c r="I1834" s="574" t="s">
        <v>2890</v>
      </c>
      <c r="J1834" s="19"/>
      <c r="K1834" s="34" t="s">
        <v>5621</v>
      </c>
      <c r="L1834" s="12" t="s">
        <v>374</v>
      </c>
      <c r="M1834" s="19"/>
      <c r="N1834" s="19"/>
      <c r="O1834" s="34" t="s">
        <v>5621</v>
      </c>
      <c r="P1834" s="385" t="s">
        <v>1432</v>
      </c>
    </row>
    <row r="1835" hidden="1">
      <c r="A1835" s="472">
        <v>35.0</v>
      </c>
      <c r="B1835" s="597" t="s">
        <v>6526</v>
      </c>
      <c r="C1835" s="472" t="s">
        <v>80</v>
      </c>
      <c r="D1835" s="472" t="s">
        <v>6527</v>
      </c>
      <c r="E1835" s="472" t="s">
        <v>6528</v>
      </c>
      <c r="F1835" s="472" t="s">
        <v>4358</v>
      </c>
      <c r="G1835" s="472" t="s">
        <v>6277</v>
      </c>
      <c r="H1835" s="472">
        <v>18.0</v>
      </c>
      <c r="I1835" s="472" t="s">
        <v>2890</v>
      </c>
      <c r="J1835" s="143" t="s">
        <v>6467</v>
      </c>
      <c r="K1835" s="34" t="s">
        <v>6070</v>
      </c>
      <c r="L1835" s="12" t="s">
        <v>374</v>
      </c>
      <c r="M1835" s="19"/>
      <c r="N1835" s="19"/>
      <c r="O1835" s="71">
        <v>46055.0</v>
      </c>
      <c r="P1835" s="385" t="s">
        <v>1432</v>
      </c>
    </row>
    <row r="1836" hidden="1">
      <c r="A1836" s="472">
        <v>36.0</v>
      </c>
      <c r="B1836" s="595" t="s">
        <v>6529</v>
      </c>
      <c r="C1836" s="472" t="s">
        <v>2307</v>
      </c>
      <c r="D1836" s="472" t="s">
        <v>6530</v>
      </c>
      <c r="E1836" s="472" t="s">
        <v>6531</v>
      </c>
      <c r="F1836" s="472" t="s">
        <v>4358</v>
      </c>
      <c r="G1836" s="474">
        <v>46055.0</v>
      </c>
      <c r="H1836" s="472">
        <v>24.0</v>
      </c>
      <c r="I1836" s="472" t="s">
        <v>2890</v>
      </c>
      <c r="J1836" s="34" t="s">
        <v>699</v>
      </c>
      <c r="K1836" s="34" t="s">
        <v>6070</v>
      </c>
      <c r="L1836" s="12" t="s">
        <v>6435</v>
      </c>
      <c r="M1836" s="19"/>
      <c r="N1836" s="19"/>
      <c r="O1836" s="34" t="s">
        <v>6253</v>
      </c>
      <c r="P1836" s="385" t="s">
        <v>1432</v>
      </c>
    </row>
    <row r="1837" hidden="1">
      <c r="A1837" s="472">
        <v>37.0</v>
      </c>
      <c r="B1837" s="595" t="s">
        <v>6532</v>
      </c>
      <c r="C1837" s="472" t="s">
        <v>2307</v>
      </c>
      <c r="D1837" s="472" t="s">
        <v>6533</v>
      </c>
      <c r="E1837" s="472" t="s">
        <v>6534</v>
      </c>
      <c r="F1837" s="472" t="s">
        <v>4358</v>
      </c>
      <c r="G1837" s="474">
        <v>46055.0</v>
      </c>
      <c r="H1837" s="472">
        <v>24.0</v>
      </c>
      <c r="I1837" s="472" t="s">
        <v>2890</v>
      </c>
      <c r="J1837" s="34" t="s">
        <v>699</v>
      </c>
      <c r="K1837" s="34" t="s">
        <v>6070</v>
      </c>
      <c r="L1837" s="12" t="s">
        <v>6435</v>
      </c>
      <c r="M1837" s="19"/>
      <c r="N1837" s="19"/>
      <c r="O1837" s="34" t="s">
        <v>6253</v>
      </c>
      <c r="P1837" s="385" t="s">
        <v>1432</v>
      </c>
    </row>
    <row r="1838" hidden="1">
      <c r="A1838" s="574">
        <v>38.0</v>
      </c>
      <c r="B1838" s="601" t="s">
        <v>6535</v>
      </c>
      <c r="C1838" s="574" t="s">
        <v>80</v>
      </c>
      <c r="D1838" s="574" t="s">
        <v>6536</v>
      </c>
      <c r="E1838" s="574" t="s">
        <v>6537</v>
      </c>
      <c r="F1838" s="574" t="s">
        <v>4367</v>
      </c>
      <c r="G1838" s="653"/>
      <c r="H1838" s="653"/>
      <c r="I1838" s="574" t="s">
        <v>2890</v>
      </c>
      <c r="J1838" s="34" t="s">
        <v>6518</v>
      </c>
      <c r="K1838" s="19"/>
      <c r="L1838" s="12" t="s">
        <v>374</v>
      </c>
      <c r="M1838" s="19"/>
      <c r="N1838" s="19"/>
      <c r="O1838" s="34" t="s">
        <v>6049</v>
      </c>
      <c r="P1838" s="385" t="s">
        <v>1432</v>
      </c>
    </row>
    <row r="1839" hidden="1">
      <c r="A1839" s="472">
        <v>39.0</v>
      </c>
      <c r="B1839" s="595" t="s">
        <v>6538</v>
      </c>
      <c r="C1839" s="472" t="s">
        <v>80</v>
      </c>
      <c r="D1839" s="472" t="s">
        <v>6539</v>
      </c>
      <c r="E1839" s="472" t="s">
        <v>6540</v>
      </c>
      <c r="F1839" s="472" t="s">
        <v>1439</v>
      </c>
      <c r="G1839" s="474">
        <v>46083.0</v>
      </c>
      <c r="H1839" s="472">
        <v>25.0</v>
      </c>
      <c r="I1839" s="472" t="s">
        <v>2890</v>
      </c>
      <c r="J1839" s="34" t="s">
        <v>5454</v>
      </c>
      <c r="K1839" s="34" t="s">
        <v>6371</v>
      </c>
      <c r="L1839" s="12" t="s">
        <v>374</v>
      </c>
      <c r="M1839" s="19"/>
      <c r="N1839" s="19"/>
      <c r="O1839" s="71">
        <v>46083.0</v>
      </c>
      <c r="P1839" s="385" t="s">
        <v>1432</v>
      </c>
    </row>
    <row r="1840" hidden="1">
      <c r="A1840" s="472">
        <v>40.0</v>
      </c>
      <c r="B1840" s="595" t="s">
        <v>6541</v>
      </c>
      <c r="C1840" s="472" t="s">
        <v>688</v>
      </c>
      <c r="D1840" s="472" t="s">
        <v>6542</v>
      </c>
      <c r="E1840" s="472" t="s">
        <v>6543</v>
      </c>
      <c r="F1840" s="472" t="s">
        <v>6544</v>
      </c>
      <c r="G1840" s="653"/>
      <c r="H1840" s="653"/>
      <c r="I1840" s="472" t="s">
        <v>2890</v>
      </c>
      <c r="J1840" s="34" t="s">
        <v>699</v>
      </c>
      <c r="K1840" s="34" t="s">
        <v>6434</v>
      </c>
      <c r="L1840" s="12" t="s">
        <v>6435</v>
      </c>
      <c r="M1840" s="19"/>
      <c r="N1840" s="19"/>
      <c r="O1840" s="34" t="s">
        <v>6174</v>
      </c>
      <c r="P1840" s="385" t="s">
        <v>1432</v>
      </c>
    </row>
    <row r="1841" hidden="1">
      <c r="A1841" s="339" t="s">
        <v>6545</v>
      </c>
      <c r="Q1841" s="35"/>
      <c r="R1841" s="35"/>
      <c r="S1841" s="35"/>
      <c r="T1841" s="35"/>
      <c r="U1841" s="35"/>
      <c r="V1841" s="35"/>
      <c r="W1841" s="35"/>
      <c r="X1841" s="35"/>
      <c r="Y1841" s="35"/>
      <c r="Z1841" s="35"/>
      <c r="AA1841" s="35"/>
      <c r="AB1841" s="35"/>
      <c r="AC1841" s="35"/>
      <c r="AD1841" s="35"/>
      <c r="AE1841" s="35"/>
      <c r="AF1841" s="35"/>
    </row>
    <row r="1842" hidden="1">
      <c r="A1842" s="670" t="s">
        <v>47</v>
      </c>
      <c r="B1842" s="670" t="s">
        <v>7</v>
      </c>
      <c r="C1842" s="670" t="s">
        <v>9</v>
      </c>
      <c r="D1842" s="670" t="s">
        <v>10</v>
      </c>
      <c r="E1842" s="670" t="s">
        <v>11</v>
      </c>
      <c r="F1842" s="670" t="s">
        <v>12</v>
      </c>
      <c r="G1842" s="670" t="s">
        <v>2378</v>
      </c>
      <c r="H1842" s="670" t="s">
        <v>2681</v>
      </c>
      <c r="I1842" s="670" t="s">
        <v>2847</v>
      </c>
      <c r="J1842" s="670" t="s">
        <v>14</v>
      </c>
      <c r="K1842" s="670" t="s">
        <v>16</v>
      </c>
      <c r="L1842" s="670" t="s">
        <v>4330</v>
      </c>
      <c r="M1842" s="670" t="s">
        <v>18</v>
      </c>
      <c r="N1842" s="670" t="s">
        <v>19</v>
      </c>
      <c r="O1842" s="670" t="s">
        <v>20</v>
      </c>
      <c r="P1842" s="9" t="s">
        <v>21</v>
      </c>
      <c r="Q1842" s="670"/>
      <c r="R1842" s="670"/>
      <c r="S1842" s="670"/>
      <c r="T1842" s="670"/>
      <c r="U1842" s="670"/>
      <c r="V1842" s="670"/>
      <c r="W1842" s="670"/>
      <c r="X1842" s="670"/>
      <c r="Y1842" s="670"/>
      <c r="Z1842" s="670"/>
      <c r="AA1842" s="670"/>
      <c r="AB1842" s="670"/>
      <c r="AC1842" s="670"/>
      <c r="AD1842" s="670"/>
      <c r="AE1842" s="670"/>
      <c r="AF1842" s="671"/>
    </row>
    <row r="1843" hidden="1">
      <c r="A1843" s="472">
        <v>1.0</v>
      </c>
      <c r="B1843" s="595" t="s">
        <v>6546</v>
      </c>
      <c r="C1843" s="12" t="s">
        <v>1185</v>
      </c>
      <c r="D1843" s="472" t="s">
        <v>6547</v>
      </c>
      <c r="E1843" s="472" t="s">
        <v>6548</v>
      </c>
      <c r="F1843" s="12" t="s">
        <v>25</v>
      </c>
      <c r="G1843" s="669">
        <v>46114.0</v>
      </c>
      <c r="H1843" s="472">
        <v>23.0</v>
      </c>
      <c r="I1843" s="472" t="s">
        <v>2890</v>
      </c>
      <c r="J1843" s="34" t="s">
        <v>6378</v>
      </c>
      <c r="K1843" s="34" t="s">
        <v>6070</v>
      </c>
      <c r="L1843" s="12" t="s">
        <v>51</v>
      </c>
      <c r="M1843" s="19"/>
      <c r="N1843" s="19"/>
      <c r="O1843" s="71">
        <v>46144.0</v>
      </c>
      <c r="P1843" s="385" t="s">
        <v>1432</v>
      </c>
    </row>
    <row r="1844" hidden="1">
      <c r="A1844" s="472">
        <v>2.0</v>
      </c>
      <c r="B1844" s="595" t="s">
        <v>6549</v>
      </c>
      <c r="C1844" s="12" t="s">
        <v>1185</v>
      </c>
      <c r="D1844" s="472" t="s">
        <v>6550</v>
      </c>
      <c r="E1844" s="472" t="s">
        <v>6551</v>
      </c>
      <c r="F1844" s="12" t="s">
        <v>25</v>
      </c>
      <c r="G1844" s="669">
        <v>46055.0</v>
      </c>
      <c r="H1844" s="472">
        <v>21.0</v>
      </c>
      <c r="I1844" s="472" t="s">
        <v>2890</v>
      </c>
      <c r="J1844" s="34" t="s">
        <v>5454</v>
      </c>
      <c r="K1844" s="34" t="s">
        <v>6434</v>
      </c>
      <c r="L1844" s="12" t="s">
        <v>51</v>
      </c>
      <c r="M1844" s="19"/>
      <c r="N1844" s="19"/>
      <c r="O1844" s="71">
        <v>46144.0</v>
      </c>
      <c r="P1844" s="634" t="s">
        <v>4937</v>
      </c>
    </row>
    <row r="1845" hidden="1">
      <c r="A1845" s="472">
        <v>3.0</v>
      </c>
      <c r="B1845" s="595" t="s">
        <v>6552</v>
      </c>
      <c r="C1845" s="12" t="s">
        <v>1185</v>
      </c>
      <c r="D1845" s="472" t="s">
        <v>6553</v>
      </c>
      <c r="E1845" s="472" t="s">
        <v>6554</v>
      </c>
      <c r="F1845" s="12" t="s">
        <v>4367</v>
      </c>
      <c r="G1845" s="669">
        <v>46055.0</v>
      </c>
      <c r="H1845" s="472">
        <v>21.0</v>
      </c>
      <c r="I1845" s="472" t="s">
        <v>2890</v>
      </c>
      <c r="J1845" s="34" t="s">
        <v>5454</v>
      </c>
      <c r="K1845" s="34" t="s">
        <v>6371</v>
      </c>
      <c r="L1845" s="12" t="s">
        <v>51</v>
      </c>
      <c r="M1845" s="19"/>
      <c r="N1845" s="19"/>
      <c r="O1845" s="71">
        <v>46267.0</v>
      </c>
      <c r="P1845" s="385" t="s">
        <v>1432</v>
      </c>
    </row>
    <row r="1846" hidden="1">
      <c r="A1846" s="472">
        <v>4.0</v>
      </c>
      <c r="B1846" s="595" t="s">
        <v>6555</v>
      </c>
      <c r="C1846" s="12" t="s">
        <v>1185</v>
      </c>
      <c r="D1846" s="472" t="s">
        <v>6556</v>
      </c>
      <c r="E1846" s="472" t="s">
        <v>6557</v>
      </c>
      <c r="F1846" s="12" t="s">
        <v>2486</v>
      </c>
      <c r="G1846" s="669">
        <v>46055.0</v>
      </c>
      <c r="H1846" s="472">
        <v>21.0</v>
      </c>
      <c r="I1846" s="472" t="s">
        <v>2890</v>
      </c>
      <c r="J1846" s="34" t="s">
        <v>51</v>
      </c>
      <c r="K1846" s="19"/>
      <c r="L1846" s="12" t="s">
        <v>374</v>
      </c>
      <c r="M1846" s="19"/>
      <c r="N1846" s="19"/>
      <c r="O1846" s="71">
        <v>46267.0</v>
      </c>
      <c r="P1846" s="385" t="s">
        <v>1432</v>
      </c>
    </row>
    <row r="1847" hidden="1">
      <c r="A1847" s="472">
        <v>5.0</v>
      </c>
      <c r="B1847" s="672" t="s">
        <v>6558</v>
      </c>
      <c r="C1847" s="12" t="s">
        <v>80</v>
      </c>
      <c r="D1847" s="472" t="s">
        <v>6559</v>
      </c>
      <c r="E1847" s="472" t="s">
        <v>6560</v>
      </c>
      <c r="F1847" s="12" t="s">
        <v>4666</v>
      </c>
      <c r="G1847" s="669">
        <v>46055.0</v>
      </c>
      <c r="H1847" s="472">
        <v>21.0</v>
      </c>
      <c r="I1847" s="472" t="s">
        <v>2890</v>
      </c>
      <c r="J1847" s="34" t="s">
        <v>6561</v>
      </c>
      <c r="K1847" s="34" t="s">
        <v>6499</v>
      </c>
      <c r="L1847" s="12" t="s">
        <v>374</v>
      </c>
      <c r="M1847" s="19"/>
      <c r="N1847" s="19"/>
      <c r="O1847" s="71">
        <v>46144.0</v>
      </c>
      <c r="P1847" s="385" t="s">
        <v>1432</v>
      </c>
    </row>
    <row r="1848" hidden="1">
      <c r="A1848" s="574">
        <v>6.0</v>
      </c>
      <c r="B1848" s="601" t="s">
        <v>6562</v>
      </c>
      <c r="C1848" s="495" t="s">
        <v>80</v>
      </c>
      <c r="D1848" s="574" t="s">
        <v>6563</v>
      </c>
      <c r="E1848" s="668" t="s">
        <v>6564</v>
      </c>
      <c r="F1848" s="495" t="s">
        <v>4666</v>
      </c>
      <c r="G1848" s="673">
        <v>46114.0</v>
      </c>
      <c r="H1848" s="574">
        <v>23.0</v>
      </c>
      <c r="I1848" s="574" t="s">
        <v>2890</v>
      </c>
      <c r="J1848" s="34" t="s">
        <v>6337</v>
      </c>
      <c r="K1848" s="19"/>
      <c r="L1848" s="12" t="s">
        <v>374</v>
      </c>
      <c r="M1848" s="19"/>
      <c r="N1848" s="19"/>
      <c r="O1848" s="34" t="s">
        <v>6049</v>
      </c>
      <c r="P1848" s="385" t="s">
        <v>1432</v>
      </c>
    </row>
    <row r="1849" hidden="1">
      <c r="A1849" s="472">
        <v>7.0</v>
      </c>
      <c r="B1849" s="595" t="s">
        <v>6565</v>
      </c>
      <c r="C1849" s="12" t="s">
        <v>80</v>
      </c>
      <c r="D1849" s="472" t="s">
        <v>6566</v>
      </c>
      <c r="E1849" s="668" t="s">
        <v>6567</v>
      </c>
      <c r="F1849" s="12" t="s">
        <v>4666</v>
      </c>
      <c r="G1849" s="669">
        <v>46114.0</v>
      </c>
      <c r="H1849" s="472">
        <v>23.0</v>
      </c>
      <c r="I1849" s="472" t="s">
        <v>2890</v>
      </c>
      <c r="J1849" s="34" t="s">
        <v>6337</v>
      </c>
      <c r="K1849" s="19"/>
      <c r="L1849" s="12" t="s">
        <v>374</v>
      </c>
      <c r="M1849" s="19"/>
      <c r="N1849" s="19"/>
      <c r="O1849" s="34" t="s">
        <v>6049</v>
      </c>
      <c r="P1849" s="385" t="s">
        <v>1432</v>
      </c>
    </row>
    <row r="1850" hidden="1">
      <c r="A1850" s="472">
        <v>8.0</v>
      </c>
      <c r="B1850" s="595" t="s">
        <v>6568</v>
      </c>
      <c r="C1850" s="12" t="s">
        <v>80</v>
      </c>
      <c r="D1850" s="472" t="s">
        <v>6569</v>
      </c>
      <c r="E1850" s="668" t="s">
        <v>6570</v>
      </c>
      <c r="F1850" s="12" t="s">
        <v>4666</v>
      </c>
      <c r="G1850" s="669">
        <v>46114.0</v>
      </c>
      <c r="H1850" s="472">
        <v>23.0</v>
      </c>
      <c r="I1850" s="472" t="s">
        <v>2890</v>
      </c>
      <c r="J1850" s="34" t="s">
        <v>6337</v>
      </c>
      <c r="K1850" s="19"/>
      <c r="L1850" s="12" t="s">
        <v>374</v>
      </c>
      <c r="M1850" s="19"/>
      <c r="N1850" s="19"/>
      <c r="O1850" s="34" t="s">
        <v>6049</v>
      </c>
      <c r="P1850" s="385" t="s">
        <v>1432</v>
      </c>
    </row>
    <row r="1851" hidden="1">
      <c r="A1851" s="472">
        <v>9.0</v>
      </c>
      <c r="B1851" s="595" t="s">
        <v>6571</v>
      </c>
      <c r="C1851" s="12" t="s">
        <v>2307</v>
      </c>
      <c r="D1851" s="472" t="s">
        <v>6572</v>
      </c>
      <c r="E1851" s="472" t="s">
        <v>6573</v>
      </c>
      <c r="F1851" s="12" t="s">
        <v>4358</v>
      </c>
      <c r="G1851" s="669">
        <v>46144.0</v>
      </c>
      <c r="H1851" s="472">
        <v>24.0</v>
      </c>
      <c r="I1851" s="472" t="s">
        <v>2890</v>
      </c>
      <c r="J1851" s="34" t="s">
        <v>699</v>
      </c>
      <c r="K1851" s="34" t="s">
        <v>6574</v>
      </c>
      <c r="L1851" s="12" t="s">
        <v>6435</v>
      </c>
      <c r="M1851" s="19"/>
      <c r="N1851" s="19"/>
      <c r="O1851" s="71">
        <v>46358.0</v>
      </c>
      <c r="P1851" s="385" t="s">
        <v>1432</v>
      </c>
    </row>
    <row r="1852" hidden="1">
      <c r="A1852" s="472">
        <v>10.0</v>
      </c>
      <c r="B1852" s="595" t="s">
        <v>6575</v>
      </c>
      <c r="C1852" s="12" t="s">
        <v>80</v>
      </c>
      <c r="D1852" s="472" t="s">
        <v>6576</v>
      </c>
      <c r="E1852" s="472" t="s">
        <v>6577</v>
      </c>
      <c r="F1852" s="12" t="s">
        <v>6578</v>
      </c>
      <c r="G1852" s="669">
        <v>46144.0</v>
      </c>
      <c r="H1852" s="472">
        <v>24.0</v>
      </c>
      <c r="I1852" s="472" t="s">
        <v>2890</v>
      </c>
      <c r="J1852" s="34" t="s">
        <v>2541</v>
      </c>
      <c r="K1852" s="34" t="s">
        <v>6434</v>
      </c>
      <c r="L1852" s="12" t="s">
        <v>51</v>
      </c>
      <c r="M1852" s="19"/>
      <c r="N1852" s="19"/>
      <c r="O1852" s="71">
        <v>46267.0</v>
      </c>
      <c r="P1852" s="385" t="s">
        <v>1432</v>
      </c>
    </row>
    <row r="1853" hidden="1">
      <c r="A1853" s="472">
        <v>11.0</v>
      </c>
      <c r="B1853" s="595" t="s">
        <v>6579</v>
      </c>
      <c r="C1853" s="12" t="s">
        <v>80</v>
      </c>
      <c r="D1853" s="472" t="s">
        <v>6580</v>
      </c>
      <c r="E1853" s="667" t="s">
        <v>6581</v>
      </c>
      <c r="F1853" s="12" t="s">
        <v>5436</v>
      </c>
      <c r="G1853" s="669">
        <v>46144.0</v>
      </c>
      <c r="H1853" s="472">
        <v>24.0</v>
      </c>
      <c r="I1853" s="472" t="s">
        <v>2890</v>
      </c>
      <c r="J1853" s="34" t="s">
        <v>6582</v>
      </c>
      <c r="K1853" s="34" t="s">
        <v>6371</v>
      </c>
      <c r="L1853" s="12" t="s">
        <v>374</v>
      </c>
      <c r="M1853" s="19"/>
      <c r="N1853" s="19"/>
      <c r="O1853" s="71">
        <v>46083.0</v>
      </c>
      <c r="P1853" s="385" t="s">
        <v>1432</v>
      </c>
    </row>
    <row r="1854" hidden="1">
      <c r="A1854" s="472">
        <v>12.0</v>
      </c>
      <c r="B1854" s="595" t="s">
        <v>6583</v>
      </c>
      <c r="C1854" s="12" t="s">
        <v>80</v>
      </c>
      <c r="D1854" s="472" t="s">
        <v>6584</v>
      </c>
      <c r="E1854" s="667" t="s">
        <v>6585</v>
      </c>
      <c r="F1854" s="12" t="s">
        <v>5436</v>
      </c>
      <c r="G1854" s="669">
        <v>46144.0</v>
      </c>
      <c r="H1854" s="472">
        <v>24.0</v>
      </c>
      <c r="I1854" s="472" t="s">
        <v>2890</v>
      </c>
      <c r="J1854" s="34" t="s">
        <v>6582</v>
      </c>
      <c r="K1854" s="34" t="s">
        <v>6371</v>
      </c>
      <c r="L1854" s="12" t="s">
        <v>374</v>
      </c>
      <c r="M1854" s="19"/>
      <c r="N1854" s="19"/>
      <c r="O1854" s="71">
        <v>46083.0</v>
      </c>
      <c r="P1854" s="385" t="s">
        <v>1432</v>
      </c>
    </row>
    <row r="1855" hidden="1">
      <c r="A1855" s="472">
        <v>13.0</v>
      </c>
      <c r="B1855" s="595" t="s">
        <v>6586</v>
      </c>
      <c r="C1855" s="12" t="s">
        <v>80</v>
      </c>
      <c r="D1855" s="472" t="s">
        <v>6587</v>
      </c>
      <c r="E1855" s="674" t="s">
        <v>6588</v>
      </c>
      <c r="F1855" s="12" t="s">
        <v>3928</v>
      </c>
      <c r="G1855" s="472" t="s">
        <v>6362</v>
      </c>
      <c r="H1855" s="472">
        <v>14.0</v>
      </c>
      <c r="I1855" s="472" t="s">
        <v>2890</v>
      </c>
      <c r="J1855" s="19"/>
      <c r="K1855" s="19"/>
      <c r="L1855" s="14"/>
      <c r="M1855" s="19"/>
      <c r="N1855" s="19"/>
      <c r="O1855" s="34" t="s">
        <v>6453</v>
      </c>
    </row>
    <row r="1856" hidden="1">
      <c r="A1856" s="472">
        <v>14.0</v>
      </c>
      <c r="B1856" s="595" t="s">
        <v>6589</v>
      </c>
      <c r="C1856" s="12" t="s">
        <v>80</v>
      </c>
      <c r="D1856" s="472" t="s">
        <v>6590</v>
      </c>
      <c r="E1856" s="674" t="s">
        <v>6591</v>
      </c>
      <c r="F1856" s="12" t="s">
        <v>3928</v>
      </c>
      <c r="G1856" s="472" t="s">
        <v>6362</v>
      </c>
      <c r="H1856" s="472">
        <v>14.0</v>
      </c>
      <c r="I1856" s="519" t="s">
        <v>5364</v>
      </c>
      <c r="J1856" s="19"/>
      <c r="K1856" s="19"/>
      <c r="L1856" s="14"/>
      <c r="M1856" s="19"/>
      <c r="N1856" s="19"/>
      <c r="O1856" s="34" t="s">
        <v>6453</v>
      </c>
    </row>
    <row r="1857" hidden="1">
      <c r="A1857" s="472">
        <v>15.0</v>
      </c>
      <c r="B1857" s="595" t="s">
        <v>6592</v>
      </c>
      <c r="C1857" s="12" t="s">
        <v>80</v>
      </c>
      <c r="D1857" s="472" t="s">
        <v>6593</v>
      </c>
      <c r="E1857" s="472" t="s">
        <v>6594</v>
      </c>
      <c r="F1857" s="12" t="s">
        <v>1391</v>
      </c>
      <c r="G1857" s="669">
        <v>46175.0</v>
      </c>
      <c r="H1857" s="472">
        <v>25.0</v>
      </c>
      <c r="I1857" s="472" t="s">
        <v>2890</v>
      </c>
      <c r="J1857" s="34" t="s">
        <v>6595</v>
      </c>
      <c r="K1857" s="34" t="s">
        <v>6596</v>
      </c>
      <c r="L1857" s="12" t="s">
        <v>51</v>
      </c>
      <c r="M1857" s="19"/>
      <c r="N1857" s="19"/>
      <c r="O1857" s="148">
        <v>46114.0</v>
      </c>
      <c r="P1857" s="385" t="s">
        <v>1432</v>
      </c>
      <c r="AE1857" s="143" t="s">
        <v>6597</v>
      </c>
      <c r="AF1857" s="143"/>
    </row>
    <row r="1858" hidden="1">
      <c r="A1858" s="472">
        <v>16.0</v>
      </c>
      <c r="B1858" s="595" t="s">
        <v>6598</v>
      </c>
      <c r="C1858" s="12" t="s">
        <v>6599</v>
      </c>
      <c r="D1858" s="472" t="s">
        <v>6600</v>
      </c>
      <c r="E1858" s="472" t="s">
        <v>6601</v>
      </c>
      <c r="F1858" s="12" t="s">
        <v>4559</v>
      </c>
      <c r="G1858" s="472" t="s">
        <v>6602</v>
      </c>
      <c r="H1858" s="472">
        <v>6.0</v>
      </c>
      <c r="I1858" s="472" t="s">
        <v>2890</v>
      </c>
      <c r="L1858" s="292" t="s">
        <v>6603</v>
      </c>
      <c r="O1858" s="143" t="s">
        <v>5869</v>
      </c>
    </row>
    <row r="1859" hidden="1">
      <c r="A1859" s="645"/>
      <c r="B1859" s="675"/>
      <c r="C1859" s="645"/>
      <c r="D1859" s="676"/>
      <c r="E1859" s="677"/>
      <c r="F1859" s="645"/>
      <c r="G1859" s="645"/>
      <c r="H1859" s="645"/>
      <c r="I1859" s="355"/>
      <c r="L1859" s="140"/>
    </row>
    <row r="1860" hidden="1">
      <c r="A1860" s="645"/>
      <c r="B1860" s="675"/>
      <c r="C1860" s="645"/>
      <c r="D1860" s="676"/>
      <c r="E1860" s="677"/>
      <c r="F1860" s="645"/>
      <c r="G1860" s="645"/>
      <c r="H1860" s="645"/>
      <c r="I1860" s="355"/>
      <c r="L1860" s="140"/>
    </row>
    <row r="1861" hidden="1">
      <c r="A1861" s="339" t="s">
        <v>6604</v>
      </c>
    </row>
    <row r="1862" hidden="1">
      <c r="A1862" s="670" t="s">
        <v>47</v>
      </c>
      <c r="B1862" s="678" t="s">
        <v>7</v>
      </c>
      <c r="C1862" s="670" t="s">
        <v>9</v>
      </c>
      <c r="D1862" s="670" t="s">
        <v>10</v>
      </c>
      <c r="E1862" s="670" t="s">
        <v>11</v>
      </c>
      <c r="F1862" s="670" t="s">
        <v>12</v>
      </c>
      <c r="G1862" s="670" t="s">
        <v>2378</v>
      </c>
      <c r="H1862" s="670" t="s">
        <v>2681</v>
      </c>
      <c r="I1862" s="4" t="s">
        <v>2847</v>
      </c>
      <c r="J1862" s="8" t="s">
        <v>14</v>
      </c>
      <c r="K1862" s="9" t="s">
        <v>16</v>
      </c>
      <c r="L1862" s="9" t="s">
        <v>4330</v>
      </c>
      <c r="M1862" s="9" t="s">
        <v>18</v>
      </c>
      <c r="N1862" s="9" t="s">
        <v>19</v>
      </c>
      <c r="O1862" s="9" t="s">
        <v>20</v>
      </c>
      <c r="P1862" s="9" t="s">
        <v>21</v>
      </c>
    </row>
    <row r="1863" hidden="1">
      <c r="A1863" s="679">
        <v>1.0</v>
      </c>
      <c r="B1863" s="383" t="s">
        <v>6605</v>
      </c>
      <c r="C1863" s="680" t="s">
        <v>6606</v>
      </c>
      <c r="D1863" s="53" t="s">
        <v>6607</v>
      </c>
      <c r="E1863" s="681" t="s">
        <v>6608</v>
      </c>
      <c r="F1863" s="680" t="s">
        <v>228</v>
      </c>
      <c r="G1863" s="682">
        <v>46058.0</v>
      </c>
      <c r="H1863" s="53">
        <v>20.0</v>
      </c>
      <c r="I1863" s="29" t="s">
        <v>2890</v>
      </c>
      <c r="J1863" s="34" t="s">
        <v>6609</v>
      </c>
      <c r="K1863" s="34" t="s">
        <v>6596</v>
      </c>
      <c r="L1863" s="12" t="s">
        <v>374</v>
      </c>
      <c r="M1863" s="19"/>
      <c r="N1863" s="19"/>
      <c r="O1863" s="71">
        <v>46267.0</v>
      </c>
      <c r="P1863" s="385" t="s">
        <v>1432</v>
      </c>
    </row>
    <row r="1864" hidden="1">
      <c r="A1864" s="679">
        <v>2.0</v>
      </c>
      <c r="B1864" s="383" t="s">
        <v>6610</v>
      </c>
      <c r="C1864" s="680" t="s">
        <v>6606</v>
      </c>
      <c r="D1864" s="53" t="s">
        <v>6611</v>
      </c>
      <c r="E1864" s="681" t="s">
        <v>6612</v>
      </c>
      <c r="F1864" s="680" t="s">
        <v>356</v>
      </c>
      <c r="G1864" s="682">
        <v>46058.0</v>
      </c>
      <c r="H1864" s="53">
        <v>20.0</v>
      </c>
      <c r="I1864" s="29" t="s">
        <v>2890</v>
      </c>
      <c r="J1864" s="34" t="s">
        <v>6613</v>
      </c>
      <c r="K1864" s="34" t="s">
        <v>6371</v>
      </c>
      <c r="L1864" s="12" t="s">
        <v>51</v>
      </c>
      <c r="M1864" s="19"/>
      <c r="N1864" s="19"/>
      <c r="O1864" s="71">
        <v>46175.0</v>
      </c>
      <c r="P1864" s="385" t="s">
        <v>1432</v>
      </c>
    </row>
    <row r="1865" hidden="1">
      <c r="A1865" s="679">
        <v>3.0</v>
      </c>
      <c r="B1865" s="383" t="s">
        <v>6614</v>
      </c>
      <c r="C1865" s="683" t="s">
        <v>6606</v>
      </c>
      <c r="D1865" s="53" t="s">
        <v>6615</v>
      </c>
      <c r="E1865" s="681" t="s">
        <v>6616</v>
      </c>
      <c r="F1865" s="683" t="s">
        <v>6617</v>
      </c>
      <c r="G1865" s="682">
        <v>46058.0</v>
      </c>
      <c r="H1865" s="53">
        <v>20.0</v>
      </c>
      <c r="I1865" s="29" t="s">
        <v>2890</v>
      </c>
      <c r="J1865" s="34" t="s">
        <v>2541</v>
      </c>
      <c r="K1865" s="34" t="s">
        <v>6434</v>
      </c>
      <c r="L1865" s="12" t="s">
        <v>374</v>
      </c>
      <c r="M1865" s="19"/>
      <c r="N1865" s="19"/>
      <c r="O1865" s="34" t="s">
        <v>6253</v>
      </c>
      <c r="P1865" s="385" t="s">
        <v>1432</v>
      </c>
    </row>
    <row r="1866" hidden="1">
      <c r="A1866" s="679">
        <v>4.0</v>
      </c>
      <c r="B1866" s="383" t="s">
        <v>6618</v>
      </c>
      <c r="C1866" s="680" t="s">
        <v>6606</v>
      </c>
      <c r="D1866" s="53" t="s">
        <v>6619</v>
      </c>
      <c r="E1866" s="681" t="s">
        <v>6620</v>
      </c>
      <c r="F1866" s="680" t="s">
        <v>25</v>
      </c>
      <c r="G1866" s="682">
        <v>46058.0</v>
      </c>
      <c r="H1866" s="53">
        <v>20.0</v>
      </c>
      <c r="I1866" s="29" t="s">
        <v>2890</v>
      </c>
      <c r="J1866" s="34" t="s">
        <v>2541</v>
      </c>
      <c r="K1866" s="34" t="s">
        <v>6434</v>
      </c>
      <c r="L1866" s="12" t="s">
        <v>51</v>
      </c>
      <c r="M1866" s="19"/>
      <c r="N1866" s="19"/>
      <c r="O1866" s="71">
        <v>46175.0</v>
      </c>
      <c r="P1866" s="385" t="s">
        <v>1432</v>
      </c>
    </row>
    <row r="1867" hidden="1">
      <c r="A1867" s="679">
        <v>5.0</v>
      </c>
      <c r="B1867" s="383" t="s">
        <v>6621</v>
      </c>
      <c r="C1867" s="680" t="s">
        <v>1318</v>
      </c>
      <c r="D1867" s="53" t="s">
        <v>6622</v>
      </c>
      <c r="E1867" s="681" t="s">
        <v>6623</v>
      </c>
      <c r="F1867" s="684" t="s">
        <v>4779</v>
      </c>
      <c r="G1867" s="682">
        <v>46060.0</v>
      </c>
      <c r="H1867" s="53">
        <v>22.0</v>
      </c>
      <c r="I1867" s="406" t="s">
        <v>3465</v>
      </c>
      <c r="J1867" s="34" t="s">
        <v>6613</v>
      </c>
      <c r="K1867" s="34" t="s">
        <v>6371</v>
      </c>
      <c r="L1867" s="12" t="s">
        <v>51</v>
      </c>
      <c r="M1867" s="19"/>
      <c r="N1867" s="19"/>
      <c r="O1867" s="148">
        <v>46297.0</v>
      </c>
      <c r="P1867" s="385" t="s">
        <v>1432</v>
      </c>
    </row>
    <row r="1868" hidden="1">
      <c r="A1868" s="679">
        <v>6.0</v>
      </c>
      <c r="B1868" s="383" t="s">
        <v>6624</v>
      </c>
      <c r="C1868" s="680" t="s">
        <v>1318</v>
      </c>
      <c r="D1868" s="53" t="s">
        <v>6625</v>
      </c>
      <c r="E1868" s="681" t="s">
        <v>6626</v>
      </c>
      <c r="F1868" s="680" t="s">
        <v>4338</v>
      </c>
      <c r="G1868" s="682">
        <v>46060.0</v>
      </c>
      <c r="H1868" s="53">
        <v>22.0</v>
      </c>
      <c r="I1868" s="29" t="s">
        <v>2890</v>
      </c>
      <c r="J1868" s="34" t="s">
        <v>6627</v>
      </c>
      <c r="K1868" s="34" t="s">
        <v>6628</v>
      </c>
      <c r="L1868" s="12" t="s">
        <v>51</v>
      </c>
      <c r="M1868" s="19"/>
      <c r="N1868" s="19"/>
      <c r="O1868" s="71">
        <v>46358.0</v>
      </c>
      <c r="P1868" s="385" t="s">
        <v>1432</v>
      </c>
    </row>
    <row r="1869" hidden="1">
      <c r="A1869" s="679">
        <v>7.0</v>
      </c>
      <c r="B1869" s="383" t="s">
        <v>6629</v>
      </c>
      <c r="C1869" s="680" t="s">
        <v>6606</v>
      </c>
      <c r="D1869" s="53" t="s">
        <v>6630</v>
      </c>
      <c r="E1869" s="667" t="s">
        <v>6631</v>
      </c>
      <c r="F1869" s="680" t="s">
        <v>6632</v>
      </c>
      <c r="G1869" s="682">
        <v>46060.0</v>
      </c>
      <c r="H1869" s="53">
        <v>22.0</v>
      </c>
      <c r="I1869" s="29" t="s">
        <v>2890</v>
      </c>
      <c r="J1869" s="34" t="s">
        <v>6613</v>
      </c>
      <c r="K1869" s="34" t="s">
        <v>6471</v>
      </c>
      <c r="L1869" s="12" t="s">
        <v>374</v>
      </c>
      <c r="M1869" s="19"/>
      <c r="N1869" s="19"/>
      <c r="O1869" s="148">
        <v>46114.0</v>
      </c>
      <c r="P1869" s="385" t="s">
        <v>1432</v>
      </c>
    </row>
    <row r="1870" hidden="1">
      <c r="A1870" s="679">
        <v>8.0</v>
      </c>
      <c r="B1870" s="383" t="s">
        <v>6633</v>
      </c>
      <c r="C1870" s="680" t="s">
        <v>6606</v>
      </c>
      <c r="D1870" s="53" t="s">
        <v>6634</v>
      </c>
      <c r="E1870" s="667" t="s">
        <v>6635</v>
      </c>
      <c r="F1870" s="680" t="s">
        <v>6632</v>
      </c>
      <c r="G1870" s="682">
        <v>46060.0</v>
      </c>
      <c r="H1870" s="53">
        <v>22.0</v>
      </c>
      <c r="I1870" s="406" t="s">
        <v>3465</v>
      </c>
      <c r="J1870" s="34" t="s">
        <v>6613</v>
      </c>
      <c r="K1870" s="34" t="s">
        <v>6471</v>
      </c>
      <c r="L1870" s="12" t="s">
        <v>374</v>
      </c>
      <c r="M1870" s="19"/>
      <c r="N1870" s="19"/>
      <c r="O1870" s="148">
        <v>46115.0</v>
      </c>
      <c r="P1870" s="385" t="s">
        <v>1432</v>
      </c>
    </row>
    <row r="1871" hidden="1">
      <c r="A1871" s="679">
        <v>9.0</v>
      </c>
      <c r="B1871" s="383" t="s">
        <v>6636</v>
      </c>
      <c r="C1871" s="680" t="s">
        <v>6606</v>
      </c>
      <c r="D1871" s="53" t="s">
        <v>6637</v>
      </c>
      <c r="E1871" s="667" t="s">
        <v>6638</v>
      </c>
      <c r="F1871" s="680" t="s">
        <v>6639</v>
      </c>
      <c r="G1871" s="682">
        <v>46060.0</v>
      </c>
      <c r="H1871" s="53">
        <v>22.0</v>
      </c>
      <c r="I1871" s="29" t="s">
        <v>2890</v>
      </c>
      <c r="J1871" s="34" t="s">
        <v>6640</v>
      </c>
      <c r="K1871" s="34" t="s">
        <v>6471</v>
      </c>
      <c r="L1871" s="12" t="s">
        <v>374</v>
      </c>
      <c r="M1871" s="19"/>
      <c r="N1871" s="19"/>
      <c r="O1871" s="148">
        <v>46116.0</v>
      </c>
      <c r="P1871" s="385" t="s">
        <v>1432</v>
      </c>
    </row>
    <row r="1872" hidden="1">
      <c r="A1872" s="679">
        <v>10.0</v>
      </c>
      <c r="B1872" s="383" t="s">
        <v>6641</v>
      </c>
      <c r="C1872" s="680" t="s">
        <v>6606</v>
      </c>
      <c r="D1872" s="53" t="s">
        <v>6642</v>
      </c>
      <c r="E1872" s="667" t="s">
        <v>6643</v>
      </c>
      <c r="F1872" s="680" t="s">
        <v>6639</v>
      </c>
      <c r="G1872" s="682">
        <v>46060.0</v>
      </c>
      <c r="H1872" s="53">
        <v>22.0</v>
      </c>
      <c r="I1872" s="29" t="s">
        <v>2890</v>
      </c>
      <c r="J1872" s="34" t="s">
        <v>6640</v>
      </c>
      <c r="K1872" s="34" t="s">
        <v>6471</v>
      </c>
      <c r="L1872" s="12" t="s">
        <v>374</v>
      </c>
      <c r="M1872" s="19"/>
      <c r="N1872" s="19"/>
      <c r="O1872" s="148">
        <v>46116.0</v>
      </c>
      <c r="P1872" s="385" t="s">
        <v>1432</v>
      </c>
    </row>
    <row r="1873" hidden="1">
      <c r="A1873" s="679">
        <v>11.0</v>
      </c>
      <c r="B1873" s="383" t="s">
        <v>6644</v>
      </c>
      <c r="C1873" s="680" t="s">
        <v>6606</v>
      </c>
      <c r="D1873" s="53" t="s">
        <v>6645</v>
      </c>
      <c r="E1873" s="681" t="s">
        <v>6646</v>
      </c>
      <c r="F1873" s="680" t="s">
        <v>815</v>
      </c>
      <c r="G1873" s="682">
        <v>46061.0</v>
      </c>
      <c r="H1873" s="53">
        <v>23.0</v>
      </c>
      <c r="I1873" s="29" t="s">
        <v>2890</v>
      </c>
      <c r="J1873" s="34" t="s">
        <v>6640</v>
      </c>
      <c r="K1873" s="34" t="s">
        <v>6471</v>
      </c>
      <c r="L1873" s="12" t="s">
        <v>374</v>
      </c>
      <c r="M1873" s="19"/>
      <c r="N1873" s="19"/>
      <c r="O1873" s="71">
        <v>46083.0</v>
      </c>
      <c r="P1873" s="385" t="s">
        <v>1432</v>
      </c>
    </row>
    <row r="1874" hidden="1">
      <c r="A1874" s="679">
        <v>12.0</v>
      </c>
      <c r="B1874" s="383" t="s">
        <v>6647</v>
      </c>
      <c r="C1874" s="680" t="s">
        <v>6606</v>
      </c>
      <c r="D1874" s="53" t="s">
        <v>6648</v>
      </c>
      <c r="E1874" s="681" t="s">
        <v>6649</v>
      </c>
      <c r="F1874" s="680" t="s">
        <v>6650</v>
      </c>
      <c r="G1874" s="682">
        <v>46060.0</v>
      </c>
      <c r="H1874" s="53">
        <v>22.0</v>
      </c>
      <c r="I1874" s="29" t="s">
        <v>3043</v>
      </c>
      <c r="J1874" s="34" t="s">
        <v>6627</v>
      </c>
      <c r="K1874" s="34" t="s">
        <v>6499</v>
      </c>
      <c r="L1874" s="12" t="s">
        <v>51</v>
      </c>
      <c r="M1874" s="19"/>
      <c r="N1874" s="19"/>
      <c r="O1874" s="661">
        <v>46297.0</v>
      </c>
      <c r="P1874" s="385" t="s">
        <v>1432</v>
      </c>
    </row>
    <row r="1875" hidden="1">
      <c r="A1875" s="679">
        <v>13.0</v>
      </c>
      <c r="B1875" s="383" t="s">
        <v>6651</v>
      </c>
      <c r="C1875" s="680" t="s">
        <v>6606</v>
      </c>
      <c r="D1875" s="53" t="s">
        <v>6652</v>
      </c>
      <c r="E1875" s="667" t="s">
        <v>6653</v>
      </c>
      <c r="F1875" s="680" t="s">
        <v>356</v>
      </c>
      <c r="G1875" s="682">
        <v>46060.0</v>
      </c>
      <c r="H1875" s="53">
        <v>22.0</v>
      </c>
      <c r="I1875" s="406" t="s">
        <v>3465</v>
      </c>
      <c r="J1875" s="34" t="s">
        <v>6640</v>
      </c>
      <c r="K1875" s="34" t="s">
        <v>6596</v>
      </c>
      <c r="L1875" s="12" t="s">
        <v>374</v>
      </c>
      <c r="M1875" s="19"/>
      <c r="N1875" s="19"/>
      <c r="O1875" s="71">
        <v>46175.0</v>
      </c>
      <c r="P1875" s="385" t="s">
        <v>1432</v>
      </c>
    </row>
    <row r="1876" hidden="1">
      <c r="A1876" s="679">
        <v>14.0</v>
      </c>
      <c r="B1876" s="383" t="s">
        <v>6654</v>
      </c>
      <c r="C1876" s="680" t="s">
        <v>6606</v>
      </c>
      <c r="D1876" s="53" t="s">
        <v>6655</v>
      </c>
      <c r="E1876" s="667" t="s">
        <v>6656</v>
      </c>
      <c r="F1876" s="680" t="s">
        <v>356</v>
      </c>
      <c r="G1876" s="682">
        <v>46060.0</v>
      </c>
      <c r="H1876" s="53">
        <v>22.0</v>
      </c>
      <c r="I1876" s="29" t="s">
        <v>2890</v>
      </c>
      <c r="J1876" s="34" t="s">
        <v>6640</v>
      </c>
      <c r="K1876" s="34" t="s">
        <v>6596</v>
      </c>
      <c r="L1876" s="12" t="s">
        <v>374</v>
      </c>
      <c r="M1876" s="19"/>
      <c r="N1876" s="19"/>
      <c r="O1876" s="71">
        <v>46175.0</v>
      </c>
      <c r="P1876" s="385" t="s">
        <v>1432</v>
      </c>
    </row>
    <row r="1877" hidden="1">
      <c r="A1877" s="679">
        <v>15.0</v>
      </c>
      <c r="B1877" s="383" t="s">
        <v>6657</v>
      </c>
      <c r="C1877" s="680" t="s">
        <v>6606</v>
      </c>
      <c r="D1877" s="53" t="s">
        <v>6658</v>
      </c>
      <c r="E1877" s="681" t="s">
        <v>6659</v>
      </c>
      <c r="F1877" s="680" t="s">
        <v>356</v>
      </c>
      <c r="G1877" s="682">
        <v>46060.0</v>
      </c>
      <c r="H1877" s="53">
        <v>22.0</v>
      </c>
      <c r="I1877" s="29" t="s">
        <v>2890</v>
      </c>
      <c r="J1877" s="34" t="s">
        <v>6595</v>
      </c>
      <c r="K1877" s="34" t="s">
        <v>6596</v>
      </c>
      <c r="L1877" s="12" t="s">
        <v>51</v>
      </c>
      <c r="M1877" s="19"/>
      <c r="N1877" s="19"/>
      <c r="O1877" s="71">
        <v>46267.0</v>
      </c>
      <c r="P1877" s="385" t="s">
        <v>1432</v>
      </c>
    </row>
    <row r="1878" hidden="1">
      <c r="A1878" s="679">
        <v>16.0</v>
      </c>
      <c r="B1878" s="383" t="s">
        <v>6660</v>
      </c>
      <c r="C1878" s="680" t="s">
        <v>6024</v>
      </c>
      <c r="D1878" s="53" t="s">
        <v>6661</v>
      </c>
      <c r="E1878" s="681" t="s">
        <v>6662</v>
      </c>
      <c r="F1878" s="680" t="s">
        <v>6663</v>
      </c>
      <c r="G1878" s="682">
        <v>46061.0</v>
      </c>
      <c r="H1878" s="53">
        <v>23.0</v>
      </c>
      <c r="I1878" s="29" t="s">
        <v>2890</v>
      </c>
      <c r="J1878" s="34" t="s">
        <v>6627</v>
      </c>
      <c r="K1878" s="34" t="s">
        <v>6628</v>
      </c>
      <c r="L1878" s="12" t="s">
        <v>374</v>
      </c>
      <c r="M1878" s="19"/>
      <c r="N1878" s="19"/>
      <c r="O1878" s="148">
        <v>46297.0</v>
      </c>
      <c r="P1878" s="385" t="s">
        <v>1432</v>
      </c>
    </row>
    <row r="1879" hidden="1">
      <c r="A1879" s="679">
        <v>17.0</v>
      </c>
      <c r="B1879" s="383" t="s">
        <v>6664</v>
      </c>
      <c r="C1879" s="685" t="s">
        <v>6606</v>
      </c>
      <c r="D1879" s="53" t="s">
        <v>6665</v>
      </c>
      <c r="E1879" s="674" t="s">
        <v>6666</v>
      </c>
      <c r="F1879" s="685" t="s">
        <v>3583</v>
      </c>
      <c r="G1879" s="682">
        <v>46061.0</v>
      </c>
      <c r="H1879" s="53">
        <v>23.0</v>
      </c>
      <c r="I1879" s="29" t="s">
        <v>2890</v>
      </c>
      <c r="J1879" s="19"/>
      <c r="K1879" s="19"/>
      <c r="L1879" s="14"/>
      <c r="M1879" s="19"/>
      <c r="N1879" s="19"/>
      <c r="O1879" s="648">
        <v>46053.0</v>
      </c>
      <c r="P1879" s="19"/>
    </row>
    <row r="1880" hidden="1">
      <c r="A1880" s="679">
        <v>18.0</v>
      </c>
      <c r="B1880" s="383" t="s">
        <v>6667</v>
      </c>
      <c r="C1880" s="685" t="s">
        <v>6606</v>
      </c>
      <c r="D1880" s="53" t="s">
        <v>6668</v>
      </c>
      <c r="E1880" s="674" t="s">
        <v>6669</v>
      </c>
      <c r="F1880" s="685" t="s">
        <v>3583</v>
      </c>
      <c r="G1880" s="682">
        <v>46051.0</v>
      </c>
      <c r="H1880" s="53">
        <v>13.0</v>
      </c>
      <c r="I1880" s="686" t="s">
        <v>6670</v>
      </c>
      <c r="J1880" s="19"/>
      <c r="K1880" s="19"/>
      <c r="L1880" s="14"/>
      <c r="M1880" s="19"/>
      <c r="N1880" s="19"/>
      <c r="O1880" s="648">
        <v>46053.0</v>
      </c>
      <c r="P1880" s="19"/>
    </row>
    <row r="1881" hidden="1">
      <c r="A1881" s="679">
        <v>19.0</v>
      </c>
      <c r="B1881" s="383" t="s">
        <v>6671</v>
      </c>
      <c r="C1881" s="685" t="s">
        <v>6606</v>
      </c>
      <c r="D1881" s="53" t="s">
        <v>6672</v>
      </c>
      <c r="E1881" s="674" t="s">
        <v>6673</v>
      </c>
      <c r="F1881" s="685" t="s">
        <v>3583</v>
      </c>
      <c r="G1881" s="682">
        <v>46051.0</v>
      </c>
      <c r="H1881" s="53">
        <v>13.0</v>
      </c>
      <c r="I1881" s="687" t="s">
        <v>3043</v>
      </c>
      <c r="J1881" s="19"/>
      <c r="K1881" s="19"/>
      <c r="L1881" s="14"/>
      <c r="M1881" s="19"/>
      <c r="N1881" s="19"/>
      <c r="O1881" s="648">
        <v>46053.0</v>
      </c>
      <c r="P1881" s="19"/>
    </row>
    <row r="1882" hidden="1">
      <c r="A1882" s="679">
        <v>20.0</v>
      </c>
      <c r="B1882" s="383" t="s">
        <v>6674</v>
      </c>
      <c r="C1882" s="685" t="s">
        <v>6606</v>
      </c>
      <c r="D1882" s="53" t="s">
        <v>6675</v>
      </c>
      <c r="E1882" s="674" t="s">
        <v>6676</v>
      </c>
      <c r="F1882" s="685" t="s">
        <v>3583</v>
      </c>
      <c r="G1882" s="682">
        <v>46051.0</v>
      </c>
      <c r="H1882" s="53">
        <v>13.0</v>
      </c>
      <c r="I1882" s="29" t="s">
        <v>2890</v>
      </c>
      <c r="J1882" s="19"/>
      <c r="K1882" s="19"/>
      <c r="L1882" s="14"/>
      <c r="M1882" s="19"/>
      <c r="N1882" s="19"/>
      <c r="O1882" s="648">
        <v>46053.0</v>
      </c>
      <c r="P1882" s="19"/>
    </row>
    <row r="1883" hidden="1">
      <c r="A1883" s="679">
        <v>21.0</v>
      </c>
      <c r="B1883" s="383" t="s">
        <v>6677</v>
      </c>
      <c r="C1883" s="685" t="s">
        <v>938</v>
      </c>
      <c r="D1883" s="53" t="s">
        <v>6678</v>
      </c>
      <c r="E1883" s="667" t="s">
        <v>6679</v>
      </c>
      <c r="F1883" s="685" t="s">
        <v>243</v>
      </c>
      <c r="G1883" s="682">
        <v>46061.0</v>
      </c>
      <c r="H1883" s="53">
        <v>23.0</v>
      </c>
      <c r="I1883" s="29" t="s">
        <v>2890</v>
      </c>
      <c r="J1883" s="34" t="s">
        <v>6595</v>
      </c>
      <c r="K1883" s="34" t="s">
        <v>6596</v>
      </c>
      <c r="L1883" s="12" t="s">
        <v>374</v>
      </c>
      <c r="M1883" s="19"/>
      <c r="N1883" s="19"/>
      <c r="O1883" s="71">
        <v>46205.0</v>
      </c>
      <c r="P1883" s="385" t="s">
        <v>1432</v>
      </c>
    </row>
    <row r="1884" hidden="1">
      <c r="A1884" s="679">
        <v>22.0</v>
      </c>
      <c r="B1884" s="383" t="s">
        <v>6680</v>
      </c>
      <c r="C1884" s="685" t="s">
        <v>938</v>
      </c>
      <c r="D1884" s="53" t="s">
        <v>6681</v>
      </c>
      <c r="E1884" s="667" t="s">
        <v>6682</v>
      </c>
      <c r="F1884" s="685" t="s">
        <v>243</v>
      </c>
      <c r="G1884" s="682">
        <v>46061.0</v>
      </c>
      <c r="H1884" s="53">
        <v>23.0</v>
      </c>
      <c r="I1884" s="29" t="s">
        <v>2890</v>
      </c>
      <c r="J1884" s="34" t="s">
        <v>6595</v>
      </c>
      <c r="K1884" s="34" t="s">
        <v>6596</v>
      </c>
      <c r="L1884" s="12" t="s">
        <v>374</v>
      </c>
      <c r="M1884" s="19"/>
      <c r="N1884" s="19"/>
      <c r="O1884" s="71">
        <v>46205.0</v>
      </c>
      <c r="P1884" s="385" t="s">
        <v>1432</v>
      </c>
    </row>
    <row r="1885" hidden="1">
      <c r="A1885" s="679">
        <v>23.0</v>
      </c>
      <c r="B1885" s="383" t="s">
        <v>6683</v>
      </c>
      <c r="C1885" s="688" t="s">
        <v>6606</v>
      </c>
      <c r="D1885" s="53" t="s">
        <v>6684</v>
      </c>
      <c r="E1885" s="681" t="s">
        <v>6685</v>
      </c>
      <c r="F1885" s="688" t="s">
        <v>2209</v>
      </c>
      <c r="G1885" s="682">
        <v>46060.0</v>
      </c>
      <c r="H1885" s="53">
        <v>22.0</v>
      </c>
      <c r="I1885" s="29" t="s">
        <v>2890</v>
      </c>
      <c r="J1885" s="34" t="s">
        <v>6627</v>
      </c>
      <c r="K1885" s="34" t="s">
        <v>6628</v>
      </c>
      <c r="L1885" s="12" t="s">
        <v>374</v>
      </c>
      <c r="M1885" s="19"/>
      <c r="N1885" s="19"/>
      <c r="O1885" s="148">
        <v>46114.0</v>
      </c>
      <c r="P1885" s="385" t="s">
        <v>1432</v>
      </c>
    </row>
    <row r="1886" hidden="1">
      <c r="A1886" s="679">
        <v>24.0</v>
      </c>
      <c r="B1886" s="383" t="s">
        <v>6686</v>
      </c>
      <c r="C1886" s="680" t="s">
        <v>6606</v>
      </c>
      <c r="D1886" s="53" t="s">
        <v>6687</v>
      </c>
      <c r="E1886" s="674" t="s">
        <v>6688</v>
      </c>
      <c r="F1886" s="680" t="s">
        <v>3928</v>
      </c>
      <c r="G1886" s="682">
        <v>46052.0</v>
      </c>
      <c r="H1886" s="53">
        <v>14.0</v>
      </c>
      <c r="I1886" s="29" t="s">
        <v>2890</v>
      </c>
      <c r="J1886" s="34" t="s">
        <v>6689</v>
      </c>
      <c r="K1886" s="19"/>
      <c r="L1886" s="14"/>
      <c r="M1886" s="19"/>
      <c r="N1886" s="19"/>
      <c r="O1886" s="648">
        <v>46052.0</v>
      </c>
      <c r="P1886" s="19"/>
    </row>
    <row r="1887" hidden="1">
      <c r="A1887" s="679">
        <v>25.0</v>
      </c>
      <c r="B1887" s="383" t="s">
        <v>6690</v>
      </c>
      <c r="C1887" s="680" t="s">
        <v>6606</v>
      </c>
      <c r="D1887" s="53" t="s">
        <v>6691</v>
      </c>
      <c r="E1887" s="674" t="s">
        <v>6692</v>
      </c>
      <c r="F1887" s="680" t="s">
        <v>3928</v>
      </c>
      <c r="G1887" s="682">
        <v>46052.0</v>
      </c>
      <c r="H1887" s="53">
        <v>14.0</v>
      </c>
      <c r="I1887" s="29" t="s">
        <v>2890</v>
      </c>
      <c r="J1887" s="34" t="s">
        <v>6689</v>
      </c>
      <c r="K1887" s="19"/>
      <c r="L1887" s="14"/>
      <c r="M1887" s="19"/>
      <c r="N1887" s="19"/>
      <c r="O1887" s="648">
        <v>46052.0</v>
      </c>
      <c r="P1887" s="19"/>
    </row>
    <row r="1888" hidden="1">
      <c r="A1888" s="679">
        <v>26.0</v>
      </c>
      <c r="B1888" s="383" t="s">
        <v>6693</v>
      </c>
      <c r="C1888" s="680" t="s">
        <v>6606</v>
      </c>
      <c r="D1888" s="53" t="s">
        <v>6694</v>
      </c>
      <c r="E1888" s="674" t="s">
        <v>6695</v>
      </c>
      <c r="F1888" s="680" t="s">
        <v>3928</v>
      </c>
      <c r="G1888" s="682">
        <v>46052.0</v>
      </c>
      <c r="H1888" s="53">
        <v>14.0</v>
      </c>
      <c r="I1888" s="29" t="s">
        <v>2890</v>
      </c>
      <c r="J1888" s="34" t="s">
        <v>6696</v>
      </c>
      <c r="K1888" s="19"/>
      <c r="L1888" s="14"/>
      <c r="M1888" s="19"/>
      <c r="N1888" s="19"/>
      <c r="O1888" s="648">
        <v>46052.0</v>
      </c>
      <c r="P1888" s="19"/>
    </row>
    <row r="1889" hidden="1">
      <c r="A1889" s="679">
        <v>27.0</v>
      </c>
      <c r="B1889" s="383" t="s">
        <v>6697</v>
      </c>
      <c r="C1889" s="680" t="s">
        <v>6606</v>
      </c>
      <c r="D1889" s="53" t="s">
        <v>6698</v>
      </c>
      <c r="E1889" s="674" t="s">
        <v>6699</v>
      </c>
      <c r="F1889" s="680" t="s">
        <v>3928</v>
      </c>
      <c r="G1889" s="682">
        <v>46052.0</v>
      </c>
      <c r="H1889" s="53">
        <v>14.0</v>
      </c>
      <c r="I1889" s="29" t="s">
        <v>2890</v>
      </c>
      <c r="J1889" s="34" t="s">
        <v>6700</v>
      </c>
      <c r="K1889" s="19"/>
      <c r="L1889" s="14"/>
      <c r="M1889" s="19"/>
      <c r="N1889" s="19"/>
      <c r="O1889" s="648">
        <v>46052.0</v>
      </c>
      <c r="P1889" s="19"/>
    </row>
    <row r="1890" hidden="1">
      <c r="A1890" s="679">
        <v>28.0</v>
      </c>
      <c r="B1890" s="383" t="s">
        <v>6701</v>
      </c>
      <c r="C1890" s="680" t="s">
        <v>6606</v>
      </c>
      <c r="D1890" s="53" t="s">
        <v>6702</v>
      </c>
      <c r="E1890" s="674" t="s">
        <v>6703</v>
      </c>
      <c r="F1890" s="680" t="s">
        <v>3928</v>
      </c>
      <c r="G1890" s="682">
        <v>46052.0</v>
      </c>
      <c r="H1890" s="53">
        <v>14.0</v>
      </c>
      <c r="I1890" s="29" t="s">
        <v>2890</v>
      </c>
      <c r="J1890" s="34" t="s">
        <v>6700</v>
      </c>
      <c r="K1890" s="19"/>
      <c r="L1890" s="14"/>
      <c r="M1890" s="19"/>
      <c r="N1890" s="19"/>
      <c r="O1890" s="648">
        <v>46052.0</v>
      </c>
      <c r="P1890" s="19"/>
    </row>
    <row r="1891" hidden="1">
      <c r="A1891" s="679">
        <v>29.0</v>
      </c>
      <c r="B1891" s="383" t="s">
        <v>6704</v>
      </c>
      <c r="C1891" s="680" t="s">
        <v>6606</v>
      </c>
      <c r="D1891" s="53" t="s">
        <v>6705</v>
      </c>
      <c r="E1891" s="674" t="s">
        <v>6706</v>
      </c>
      <c r="F1891" s="680" t="s">
        <v>3928</v>
      </c>
      <c r="G1891" s="682">
        <v>46052.0</v>
      </c>
      <c r="H1891" s="53">
        <v>14.0</v>
      </c>
      <c r="I1891" s="29" t="s">
        <v>2890</v>
      </c>
      <c r="J1891" s="34" t="s">
        <v>6689</v>
      </c>
      <c r="K1891" s="19"/>
      <c r="L1891" s="14"/>
      <c r="M1891" s="19"/>
      <c r="N1891" s="19"/>
      <c r="O1891" s="648">
        <v>46052.0</v>
      </c>
      <c r="P1891" s="19"/>
    </row>
    <row r="1892" hidden="1">
      <c r="A1892" s="679">
        <v>30.0</v>
      </c>
      <c r="B1892" s="383" t="s">
        <v>6707</v>
      </c>
      <c r="C1892" s="680" t="s">
        <v>6606</v>
      </c>
      <c r="D1892" s="53" t="s">
        <v>6708</v>
      </c>
      <c r="E1892" s="674" t="s">
        <v>6709</v>
      </c>
      <c r="F1892" s="680" t="s">
        <v>3928</v>
      </c>
      <c r="G1892" s="682">
        <v>46052.0</v>
      </c>
      <c r="H1892" s="53">
        <v>14.0</v>
      </c>
      <c r="I1892" s="29" t="s">
        <v>2890</v>
      </c>
      <c r="J1892" s="34" t="s">
        <v>6700</v>
      </c>
      <c r="K1892" s="19"/>
      <c r="L1892" s="14"/>
      <c r="M1892" s="19"/>
      <c r="N1892" s="19"/>
      <c r="O1892" s="648">
        <v>46052.0</v>
      </c>
      <c r="P1892" s="19"/>
    </row>
    <row r="1893" hidden="1">
      <c r="A1893" s="679">
        <v>31.0</v>
      </c>
      <c r="B1893" s="383" t="s">
        <v>6710</v>
      </c>
      <c r="C1893" s="680" t="s">
        <v>6606</v>
      </c>
      <c r="D1893" s="53" t="s">
        <v>6711</v>
      </c>
      <c r="E1893" s="674" t="s">
        <v>6712</v>
      </c>
      <c r="F1893" s="680" t="s">
        <v>3928</v>
      </c>
      <c r="G1893" s="682">
        <v>46052.0</v>
      </c>
      <c r="H1893" s="53">
        <v>14.0</v>
      </c>
      <c r="I1893" s="29" t="s">
        <v>2890</v>
      </c>
      <c r="J1893" s="19"/>
      <c r="K1893" s="19"/>
      <c r="L1893" s="14"/>
      <c r="M1893" s="19"/>
      <c r="N1893" s="19"/>
      <c r="O1893" s="648">
        <v>46064.0</v>
      </c>
      <c r="P1893" s="19"/>
    </row>
    <row r="1894" hidden="1">
      <c r="A1894" s="679">
        <v>32.0</v>
      </c>
      <c r="B1894" s="383" t="s">
        <v>6713</v>
      </c>
      <c r="C1894" s="680" t="s">
        <v>6606</v>
      </c>
      <c r="D1894" s="53" t="s">
        <v>6714</v>
      </c>
      <c r="E1894" s="674" t="s">
        <v>6715</v>
      </c>
      <c r="F1894" s="680" t="s">
        <v>3928</v>
      </c>
      <c r="G1894" s="682">
        <v>46052.0</v>
      </c>
      <c r="H1894" s="53">
        <v>14.0</v>
      </c>
      <c r="I1894" s="29" t="s">
        <v>2890</v>
      </c>
      <c r="J1894" s="19"/>
      <c r="K1894" s="19"/>
      <c r="L1894" s="14"/>
      <c r="M1894" s="19"/>
      <c r="N1894" s="19"/>
      <c r="O1894" s="648">
        <v>46064.0</v>
      </c>
      <c r="P1894" s="19"/>
    </row>
    <row r="1895" hidden="1">
      <c r="A1895" s="339" t="s">
        <v>6716</v>
      </c>
      <c r="Q1895" s="35"/>
      <c r="R1895" s="35"/>
      <c r="S1895" s="35"/>
      <c r="T1895" s="35"/>
      <c r="U1895" s="35"/>
      <c r="V1895" s="35"/>
      <c r="W1895" s="35"/>
      <c r="X1895" s="35"/>
      <c r="Y1895" s="35"/>
      <c r="Z1895" s="35"/>
      <c r="AA1895" s="35"/>
      <c r="AB1895" s="35"/>
      <c r="AC1895" s="35"/>
      <c r="AD1895" s="35"/>
      <c r="AE1895" s="35"/>
      <c r="AF1895" s="35"/>
    </row>
    <row r="1896" hidden="1">
      <c r="A1896" s="670" t="s">
        <v>47</v>
      </c>
      <c r="B1896" s="678" t="s">
        <v>7</v>
      </c>
      <c r="C1896" s="670" t="s">
        <v>9</v>
      </c>
      <c r="D1896" s="670" t="s">
        <v>10</v>
      </c>
      <c r="E1896" s="670" t="s">
        <v>11</v>
      </c>
      <c r="F1896" s="670" t="s">
        <v>12</v>
      </c>
      <c r="G1896" s="670" t="s">
        <v>2378</v>
      </c>
      <c r="H1896" s="670" t="s">
        <v>2681</v>
      </c>
      <c r="I1896" s="4" t="s">
        <v>2847</v>
      </c>
      <c r="J1896" s="8" t="s">
        <v>14</v>
      </c>
      <c r="K1896" s="9" t="s">
        <v>16</v>
      </c>
      <c r="L1896" s="9" t="s">
        <v>4330</v>
      </c>
      <c r="M1896" s="9" t="s">
        <v>18</v>
      </c>
      <c r="N1896" s="9" t="s">
        <v>19</v>
      </c>
      <c r="O1896" s="9" t="s">
        <v>20</v>
      </c>
      <c r="P1896" s="9" t="s">
        <v>21</v>
      </c>
      <c r="Q1896" s="35"/>
      <c r="R1896" s="35"/>
      <c r="S1896" s="35"/>
      <c r="T1896" s="35"/>
      <c r="U1896" s="35"/>
      <c r="V1896" s="35"/>
      <c r="W1896" s="35"/>
      <c r="X1896" s="35"/>
      <c r="Y1896" s="35"/>
      <c r="Z1896" s="35"/>
      <c r="AA1896" s="35"/>
      <c r="AB1896" s="35"/>
      <c r="AC1896" s="35"/>
      <c r="AD1896" s="35"/>
      <c r="AE1896" s="35"/>
      <c r="AF1896" s="35"/>
    </row>
    <row r="1897" hidden="1">
      <c r="A1897" s="53">
        <v>1.0</v>
      </c>
      <c r="B1897" s="383" t="s">
        <v>6717</v>
      </c>
      <c r="C1897" s="53" t="s">
        <v>80</v>
      </c>
      <c r="D1897" s="53" t="s">
        <v>6718</v>
      </c>
      <c r="E1897" s="689" t="s">
        <v>6719</v>
      </c>
      <c r="F1897" s="53" t="s">
        <v>3512</v>
      </c>
      <c r="G1897" s="669">
        <v>46055.0</v>
      </c>
      <c r="H1897" s="472">
        <v>14.0</v>
      </c>
      <c r="I1897" s="531" t="s">
        <v>3043</v>
      </c>
      <c r="J1897" s="19"/>
      <c r="K1897" s="19"/>
      <c r="L1897" s="14"/>
      <c r="M1897" s="19"/>
      <c r="N1897" s="19"/>
      <c r="O1897" s="648">
        <v>46056.0</v>
      </c>
      <c r="P1897" s="19"/>
    </row>
    <row r="1898" hidden="1">
      <c r="A1898" s="53">
        <v>2.0</v>
      </c>
      <c r="B1898" s="383" t="s">
        <v>6720</v>
      </c>
      <c r="C1898" s="53" t="s">
        <v>80</v>
      </c>
      <c r="D1898" s="53" t="s">
        <v>6721</v>
      </c>
      <c r="E1898" s="689" t="s">
        <v>6722</v>
      </c>
      <c r="F1898" s="53" t="s">
        <v>3512</v>
      </c>
      <c r="G1898" s="669">
        <v>46055.0</v>
      </c>
      <c r="H1898" s="472">
        <v>14.0</v>
      </c>
      <c r="I1898" s="471" t="s">
        <v>2890</v>
      </c>
      <c r="J1898" s="19"/>
      <c r="K1898" s="19"/>
      <c r="L1898" s="14"/>
      <c r="M1898" s="19"/>
      <c r="N1898" s="19"/>
      <c r="O1898" s="648">
        <v>46056.0</v>
      </c>
      <c r="P1898" s="19"/>
    </row>
    <row r="1899" hidden="1">
      <c r="A1899" s="53">
        <v>3.0</v>
      </c>
      <c r="B1899" s="383" t="s">
        <v>6723</v>
      </c>
      <c r="C1899" s="53" t="s">
        <v>80</v>
      </c>
      <c r="D1899" s="53" t="s">
        <v>6724</v>
      </c>
      <c r="E1899" s="689" t="s">
        <v>6725</v>
      </c>
      <c r="F1899" s="53" t="s">
        <v>3512</v>
      </c>
      <c r="G1899" s="669">
        <v>46055.0</v>
      </c>
      <c r="H1899" s="472">
        <v>14.0</v>
      </c>
      <c r="I1899" s="471" t="s">
        <v>2890</v>
      </c>
      <c r="J1899" s="19"/>
      <c r="K1899" s="19"/>
      <c r="L1899" s="14"/>
      <c r="M1899" s="19"/>
      <c r="N1899" s="19"/>
      <c r="O1899" s="648">
        <v>46056.0</v>
      </c>
      <c r="P1899" s="19"/>
    </row>
    <row r="1900" hidden="1">
      <c r="A1900" s="53">
        <v>4.0</v>
      </c>
      <c r="B1900" s="383" t="s">
        <v>6726</v>
      </c>
      <c r="C1900" s="53" t="s">
        <v>80</v>
      </c>
      <c r="D1900" s="53" t="s">
        <v>6727</v>
      </c>
      <c r="E1900" s="689" t="s">
        <v>6728</v>
      </c>
      <c r="F1900" s="53" t="s">
        <v>3512</v>
      </c>
      <c r="G1900" s="669">
        <v>46055.0</v>
      </c>
      <c r="H1900" s="472">
        <v>14.0</v>
      </c>
      <c r="I1900" s="471" t="s">
        <v>2890</v>
      </c>
      <c r="J1900" s="19"/>
      <c r="K1900" s="19"/>
      <c r="L1900" s="14"/>
      <c r="M1900" s="19"/>
      <c r="N1900" s="19"/>
      <c r="O1900" s="648">
        <v>46056.0</v>
      </c>
      <c r="P1900" s="19"/>
    </row>
    <row r="1901" hidden="1">
      <c r="A1901" s="53">
        <v>5.0</v>
      </c>
      <c r="B1901" s="383" t="s">
        <v>6729</v>
      </c>
      <c r="C1901" s="53" t="s">
        <v>80</v>
      </c>
      <c r="D1901" s="53" t="s">
        <v>6730</v>
      </c>
      <c r="E1901" s="689" t="s">
        <v>6731</v>
      </c>
      <c r="F1901" s="53" t="s">
        <v>3512</v>
      </c>
      <c r="G1901" s="669">
        <v>46055.0</v>
      </c>
      <c r="H1901" s="472">
        <v>14.0</v>
      </c>
      <c r="I1901" s="471" t="s">
        <v>2890</v>
      </c>
      <c r="J1901" s="19"/>
      <c r="K1901" s="19"/>
      <c r="L1901" s="14"/>
      <c r="M1901" s="19"/>
      <c r="N1901" s="19"/>
      <c r="O1901" s="648">
        <v>46056.0</v>
      </c>
      <c r="P1901" s="19"/>
    </row>
    <row r="1902" hidden="1">
      <c r="A1902" s="53">
        <v>6.0</v>
      </c>
      <c r="B1902" s="383" t="s">
        <v>6732</v>
      </c>
      <c r="C1902" s="53" t="s">
        <v>80</v>
      </c>
      <c r="D1902" s="53" t="s">
        <v>6733</v>
      </c>
      <c r="E1902" s="689" t="s">
        <v>6734</v>
      </c>
      <c r="F1902" s="53" t="s">
        <v>3512</v>
      </c>
      <c r="G1902" s="669">
        <v>46055.0</v>
      </c>
      <c r="H1902" s="472">
        <v>14.0</v>
      </c>
      <c r="I1902" s="531" t="s">
        <v>5895</v>
      </c>
      <c r="J1902" s="19"/>
      <c r="K1902" s="19"/>
      <c r="L1902" s="14"/>
      <c r="M1902" s="19"/>
      <c r="N1902" s="19"/>
      <c r="O1902" s="648">
        <v>46056.0</v>
      </c>
      <c r="P1902" s="19"/>
    </row>
    <row r="1903" hidden="1">
      <c r="A1903" s="53">
        <v>7.0</v>
      </c>
      <c r="B1903" s="383" t="s">
        <v>6735</v>
      </c>
      <c r="C1903" s="53" t="s">
        <v>80</v>
      </c>
      <c r="D1903" s="53" t="s">
        <v>6736</v>
      </c>
      <c r="E1903" s="689" t="s">
        <v>6737</v>
      </c>
      <c r="F1903" s="53" t="s">
        <v>3512</v>
      </c>
      <c r="G1903" s="669">
        <v>46055.0</v>
      </c>
      <c r="H1903" s="472">
        <v>14.0</v>
      </c>
      <c r="I1903" s="471" t="s">
        <v>2890</v>
      </c>
      <c r="J1903" s="19"/>
      <c r="K1903" s="19"/>
      <c r="L1903" s="14"/>
      <c r="M1903" s="19"/>
      <c r="N1903" s="19"/>
      <c r="O1903" s="648">
        <v>46056.0</v>
      </c>
      <c r="P1903" s="19"/>
    </row>
    <row r="1904" hidden="1">
      <c r="A1904" s="53">
        <v>8.0</v>
      </c>
      <c r="B1904" s="383" t="s">
        <v>6738</v>
      </c>
      <c r="C1904" s="53" t="s">
        <v>80</v>
      </c>
      <c r="D1904" s="53" t="s">
        <v>6739</v>
      </c>
      <c r="E1904" s="689" t="s">
        <v>6740</v>
      </c>
      <c r="F1904" s="53" t="s">
        <v>3512</v>
      </c>
      <c r="G1904" s="669">
        <v>46055.0</v>
      </c>
      <c r="H1904" s="472">
        <v>14.0</v>
      </c>
      <c r="I1904" s="471" t="s">
        <v>2890</v>
      </c>
      <c r="J1904" s="19"/>
      <c r="K1904" s="19"/>
      <c r="L1904" s="14"/>
      <c r="M1904" s="19"/>
      <c r="N1904" s="19"/>
      <c r="O1904" s="648">
        <v>46056.0</v>
      </c>
      <c r="P1904" s="19"/>
    </row>
    <row r="1905" hidden="1">
      <c r="A1905" s="53">
        <v>9.0</v>
      </c>
      <c r="B1905" s="383" t="s">
        <v>6741</v>
      </c>
      <c r="C1905" s="53" t="s">
        <v>80</v>
      </c>
      <c r="D1905" s="53" t="s">
        <v>6742</v>
      </c>
      <c r="E1905" s="689" t="s">
        <v>6743</v>
      </c>
      <c r="F1905" s="53" t="s">
        <v>3512</v>
      </c>
      <c r="G1905" s="669">
        <v>46055.0</v>
      </c>
      <c r="H1905" s="472">
        <v>14.0</v>
      </c>
      <c r="I1905" s="471" t="s">
        <v>2890</v>
      </c>
      <c r="J1905" s="19"/>
      <c r="K1905" s="19"/>
      <c r="L1905" s="14"/>
      <c r="M1905" s="19"/>
      <c r="N1905" s="19"/>
      <c r="O1905" s="648">
        <v>46056.0</v>
      </c>
      <c r="P1905" s="19"/>
    </row>
    <row r="1906" hidden="1">
      <c r="A1906" s="53">
        <v>10.0</v>
      </c>
      <c r="B1906" s="383" t="s">
        <v>6744</v>
      </c>
      <c r="C1906" s="53" t="s">
        <v>80</v>
      </c>
      <c r="D1906" s="53" t="s">
        <v>6745</v>
      </c>
      <c r="E1906" s="689" t="s">
        <v>6746</v>
      </c>
      <c r="F1906" s="53" t="s">
        <v>3512</v>
      </c>
      <c r="G1906" s="669">
        <v>46055.0</v>
      </c>
      <c r="H1906" s="472">
        <v>14.0</v>
      </c>
      <c r="I1906" s="471" t="s">
        <v>2890</v>
      </c>
      <c r="J1906" s="19"/>
      <c r="K1906" s="19"/>
      <c r="L1906" s="14"/>
      <c r="M1906" s="19"/>
      <c r="N1906" s="19"/>
      <c r="O1906" s="648">
        <v>46056.0</v>
      </c>
      <c r="P1906" s="19"/>
    </row>
    <row r="1907" hidden="1">
      <c r="A1907" s="53">
        <v>11.0</v>
      </c>
      <c r="B1907" s="383" t="s">
        <v>6747</v>
      </c>
      <c r="C1907" s="53" t="s">
        <v>80</v>
      </c>
      <c r="D1907" s="53" t="s">
        <v>6748</v>
      </c>
      <c r="E1907" s="689" t="s">
        <v>6749</v>
      </c>
      <c r="F1907" s="53" t="s">
        <v>3928</v>
      </c>
      <c r="G1907" s="669">
        <v>46083.0</v>
      </c>
      <c r="H1907" s="472">
        <v>15.0</v>
      </c>
      <c r="I1907" s="471" t="s">
        <v>2890</v>
      </c>
      <c r="J1907" s="34" t="s">
        <v>3099</v>
      </c>
      <c r="K1907" s="34" t="s">
        <v>6499</v>
      </c>
      <c r="L1907" s="14"/>
      <c r="M1907" s="19"/>
      <c r="N1907" s="19"/>
      <c r="O1907" s="71">
        <v>46144.0</v>
      </c>
      <c r="P1907" s="19"/>
    </row>
    <row r="1908" hidden="1">
      <c r="A1908" s="53">
        <v>12.0</v>
      </c>
      <c r="B1908" s="383" t="s">
        <v>6750</v>
      </c>
      <c r="C1908" s="53" t="s">
        <v>80</v>
      </c>
      <c r="D1908" s="53" t="s">
        <v>6751</v>
      </c>
      <c r="E1908" s="689" t="s">
        <v>6752</v>
      </c>
      <c r="F1908" s="53" t="s">
        <v>3928</v>
      </c>
      <c r="G1908" s="669">
        <v>46083.0</v>
      </c>
      <c r="H1908" s="472">
        <v>15.0</v>
      </c>
      <c r="I1908" s="471" t="s">
        <v>2890</v>
      </c>
      <c r="J1908" s="34" t="s">
        <v>3099</v>
      </c>
      <c r="K1908" s="34" t="s">
        <v>6753</v>
      </c>
      <c r="L1908" s="14"/>
      <c r="M1908" s="19"/>
      <c r="N1908" s="19"/>
      <c r="O1908" s="71">
        <v>46144.0</v>
      </c>
      <c r="P1908" s="19"/>
    </row>
    <row r="1909" hidden="1">
      <c r="A1909" s="53">
        <v>13.0</v>
      </c>
      <c r="B1909" s="383" t="s">
        <v>6754</v>
      </c>
      <c r="C1909" s="53" t="s">
        <v>80</v>
      </c>
      <c r="D1909" s="53" t="s">
        <v>6755</v>
      </c>
      <c r="E1909" s="689" t="s">
        <v>6756</v>
      </c>
      <c r="F1909" s="53" t="s">
        <v>3928</v>
      </c>
      <c r="G1909" s="669">
        <v>46083.0</v>
      </c>
      <c r="H1909" s="472">
        <v>15.0</v>
      </c>
      <c r="I1909" s="471" t="s">
        <v>2890</v>
      </c>
      <c r="J1909" s="34" t="s">
        <v>3099</v>
      </c>
      <c r="K1909" s="71" t="s">
        <v>6757</v>
      </c>
      <c r="L1909" s="14"/>
      <c r="M1909" s="19"/>
      <c r="N1909" s="19"/>
      <c r="O1909" s="71">
        <v>46144.0</v>
      </c>
      <c r="P1909" s="19"/>
    </row>
    <row r="1910" hidden="1">
      <c r="A1910" s="53">
        <v>14.0</v>
      </c>
      <c r="B1910" s="383" t="s">
        <v>6758</v>
      </c>
      <c r="C1910" s="53" t="s">
        <v>80</v>
      </c>
      <c r="D1910" s="53" t="s">
        <v>6759</v>
      </c>
      <c r="E1910" s="689" t="s">
        <v>6760</v>
      </c>
      <c r="F1910" s="53" t="s">
        <v>3928</v>
      </c>
      <c r="G1910" s="669">
        <v>46083.0</v>
      </c>
      <c r="H1910" s="472">
        <v>15.0</v>
      </c>
      <c r="I1910" s="471" t="s">
        <v>2890</v>
      </c>
      <c r="J1910" s="34" t="s">
        <v>3099</v>
      </c>
      <c r="K1910" s="71" t="s">
        <v>6757</v>
      </c>
      <c r="L1910" s="14"/>
      <c r="M1910" s="19"/>
      <c r="N1910" s="19"/>
      <c r="O1910" s="71">
        <v>46144.0</v>
      </c>
      <c r="P1910" s="19"/>
    </row>
    <row r="1911" hidden="1">
      <c r="A1911" s="53">
        <v>15.0</v>
      </c>
      <c r="B1911" s="383" t="s">
        <v>6761</v>
      </c>
      <c r="C1911" s="53" t="s">
        <v>80</v>
      </c>
      <c r="D1911" s="53" t="s">
        <v>6762</v>
      </c>
      <c r="E1911" s="689" t="s">
        <v>6763</v>
      </c>
      <c r="F1911" s="53" t="s">
        <v>3928</v>
      </c>
      <c r="G1911" s="669">
        <v>46083.0</v>
      </c>
      <c r="H1911" s="472">
        <v>15.0</v>
      </c>
      <c r="I1911" s="471" t="s">
        <v>2890</v>
      </c>
      <c r="J1911" s="34" t="s">
        <v>3099</v>
      </c>
      <c r="K1911" s="71" t="s">
        <v>6764</v>
      </c>
      <c r="L1911" s="14"/>
      <c r="M1911" s="19"/>
      <c r="N1911" s="19"/>
      <c r="O1911" s="71">
        <v>46144.0</v>
      </c>
      <c r="P1911" s="19"/>
    </row>
    <row r="1912" hidden="1">
      <c r="A1912" s="53">
        <v>16.0</v>
      </c>
      <c r="B1912" s="383" t="s">
        <v>6765</v>
      </c>
      <c r="C1912" s="53" t="s">
        <v>80</v>
      </c>
      <c r="D1912" s="53" t="s">
        <v>6766</v>
      </c>
      <c r="E1912" s="689" t="s">
        <v>6767</v>
      </c>
      <c r="F1912" s="53" t="s">
        <v>3928</v>
      </c>
      <c r="G1912" s="669">
        <v>46083.0</v>
      </c>
      <c r="H1912" s="472">
        <v>15.0</v>
      </c>
      <c r="I1912" s="471" t="s">
        <v>2890</v>
      </c>
      <c r="J1912" s="34" t="s">
        <v>3099</v>
      </c>
      <c r="K1912" s="71" t="s">
        <v>6764</v>
      </c>
      <c r="L1912" s="14"/>
      <c r="M1912" s="19"/>
      <c r="N1912" s="19"/>
      <c r="O1912" s="71">
        <v>46144.0</v>
      </c>
      <c r="P1912" s="19"/>
    </row>
    <row r="1913" hidden="1">
      <c r="A1913" s="53">
        <v>17.0</v>
      </c>
      <c r="B1913" s="383" t="s">
        <v>6768</v>
      </c>
      <c r="C1913" s="53" t="s">
        <v>80</v>
      </c>
      <c r="D1913" s="53" t="s">
        <v>6769</v>
      </c>
      <c r="E1913" s="53" t="s">
        <v>6770</v>
      </c>
      <c r="F1913" s="53" t="s">
        <v>436</v>
      </c>
      <c r="G1913" s="669">
        <v>46267.0</v>
      </c>
      <c r="H1913" s="472">
        <v>21.0</v>
      </c>
      <c r="I1913" s="471" t="s">
        <v>2890</v>
      </c>
      <c r="J1913" s="34" t="s">
        <v>6771</v>
      </c>
      <c r="K1913" s="622">
        <v>46114.0</v>
      </c>
      <c r="L1913" s="12" t="s">
        <v>374</v>
      </c>
      <c r="M1913" s="19"/>
      <c r="N1913" s="19"/>
      <c r="O1913" s="34" t="s">
        <v>6772</v>
      </c>
      <c r="P1913" s="385" t="s">
        <v>1432</v>
      </c>
    </row>
    <row r="1914" hidden="1">
      <c r="A1914" s="53">
        <v>18.0</v>
      </c>
      <c r="B1914" s="383" t="s">
        <v>6773</v>
      </c>
      <c r="C1914" s="53" t="s">
        <v>938</v>
      </c>
      <c r="D1914" s="53" t="s">
        <v>6774</v>
      </c>
      <c r="E1914" s="53" t="s">
        <v>6775</v>
      </c>
      <c r="F1914" s="53" t="s">
        <v>243</v>
      </c>
      <c r="G1914" s="669">
        <v>46267.0</v>
      </c>
      <c r="H1914" s="472">
        <v>21.0</v>
      </c>
      <c r="I1914" s="471" t="s">
        <v>2890</v>
      </c>
      <c r="J1914" s="34" t="s">
        <v>4195</v>
      </c>
      <c r="K1914" s="34" t="s">
        <v>6628</v>
      </c>
      <c r="L1914" s="12" t="s">
        <v>374</v>
      </c>
      <c r="M1914" s="19"/>
      <c r="N1914" s="19"/>
      <c r="O1914" s="34" t="s">
        <v>6243</v>
      </c>
      <c r="P1914" s="19"/>
    </row>
    <row r="1915" hidden="1">
      <c r="A1915" s="53">
        <v>19.0</v>
      </c>
      <c r="B1915" s="383" t="s">
        <v>6776</v>
      </c>
      <c r="C1915" s="53" t="s">
        <v>80</v>
      </c>
      <c r="D1915" s="53" t="s">
        <v>6777</v>
      </c>
      <c r="E1915" s="53" t="s">
        <v>6778</v>
      </c>
      <c r="F1915" s="53" t="s">
        <v>6779</v>
      </c>
      <c r="G1915" s="669">
        <v>46297.0</v>
      </c>
      <c r="H1915" s="472">
        <v>22.0</v>
      </c>
      <c r="I1915" s="471" t="s">
        <v>2890</v>
      </c>
      <c r="J1915" s="34" t="s">
        <v>51</v>
      </c>
      <c r="K1915" s="622">
        <v>46055.0</v>
      </c>
      <c r="L1915" s="12" t="s">
        <v>1460</v>
      </c>
      <c r="M1915" s="19"/>
      <c r="N1915" s="19"/>
      <c r="O1915" s="34" t="s">
        <v>6780</v>
      </c>
      <c r="P1915" s="385" t="s">
        <v>1432</v>
      </c>
    </row>
    <row r="1916" hidden="1">
      <c r="A1916" s="53">
        <v>20.0</v>
      </c>
      <c r="B1916" s="383" t="s">
        <v>6781</v>
      </c>
      <c r="C1916" s="53" t="s">
        <v>80</v>
      </c>
      <c r="D1916" s="53" t="s">
        <v>6782</v>
      </c>
      <c r="E1916" s="667" t="s">
        <v>6783</v>
      </c>
      <c r="F1916" s="53" t="s">
        <v>1523</v>
      </c>
      <c r="G1916" s="669">
        <v>46267.0</v>
      </c>
      <c r="H1916" s="472">
        <v>21.0</v>
      </c>
      <c r="I1916" s="471" t="s">
        <v>2890</v>
      </c>
      <c r="J1916" s="34" t="s">
        <v>6784</v>
      </c>
      <c r="K1916" s="34" t="s">
        <v>6753</v>
      </c>
      <c r="L1916" s="12" t="s">
        <v>374</v>
      </c>
      <c r="M1916" s="19"/>
      <c r="N1916" s="19"/>
      <c r="O1916" s="661">
        <v>46328.0</v>
      </c>
      <c r="P1916" s="407" t="s">
        <v>1798</v>
      </c>
    </row>
    <row r="1917" hidden="1">
      <c r="A1917" s="53">
        <v>21.0</v>
      </c>
      <c r="B1917" s="383" t="s">
        <v>6785</v>
      </c>
      <c r="C1917" s="53" t="s">
        <v>80</v>
      </c>
      <c r="D1917" s="53" t="s">
        <v>6786</v>
      </c>
      <c r="E1917" s="667" t="s">
        <v>6787</v>
      </c>
      <c r="F1917" s="53" t="s">
        <v>1523</v>
      </c>
      <c r="G1917" s="669">
        <v>46267.0</v>
      </c>
      <c r="H1917" s="472">
        <v>21.0</v>
      </c>
      <c r="I1917" s="486" t="s">
        <v>3465</v>
      </c>
      <c r="J1917" s="34" t="s">
        <v>6784</v>
      </c>
      <c r="K1917" s="34" t="s">
        <v>6753</v>
      </c>
      <c r="L1917" s="12" t="s">
        <v>374</v>
      </c>
      <c r="M1917" s="19"/>
      <c r="N1917" s="19"/>
      <c r="O1917" s="661">
        <v>46328.0</v>
      </c>
      <c r="P1917" s="407" t="s">
        <v>1798</v>
      </c>
    </row>
    <row r="1918" hidden="1">
      <c r="A1918" s="53">
        <v>22.0</v>
      </c>
      <c r="B1918" s="383" t="s">
        <v>6788</v>
      </c>
      <c r="C1918" s="53" t="s">
        <v>938</v>
      </c>
      <c r="D1918" s="53" t="s">
        <v>6789</v>
      </c>
      <c r="E1918" s="667" t="s">
        <v>6790</v>
      </c>
      <c r="F1918" s="53" t="s">
        <v>243</v>
      </c>
      <c r="G1918" s="669">
        <v>46297.0</v>
      </c>
      <c r="H1918" s="472">
        <v>22.0</v>
      </c>
      <c r="I1918" s="471" t="s">
        <v>2890</v>
      </c>
      <c r="J1918" s="34" t="s">
        <v>6791</v>
      </c>
      <c r="K1918" s="34" t="s">
        <v>6628</v>
      </c>
      <c r="L1918" s="12" t="s">
        <v>374</v>
      </c>
      <c r="M1918" s="19"/>
      <c r="N1918" s="19"/>
      <c r="O1918" s="661">
        <v>46297.0</v>
      </c>
      <c r="P1918" s="385" t="s">
        <v>1432</v>
      </c>
    </row>
    <row r="1919" hidden="1">
      <c r="A1919" s="53">
        <v>23.0</v>
      </c>
      <c r="B1919" s="383" t="s">
        <v>6792</v>
      </c>
      <c r="C1919" s="53" t="s">
        <v>938</v>
      </c>
      <c r="D1919" s="53" t="s">
        <v>6793</v>
      </c>
      <c r="E1919" s="667" t="s">
        <v>6794</v>
      </c>
      <c r="F1919" s="53" t="s">
        <v>243</v>
      </c>
      <c r="G1919" s="669">
        <v>46297.0</v>
      </c>
      <c r="H1919" s="472">
        <v>22.0</v>
      </c>
      <c r="I1919" s="471" t="s">
        <v>2890</v>
      </c>
      <c r="J1919" s="34" t="s">
        <v>6791</v>
      </c>
      <c r="K1919" s="34" t="s">
        <v>6628</v>
      </c>
      <c r="L1919" s="12" t="s">
        <v>374</v>
      </c>
      <c r="M1919" s="19"/>
      <c r="N1919" s="19"/>
      <c r="O1919" s="661">
        <v>46297.0</v>
      </c>
      <c r="P1919" s="385" t="s">
        <v>1432</v>
      </c>
    </row>
    <row r="1920" hidden="1">
      <c r="A1920" s="53">
        <v>24.0</v>
      </c>
      <c r="B1920" s="383" t="s">
        <v>6795</v>
      </c>
      <c r="C1920" s="53" t="s">
        <v>651</v>
      </c>
      <c r="D1920" s="53" t="s">
        <v>6796</v>
      </c>
      <c r="E1920" s="53" t="s">
        <v>6797</v>
      </c>
      <c r="F1920" s="53" t="s">
        <v>4779</v>
      </c>
      <c r="G1920" s="669">
        <v>46267.0</v>
      </c>
      <c r="H1920" s="472">
        <v>21.0</v>
      </c>
      <c r="I1920" s="531" t="s">
        <v>3043</v>
      </c>
      <c r="J1920" s="34" t="s">
        <v>6791</v>
      </c>
      <c r="K1920" s="34" t="s">
        <v>6596</v>
      </c>
      <c r="L1920" s="12" t="s">
        <v>51</v>
      </c>
      <c r="M1920" s="19"/>
      <c r="N1920" s="19"/>
      <c r="O1920" s="148">
        <v>46297.0</v>
      </c>
      <c r="P1920" s="385" t="s">
        <v>1432</v>
      </c>
    </row>
    <row r="1921" hidden="1">
      <c r="A1921" s="53">
        <v>25.0</v>
      </c>
      <c r="B1921" s="383" t="s">
        <v>6798</v>
      </c>
      <c r="C1921" s="53" t="s">
        <v>80</v>
      </c>
      <c r="D1921" s="53" t="s">
        <v>6799</v>
      </c>
      <c r="E1921" s="53" t="s">
        <v>6800</v>
      </c>
      <c r="F1921" s="53" t="s">
        <v>356</v>
      </c>
      <c r="G1921" s="669">
        <v>46267.0</v>
      </c>
      <c r="H1921" s="472">
        <v>21.0</v>
      </c>
      <c r="I1921" s="471" t="s">
        <v>2890</v>
      </c>
      <c r="J1921" s="34" t="s">
        <v>6801</v>
      </c>
      <c r="K1921" s="34" t="s">
        <v>6453</v>
      </c>
      <c r="L1921" s="12" t="s">
        <v>51</v>
      </c>
      <c r="M1921" s="19"/>
      <c r="N1921" s="19"/>
      <c r="O1921" s="661">
        <v>46297.0</v>
      </c>
      <c r="P1921" s="385" t="s">
        <v>1432</v>
      </c>
    </row>
    <row r="1922" hidden="1">
      <c r="A1922" s="53">
        <v>26.0</v>
      </c>
      <c r="B1922" s="32" t="s">
        <v>6802</v>
      </c>
      <c r="C1922" s="53" t="s">
        <v>1058</v>
      </c>
      <c r="D1922" s="53" t="s">
        <v>6803</v>
      </c>
      <c r="E1922" s="53" t="s">
        <v>6804</v>
      </c>
      <c r="F1922" s="53" t="s">
        <v>4367</v>
      </c>
      <c r="G1922" s="669">
        <v>46297.0</v>
      </c>
      <c r="H1922" s="472">
        <v>22.0</v>
      </c>
      <c r="I1922" s="471" t="s">
        <v>2890</v>
      </c>
      <c r="J1922" s="34" t="s">
        <v>6784</v>
      </c>
      <c r="K1922" s="34" t="s">
        <v>6499</v>
      </c>
      <c r="L1922" s="12" t="s">
        <v>374</v>
      </c>
      <c r="M1922" s="19"/>
      <c r="N1922" s="19"/>
      <c r="O1922" s="661">
        <v>46297.0</v>
      </c>
      <c r="P1922" s="385" t="s">
        <v>1432</v>
      </c>
    </row>
    <row r="1923" hidden="1">
      <c r="A1923" s="53">
        <v>27.0</v>
      </c>
      <c r="B1923" s="383" t="s">
        <v>6805</v>
      </c>
      <c r="C1923" s="53" t="s">
        <v>1185</v>
      </c>
      <c r="D1923" s="53" t="s">
        <v>6806</v>
      </c>
      <c r="E1923" s="53" t="s">
        <v>6807</v>
      </c>
      <c r="F1923" s="53" t="s">
        <v>25</v>
      </c>
      <c r="G1923" s="669">
        <v>46297.0</v>
      </c>
      <c r="H1923" s="472">
        <v>22.0</v>
      </c>
      <c r="I1923" s="531" t="s">
        <v>4339</v>
      </c>
      <c r="J1923" s="34" t="s">
        <v>6784</v>
      </c>
      <c r="K1923" s="34" t="s">
        <v>6753</v>
      </c>
      <c r="L1923" s="12" t="s">
        <v>51</v>
      </c>
      <c r="M1923" s="19"/>
      <c r="N1923" s="19"/>
      <c r="O1923" s="34" t="s">
        <v>6808</v>
      </c>
      <c r="P1923" s="385" t="s">
        <v>1432</v>
      </c>
    </row>
    <row r="1924" hidden="1">
      <c r="A1924" s="53">
        <v>28.0</v>
      </c>
      <c r="B1924" s="383" t="s">
        <v>6809</v>
      </c>
      <c r="C1924" s="53" t="s">
        <v>6810</v>
      </c>
      <c r="D1924" s="53" t="s">
        <v>6811</v>
      </c>
      <c r="E1924" s="53" t="s">
        <v>6812</v>
      </c>
      <c r="F1924" s="53" t="s">
        <v>4358</v>
      </c>
      <c r="G1924" s="669">
        <v>46328.0</v>
      </c>
      <c r="H1924" s="472">
        <v>23.0</v>
      </c>
      <c r="I1924" s="471" t="s">
        <v>2890</v>
      </c>
      <c r="J1924" s="34" t="s">
        <v>6801</v>
      </c>
      <c r="K1924" s="34" t="s">
        <v>6453</v>
      </c>
      <c r="L1924" s="12" t="s">
        <v>374</v>
      </c>
      <c r="M1924" s="19"/>
      <c r="N1924" s="19"/>
      <c r="O1924" s="71">
        <v>46055.0</v>
      </c>
      <c r="P1924" s="385" t="s">
        <v>1432</v>
      </c>
    </row>
    <row r="1925" hidden="1">
      <c r="A1925" s="53">
        <v>29.0</v>
      </c>
      <c r="B1925" s="383" t="s">
        <v>6813</v>
      </c>
      <c r="C1925" s="53" t="s">
        <v>80</v>
      </c>
      <c r="D1925" s="53" t="s">
        <v>6814</v>
      </c>
      <c r="E1925" s="53" t="s">
        <v>6815</v>
      </c>
      <c r="F1925" s="53" t="s">
        <v>4367</v>
      </c>
      <c r="G1925" s="669">
        <v>46083.0</v>
      </c>
      <c r="H1925" s="472">
        <v>15.0</v>
      </c>
      <c r="I1925" s="471" t="s">
        <v>2890</v>
      </c>
      <c r="J1925" s="34" t="s">
        <v>6801</v>
      </c>
      <c r="K1925" s="34" t="s">
        <v>6453</v>
      </c>
      <c r="L1925" s="12" t="s">
        <v>374</v>
      </c>
      <c r="M1925" s="19"/>
      <c r="N1925" s="19"/>
      <c r="O1925" s="71">
        <v>46267.0</v>
      </c>
      <c r="P1925" s="385" t="s">
        <v>1432</v>
      </c>
    </row>
    <row r="1926" hidden="1">
      <c r="A1926" s="53">
        <v>30.0</v>
      </c>
      <c r="B1926" s="690" t="s">
        <v>6816</v>
      </c>
      <c r="C1926" s="53" t="s">
        <v>80</v>
      </c>
      <c r="D1926" s="53" t="s">
        <v>6817</v>
      </c>
      <c r="E1926" s="53" t="s">
        <v>6818</v>
      </c>
      <c r="F1926" s="53" t="s">
        <v>4358</v>
      </c>
      <c r="G1926" s="669">
        <v>46175.0</v>
      </c>
      <c r="H1926" s="472">
        <v>18.0</v>
      </c>
      <c r="I1926" s="471" t="s">
        <v>2890</v>
      </c>
      <c r="J1926" s="34" t="s">
        <v>51</v>
      </c>
      <c r="K1926" s="622">
        <v>45779.0</v>
      </c>
      <c r="L1926" s="12" t="s">
        <v>51</v>
      </c>
      <c r="M1926" s="19"/>
      <c r="N1926" s="19"/>
      <c r="O1926" s="148">
        <v>46297.0</v>
      </c>
      <c r="P1926" s="385" t="s">
        <v>1432</v>
      </c>
    </row>
    <row r="1927" hidden="1">
      <c r="A1927" s="53">
        <v>31.0</v>
      </c>
      <c r="B1927" s="383" t="s">
        <v>6819</v>
      </c>
      <c r="C1927" s="53" t="s">
        <v>1185</v>
      </c>
      <c r="D1927" s="53" t="s">
        <v>6820</v>
      </c>
      <c r="E1927" s="53" t="s">
        <v>6821</v>
      </c>
      <c r="F1927" s="53" t="s">
        <v>25</v>
      </c>
      <c r="G1927" s="669">
        <v>46267.0</v>
      </c>
      <c r="H1927" s="472">
        <v>21.0</v>
      </c>
      <c r="I1927" s="471" t="s">
        <v>2890</v>
      </c>
      <c r="J1927" s="34" t="s">
        <v>6801</v>
      </c>
      <c r="K1927" s="34" t="s">
        <v>6499</v>
      </c>
      <c r="L1927" s="12" t="s">
        <v>51</v>
      </c>
      <c r="M1927" s="19"/>
      <c r="N1927" s="19"/>
      <c r="O1927" s="34" t="s">
        <v>6329</v>
      </c>
      <c r="P1927" s="385" t="s">
        <v>1432</v>
      </c>
    </row>
    <row r="1928" hidden="1">
      <c r="A1928" s="53">
        <v>32.0</v>
      </c>
      <c r="B1928" s="383" t="s">
        <v>6822</v>
      </c>
      <c r="C1928" s="53" t="s">
        <v>80</v>
      </c>
      <c r="D1928" s="53" t="s">
        <v>6823</v>
      </c>
      <c r="E1928" s="53" t="s">
        <v>6824</v>
      </c>
      <c r="F1928" s="53" t="s">
        <v>2444</v>
      </c>
      <c r="G1928" s="669">
        <v>46267.0</v>
      </c>
      <c r="H1928" s="472">
        <v>21.0</v>
      </c>
      <c r="I1928" s="471" t="s">
        <v>2890</v>
      </c>
      <c r="J1928" s="34" t="s">
        <v>51</v>
      </c>
      <c r="K1928" s="622">
        <v>46175.0</v>
      </c>
      <c r="L1928" s="12" t="s">
        <v>374</v>
      </c>
      <c r="M1928" s="19"/>
      <c r="N1928" s="19"/>
      <c r="O1928" s="661">
        <v>46297.0</v>
      </c>
      <c r="P1928" s="385" t="s">
        <v>1432</v>
      </c>
    </row>
    <row r="1929" hidden="1">
      <c r="A1929" s="53">
        <v>33.0</v>
      </c>
      <c r="B1929" s="383" t="s">
        <v>6825</v>
      </c>
      <c r="C1929" s="53" t="s">
        <v>80</v>
      </c>
      <c r="D1929" s="53" t="s">
        <v>6826</v>
      </c>
      <c r="E1929" s="667" t="s">
        <v>6827</v>
      </c>
      <c r="F1929" s="53" t="s">
        <v>4405</v>
      </c>
      <c r="G1929" s="669">
        <v>46358.0</v>
      </c>
      <c r="H1929" s="472">
        <v>24.0</v>
      </c>
      <c r="I1929" s="471" t="s">
        <v>2890</v>
      </c>
      <c r="J1929" s="34" t="s">
        <v>2541</v>
      </c>
      <c r="K1929" s="622">
        <v>46055.0</v>
      </c>
      <c r="L1929" s="12" t="s">
        <v>374</v>
      </c>
      <c r="M1929" s="19"/>
      <c r="N1929" s="19"/>
      <c r="O1929" s="34" t="s">
        <v>6780</v>
      </c>
      <c r="P1929" s="385" t="s">
        <v>1432</v>
      </c>
    </row>
    <row r="1930" hidden="1">
      <c r="A1930" s="53">
        <v>34.0</v>
      </c>
      <c r="B1930" s="383" t="s">
        <v>6828</v>
      </c>
      <c r="C1930" s="53" t="s">
        <v>80</v>
      </c>
      <c r="D1930" s="53" t="s">
        <v>6829</v>
      </c>
      <c r="E1930" s="667" t="s">
        <v>6830</v>
      </c>
      <c r="F1930" s="53" t="s">
        <v>4405</v>
      </c>
      <c r="G1930" s="669">
        <v>46358.0</v>
      </c>
      <c r="H1930" s="472">
        <v>24.0</v>
      </c>
      <c r="I1930" s="471" t="s">
        <v>2890</v>
      </c>
      <c r="J1930" s="34" t="s">
        <v>2541</v>
      </c>
      <c r="K1930" s="622">
        <v>46055.0</v>
      </c>
      <c r="L1930" s="12" t="s">
        <v>374</v>
      </c>
      <c r="M1930" s="19"/>
      <c r="N1930" s="19"/>
      <c r="O1930" s="34" t="s">
        <v>6780</v>
      </c>
      <c r="P1930" s="385" t="s">
        <v>1432</v>
      </c>
    </row>
    <row r="1931" hidden="1">
      <c r="A1931" s="53">
        <v>35.0</v>
      </c>
      <c r="B1931" s="383" t="s">
        <v>6831</v>
      </c>
      <c r="C1931" s="53" t="s">
        <v>80</v>
      </c>
      <c r="D1931" s="53" t="s">
        <v>6832</v>
      </c>
      <c r="E1931" s="691" t="s">
        <v>6833</v>
      </c>
      <c r="F1931" s="53" t="s">
        <v>4358</v>
      </c>
      <c r="G1931" s="669">
        <v>46358.0</v>
      </c>
      <c r="H1931" s="472">
        <v>24.0</v>
      </c>
      <c r="I1931" s="486" t="s">
        <v>3465</v>
      </c>
      <c r="J1931" s="34" t="s">
        <v>6834</v>
      </c>
      <c r="K1931" s="622">
        <v>46083.0</v>
      </c>
      <c r="L1931" s="12" t="s">
        <v>374</v>
      </c>
      <c r="M1931" s="19"/>
      <c r="N1931" s="19"/>
      <c r="O1931" s="71">
        <v>46358.0</v>
      </c>
      <c r="P1931" s="385" t="s">
        <v>1432</v>
      </c>
    </row>
    <row r="1932" hidden="1">
      <c r="A1932" s="53">
        <v>36.0</v>
      </c>
      <c r="B1932" s="383" t="s">
        <v>6835</v>
      </c>
      <c r="C1932" s="53" t="s">
        <v>80</v>
      </c>
      <c r="D1932" s="53" t="s">
        <v>6836</v>
      </c>
      <c r="E1932" s="53" t="s">
        <v>6837</v>
      </c>
      <c r="F1932" s="53" t="s">
        <v>4666</v>
      </c>
      <c r="G1932" s="669">
        <v>46358.0</v>
      </c>
      <c r="H1932" s="472">
        <v>24.0</v>
      </c>
      <c r="I1932" s="471" t="s">
        <v>2890</v>
      </c>
      <c r="J1932" s="34" t="s">
        <v>6784</v>
      </c>
      <c r="K1932" s="34" t="s">
        <v>6753</v>
      </c>
      <c r="L1932" s="12" t="s">
        <v>374</v>
      </c>
      <c r="M1932" s="19"/>
      <c r="N1932" s="19"/>
      <c r="O1932" s="34" t="s">
        <v>6780</v>
      </c>
      <c r="P1932" s="385" t="s">
        <v>1432</v>
      </c>
    </row>
    <row r="1933" hidden="1">
      <c r="A1933" s="53">
        <v>37.0</v>
      </c>
      <c r="B1933" s="383" t="s">
        <v>6838</v>
      </c>
      <c r="C1933" s="53" t="s">
        <v>651</v>
      </c>
      <c r="D1933" s="53" t="s">
        <v>6839</v>
      </c>
      <c r="E1933" s="53" t="s">
        <v>6840</v>
      </c>
      <c r="F1933" s="53" t="s">
        <v>5436</v>
      </c>
      <c r="G1933" s="669">
        <v>46358.0</v>
      </c>
      <c r="H1933" s="472">
        <v>24.0</v>
      </c>
      <c r="I1933" s="471" t="s">
        <v>2890</v>
      </c>
      <c r="J1933" s="34" t="s">
        <v>6841</v>
      </c>
      <c r="K1933" s="34" t="s">
        <v>6753</v>
      </c>
      <c r="L1933" s="12" t="s">
        <v>51</v>
      </c>
      <c r="M1933" s="19"/>
      <c r="N1933" s="19"/>
      <c r="O1933" s="34" t="s">
        <v>6842</v>
      </c>
      <c r="P1933" s="634" t="s">
        <v>4937</v>
      </c>
    </row>
    <row r="1934" hidden="1">
      <c r="A1934" s="53">
        <v>38.0</v>
      </c>
      <c r="B1934" s="383" t="s">
        <v>6843</v>
      </c>
      <c r="C1934" s="53" t="s">
        <v>80</v>
      </c>
      <c r="D1934" s="53" t="s">
        <v>6844</v>
      </c>
      <c r="E1934" s="53" t="s">
        <v>6845</v>
      </c>
      <c r="F1934" s="53" t="s">
        <v>356</v>
      </c>
      <c r="G1934" s="669">
        <v>46358.0</v>
      </c>
      <c r="H1934" s="472">
        <v>24.0</v>
      </c>
      <c r="I1934" s="471" t="s">
        <v>2890</v>
      </c>
      <c r="J1934" s="34" t="s">
        <v>6841</v>
      </c>
      <c r="K1934" s="622">
        <v>46055.0</v>
      </c>
      <c r="L1934" s="12" t="s">
        <v>51</v>
      </c>
      <c r="M1934" s="19"/>
      <c r="N1934" s="19"/>
      <c r="O1934" s="34" t="s">
        <v>6842</v>
      </c>
      <c r="P1934" s="385" t="s">
        <v>1432</v>
      </c>
    </row>
    <row r="1935" hidden="1">
      <c r="A1935" s="53">
        <v>39.0</v>
      </c>
      <c r="B1935" s="383" t="s">
        <v>6846</v>
      </c>
      <c r="C1935" s="53" t="s">
        <v>80</v>
      </c>
      <c r="D1935" s="53" t="s">
        <v>6847</v>
      </c>
      <c r="E1935" s="53" t="s">
        <v>6848</v>
      </c>
      <c r="F1935" s="53" t="s">
        <v>356</v>
      </c>
      <c r="G1935" s="669">
        <v>46358.0</v>
      </c>
      <c r="H1935" s="472">
        <v>24.0</v>
      </c>
      <c r="I1935" s="471" t="s">
        <v>2890</v>
      </c>
      <c r="J1935" s="34" t="s">
        <v>6841</v>
      </c>
      <c r="K1935" s="622">
        <v>46055.0</v>
      </c>
      <c r="L1935" s="12" t="s">
        <v>51</v>
      </c>
      <c r="M1935" s="19"/>
      <c r="N1935" s="19"/>
      <c r="O1935" s="34" t="s">
        <v>6842</v>
      </c>
      <c r="P1935" s="385" t="s">
        <v>1432</v>
      </c>
    </row>
    <row r="1936" hidden="1">
      <c r="A1936" s="53">
        <v>40.0</v>
      </c>
      <c r="B1936" s="383" t="s">
        <v>6849</v>
      </c>
      <c r="C1936" s="53" t="s">
        <v>651</v>
      </c>
      <c r="D1936" s="53" t="s">
        <v>6850</v>
      </c>
      <c r="E1936" s="53" t="s">
        <v>6851</v>
      </c>
      <c r="F1936" s="53" t="s">
        <v>6852</v>
      </c>
      <c r="G1936" s="669">
        <v>46358.0</v>
      </c>
      <c r="H1936" s="472">
        <v>24.0</v>
      </c>
      <c r="I1936" s="471" t="s">
        <v>6853</v>
      </c>
      <c r="J1936" s="34" t="s">
        <v>51</v>
      </c>
      <c r="K1936" s="148">
        <v>46205.0</v>
      </c>
      <c r="L1936" s="12" t="s">
        <v>374</v>
      </c>
      <c r="M1936" s="19"/>
      <c r="N1936" s="19"/>
      <c r="O1936" s="661">
        <v>46328.0</v>
      </c>
      <c r="P1936" s="407" t="s">
        <v>1798</v>
      </c>
    </row>
    <row r="1937" hidden="1">
      <c r="A1937" s="339" t="s">
        <v>6854</v>
      </c>
      <c r="Q1937" s="35"/>
      <c r="R1937" s="35"/>
      <c r="S1937" s="35"/>
      <c r="T1937" s="35"/>
      <c r="U1937" s="35"/>
      <c r="V1937" s="35"/>
      <c r="W1937" s="35"/>
      <c r="X1937" s="35"/>
      <c r="Y1937" s="35"/>
      <c r="Z1937" s="35"/>
      <c r="AA1937" s="35"/>
      <c r="AB1937" s="35"/>
      <c r="AC1937" s="35"/>
      <c r="AD1937" s="35"/>
      <c r="AE1937" s="35"/>
      <c r="AF1937" s="35"/>
    </row>
    <row r="1938" hidden="1">
      <c r="A1938" s="670" t="s">
        <v>47</v>
      </c>
      <c r="B1938" s="678" t="s">
        <v>7</v>
      </c>
      <c r="C1938" s="670" t="s">
        <v>9</v>
      </c>
      <c r="D1938" s="670" t="s">
        <v>10</v>
      </c>
      <c r="E1938" s="670" t="s">
        <v>11</v>
      </c>
      <c r="F1938" s="670" t="s">
        <v>12</v>
      </c>
      <c r="G1938" s="670" t="s">
        <v>2378</v>
      </c>
      <c r="H1938" s="670" t="s">
        <v>2681</v>
      </c>
      <c r="I1938" s="4" t="s">
        <v>2847</v>
      </c>
      <c r="J1938" s="8" t="s">
        <v>14</v>
      </c>
      <c r="K1938" s="9" t="s">
        <v>16</v>
      </c>
      <c r="L1938" s="9" t="s">
        <v>4330</v>
      </c>
      <c r="M1938" s="9" t="s">
        <v>18</v>
      </c>
      <c r="N1938" s="9" t="s">
        <v>19</v>
      </c>
      <c r="O1938" s="9" t="s">
        <v>20</v>
      </c>
      <c r="P1938" s="9" t="s">
        <v>21</v>
      </c>
      <c r="Q1938" s="35"/>
      <c r="R1938" s="35"/>
      <c r="S1938" s="35"/>
      <c r="T1938" s="35"/>
      <c r="U1938" s="35"/>
      <c r="V1938" s="35"/>
      <c r="W1938" s="35"/>
      <c r="X1938" s="35"/>
      <c r="Y1938" s="35"/>
      <c r="Z1938" s="35"/>
      <c r="AA1938" s="35"/>
      <c r="AB1938" s="35"/>
      <c r="AC1938" s="35"/>
      <c r="AD1938" s="35"/>
      <c r="AE1938" s="35"/>
      <c r="AF1938" s="35"/>
    </row>
    <row r="1939" hidden="1">
      <c r="A1939" s="471">
        <v>1.0</v>
      </c>
      <c r="B1939" s="470" t="s">
        <v>6855</v>
      </c>
      <c r="C1939" s="471" t="s">
        <v>1185</v>
      </c>
      <c r="D1939" s="471" t="s">
        <v>6856</v>
      </c>
      <c r="E1939" s="471" t="s">
        <v>6857</v>
      </c>
      <c r="F1939" s="471" t="s">
        <v>25</v>
      </c>
      <c r="G1939" s="472" t="s">
        <v>6329</v>
      </c>
      <c r="H1939" s="472">
        <v>21.0</v>
      </c>
      <c r="I1939" s="472" t="s">
        <v>2890</v>
      </c>
      <c r="J1939" s="34" t="s">
        <v>2541</v>
      </c>
      <c r="K1939" s="622">
        <v>46055.0</v>
      </c>
      <c r="L1939" s="12" t="s">
        <v>51</v>
      </c>
      <c r="M1939" s="19"/>
      <c r="N1939" s="19"/>
      <c r="O1939" s="34" t="s">
        <v>6842</v>
      </c>
      <c r="P1939" s="385" t="s">
        <v>1432</v>
      </c>
    </row>
    <row r="1940" hidden="1">
      <c r="A1940" s="471">
        <v>2.0</v>
      </c>
      <c r="B1940" s="470" t="s">
        <v>6858</v>
      </c>
      <c r="C1940" s="471" t="s">
        <v>1185</v>
      </c>
      <c r="D1940" s="471" t="s">
        <v>6859</v>
      </c>
      <c r="E1940" s="471" t="s">
        <v>6860</v>
      </c>
      <c r="F1940" s="471" t="s">
        <v>25</v>
      </c>
      <c r="G1940" s="472" t="s">
        <v>6329</v>
      </c>
      <c r="H1940" s="472">
        <v>21.0</v>
      </c>
      <c r="I1940" s="472" t="s">
        <v>2890</v>
      </c>
      <c r="J1940" s="34" t="s">
        <v>2541</v>
      </c>
      <c r="K1940" s="34" t="s">
        <v>6753</v>
      </c>
      <c r="L1940" s="12" t="s">
        <v>51</v>
      </c>
      <c r="M1940" s="19"/>
      <c r="N1940" s="19"/>
      <c r="O1940" s="34" t="s">
        <v>6329</v>
      </c>
      <c r="P1940" s="385" t="s">
        <v>1432</v>
      </c>
    </row>
    <row r="1941" hidden="1">
      <c r="A1941" s="471">
        <v>3.0</v>
      </c>
      <c r="B1941" s="470" t="s">
        <v>6861</v>
      </c>
      <c r="C1941" s="471" t="s">
        <v>1185</v>
      </c>
      <c r="D1941" s="471" t="s">
        <v>6862</v>
      </c>
      <c r="E1941" s="471" t="s">
        <v>6863</v>
      </c>
      <c r="F1941" s="471" t="s">
        <v>25</v>
      </c>
      <c r="G1941" s="472" t="s">
        <v>6329</v>
      </c>
      <c r="H1941" s="472">
        <v>21.0</v>
      </c>
      <c r="I1941" s="472" t="s">
        <v>2890</v>
      </c>
      <c r="J1941" s="34" t="s">
        <v>2541</v>
      </c>
      <c r="K1941" s="34" t="s">
        <v>6753</v>
      </c>
      <c r="L1941" s="12" t="s">
        <v>51</v>
      </c>
      <c r="M1941" s="19"/>
      <c r="N1941" s="19"/>
      <c r="O1941" s="71">
        <v>46358.0</v>
      </c>
      <c r="P1941" s="385" t="s">
        <v>1432</v>
      </c>
    </row>
    <row r="1942" hidden="1">
      <c r="A1942" s="471">
        <v>4.0</v>
      </c>
      <c r="B1942" s="470" t="s">
        <v>6864</v>
      </c>
      <c r="C1942" s="471" t="s">
        <v>1185</v>
      </c>
      <c r="D1942" s="471" t="s">
        <v>6865</v>
      </c>
      <c r="E1942" s="471" t="s">
        <v>6866</v>
      </c>
      <c r="F1942" s="471" t="s">
        <v>25</v>
      </c>
      <c r="G1942" s="472" t="s">
        <v>6329</v>
      </c>
      <c r="H1942" s="472">
        <v>21.0</v>
      </c>
      <c r="I1942" s="472" t="s">
        <v>2890</v>
      </c>
      <c r="J1942" s="34" t="s">
        <v>2541</v>
      </c>
      <c r="K1942" s="34" t="s">
        <v>6753</v>
      </c>
      <c r="L1942" s="12" t="s">
        <v>51</v>
      </c>
      <c r="M1942" s="19"/>
      <c r="N1942" s="19"/>
      <c r="O1942" s="34" t="s">
        <v>6780</v>
      </c>
      <c r="P1942" s="385" t="s">
        <v>1432</v>
      </c>
    </row>
    <row r="1943" hidden="1">
      <c r="A1943" s="471">
        <v>5.0</v>
      </c>
      <c r="B1943" s="470" t="s">
        <v>6867</v>
      </c>
      <c r="C1943" s="471" t="s">
        <v>651</v>
      </c>
      <c r="D1943" s="471" t="s">
        <v>6868</v>
      </c>
      <c r="E1943" s="471" t="s">
        <v>6869</v>
      </c>
      <c r="F1943" s="471" t="s">
        <v>4779</v>
      </c>
      <c r="G1943" s="474">
        <v>46267.0</v>
      </c>
      <c r="H1943" s="472">
        <v>17.0</v>
      </c>
      <c r="I1943" s="472" t="s">
        <v>2890</v>
      </c>
      <c r="J1943" s="34" t="s">
        <v>6834</v>
      </c>
      <c r="K1943" s="622">
        <v>46083.0</v>
      </c>
      <c r="L1943" s="12" t="s">
        <v>374</v>
      </c>
      <c r="M1943" s="19"/>
      <c r="N1943" s="19"/>
      <c r="O1943" s="71">
        <v>46358.0</v>
      </c>
      <c r="P1943" s="385" t="s">
        <v>1432</v>
      </c>
    </row>
    <row r="1944" hidden="1">
      <c r="A1944" s="471">
        <v>6.0</v>
      </c>
      <c r="B1944" s="692" t="s">
        <v>6870</v>
      </c>
      <c r="C1944" s="471" t="s">
        <v>80</v>
      </c>
      <c r="D1944" s="471" t="s">
        <v>6871</v>
      </c>
      <c r="E1944" s="471" t="s">
        <v>6872</v>
      </c>
      <c r="F1944" s="471" t="s">
        <v>4666</v>
      </c>
      <c r="G1944" s="474">
        <v>46297.0</v>
      </c>
      <c r="H1944" s="472">
        <v>18.0</v>
      </c>
      <c r="I1944" s="472" t="s">
        <v>2890</v>
      </c>
      <c r="J1944" s="34" t="s">
        <v>6834</v>
      </c>
      <c r="K1944" s="622">
        <v>46055.0</v>
      </c>
      <c r="L1944" s="12" t="s">
        <v>374</v>
      </c>
      <c r="M1944" s="19"/>
      <c r="N1944" s="19"/>
      <c r="O1944" s="34" t="s">
        <v>6842</v>
      </c>
      <c r="P1944" s="634" t="s">
        <v>4937</v>
      </c>
    </row>
    <row r="1945" hidden="1">
      <c r="A1945" s="526">
        <v>7.0</v>
      </c>
      <c r="B1945" s="527" t="s">
        <v>6873</v>
      </c>
      <c r="C1945" s="526" t="s">
        <v>80</v>
      </c>
      <c r="D1945" s="526" t="s">
        <v>6874</v>
      </c>
      <c r="E1945" s="526" t="s">
        <v>6875</v>
      </c>
      <c r="F1945" s="526" t="s">
        <v>436</v>
      </c>
      <c r="G1945" s="431">
        <v>46328.0</v>
      </c>
      <c r="H1945" s="472">
        <v>19.0</v>
      </c>
      <c r="I1945" s="574" t="s">
        <v>2890</v>
      </c>
      <c r="J1945" s="34" t="s">
        <v>374</v>
      </c>
      <c r="K1945" s="19"/>
      <c r="L1945" s="14"/>
      <c r="M1945" s="19"/>
      <c r="N1945" s="19"/>
      <c r="O1945" s="71">
        <v>46055.0</v>
      </c>
      <c r="P1945" s="19"/>
    </row>
    <row r="1946" hidden="1">
      <c r="A1946" s="471">
        <v>8.0</v>
      </c>
      <c r="B1946" s="470" t="s">
        <v>6876</v>
      </c>
      <c r="C1946" s="471" t="s">
        <v>1185</v>
      </c>
      <c r="D1946" s="471" t="s">
        <v>6877</v>
      </c>
      <c r="E1946" s="471" t="s">
        <v>6878</v>
      </c>
      <c r="F1946" s="471" t="s">
        <v>356</v>
      </c>
      <c r="G1946" s="474">
        <v>46358.0</v>
      </c>
      <c r="H1946" s="472">
        <v>20.0</v>
      </c>
      <c r="I1946" s="472" t="s">
        <v>2890</v>
      </c>
      <c r="J1946" s="34" t="s">
        <v>6879</v>
      </c>
      <c r="K1946" s="622">
        <v>46055.0</v>
      </c>
      <c r="L1946" s="12" t="s">
        <v>51</v>
      </c>
      <c r="M1946" s="19"/>
      <c r="N1946" s="19"/>
      <c r="O1946" s="34" t="s">
        <v>6780</v>
      </c>
      <c r="P1946" s="385" t="s">
        <v>1432</v>
      </c>
    </row>
    <row r="1947" hidden="1">
      <c r="A1947" s="471">
        <v>9.0</v>
      </c>
      <c r="B1947" s="470" t="s">
        <v>6880</v>
      </c>
      <c r="C1947" s="471" t="s">
        <v>80</v>
      </c>
      <c r="D1947" s="471" t="s">
        <v>6881</v>
      </c>
      <c r="E1947" s="667" t="s">
        <v>6882</v>
      </c>
      <c r="F1947" s="471" t="s">
        <v>1439</v>
      </c>
      <c r="G1947" s="474">
        <v>46358.0</v>
      </c>
      <c r="H1947" s="472">
        <v>20.0</v>
      </c>
      <c r="I1947" s="472" t="s">
        <v>2890</v>
      </c>
      <c r="J1947" s="34" t="s">
        <v>6883</v>
      </c>
      <c r="K1947" s="622">
        <v>46055.0</v>
      </c>
      <c r="L1947" s="12" t="s">
        <v>374</v>
      </c>
      <c r="M1947" s="19"/>
      <c r="N1947" s="19"/>
      <c r="O1947" s="71">
        <v>46358.0</v>
      </c>
      <c r="P1947" s="385" t="s">
        <v>1432</v>
      </c>
    </row>
    <row r="1948" hidden="1">
      <c r="A1948" s="471">
        <v>10.0</v>
      </c>
      <c r="B1948" s="470" t="s">
        <v>6884</v>
      </c>
      <c r="C1948" s="471" t="s">
        <v>80</v>
      </c>
      <c r="D1948" s="471" t="s">
        <v>6885</v>
      </c>
      <c r="E1948" s="667" t="s">
        <v>6886</v>
      </c>
      <c r="F1948" s="471" t="s">
        <v>1439</v>
      </c>
      <c r="G1948" s="474">
        <v>46358.0</v>
      </c>
      <c r="H1948" s="472">
        <v>20.0</v>
      </c>
      <c r="I1948" s="472" t="s">
        <v>2890</v>
      </c>
      <c r="J1948" s="34" t="s">
        <v>6883</v>
      </c>
      <c r="K1948" s="622">
        <v>46055.0</v>
      </c>
      <c r="L1948" s="12" t="s">
        <v>374</v>
      </c>
      <c r="M1948" s="19"/>
      <c r="N1948" s="19"/>
      <c r="O1948" s="71">
        <v>46358.0</v>
      </c>
      <c r="P1948" s="385" t="s">
        <v>1432</v>
      </c>
    </row>
    <row r="1949" hidden="1">
      <c r="A1949" s="471">
        <v>11.0</v>
      </c>
      <c r="B1949" s="470" t="s">
        <v>6887</v>
      </c>
      <c r="C1949" s="471" t="s">
        <v>80</v>
      </c>
      <c r="D1949" s="471" t="s">
        <v>6888</v>
      </c>
      <c r="E1949" s="667" t="s">
        <v>6889</v>
      </c>
      <c r="F1949" s="471" t="s">
        <v>6890</v>
      </c>
      <c r="G1949" s="474">
        <v>46358.0</v>
      </c>
      <c r="H1949" s="472">
        <v>20.0</v>
      </c>
      <c r="I1949" s="472" t="s">
        <v>2890</v>
      </c>
      <c r="J1949" s="34" t="s">
        <v>6834</v>
      </c>
      <c r="K1949" s="622">
        <v>46055.0</v>
      </c>
      <c r="L1949" s="12" t="s">
        <v>374</v>
      </c>
      <c r="M1949" s="19"/>
      <c r="N1949" s="19"/>
      <c r="O1949" s="71">
        <v>46358.0</v>
      </c>
      <c r="P1949" s="385" t="s">
        <v>1432</v>
      </c>
    </row>
    <row r="1950" hidden="1">
      <c r="A1950" s="471">
        <v>12.0</v>
      </c>
      <c r="B1950" s="470" t="s">
        <v>6891</v>
      </c>
      <c r="C1950" s="471" t="s">
        <v>80</v>
      </c>
      <c r="D1950" s="471" t="s">
        <v>6892</v>
      </c>
      <c r="E1950" s="667" t="s">
        <v>6893</v>
      </c>
      <c r="F1950" s="471" t="s">
        <v>6890</v>
      </c>
      <c r="G1950" s="474">
        <v>46358.0</v>
      </c>
      <c r="H1950" s="472">
        <v>20.0</v>
      </c>
      <c r="I1950" s="472" t="s">
        <v>2890</v>
      </c>
      <c r="J1950" s="34" t="s">
        <v>6834</v>
      </c>
      <c r="K1950" s="622">
        <v>46055.0</v>
      </c>
      <c r="L1950" s="12" t="s">
        <v>374</v>
      </c>
      <c r="M1950" s="19"/>
      <c r="N1950" s="19"/>
      <c r="O1950" s="71">
        <v>46358.0</v>
      </c>
      <c r="P1950" s="385" t="s">
        <v>1432</v>
      </c>
    </row>
    <row r="1951" hidden="1">
      <c r="A1951" s="471">
        <v>13.0</v>
      </c>
      <c r="B1951" s="470" t="s">
        <v>6894</v>
      </c>
      <c r="C1951" s="471" t="s">
        <v>80</v>
      </c>
      <c r="D1951" s="471" t="s">
        <v>6895</v>
      </c>
      <c r="E1951" s="667" t="s">
        <v>6896</v>
      </c>
      <c r="F1951" s="471" t="s">
        <v>4666</v>
      </c>
      <c r="G1951" s="472" t="s">
        <v>6329</v>
      </c>
      <c r="H1951" s="472">
        <v>21.0</v>
      </c>
      <c r="I1951" s="472" t="s">
        <v>2890</v>
      </c>
      <c r="J1951" s="34" t="s">
        <v>6834</v>
      </c>
      <c r="K1951" s="622">
        <v>46083.0</v>
      </c>
      <c r="L1951" s="12" t="s">
        <v>374</v>
      </c>
      <c r="M1951" s="19"/>
      <c r="N1951" s="19"/>
      <c r="O1951" s="661">
        <v>46328.0</v>
      </c>
      <c r="P1951" s="385" t="s">
        <v>1432</v>
      </c>
    </row>
    <row r="1952" hidden="1">
      <c r="A1952" s="471">
        <v>14.0</v>
      </c>
      <c r="B1952" s="470" t="s">
        <v>6897</v>
      </c>
      <c r="C1952" s="471" t="s">
        <v>80</v>
      </c>
      <c r="D1952" s="471" t="s">
        <v>6898</v>
      </c>
      <c r="E1952" s="667" t="s">
        <v>6899</v>
      </c>
      <c r="F1952" s="471" t="s">
        <v>4666</v>
      </c>
      <c r="G1952" s="472" t="s">
        <v>6329</v>
      </c>
      <c r="H1952" s="472">
        <v>21.0</v>
      </c>
      <c r="I1952" s="472" t="s">
        <v>2890</v>
      </c>
      <c r="J1952" s="34" t="s">
        <v>6834</v>
      </c>
      <c r="K1952" s="622">
        <v>46083.0</v>
      </c>
      <c r="L1952" s="12" t="s">
        <v>374</v>
      </c>
      <c r="M1952" s="19"/>
      <c r="N1952" s="19"/>
      <c r="O1952" s="661">
        <v>46328.0</v>
      </c>
      <c r="P1952" s="385" t="s">
        <v>1432</v>
      </c>
    </row>
    <row r="1953" hidden="1">
      <c r="A1953" s="471">
        <v>15.0</v>
      </c>
      <c r="B1953" s="470" t="s">
        <v>6900</v>
      </c>
      <c r="C1953" s="471" t="s">
        <v>80</v>
      </c>
      <c r="D1953" s="471" t="s">
        <v>6901</v>
      </c>
      <c r="E1953" s="471" t="s">
        <v>6902</v>
      </c>
      <c r="F1953" s="471" t="s">
        <v>172</v>
      </c>
      <c r="G1953" s="472" t="s">
        <v>6329</v>
      </c>
      <c r="H1953" s="472">
        <v>21.0</v>
      </c>
      <c r="I1953" s="472" t="s">
        <v>2890</v>
      </c>
      <c r="J1953" s="19"/>
      <c r="K1953" s="19"/>
      <c r="L1953" s="12" t="s">
        <v>51</v>
      </c>
      <c r="M1953" s="19"/>
      <c r="N1953" s="19"/>
      <c r="O1953" s="19"/>
      <c r="P1953" s="385" t="s">
        <v>1432</v>
      </c>
    </row>
    <row r="1954" hidden="1">
      <c r="A1954" s="471">
        <v>16.0</v>
      </c>
      <c r="B1954" s="470" t="s">
        <v>6903</v>
      </c>
      <c r="C1954" s="471" t="s">
        <v>80</v>
      </c>
      <c r="D1954" s="471" t="s">
        <v>6904</v>
      </c>
      <c r="E1954" s="667" t="s">
        <v>6905</v>
      </c>
      <c r="F1954" s="471" t="s">
        <v>4405</v>
      </c>
      <c r="G1954" s="472" t="s">
        <v>6329</v>
      </c>
      <c r="H1954" s="472">
        <v>21.0</v>
      </c>
      <c r="I1954" s="472" t="s">
        <v>2890</v>
      </c>
      <c r="J1954" s="34" t="s">
        <v>6771</v>
      </c>
      <c r="K1954" s="622">
        <v>46114.0</v>
      </c>
      <c r="L1954" s="12" t="s">
        <v>374</v>
      </c>
      <c r="M1954" s="19"/>
      <c r="N1954" s="19"/>
      <c r="O1954" s="34" t="s">
        <v>6842</v>
      </c>
      <c r="P1954" s="385" t="s">
        <v>1432</v>
      </c>
    </row>
    <row r="1955" hidden="1">
      <c r="A1955" s="471">
        <v>17.0</v>
      </c>
      <c r="B1955" s="470" t="s">
        <v>6906</v>
      </c>
      <c r="C1955" s="471" t="s">
        <v>80</v>
      </c>
      <c r="D1955" s="471" t="s">
        <v>6907</v>
      </c>
      <c r="E1955" s="667" t="s">
        <v>6908</v>
      </c>
      <c r="F1955" s="471" t="s">
        <v>4405</v>
      </c>
      <c r="G1955" s="472" t="s">
        <v>6329</v>
      </c>
      <c r="H1955" s="472">
        <v>21.0</v>
      </c>
      <c r="I1955" s="472" t="s">
        <v>2890</v>
      </c>
      <c r="J1955" s="34" t="s">
        <v>6771</v>
      </c>
      <c r="K1955" s="622">
        <v>46114.0</v>
      </c>
      <c r="L1955" s="12" t="s">
        <v>374</v>
      </c>
      <c r="M1955" s="19"/>
      <c r="N1955" s="19"/>
      <c r="O1955" s="34" t="s">
        <v>6842</v>
      </c>
      <c r="P1955" s="385" t="s">
        <v>1432</v>
      </c>
    </row>
    <row r="1956" hidden="1">
      <c r="A1956" s="471">
        <v>18.0</v>
      </c>
      <c r="B1956" s="470" t="s">
        <v>6909</v>
      </c>
      <c r="C1956" s="471" t="s">
        <v>651</v>
      </c>
      <c r="D1956" s="471" t="s">
        <v>6910</v>
      </c>
      <c r="E1956" s="471" t="s">
        <v>6911</v>
      </c>
      <c r="F1956" s="471" t="s">
        <v>5436</v>
      </c>
      <c r="G1956" s="472" t="s">
        <v>6329</v>
      </c>
      <c r="H1956" s="472">
        <v>21.0</v>
      </c>
      <c r="I1956" s="472" t="s">
        <v>2890</v>
      </c>
      <c r="J1956" s="34" t="s">
        <v>6771</v>
      </c>
      <c r="K1956" s="622">
        <v>46114.0</v>
      </c>
      <c r="L1956" s="12" t="s">
        <v>51</v>
      </c>
      <c r="M1956" s="19"/>
      <c r="N1956" s="34" t="s">
        <v>6912</v>
      </c>
      <c r="O1956" s="34" t="s">
        <v>6372</v>
      </c>
      <c r="P1956" s="385" t="s">
        <v>1432</v>
      </c>
    </row>
    <row r="1957" hidden="1">
      <c r="A1957" s="471">
        <v>19.0</v>
      </c>
      <c r="B1957" s="470" t="s">
        <v>6913</v>
      </c>
      <c r="C1957" s="471" t="s">
        <v>80</v>
      </c>
      <c r="D1957" s="471" t="s">
        <v>6914</v>
      </c>
      <c r="E1957" s="667" t="s">
        <v>6915</v>
      </c>
      <c r="F1957" s="471" t="s">
        <v>4358</v>
      </c>
      <c r="G1957" s="472" t="s">
        <v>6842</v>
      </c>
      <c r="H1957" s="472">
        <v>22.0</v>
      </c>
      <c r="I1957" s="472" t="s">
        <v>2890</v>
      </c>
      <c r="J1957" s="34" t="s">
        <v>6834</v>
      </c>
      <c r="K1957" s="622">
        <v>46083.0</v>
      </c>
      <c r="L1957" s="12" t="s">
        <v>374</v>
      </c>
      <c r="M1957" s="19"/>
      <c r="N1957" s="19"/>
      <c r="O1957" s="34" t="s">
        <v>6916</v>
      </c>
      <c r="P1957" s="19"/>
    </row>
    <row r="1958" hidden="1">
      <c r="A1958" s="471">
        <v>20.0</v>
      </c>
      <c r="B1958" s="470" t="s">
        <v>6917</v>
      </c>
      <c r="C1958" s="471" t="s">
        <v>80</v>
      </c>
      <c r="D1958" s="471" t="s">
        <v>6918</v>
      </c>
      <c r="E1958" s="667" t="s">
        <v>6919</v>
      </c>
      <c r="F1958" s="471" t="s">
        <v>4358</v>
      </c>
      <c r="G1958" s="472" t="s">
        <v>6842</v>
      </c>
      <c r="H1958" s="472">
        <v>22.0</v>
      </c>
      <c r="I1958" s="472" t="s">
        <v>2890</v>
      </c>
      <c r="J1958" s="34" t="s">
        <v>6834</v>
      </c>
      <c r="K1958" s="622">
        <v>46083.0</v>
      </c>
      <c r="L1958" s="12" t="s">
        <v>374</v>
      </c>
      <c r="M1958" s="19"/>
      <c r="N1958" s="19"/>
      <c r="O1958" s="34" t="s">
        <v>6916</v>
      </c>
      <c r="P1958" s="19"/>
    </row>
    <row r="1959" hidden="1">
      <c r="A1959" s="471">
        <v>21.0</v>
      </c>
      <c r="B1959" s="470" t="s">
        <v>6920</v>
      </c>
      <c r="C1959" s="471" t="s">
        <v>1185</v>
      </c>
      <c r="D1959" s="471" t="s">
        <v>6921</v>
      </c>
      <c r="E1959" s="593" t="s">
        <v>6922</v>
      </c>
      <c r="F1959" s="471" t="s">
        <v>3583</v>
      </c>
      <c r="G1959" s="474">
        <v>46114.0</v>
      </c>
      <c r="H1959" s="472">
        <v>12.0</v>
      </c>
      <c r="I1959" s="472" t="s">
        <v>2890</v>
      </c>
      <c r="J1959" s="19"/>
      <c r="K1959" s="19"/>
      <c r="L1959" s="14"/>
      <c r="M1959" s="19"/>
      <c r="N1959" s="19"/>
      <c r="O1959" s="148">
        <v>46358.0</v>
      </c>
      <c r="P1959" s="19"/>
    </row>
    <row r="1960" hidden="1">
      <c r="A1960" s="471">
        <v>22.0</v>
      </c>
      <c r="B1960" s="470" t="s">
        <v>6923</v>
      </c>
      <c r="C1960" s="471" t="s">
        <v>80</v>
      </c>
      <c r="D1960" s="471" t="s">
        <v>6924</v>
      </c>
      <c r="E1960" s="593" t="s">
        <v>6925</v>
      </c>
      <c r="F1960" s="471" t="s">
        <v>3583</v>
      </c>
      <c r="G1960" s="474">
        <v>46114.0</v>
      </c>
      <c r="H1960" s="472">
        <v>12.0</v>
      </c>
      <c r="I1960" s="472" t="s">
        <v>2890</v>
      </c>
      <c r="J1960" s="19"/>
      <c r="K1960" s="19"/>
      <c r="L1960" s="14"/>
      <c r="M1960" s="19"/>
      <c r="N1960" s="19"/>
      <c r="O1960" s="148">
        <v>46358.0</v>
      </c>
      <c r="P1960" s="19"/>
    </row>
    <row r="1961" hidden="1">
      <c r="A1961" s="471">
        <v>23.0</v>
      </c>
      <c r="B1961" s="470" t="s">
        <v>6926</v>
      </c>
      <c r="C1961" s="471" t="s">
        <v>80</v>
      </c>
      <c r="D1961" s="471" t="s">
        <v>6927</v>
      </c>
      <c r="E1961" s="593" t="s">
        <v>6928</v>
      </c>
      <c r="F1961" s="471" t="s">
        <v>3583</v>
      </c>
      <c r="G1961" s="474">
        <v>46114.0</v>
      </c>
      <c r="H1961" s="472">
        <v>12.0</v>
      </c>
      <c r="I1961" s="472" t="s">
        <v>2890</v>
      </c>
      <c r="J1961" s="19"/>
      <c r="K1961" s="19"/>
      <c r="L1961" s="14"/>
      <c r="M1961" s="19"/>
      <c r="N1961" s="19"/>
      <c r="O1961" s="148">
        <v>46358.0</v>
      </c>
      <c r="P1961" s="19"/>
    </row>
    <row r="1962" hidden="1">
      <c r="A1962" s="471">
        <v>24.0</v>
      </c>
      <c r="B1962" s="470" t="s">
        <v>6929</v>
      </c>
      <c r="C1962" s="471" t="s">
        <v>1185</v>
      </c>
      <c r="D1962" s="471" t="s">
        <v>6930</v>
      </c>
      <c r="E1962" s="593" t="s">
        <v>6931</v>
      </c>
      <c r="F1962" s="471" t="s">
        <v>3583</v>
      </c>
      <c r="G1962" s="474">
        <v>46205.0</v>
      </c>
      <c r="H1962" s="472">
        <v>15.0</v>
      </c>
      <c r="I1962" s="472" t="s">
        <v>2890</v>
      </c>
      <c r="J1962" s="34" t="s">
        <v>2541</v>
      </c>
      <c r="K1962" s="19"/>
      <c r="L1962" s="14"/>
      <c r="M1962" s="19"/>
      <c r="N1962" s="19"/>
      <c r="O1962" s="34" t="s">
        <v>6932</v>
      </c>
      <c r="P1962" s="19"/>
    </row>
    <row r="1963" hidden="1">
      <c r="A1963" s="471">
        <v>25.0</v>
      </c>
      <c r="B1963" s="470" t="s">
        <v>6933</v>
      </c>
      <c r="C1963" s="471" t="s">
        <v>80</v>
      </c>
      <c r="D1963" s="471" t="s">
        <v>6934</v>
      </c>
      <c r="E1963" s="593" t="s">
        <v>6935</v>
      </c>
      <c r="F1963" s="471" t="s">
        <v>3583</v>
      </c>
      <c r="G1963" s="474">
        <v>46205.0</v>
      </c>
      <c r="H1963" s="472">
        <v>15.0</v>
      </c>
      <c r="I1963" s="540" t="s">
        <v>3465</v>
      </c>
      <c r="J1963" s="19"/>
      <c r="K1963" s="19"/>
      <c r="L1963" s="14"/>
      <c r="M1963" s="19"/>
      <c r="N1963" s="19"/>
      <c r="O1963" s="148">
        <v>46358.0</v>
      </c>
      <c r="P1963" s="19"/>
    </row>
    <row r="1964" hidden="1">
      <c r="A1964" s="471">
        <v>26.0</v>
      </c>
      <c r="B1964" s="470" t="s">
        <v>6936</v>
      </c>
      <c r="C1964" s="471" t="s">
        <v>80</v>
      </c>
      <c r="D1964" s="471" t="s">
        <v>6937</v>
      </c>
      <c r="E1964" s="471" t="s">
        <v>6938</v>
      </c>
      <c r="F1964" s="471" t="s">
        <v>6939</v>
      </c>
      <c r="G1964" s="472" t="s">
        <v>6940</v>
      </c>
      <c r="H1964" s="472">
        <v>23.0</v>
      </c>
      <c r="I1964" s="472" t="s">
        <v>2890</v>
      </c>
      <c r="J1964" s="34" t="s">
        <v>51</v>
      </c>
      <c r="K1964" s="19"/>
      <c r="L1964" s="12" t="s">
        <v>51</v>
      </c>
      <c r="M1964" s="19"/>
      <c r="N1964" s="19"/>
      <c r="O1964" s="34" t="s">
        <v>6780</v>
      </c>
      <c r="P1964" s="407" t="s">
        <v>1798</v>
      </c>
    </row>
    <row r="1965" hidden="1">
      <c r="A1965" s="471">
        <v>27.0</v>
      </c>
      <c r="B1965" s="470" t="s">
        <v>6941</v>
      </c>
      <c r="C1965" s="471" t="s">
        <v>6942</v>
      </c>
      <c r="D1965" s="471" t="s">
        <v>6943</v>
      </c>
      <c r="E1965" s="471" t="s">
        <v>6944</v>
      </c>
      <c r="F1965" s="647"/>
      <c r="G1965" s="474">
        <v>45700.0</v>
      </c>
      <c r="H1965" s="472">
        <v>-52.0</v>
      </c>
      <c r="I1965" s="472" t="s">
        <v>2890</v>
      </c>
      <c r="J1965" s="19"/>
      <c r="K1965" s="19"/>
      <c r="L1965" s="14"/>
      <c r="M1965" s="19"/>
      <c r="N1965" s="19"/>
      <c r="O1965" s="693" t="s">
        <v>6945</v>
      </c>
      <c r="P1965" s="19"/>
    </row>
    <row r="1966" hidden="1">
      <c r="A1966" s="471">
        <v>28.0</v>
      </c>
      <c r="B1966" s="470" t="s">
        <v>6946</v>
      </c>
      <c r="C1966" s="471" t="s">
        <v>6942</v>
      </c>
      <c r="D1966" s="471" t="s">
        <v>6947</v>
      </c>
      <c r="E1966" s="471" t="s">
        <v>6944</v>
      </c>
      <c r="F1966" s="647"/>
      <c r="G1966" s="474">
        <v>45700.0</v>
      </c>
      <c r="H1966" s="472">
        <v>-52.0</v>
      </c>
      <c r="I1966" s="472" t="s">
        <v>2890</v>
      </c>
      <c r="J1966" s="19"/>
      <c r="K1966" s="19"/>
      <c r="L1966" s="14"/>
      <c r="M1966" s="19"/>
      <c r="N1966" s="19"/>
      <c r="O1966" s="694"/>
      <c r="P1966" s="19"/>
    </row>
    <row r="1967" hidden="1">
      <c r="A1967" s="471">
        <v>29.0</v>
      </c>
      <c r="B1967" s="470" t="s">
        <v>6948</v>
      </c>
      <c r="C1967" s="471" t="s">
        <v>6942</v>
      </c>
      <c r="D1967" s="471" t="s">
        <v>6949</v>
      </c>
      <c r="E1967" s="471" t="s">
        <v>6944</v>
      </c>
      <c r="F1967" s="647"/>
      <c r="G1967" s="474">
        <v>45700.0</v>
      </c>
      <c r="H1967" s="472">
        <v>-52.0</v>
      </c>
      <c r="I1967" s="472" t="s">
        <v>2890</v>
      </c>
      <c r="J1967" s="19"/>
      <c r="K1967" s="19"/>
      <c r="L1967" s="14"/>
      <c r="M1967" s="19"/>
      <c r="N1967" s="19"/>
      <c r="O1967" s="695"/>
      <c r="P1967" s="19"/>
    </row>
    <row r="1968" hidden="1">
      <c r="A1968" s="471">
        <v>30.0</v>
      </c>
      <c r="B1968" s="470" t="s">
        <v>6950</v>
      </c>
      <c r="C1968" s="471" t="s">
        <v>80</v>
      </c>
      <c r="D1968" s="471" t="s">
        <v>6951</v>
      </c>
      <c r="E1968" s="471" t="s">
        <v>6952</v>
      </c>
      <c r="F1968" s="471" t="s">
        <v>1316</v>
      </c>
      <c r="G1968" s="472" t="s">
        <v>6940</v>
      </c>
      <c r="H1968" s="472">
        <v>23.0</v>
      </c>
      <c r="I1968" s="472" t="s">
        <v>2890</v>
      </c>
      <c r="J1968" s="19"/>
      <c r="K1968" s="19"/>
      <c r="L1968" s="12" t="s">
        <v>374</v>
      </c>
      <c r="M1968" s="19"/>
      <c r="N1968" s="19"/>
      <c r="O1968" s="34" t="s">
        <v>6953</v>
      </c>
      <c r="P1968" s="19"/>
    </row>
    <row r="1969" hidden="1">
      <c r="A1969" s="471" t="s">
        <v>1</v>
      </c>
      <c r="B1969" s="470" t="s">
        <v>6954</v>
      </c>
      <c r="C1969" s="471" t="s">
        <v>80</v>
      </c>
      <c r="D1969" s="471" t="s">
        <v>6955</v>
      </c>
      <c r="E1969" s="471" t="s">
        <v>6956</v>
      </c>
      <c r="F1969" s="471" t="s">
        <v>6957</v>
      </c>
      <c r="G1969" s="472" t="s">
        <v>6780</v>
      </c>
      <c r="H1969" s="472">
        <v>24.0</v>
      </c>
      <c r="I1969" s="472" t="s">
        <v>2890</v>
      </c>
      <c r="J1969" s="34" t="s">
        <v>6958</v>
      </c>
      <c r="K1969" s="34" t="s">
        <v>6932</v>
      </c>
      <c r="L1969" s="12" t="s">
        <v>374</v>
      </c>
      <c r="M1969" s="19"/>
      <c r="N1969" s="19"/>
      <c r="O1969" s="34" t="s">
        <v>6959</v>
      </c>
      <c r="P1969" s="385" t="s">
        <v>1432</v>
      </c>
    </row>
    <row r="1970" hidden="1">
      <c r="A1970" s="471">
        <v>32.0</v>
      </c>
      <c r="B1970" s="470" t="s">
        <v>6960</v>
      </c>
      <c r="C1970" s="471" t="s">
        <v>938</v>
      </c>
      <c r="D1970" s="471" t="s">
        <v>6961</v>
      </c>
      <c r="E1970" s="471" t="s">
        <v>6962</v>
      </c>
      <c r="F1970" s="471" t="s">
        <v>243</v>
      </c>
      <c r="G1970" s="472" t="s">
        <v>6329</v>
      </c>
      <c r="H1970" s="472">
        <v>21.0</v>
      </c>
      <c r="I1970" s="472" t="s">
        <v>2890</v>
      </c>
      <c r="J1970" s="34" t="s">
        <v>6963</v>
      </c>
      <c r="K1970" s="622">
        <v>46144.0</v>
      </c>
      <c r="L1970" s="12" t="s">
        <v>374</v>
      </c>
      <c r="M1970" s="19"/>
      <c r="N1970" s="19"/>
      <c r="O1970" s="661">
        <v>46297.0</v>
      </c>
      <c r="P1970" s="385" t="s">
        <v>1432</v>
      </c>
    </row>
    <row r="1971" hidden="1">
      <c r="A1971" s="696"/>
      <c r="Q1971" s="35"/>
      <c r="R1971" s="35"/>
      <c r="S1971" s="35"/>
      <c r="T1971" s="35"/>
      <c r="U1971" s="35"/>
      <c r="V1971" s="35"/>
      <c r="W1971" s="35"/>
      <c r="X1971" s="35"/>
      <c r="Y1971" s="35"/>
      <c r="Z1971" s="35"/>
      <c r="AA1971" s="35"/>
      <c r="AB1971" s="35"/>
      <c r="AC1971" s="35"/>
      <c r="AD1971" s="35"/>
      <c r="AE1971" s="35"/>
      <c r="AF1971" s="35"/>
    </row>
    <row r="1972" hidden="1">
      <c r="A1972" s="697" t="s">
        <v>47</v>
      </c>
      <c r="B1972" s="678" t="s">
        <v>7</v>
      </c>
      <c r="C1972" s="670" t="s">
        <v>9</v>
      </c>
      <c r="D1972" s="670" t="s">
        <v>10</v>
      </c>
      <c r="E1972" s="670" t="s">
        <v>11</v>
      </c>
      <c r="F1972" s="670" t="s">
        <v>12</v>
      </c>
      <c r="G1972" s="670" t="s">
        <v>2378</v>
      </c>
      <c r="H1972" s="670" t="s">
        <v>2681</v>
      </c>
      <c r="I1972" s="4" t="s">
        <v>2847</v>
      </c>
      <c r="J1972" s="8" t="s">
        <v>14</v>
      </c>
      <c r="K1972" s="9" t="s">
        <v>16</v>
      </c>
      <c r="L1972" s="9" t="s">
        <v>4330</v>
      </c>
      <c r="M1972" s="9" t="s">
        <v>18</v>
      </c>
      <c r="N1972" s="9" t="s">
        <v>19</v>
      </c>
      <c r="O1972" s="9" t="s">
        <v>20</v>
      </c>
      <c r="P1972" s="9" t="s">
        <v>21</v>
      </c>
      <c r="Q1972" s="35"/>
      <c r="R1972" s="35"/>
      <c r="S1972" s="35"/>
      <c r="T1972" s="35"/>
      <c r="U1972" s="35"/>
      <c r="V1972" s="35"/>
      <c r="W1972" s="35"/>
      <c r="X1972" s="35"/>
      <c r="Y1972" s="35"/>
      <c r="Z1972" s="35"/>
      <c r="AA1972" s="35"/>
      <c r="AB1972" s="35"/>
      <c r="AC1972" s="35"/>
      <c r="AD1972" s="35"/>
      <c r="AE1972" s="35"/>
      <c r="AF1972" s="35"/>
    </row>
    <row r="1973" hidden="1">
      <c r="A1973" s="471">
        <v>1.0</v>
      </c>
      <c r="B1973" s="470" t="s">
        <v>6964</v>
      </c>
      <c r="C1973" s="471" t="s">
        <v>1185</v>
      </c>
      <c r="D1973" s="471" t="s">
        <v>6965</v>
      </c>
      <c r="E1973" s="471" t="s">
        <v>6966</v>
      </c>
      <c r="F1973" s="471" t="s">
        <v>25</v>
      </c>
      <c r="G1973" s="472" t="s">
        <v>6967</v>
      </c>
      <c r="H1973" s="472">
        <v>24.0</v>
      </c>
      <c r="I1973" s="472" t="s">
        <v>2890</v>
      </c>
      <c r="J1973" s="34" t="s">
        <v>6968</v>
      </c>
      <c r="K1973" s="626">
        <v>46144.0</v>
      </c>
      <c r="L1973" s="12" t="s">
        <v>51</v>
      </c>
      <c r="M1973" s="19"/>
      <c r="N1973" s="19"/>
      <c r="O1973" s="34" t="s">
        <v>6372</v>
      </c>
      <c r="P1973" s="385" t="s">
        <v>1432</v>
      </c>
    </row>
    <row r="1974" hidden="1">
      <c r="A1974" s="471">
        <v>2.0</v>
      </c>
      <c r="B1974" s="470" t="s">
        <v>6969</v>
      </c>
      <c r="C1974" s="471" t="s">
        <v>80</v>
      </c>
      <c r="D1974" s="471" t="s">
        <v>6970</v>
      </c>
      <c r="E1974" s="667" t="s">
        <v>6971</v>
      </c>
      <c r="F1974" s="471" t="s">
        <v>1316</v>
      </c>
      <c r="G1974" s="472" t="s">
        <v>6972</v>
      </c>
      <c r="H1974" s="472">
        <v>22.0</v>
      </c>
      <c r="I1974" s="472" t="s">
        <v>2890</v>
      </c>
      <c r="J1974" s="34" t="s">
        <v>6968</v>
      </c>
      <c r="K1974" s="626">
        <v>46144.0</v>
      </c>
      <c r="L1974" s="12" t="s">
        <v>374</v>
      </c>
      <c r="M1974" s="19"/>
      <c r="N1974" s="19"/>
      <c r="O1974" s="34" t="s">
        <v>6973</v>
      </c>
      <c r="P1974" s="385" t="s">
        <v>1432</v>
      </c>
    </row>
    <row r="1975" hidden="1">
      <c r="A1975" s="471">
        <v>3.0</v>
      </c>
      <c r="B1975" s="470" t="s">
        <v>6974</v>
      </c>
      <c r="C1975" s="471" t="s">
        <v>80</v>
      </c>
      <c r="D1975" s="471" t="s">
        <v>6975</v>
      </c>
      <c r="E1975" s="667" t="s">
        <v>6976</v>
      </c>
      <c r="F1975" s="471" t="s">
        <v>1316</v>
      </c>
      <c r="G1975" s="472" t="s">
        <v>6972</v>
      </c>
      <c r="H1975" s="472">
        <v>22.0</v>
      </c>
      <c r="I1975" s="472" t="s">
        <v>2890</v>
      </c>
      <c r="J1975" s="34" t="s">
        <v>6968</v>
      </c>
      <c r="K1975" s="626">
        <v>46144.0</v>
      </c>
      <c r="L1975" s="12" t="s">
        <v>374</v>
      </c>
      <c r="M1975" s="19"/>
      <c r="N1975" s="19"/>
      <c r="O1975" s="34" t="s">
        <v>6973</v>
      </c>
      <c r="P1975" s="385" t="s">
        <v>1432</v>
      </c>
    </row>
    <row r="1976" hidden="1">
      <c r="A1976" s="471">
        <v>4.0</v>
      </c>
      <c r="B1976" s="470" t="s">
        <v>6977</v>
      </c>
      <c r="C1976" s="471" t="s">
        <v>651</v>
      </c>
      <c r="D1976" s="471" t="s">
        <v>6978</v>
      </c>
      <c r="E1976" s="471" t="s">
        <v>6979</v>
      </c>
      <c r="F1976" s="471" t="s">
        <v>4452</v>
      </c>
      <c r="G1976" s="472" t="s">
        <v>6972</v>
      </c>
      <c r="H1976" s="472">
        <v>22.0</v>
      </c>
      <c r="I1976" s="472" t="s">
        <v>2890</v>
      </c>
      <c r="J1976" s="19"/>
      <c r="K1976" s="698"/>
      <c r="L1976" s="12" t="s">
        <v>51</v>
      </c>
      <c r="M1976" s="19"/>
      <c r="N1976" s="19"/>
      <c r="O1976" s="34" t="s">
        <v>6959</v>
      </c>
      <c r="P1976" s="385" t="s">
        <v>1432</v>
      </c>
    </row>
    <row r="1977" hidden="1">
      <c r="A1977" s="471">
        <v>5.0</v>
      </c>
      <c r="B1977" s="470" t="s">
        <v>6980</v>
      </c>
      <c r="C1977" s="471" t="s">
        <v>80</v>
      </c>
      <c r="D1977" s="471" t="s">
        <v>6981</v>
      </c>
      <c r="E1977" s="471" t="s">
        <v>6982</v>
      </c>
      <c r="F1977" s="471" t="s">
        <v>1391</v>
      </c>
      <c r="G1977" s="472" t="s">
        <v>6780</v>
      </c>
      <c r="H1977" s="472">
        <v>21.0</v>
      </c>
      <c r="I1977" s="472" t="s">
        <v>2890</v>
      </c>
      <c r="J1977" s="34" t="s">
        <v>6983</v>
      </c>
      <c r="K1977" s="626">
        <v>46358.0</v>
      </c>
      <c r="L1977" s="12" t="s">
        <v>51</v>
      </c>
      <c r="M1977" s="19"/>
      <c r="N1977" s="19"/>
      <c r="O1977" s="34" t="s">
        <v>6916</v>
      </c>
      <c r="P1977" s="385" t="s">
        <v>1432</v>
      </c>
    </row>
    <row r="1978" hidden="1">
      <c r="A1978" s="471">
        <v>6.0</v>
      </c>
      <c r="B1978" s="470" t="s">
        <v>6984</v>
      </c>
      <c r="C1978" s="471" t="s">
        <v>938</v>
      </c>
      <c r="D1978" s="471" t="s">
        <v>6985</v>
      </c>
      <c r="E1978" s="613" t="s">
        <v>6986</v>
      </c>
      <c r="F1978" s="471" t="s">
        <v>243</v>
      </c>
      <c r="G1978" s="472" t="s">
        <v>6987</v>
      </c>
      <c r="H1978" s="472">
        <v>23.0</v>
      </c>
      <c r="I1978" s="472" t="s">
        <v>2890</v>
      </c>
      <c r="J1978" s="34" t="s">
        <v>6963</v>
      </c>
      <c r="K1978" s="626">
        <v>46175.0</v>
      </c>
      <c r="L1978" s="12" t="s">
        <v>374</v>
      </c>
      <c r="M1978" s="19"/>
      <c r="N1978" s="19"/>
      <c r="O1978" s="34" t="s">
        <v>6988</v>
      </c>
      <c r="P1978" s="385" t="s">
        <v>1432</v>
      </c>
    </row>
    <row r="1979" hidden="1">
      <c r="A1979" s="471">
        <v>7.0</v>
      </c>
      <c r="B1979" s="470" t="s">
        <v>6989</v>
      </c>
      <c r="C1979" s="471" t="s">
        <v>938</v>
      </c>
      <c r="D1979" s="471" t="s">
        <v>6990</v>
      </c>
      <c r="E1979" s="613" t="s">
        <v>6991</v>
      </c>
      <c r="F1979" s="471" t="s">
        <v>243</v>
      </c>
      <c r="G1979" s="472" t="s">
        <v>6987</v>
      </c>
      <c r="H1979" s="472">
        <v>23.0</v>
      </c>
      <c r="I1979" s="472" t="s">
        <v>2890</v>
      </c>
      <c r="J1979" s="34" t="s">
        <v>6963</v>
      </c>
      <c r="K1979" s="626">
        <v>46175.0</v>
      </c>
      <c r="L1979" s="12" t="s">
        <v>374</v>
      </c>
      <c r="M1979" s="19"/>
      <c r="N1979" s="19"/>
      <c r="O1979" s="34" t="s">
        <v>6988</v>
      </c>
      <c r="P1979" s="385" t="s">
        <v>1432</v>
      </c>
    </row>
    <row r="1980" hidden="1">
      <c r="A1980" s="471">
        <v>8.0</v>
      </c>
      <c r="B1980" s="470" t="s">
        <v>6992</v>
      </c>
      <c r="C1980" s="471" t="s">
        <v>651</v>
      </c>
      <c r="D1980" s="471" t="s">
        <v>6993</v>
      </c>
      <c r="E1980" s="471" t="s">
        <v>6994</v>
      </c>
      <c r="F1980" s="471" t="s">
        <v>4367</v>
      </c>
      <c r="G1980" s="474">
        <v>46083.0</v>
      </c>
      <c r="H1980" s="472">
        <v>8.0</v>
      </c>
      <c r="I1980" s="472" t="s">
        <v>2890</v>
      </c>
      <c r="J1980" s="34" t="s">
        <v>6561</v>
      </c>
      <c r="K1980" s="698"/>
      <c r="L1980" s="12" t="s">
        <v>374</v>
      </c>
      <c r="M1980" s="19"/>
      <c r="N1980" s="19"/>
      <c r="O1980" s="148">
        <v>46114.0</v>
      </c>
      <c r="P1980" s="19"/>
    </row>
    <row r="1981" hidden="1">
      <c r="A1981" s="471">
        <v>9.0</v>
      </c>
      <c r="B1981" s="470" t="s">
        <v>6995</v>
      </c>
      <c r="C1981" s="471" t="s">
        <v>80</v>
      </c>
      <c r="D1981" s="471" t="s">
        <v>6996</v>
      </c>
      <c r="E1981" s="471" t="s">
        <v>6997</v>
      </c>
      <c r="F1981" s="471" t="s">
        <v>5436</v>
      </c>
      <c r="G1981" s="472" t="s">
        <v>6967</v>
      </c>
      <c r="H1981" s="472">
        <v>24.0</v>
      </c>
      <c r="I1981" s="472" t="s">
        <v>2890</v>
      </c>
      <c r="J1981" s="34" t="s">
        <v>6998</v>
      </c>
      <c r="K1981" s="626">
        <v>46328.0</v>
      </c>
      <c r="L1981" s="12" t="s">
        <v>51</v>
      </c>
      <c r="M1981" s="19"/>
      <c r="N1981" s="19"/>
      <c r="O1981" s="34" t="s">
        <v>6999</v>
      </c>
      <c r="P1981" s="587" t="s">
        <v>1432</v>
      </c>
    </row>
    <row r="1982" hidden="1">
      <c r="A1982" s="471">
        <v>10.0</v>
      </c>
      <c r="B1982" s="470" t="s">
        <v>7000</v>
      </c>
      <c r="C1982" s="471" t="s">
        <v>651</v>
      </c>
      <c r="D1982" s="471" t="s">
        <v>7001</v>
      </c>
      <c r="E1982" s="471" t="s">
        <v>7002</v>
      </c>
      <c r="F1982" s="471" t="s">
        <v>7003</v>
      </c>
      <c r="G1982" s="472" t="s">
        <v>6967</v>
      </c>
      <c r="H1982" s="472">
        <v>24.0</v>
      </c>
      <c r="I1982" s="472" t="s">
        <v>2890</v>
      </c>
      <c r="J1982" s="34" t="s">
        <v>362</v>
      </c>
      <c r="K1982" s="148">
        <v>46297.0</v>
      </c>
      <c r="L1982" s="12" t="s">
        <v>51</v>
      </c>
      <c r="M1982" s="19"/>
      <c r="N1982" s="19"/>
      <c r="O1982" s="34" t="s">
        <v>6967</v>
      </c>
      <c r="P1982" s="587" t="s">
        <v>1432</v>
      </c>
    </row>
    <row r="1983" hidden="1">
      <c r="A1983" s="471">
        <v>11.0</v>
      </c>
      <c r="B1983" s="470" t="s">
        <v>7004</v>
      </c>
      <c r="C1983" s="471" t="s">
        <v>80</v>
      </c>
      <c r="D1983" s="471" t="s">
        <v>7005</v>
      </c>
      <c r="E1983" s="615" t="s">
        <v>7006</v>
      </c>
      <c r="F1983" s="471" t="s">
        <v>3928</v>
      </c>
      <c r="G1983" s="474">
        <v>46297.0</v>
      </c>
      <c r="H1983" s="472">
        <v>15.0</v>
      </c>
      <c r="I1983" s="472" t="s">
        <v>2890</v>
      </c>
      <c r="J1983" s="34" t="s">
        <v>3099</v>
      </c>
      <c r="K1983" s="148">
        <v>46144.0</v>
      </c>
      <c r="L1983" s="14"/>
      <c r="M1983" s="19"/>
      <c r="N1983" s="19"/>
      <c r="O1983" s="648">
        <v>46064.0</v>
      </c>
      <c r="P1983" s="19"/>
    </row>
    <row r="1984" hidden="1">
      <c r="A1984" s="471">
        <v>12.0</v>
      </c>
      <c r="B1984" s="470" t="s">
        <v>7007</v>
      </c>
      <c r="C1984" s="471" t="s">
        <v>80</v>
      </c>
      <c r="D1984" s="471" t="s">
        <v>7008</v>
      </c>
      <c r="E1984" s="615" t="s">
        <v>7009</v>
      </c>
      <c r="F1984" s="471" t="s">
        <v>3928</v>
      </c>
      <c r="G1984" s="474">
        <v>46297.0</v>
      </c>
      <c r="H1984" s="472">
        <v>15.0</v>
      </c>
      <c r="I1984" s="472" t="s">
        <v>2890</v>
      </c>
      <c r="J1984" s="34" t="s">
        <v>3099</v>
      </c>
      <c r="K1984" s="148">
        <v>46175.0</v>
      </c>
      <c r="L1984" s="14"/>
      <c r="M1984" s="19"/>
      <c r="N1984" s="19"/>
      <c r="O1984" s="648">
        <v>46064.0</v>
      </c>
      <c r="P1984" s="19"/>
    </row>
    <row r="1985" hidden="1">
      <c r="A1985" s="471">
        <v>13.0</v>
      </c>
      <c r="B1985" s="470" t="s">
        <v>7010</v>
      </c>
      <c r="C1985" s="471" t="s">
        <v>80</v>
      </c>
      <c r="D1985" s="471" t="s">
        <v>7011</v>
      </c>
      <c r="E1985" s="615" t="s">
        <v>7012</v>
      </c>
      <c r="F1985" s="471" t="s">
        <v>3928</v>
      </c>
      <c r="G1985" s="474">
        <v>46297.0</v>
      </c>
      <c r="H1985" s="472">
        <v>15.0</v>
      </c>
      <c r="I1985" s="472" t="s">
        <v>2890</v>
      </c>
      <c r="J1985" s="34" t="s">
        <v>3099</v>
      </c>
      <c r="K1985" s="148">
        <v>46144.0</v>
      </c>
      <c r="L1985" s="14"/>
      <c r="M1985" s="19"/>
      <c r="N1985" s="19"/>
      <c r="O1985" s="648">
        <v>46064.0</v>
      </c>
      <c r="P1985" s="19"/>
    </row>
    <row r="1986" hidden="1">
      <c r="A1986" s="471">
        <v>14.0</v>
      </c>
      <c r="B1986" s="470" t="s">
        <v>7013</v>
      </c>
      <c r="C1986" s="471" t="s">
        <v>80</v>
      </c>
      <c r="D1986" s="471" t="s">
        <v>7014</v>
      </c>
      <c r="E1986" s="615" t="s">
        <v>7015</v>
      </c>
      <c r="F1986" s="471" t="s">
        <v>3928</v>
      </c>
      <c r="G1986" s="474">
        <v>46297.0</v>
      </c>
      <c r="H1986" s="472">
        <v>15.0</v>
      </c>
      <c r="I1986" s="472" t="s">
        <v>2890</v>
      </c>
      <c r="J1986" s="34" t="s">
        <v>3099</v>
      </c>
      <c r="K1986" s="148">
        <v>46144.0</v>
      </c>
      <c r="L1986" s="14"/>
      <c r="M1986" s="19"/>
      <c r="N1986" s="19"/>
      <c r="O1986" s="648">
        <v>46064.0</v>
      </c>
      <c r="P1986" s="19"/>
    </row>
    <row r="1987" hidden="1">
      <c r="A1987" s="471">
        <v>15.0</v>
      </c>
      <c r="B1987" s="470" t="s">
        <v>7016</v>
      </c>
      <c r="C1987" s="471" t="s">
        <v>80</v>
      </c>
      <c r="D1987" s="471" t="s">
        <v>7017</v>
      </c>
      <c r="E1987" s="615" t="s">
        <v>7018</v>
      </c>
      <c r="F1987" s="471" t="s">
        <v>3928</v>
      </c>
      <c r="G1987" s="474">
        <v>46267.0</v>
      </c>
      <c r="H1987" s="472">
        <v>14.0</v>
      </c>
      <c r="I1987" s="472" t="s">
        <v>2890</v>
      </c>
      <c r="J1987" s="34" t="s">
        <v>3099</v>
      </c>
      <c r="K1987" s="101" t="s">
        <v>6753</v>
      </c>
      <c r="L1987" s="14"/>
      <c r="M1987" s="19"/>
      <c r="N1987" s="19"/>
      <c r="O1987" s="71">
        <v>46055.0</v>
      </c>
      <c r="P1987" s="19"/>
    </row>
    <row r="1988" hidden="1">
      <c r="A1988" s="471">
        <v>16.0</v>
      </c>
      <c r="B1988" s="470" t="s">
        <v>7019</v>
      </c>
      <c r="C1988" s="471" t="s">
        <v>80</v>
      </c>
      <c r="D1988" s="471" t="s">
        <v>7020</v>
      </c>
      <c r="E1988" s="615" t="s">
        <v>7021</v>
      </c>
      <c r="F1988" s="471" t="s">
        <v>3928</v>
      </c>
      <c r="G1988" s="474">
        <v>46297.0</v>
      </c>
      <c r="H1988" s="472">
        <v>15.0</v>
      </c>
      <c r="I1988" s="472" t="s">
        <v>2890</v>
      </c>
      <c r="J1988" s="34" t="s">
        <v>3099</v>
      </c>
      <c r="K1988" s="148">
        <v>46144.0</v>
      </c>
      <c r="L1988" s="14"/>
      <c r="M1988" s="19"/>
      <c r="N1988" s="19"/>
      <c r="O1988" s="648">
        <v>46064.0</v>
      </c>
      <c r="P1988" s="19"/>
    </row>
    <row r="1989" hidden="1">
      <c r="A1989" s="471">
        <v>17.0</v>
      </c>
      <c r="B1989" s="470" t="s">
        <v>7022</v>
      </c>
      <c r="C1989" s="471" t="s">
        <v>80</v>
      </c>
      <c r="D1989" s="471" t="s">
        <v>7023</v>
      </c>
      <c r="E1989" s="615" t="s">
        <v>7024</v>
      </c>
      <c r="F1989" s="471" t="s">
        <v>3928</v>
      </c>
      <c r="G1989" s="474">
        <v>46297.0</v>
      </c>
      <c r="H1989" s="472">
        <v>15.0</v>
      </c>
      <c r="I1989" s="472" t="s">
        <v>2890</v>
      </c>
      <c r="J1989" s="34" t="s">
        <v>3099</v>
      </c>
      <c r="K1989" s="148">
        <v>46175.0</v>
      </c>
      <c r="L1989" s="14"/>
      <c r="M1989" s="19"/>
      <c r="N1989" s="19"/>
      <c r="O1989" s="648">
        <v>46064.0</v>
      </c>
      <c r="P1989" s="19"/>
    </row>
    <row r="1990" hidden="1">
      <c r="A1990" s="471">
        <v>18.0</v>
      </c>
      <c r="B1990" s="470" t="s">
        <v>7025</v>
      </c>
      <c r="C1990" s="471" t="s">
        <v>80</v>
      </c>
      <c r="D1990" s="471" t="s">
        <v>7026</v>
      </c>
      <c r="E1990" s="615" t="s">
        <v>7027</v>
      </c>
      <c r="F1990" s="471" t="s">
        <v>3928</v>
      </c>
      <c r="G1990" s="474">
        <v>46297.0</v>
      </c>
      <c r="H1990" s="472">
        <v>15.0</v>
      </c>
      <c r="I1990" s="472" t="s">
        <v>2890</v>
      </c>
      <c r="J1990" s="34" t="s">
        <v>3099</v>
      </c>
      <c r="K1990" s="148">
        <v>46175.0</v>
      </c>
      <c r="L1990" s="14"/>
      <c r="M1990" s="19"/>
      <c r="N1990" s="19"/>
      <c r="O1990" s="648">
        <v>46064.0</v>
      </c>
      <c r="P1990" s="19"/>
    </row>
    <row r="1991" hidden="1">
      <c r="A1991" s="471">
        <v>19.0</v>
      </c>
      <c r="B1991" s="470" t="s">
        <v>7028</v>
      </c>
      <c r="C1991" s="471" t="s">
        <v>1185</v>
      </c>
      <c r="D1991" s="471" t="s">
        <v>7029</v>
      </c>
      <c r="E1991" s="471" t="s">
        <v>7030</v>
      </c>
      <c r="F1991" s="471" t="s">
        <v>7031</v>
      </c>
      <c r="G1991" s="472" t="s">
        <v>6967</v>
      </c>
      <c r="H1991" s="472">
        <v>24.0</v>
      </c>
      <c r="I1991" s="472" t="s">
        <v>2890</v>
      </c>
      <c r="J1991" s="34" t="s">
        <v>6998</v>
      </c>
      <c r="K1991" s="148">
        <v>46358.0</v>
      </c>
      <c r="L1991" s="12" t="s">
        <v>51</v>
      </c>
      <c r="M1991" s="19"/>
      <c r="N1991" s="19"/>
      <c r="O1991" s="34" t="s">
        <v>6932</v>
      </c>
      <c r="P1991" s="385" t="s">
        <v>1432</v>
      </c>
    </row>
    <row r="1992" hidden="1">
      <c r="A1992" s="471">
        <v>20.0</v>
      </c>
      <c r="B1992" s="470" t="s">
        <v>7032</v>
      </c>
      <c r="C1992" s="471" t="s">
        <v>80</v>
      </c>
      <c r="D1992" s="471" t="s">
        <v>7033</v>
      </c>
      <c r="E1992" s="471" t="s">
        <v>7034</v>
      </c>
      <c r="F1992" s="471" t="s">
        <v>160</v>
      </c>
      <c r="G1992" s="472" t="s">
        <v>6967</v>
      </c>
      <c r="H1992" s="472">
        <v>24.0</v>
      </c>
      <c r="I1992" s="472" t="s">
        <v>2890</v>
      </c>
      <c r="J1992" s="34" t="s">
        <v>7035</v>
      </c>
      <c r="K1992" s="101" t="s">
        <v>6932</v>
      </c>
      <c r="L1992" s="12" t="s">
        <v>374</v>
      </c>
      <c r="M1992" s="19"/>
      <c r="N1992" s="19"/>
      <c r="O1992" s="34" t="s">
        <v>7036</v>
      </c>
      <c r="P1992" s="587" t="s">
        <v>1432</v>
      </c>
    </row>
    <row r="1993" hidden="1">
      <c r="A1993" s="472">
        <v>21.0</v>
      </c>
      <c r="B1993" s="383" t="s">
        <v>7037</v>
      </c>
      <c r="C1993" s="53" t="s">
        <v>7038</v>
      </c>
      <c r="D1993" s="472" t="s">
        <v>7038</v>
      </c>
      <c r="E1993" s="472" t="s">
        <v>7039</v>
      </c>
      <c r="F1993" s="472" t="s">
        <v>160</v>
      </c>
      <c r="G1993" s="472" t="s">
        <v>6967</v>
      </c>
      <c r="H1993" s="472">
        <v>24.0</v>
      </c>
      <c r="I1993" s="699"/>
      <c r="J1993" s="143" t="s">
        <v>2541</v>
      </c>
      <c r="K1993" s="700"/>
      <c r="L1993" s="292"/>
      <c r="O1993" s="143" t="s">
        <v>7040</v>
      </c>
      <c r="P1993" s="701" t="s">
        <v>7041</v>
      </c>
    </row>
    <row r="1994" hidden="1">
      <c r="A1994" s="339" t="s">
        <v>7042</v>
      </c>
    </row>
    <row r="1995" hidden="1">
      <c r="A1995" s="471">
        <v>22.0</v>
      </c>
      <c r="B1995" s="470" t="s">
        <v>7043</v>
      </c>
      <c r="C1995" s="471" t="s">
        <v>80</v>
      </c>
      <c r="D1995" s="471" t="s">
        <v>7044</v>
      </c>
      <c r="E1995" s="615" t="s">
        <v>7045</v>
      </c>
      <c r="F1995" s="471" t="s">
        <v>3583</v>
      </c>
      <c r="G1995" s="474">
        <v>46297.0</v>
      </c>
      <c r="H1995" s="472">
        <v>15.0</v>
      </c>
      <c r="I1995" s="472" t="s">
        <v>2890</v>
      </c>
      <c r="J1995" s="19"/>
      <c r="K1995" s="19"/>
      <c r="L1995" s="14"/>
      <c r="M1995" s="19"/>
      <c r="N1995" s="19"/>
      <c r="O1995" s="148">
        <v>46358.0</v>
      </c>
      <c r="P1995" s="19"/>
    </row>
    <row r="1996" hidden="1">
      <c r="A1996" s="471">
        <v>23.0</v>
      </c>
      <c r="B1996" s="470" t="s">
        <v>7046</v>
      </c>
      <c r="C1996" s="471" t="s">
        <v>80</v>
      </c>
      <c r="D1996" s="471" t="s">
        <v>7047</v>
      </c>
      <c r="E1996" s="615" t="s">
        <v>7048</v>
      </c>
      <c r="F1996" s="471" t="s">
        <v>3583</v>
      </c>
      <c r="G1996" s="474">
        <v>46297.0</v>
      </c>
      <c r="H1996" s="472">
        <v>15.0</v>
      </c>
      <c r="I1996" s="472" t="s">
        <v>2890</v>
      </c>
      <c r="J1996" s="19"/>
      <c r="K1996" s="19"/>
      <c r="L1996" s="14"/>
      <c r="M1996" s="19"/>
      <c r="N1996" s="19"/>
      <c r="O1996" s="148">
        <v>46358.0</v>
      </c>
      <c r="P1996" s="19"/>
    </row>
    <row r="1997" hidden="1">
      <c r="A1997" s="526">
        <v>24.0</v>
      </c>
      <c r="B1997" s="527" t="s">
        <v>7049</v>
      </c>
      <c r="C1997" s="526" t="s">
        <v>80</v>
      </c>
      <c r="D1997" s="526" t="s">
        <v>7050</v>
      </c>
      <c r="E1997" s="526" t="s">
        <v>7051</v>
      </c>
      <c r="F1997" s="526" t="s">
        <v>3583</v>
      </c>
      <c r="G1997" s="702">
        <v>46144.0</v>
      </c>
      <c r="H1997" s="574">
        <v>9.0</v>
      </c>
      <c r="I1997" s="574" t="s">
        <v>2890</v>
      </c>
      <c r="J1997" s="19"/>
      <c r="K1997" s="19"/>
      <c r="L1997" s="14"/>
      <c r="M1997" s="19"/>
      <c r="N1997" s="19"/>
      <c r="O1997" s="648">
        <v>46083.0</v>
      </c>
      <c r="P1997" s="19"/>
    </row>
    <row r="1998" hidden="1">
      <c r="L1998" s="140"/>
      <c r="Q1998" s="35"/>
      <c r="R1998" s="35"/>
      <c r="S1998" s="35"/>
      <c r="T1998" s="35"/>
      <c r="U1998" s="35"/>
      <c r="V1998" s="35"/>
      <c r="W1998" s="35"/>
      <c r="X1998" s="35"/>
      <c r="Y1998" s="35"/>
      <c r="Z1998" s="35"/>
      <c r="AA1998" s="35"/>
      <c r="AB1998" s="35"/>
      <c r="AC1998" s="35"/>
      <c r="AD1998" s="35"/>
      <c r="AE1998" s="35"/>
      <c r="AF1998" s="35"/>
    </row>
    <row r="1999" hidden="1">
      <c r="A1999" s="670" t="s">
        <v>47</v>
      </c>
      <c r="B1999" s="678" t="s">
        <v>7</v>
      </c>
      <c r="C1999" s="670" t="s">
        <v>9</v>
      </c>
      <c r="D1999" s="670" t="s">
        <v>10</v>
      </c>
      <c r="E1999" s="670" t="s">
        <v>11</v>
      </c>
      <c r="F1999" s="670" t="s">
        <v>12</v>
      </c>
      <c r="G1999" s="670" t="s">
        <v>2378</v>
      </c>
      <c r="H1999" s="670" t="s">
        <v>2681</v>
      </c>
      <c r="I1999" s="4" t="s">
        <v>2847</v>
      </c>
      <c r="J1999" s="8" t="s">
        <v>14</v>
      </c>
      <c r="K1999" s="9" t="s">
        <v>16</v>
      </c>
      <c r="L1999" s="9" t="s">
        <v>4330</v>
      </c>
      <c r="M1999" s="9" t="s">
        <v>18</v>
      </c>
      <c r="N1999" s="9" t="s">
        <v>19</v>
      </c>
      <c r="O1999" s="9" t="s">
        <v>20</v>
      </c>
      <c r="P1999" s="9" t="s">
        <v>21</v>
      </c>
      <c r="Q1999" s="35"/>
      <c r="R1999" s="35"/>
      <c r="S1999" s="35"/>
      <c r="T1999" s="35"/>
      <c r="U1999" s="35"/>
      <c r="V1999" s="35"/>
      <c r="W1999" s="35"/>
      <c r="X1999" s="35"/>
      <c r="Y1999" s="35"/>
      <c r="Z1999" s="35"/>
      <c r="AA1999" s="35"/>
      <c r="AB1999" s="35"/>
      <c r="AC1999" s="35"/>
      <c r="AD1999" s="35"/>
      <c r="AE1999" s="35"/>
      <c r="AF1999" s="35"/>
    </row>
    <row r="2000" hidden="1">
      <c r="A2000" s="471">
        <v>1.0</v>
      </c>
      <c r="B2000" s="470" t="s">
        <v>7052</v>
      </c>
      <c r="C2000" s="471" t="s">
        <v>1185</v>
      </c>
      <c r="D2000" s="471" t="s">
        <v>7053</v>
      </c>
      <c r="E2000" s="471" t="s">
        <v>7054</v>
      </c>
      <c r="F2000" s="471" t="s">
        <v>2098</v>
      </c>
      <c r="G2000" s="471" t="s">
        <v>6772</v>
      </c>
      <c r="H2000" s="471">
        <v>22.0</v>
      </c>
      <c r="I2000" s="471" t="s">
        <v>2890</v>
      </c>
      <c r="J2000" s="34" t="s">
        <v>7055</v>
      </c>
      <c r="K2000" s="148">
        <v>46175.0</v>
      </c>
      <c r="L2000" s="12" t="s">
        <v>51</v>
      </c>
      <c r="M2000" s="19"/>
      <c r="N2000" s="19"/>
      <c r="O2000" s="34" t="s">
        <v>6372</v>
      </c>
      <c r="P2000" s="385" t="s">
        <v>1432</v>
      </c>
    </row>
    <row r="2001" hidden="1">
      <c r="A2001" s="471">
        <v>2.0</v>
      </c>
      <c r="B2001" s="470" t="s">
        <v>7056</v>
      </c>
      <c r="C2001" s="471" t="s">
        <v>1185</v>
      </c>
      <c r="D2001" s="471" t="s">
        <v>7057</v>
      </c>
      <c r="E2001" s="471" t="s">
        <v>7058</v>
      </c>
      <c r="F2001" s="471" t="s">
        <v>2098</v>
      </c>
      <c r="G2001" s="471" t="s">
        <v>6772</v>
      </c>
      <c r="H2001" s="471">
        <v>22.0</v>
      </c>
      <c r="I2001" s="471" t="s">
        <v>2890</v>
      </c>
      <c r="J2001" s="34" t="s">
        <v>7059</v>
      </c>
      <c r="K2001" s="148">
        <v>46267.0</v>
      </c>
      <c r="L2001" s="12" t="s">
        <v>51</v>
      </c>
      <c r="M2001" s="19"/>
      <c r="N2001" s="19"/>
      <c r="O2001" s="34" t="s">
        <v>6772</v>
      </c>
      <c r="P2001" s="385" t="s">
        <v>1432</v>
      </c>
    </row>
    <row r="2002" hidden="1">
      <c r="A2002" s="471">
        <v>3.0</v>
      </c>
      <c r="B2002" s="470" t="s">
        <v>7060</v>
      </c>
      <c r="C2002" s="471" t="s">
        <v>1185</v>
      </c>
      <c r="D2002" s="471" t="s">
        <v>7061</v>
      </c>
      <c r="E2002" s="471" t="s">
        <v>7062</v>
      </c>
      <c r="F2002" s="471" t="s">
        <v>2098</v>
      </c>
      <c r="G2002" s="471" t="s">
        <v>6772</v>
      </c>
      <c r="H2002" s="471">
        <v>22.0</v>
      </c>
      <c r="I2002" s="471" t="s">
        <v>2890</v>
      </c>
      <c r="J2002" s="34" t="s">
        <v>7063</v>
      </c>
      <c r="K2002" s="148">
        <v>46205.0</v>
      </c>
      <c r="L2002" s="12" t="s">
        <v>51</v>
      </c>
      <c r="M2002" s="19"/>
      <c r="N2002" s="19"/>
      <c r="O2002" s="34" t="s">
        <v>7064</v>
      </c>
      <c r="P2002" s="385" t="s">
        <v>1432</v>
      </c>
    </row>
    <row r="2003" hidden="1">
      <c r="A2003" s="471">
        <v>4.0</v>
      </c>
      <c r="B2003" s="470" t="s">
        <v>7065</v>
      </c>
      <c r="C2003" s="471" t="s">
        <v>1185</v>
      </c>
      <c r="D2003" s="471" t="s">
        <v>7066</v>
      </c>
      <c r="E2003" s="471" t="s">
        <v>7067</v>
      </c>
      <c r="F2003" s="471" t="s">
        <v>2098</v>
      </c>
      <c r="G2003" s="471" t="s">
        <v>7068</v>
      </c>
      <c r="H2003" s="471">
        <v>23.0</v>
      </c>
      <c r="I2003" s="471" t="s">
        <v>2890</v>
      </c>
      <c r="J2003" s="34" t="s">
        <v>6963</v>
      </c>
      <c r="K2003" s="148">
        <v>46175.0</v>
      </c>
      <c r="L2003" s="12" t="s">
        <v>51</v>
      </c>
      <c r="M2003" s="19"/>
      <c r="N2003" s="19"/>
      <c r="O2003" s="34" t="s">
        <v>7036</v>
      </c>
      <c r="P2003" s="385" t="s">
        <v>1432</v>
      </c>
    </row>
    <row r="2004" hidden="1">
      <c r="A2004" s="471">
        <v>5.0</v>
      </c>
      <c r="B2004" s="621" t="s">
        <v>7069</v>
      </c>
      <c r="C2004" s="471" t="s">
        <v>80</v>
      </c>
      <c r="D2004" s="471" t="s">
        <v>7070</v>
      </c>
      <c r="E2004" s="471" t="s">
        <v>6328</v>
      </c>
      <c r="F2004" s="471" t="s">
        <v>4666</v>
      </c>
      <c r="G2004" s="471" t="s">
        <v>5464</v>
      </c>
      <c r="H2004" s="471">
        <v>0.0</v>
      </c>
      <c r="I2004" s="471" t="s">
        <v>2890</v>
      </c>
      <c r="J2004" s="34" t="s">
        <v>2541</v>
      </c>
      <c r="K2004" s="148">
        <v>46297.0</v>
      </c>
      <c r="L2004" s="12" t="s">
        <v>374</v>
      </c>
      <c r="M2004" s="19"/>
      <c r="N2004" s="19"/>
      <c r="O2004" s="34" t="s">
        <v>7071</v>
      </c>
      <c r="P2004" s="19"/>
    </row>
    <row r="2005" hidden="1">
      <c r="A2005" s="471">
        <v>6.0</v>
      </c>
      <c r="B2005" s="470" t="s">
        <v>7072</v>
      </c>
      <c r="C2005" s="471" t="s">
        <v>80</v>
      </c>
      <c r="D2005" s="471" t="s">
        <v>7073</v>
      </c>
      <c r="E2005" s="471" t="s">
        <v>7074</v>
      </c>
      <c r="F2005" s="471" t="s">
        <v>172</v>
      </c>
      <c r="G2005" s="471" t="s">
        <v>7075</v>
      </c>
      <c r="H2005" s="471">
        <v>21.0</v>
      </c>
      <c r="I2005" s="471" t="s">
        <v>2890</v>
      </c>
      <c r="J2005" s="34" t="s">
        <v>7076</v>
      </c>
      <c r="K2005" s="148">
        <v>46205.0</v>
      </c>
      <c r="L2005" s="12" t="s">
        <v>51</v>
      </c>
      <c r="M2005" s="19"/>
      <c r="N2005" s="19"/>
      <c r="O2005" s="34" t="s">
        <v>6987</v>
      </c>
      <c r="P2005" s="385" t="s">
        <v>1432</v>
      </c>
    </row>
    <row r="2006" hidden="1">
      <c r="A2006" s="471">
        <v>7.0</v>
      </c>
      <c r="B2006" s="621" t="s">
        <v>7077</v>
      </c>
      <c r="C2006" s="471" t="s">
        <v>80</v>
      </c>
      <c r="D2006" s="471" t="s">
        <v>7078</v>
      </c>
      <c r="E2006" s="471" t="s">
        <v>7079</v>
      </c>
      <c r="F2006" s="471" t="s">
        <v>4666</v>
      </c>
      <c r="G2006" s="471" t="s">
        <v>6772</v>
      </c>
      <c r="H2006" s="471">
        <v>22.0</v>
      </c>
      <c r="I2006" s="471" t="s">
        <v>2890</v>
      </c>
      <c r="J2006" s="34" t="s">
        <v>6963</v>
      </c>
      <c r="K2006" s="148">
        <v>46175.0</v>
      </c>
      <c r="L2006" s="12" t="s">
        <v>374</v>
      </c>
      <c r="M2006" s="19"/>
      <c r="N2006" s="19"/>
      <c r="O2006" s="34" t="s">
        <v>6932</v>
      </c>
      <c r="P2006" s="385" t="s">
        <v>1432</v>
      </c>
    </row>
    <row r="2007" hidden="1">
      <c r="A2007" s="526">
        <v>8.0</v>
      </c>
      <c r="B2007" s="527" t="s">
        <v>7080</v>
      </c>
      <c r="C2007" s="526" t="s">
        <v>80</v>
      </c>
      <c r="D2007" s="526" t="s">
        <v>7081</v>
      </c>
      <c r="E2007" s="526" t="s">
        <v>7082</v>
      </c>
      <c r="F2007" s="526" t="s">
        <v>4666</v>
      </c>
      <c r="G2007" s="526" t="s">
        <v>6772</v>
      </c>
      <c r="H2007" s="526">
        <v>22.0</v>
      </c>
      <c r="I2007" s="526" t="s">
        <v>2890</v>
      </c>
      <c r="J2007" s="19"/>
      <c r="K2007" s="19"/>
      <c r="L2007" s="12" t="s">
        <v>374</v>
      </c>
      <c r="M2007" s="19"/>
      <c r="N2007" s="19"/>
      <c r="O2007" s="148">
        <v>46114.0</v>
      </c>
      <c r="P2007" s="385" t="s">
        <v>1432</v>
      </c>
    </row>
    <row r="2008" hidden="1">
      <c r="A2008" s="471">
        <v>9.0</v>
      </c>
      <c r="B2008" s="470" t="s">
        <v>7083</v>
      </c>
      <c r="C2008" s="471" t="s">
        <v>80</v>
      </c>
      <c r="D2008" s="471" t="s">
        <v>7084</v>
      </c>
      <c r="E2008" s="667" t="s">
        <v>7085</v>
      </c>
      <c r="F2008" s="471" t="s">
        <v>7086</v>
      </c>
      <c r="G2008" s="471" t="s">
        <v>6772</v>
      </c>
      <c r="H2008" s="471">
        <v>22.0</v>
      </c>
      <c r="I2008" s="531" t="s">
        <v>3043</v>
      </c>
      <c r="J2008" s="34" t="s">
        <v>7055</v>
      </c>
      <c r="K2008" s="148">
        <v>46175.0</v>
      </c>
      <c r="L2008" s="12" t="s">
        <v>374</v>
      </c>
      <c r="M2008" s="19"/>
      <c r="N2008" s="19"/>
      <c r="O2008" s="34" t="s">
        <v>6973</v>
      </c>
      <c r="P2008" s="385" t="s">
        <v>1432</v>
      </c>
    </row>
    <row r="2009" hidden="1">
      <c r="A2009" s="471">
        <v>10.0</v>
      </c>
      <c r="B2009" s="470" t="s">
        <v>7087</v>
      </c>
      <c r="C2009" s="471" t="s">
        <v>80</v>
      </c>
      <c r="D2009" s="471" t="s">
        <v>7088</v>
      </c>
      <c r="E2009" s="667" t="s">
        <v>7089</v>
      </c>
      <c r="F2009" s="471" t="s">
        <v>7086</v>
      </c>
      <c r="G2009" s="471" t="s">
        <v>6772</v>
      </c>
      <c r="H2009" s="471">
        <v>22.0</v>
      </c>
      <c r="I2009" s="471" t="s">
        <v>2890</v>
      </c>
      <c r="J2009" s="34" t="s">
        <v>7055</v>
      </c>
      <c r="K2009" s="148">
        <v>46175.0</v>
      </c>
      <c r="L2009" s="12" t="s">
        <v>374</v>
      </c>
      <c r="M2009" s="19"/>
      <c r="N2009" s="19"/>
      <c r="O2009" s="34" t="s">
        <v>6973</v>
      </c>
      <c r="P2009" s="385" t="s">
        <v>1432</v>
      </c>
    </row>
    <row r="2010" hidden="1">
      <c r="A2010" s="471">
        <v>11.0</v>
      </c>
      <c r="B2010" s="470" t="s">
        <v>7090</v>
      </c>
      <c r="C2010" s="471" t="s">
        <v>80</v>
      </c>
      <c r="D2010" s="471" t="s">
        <v>7091</v>
      </c>
      <c r="E2010" s="667" t="s">
        <v>7092</v>
      </c>
      <c r="F2010" s="471" t="s">
        <v>4367</v>
      </c>
      <c r="G2010" s="471" t="s">
        <v>6772</v>
      </c>
      <c r="H2010" s="471">
        <v>22.0</v>
      </c>
      <c r="I2010" s="471" t="s">
        <v>2890</v>
      </c>
      <c r="J2010" s="34" t="s">
        <v>7055</v>
      </c>
      <c r="K2010" s="148">
        <v>46175.0</v>
      </c>
      <c r="L2010" s="12" t="s">
        <v>374</v>
      </c>
      <c r="M2010" s="19"/>
      <c r="N2010" s="19"/>
      <c r="O2010" s="34" t="s">
        <v>7064</v>
      </c>
      <c r="P2010" s="385" t="s">
        <v>1432</v>
      </c>
    </row>
    <row r="2011" hidden="1">
      <c r="A2011" s="471">
        <v>12.0</v>
      </c>
      <c r="B2011" s="470" t="s">
        <v>7093</v>
      </c>
      <c r="C2011" s="471" t="s">
        <v>80</v>
      </c>
      <c r="D2011" s="471" t="s">
        <v>7094</v>
      </c>
      <c r="E2011" s="667" t="s">
        <v>7095</v>
      </c>
      <c r="F2011" s="471" t="s">
        <v>4367</v>
      </c>
      <c r="G2011" s="471" t="s">
        <v>6772</v>
      </c>
      <c r="H2011" s="471">
        <v>22.0</v>
      </c>
      <c r="I2011" s="471" t="s">
        <v>2890</v>
      </c>
      <c r="J2011" s="34" t="s">
        <v>7055</v>
      </c>
      <c r="K2011" s="148">
        <v>46175.0</v>
      </c>
      <c r="L2011" s="12" t="s">
        <v>374</v>
      </c>
      <c r="M2011" s="19"/>
      <c r="N2011" s="19"/>
      <c r="O2011" s="143" t="s">
        <v>6999</v>
      </c>
      <c r="P2011" s="385" t="s">
        <v>1432</v>
      </c>
    </row>
    <row r="2012" hidden="1">
      <c r="A2012" s="471">
        <v>13.0</v>
      </c>
      <c r="B2012" s="470" t="s">
        <v>7096</v>
      </c>
      <c r="C2012" s="471" t="s">
        <v>1185</v>
      </c>
      <c r="D2012" s="471" t="s">
        <v>7097</v>
      </c>
      <c r="E2012" s="471" t="s">
        <v>749</v>
      </c>
      <c r="F2012" s="471" t="s">
        <v>2486</v>
      </c>
      <c r="G2012" s="471" t="s">
        <v>6772</v>
      </c>
      <c r="H2012" s="471">
        <v>22.0</v>
      </c>
      <c r="I2012" s="471" t="s">
        <v>2890</v>
      </c>
      <c r="J2012" s="34" t="s">
        <v>6998</v>
      </c>
      <c r="K2012" s="148">
        <v>46328.0</v>
      </c>
      <c r="L2012" s="12" t="s">
        <v>51</v>
      </c>
      <c r="M2012" s="19"/>
      <c r="N2012" s="19"/>
      <c r="O2012" s="34" t="s">
        <v>7036</v>
      </c>
      <c r="P2012" s="385" t="s">
        <v>1432</v>
      </c>
    </row>
    <row r="2013" hidden="1">
      <c r="A2013" s="471">
        <v>14.0</v>
      </c>
      <c r="B2013" s="470" t="s">
        <v>7098</v>
      </c>
      <c r="C2013" s="471" t="s">
        <v>1185</v>
      </c>
      <c r="D2013" s="471" t="s">
        <v>7099</v>
      </c>
      <c r="E2013" s="471" t="s">
        <v>7100</v>
      </c>
      <c r="F2013" s="471" t="s">
        <v>356</v>
      </c>
      <c r="G2013" s="471" t="s">
        <v>7068</v>
      </c>
      <c r="H2013" s="471">
        <v>23.0</v>
      </c>
      <c r="I2013" s="471" t="s">
        <v>2890</v>
      </c>
      <c r="J2013" s="34" t="s">
        <v>7076</v>
      </c>
      <c r="K2013" s="148">
        <v>46205.0</v>
      </c>
      <c r="L2013" s="12" t="s">
        <v>51</v>
      </c>
      <c r="M2013" s="19"/>
      <c r="N2013" s="19"/>
      <c r="O2013" s="34" t="s">
        <v>6999</v>
      </c>
      <c r="P2013" s="385" t="s">
        <v>1432</v>
      </c>
    </row>
    <row r="2014" hidden="1">
      <c r="A2014" s="471">
        <v>15.0</v>
      </c>
      <c r="B2014" s="470" t="s">
        <v>7101</v>
      </c>
      <c r="C2014" s="471" t="s">
        <v>80</v>
      </c>
      <c r="D2014" s="471" t="s">
        <v>7102</v>
      </c>
      <c r="E2014" s="667" t="s">
        <v>7103</v>
      </c>
      <c r="F2014" s="471" t="s">
        <v>4358</v>
      </c>
      <c r="G2014" s="471" t="s">
        <v>7068</v>
      </c>
      <c r="H2014" s="471">
        <v>23.0</v>
      </c>
      <c r="I2014" s="471" t="s">
        <v>2890</v>
      </c>
      <c r="J2014" s="34" t="s">
        <v>7076</v>
      </c>
      <c r="K2014" s="148">
        <v>46204.0</v>
      </c>
      <c r="L2014" s="12" t="s">
        <v>374</v>
      </c>
      <c r="M2014" s="19"/>
      <c r="N2014" s="19"/>
      <c r="O2014" s="34" t="s">
        <v>6916</v>
      </c>
      <c r="P2014" s="19"/>
    </row>
    <row r="2015" hidden="1">
      <c r="A2015" s="471">
        <v>16.0</v>
      </c>
      <c r="B2015" s="470" t="s">
        <v>7104</v>
      </c>
      <c r="C2015" s="471" t="s">
        <v>80</v>
      </c>
      <c r="D2015" s="471" t="s">
        <v>7105</v>
      </c>
      <c r="E2015" s="667" t="s">
        <v>7106</v>
      </c>
      <c r="F2015" s="471" t="s">
        <v>4358</v>
      </c>
      <c r="G2015" s="471" t="s">
        <v>7068</v>
      </c>
      <c r="H2015" s="471">
        <v>23.0</v>
      </c>
      <c r="I2015" s="471" t="s">
        <v>2890</v>
      </c>
      <c r="J2015" s="34" t="s">
        <v>7076</v>
      </c>
      <c r="K2015" s="148">
        <v>46204.0</v>
      </c>
      <c r="L2015" s="12" t="s">
        <v>374</v>
      </c>
      <c r="M2015" s="19"/>
      <c r="N2015" s="19"/>
      <c r="O2015" s="34" t="s">
        <v>6916</v>
      </c>
      <c r="P2015" s="385" t="s">
        <v>1432</v>
      </c>
    </row>
    <row r="2016" hidden="1">
      <c r="A2016" s="471">
        <v>17.0</v>
      </c>
      <c r="B2016" s="470" t="s">
        <v>7107</v>
      </c>
      <c r="C2016" s="471" t="s">
        <v>80</v>
      </c>
      <c r="D2016" s="471" t="s">
        <v>7108</v>
      </c>
      <c r="E2016" s="471" t="s">
        <v>7109</v>
      </c>
      <c r="F2016" s="471" t="s">
        <v>356</v>
      </c>
      <c r="G2016" s="471" t="s">
        <v>7068</v>
      </c>
      <c r="H2016" s="471">
        <v>23.0</v>
      </c>
      <c r="I2016" s="471" t="s">
        <v>2890</v>
      </c>
      <c r="J2016" s="34" t="s">
        <v>7063</v>
      </c>
      <c r="K2016" s="148">
        <v>46205.0</v>
      </c>
      <c r="L2016" s="12" t="s">
        <v>51</v>
      </c>
      <c r="M2016" s="19"/>
      <c r="N2016" s="19"/>
      <c r="O2016" s="34" t="s">
        <v>7064</v>
      </c>
      <c r="P2016" s="385" t="s">
        <v>1432</v>
      </c>
    </row>
    <row r="2017" hidden="1">
      <c r="A2017" s="471">
        <v>18.0</v>
      </c>
      <c r="B2017" s="470" t="s">
        <v>7110</v>
      </c>
      <c r="C2017" s="471" t="s">
        <v>80</v>
      </c>
      <c r="D2017" s="471" t="s">
        <v>7111</v>
      </c>
      <c r="E2017" s="593" t="s">
        <v>7112</v>
      </c>
      <c r="F2017" s="471" t="s">
        <v>3928</v>
      </c>
      <c r="G2017" s="525">
        <v>46358.0</v>
      </c>
      <c r="H2017" s="471">
        <v>13.0</v>
      </c>
      <c r="I2017" s="471" t="s">
        <v>2890</v>
      </c>
      <c r="J2017" s="19"/>
      <c r="K2017" s="19"/>
      <c r="L2017" s="14"/>
      <c r="M2017" s="19"/>
      <c r="N2017" s="19"/>
      <c r="O2017" s="34" t="s">
        <v>6372</v>
      </c>
      <c r="P2017" s="19"/>
    </row>
    <row r="2018" hidden="1">
      <c r="A2018" s="471">
        <v>19.0</v>
      </c>
      <c r="B2018" s="470" t="s">
        <v>7113</v>
      </c>
      <c r="C2018" s="471" t="s">
        <v>80</v>
      </c>
      <c r="D2018" s="471" t="s">
        <v>7114</v>
      </c>
      <c r="E2018" s="593" t="s">
        <v>7115</v>
      </c>
      <c r="F2018" s="471" t="s">
        <v>3928</v>
      </c>
      <c r="G2018" s="525">
        <v>46358.0</v>
      </c>
      <c r="H2018" s="471">
        <v>13.0</v>
      </c>
      <c r="I2018" s="486" t="s">
        <v>3465</v>
      </c>
      <c r="J2018" s="19"/>
      <c r="K2018" s="19"/>
      <c r="L2018" s="14"/>
      <c r="M2018" s="19"/>
      <c r="N2018" s="19"/>
      <c r="O2018" s="34" t="s">
        <v>6372</v>
      </c>
      <c r="P2018" s="19"/>
    </row>
    <row r="2019" hidden="1">
      <c r="A2019" s="471">
        <v>20.0</v>
      </c>
      <c r="B2019" s="470" t="s">
        <v>7116</v>
      </c>
      <c r="C2019" s="471" t="s">
        <v>80</v>
      </c>
      <c r="D2019" s="471" t="s">
        <v>7117</v>
      </c>
      <c r="E2019" s="593" t="s">
        <v>7118</v>
      </c>
      <c r="F2019" s="471" t="s">
        <v>3928</v>
      </c>
      <c r="G2019" s="525">
        <v>46358.0</v>
      </c>
      <c r="H2019" s="471">
        <v>13.0</v>
      </c>
      <c r="I2019" s="471" t="s">
        <v>2890</v>
      </c>
      <c r="J2019" s="19"/>
      <c r="K2019" s="19"/>
      <c r="L2019" s="14"/>
      <c r="M2019" s="19"/>
      <c r="N2019" s="19"/>
      <c r="O2019" s="648">
        <v>46069.0</v>
      </c>
      <c r="P2019" s="19"/>
    </row>
    <row r="2020" hidden="1">
      <c r="A2020" s="342">
        <v>21.0</v>
      </c>
      <c r="B2020" s="512" t="s">
        <v>7119</v>
      </c>
      <c r="C2020" s="342" t="s">
        <v>80</v>
      </c>
      <c r="D2020" s="342" t="s">
        <v>7120</v>
      </c>
      <c r="E2020" s="580" t="s">
        <v>7121</v>
      </c>
      <c r="F2020" s="342" t="s">
        <v>3928</v>
      </c>
      <c r="G2020" s="703">
        <v>46358.0</v>
      </c>
      <c r="H2020" s="342">
        <v>13.0</v>
      </c>
      <c r="I2020" s="342" t="s">
        <v>2890</v>
      </c>
      <c r="J2020" s="704"/>
      <c r="K2020" s="704"/>
      <c r="L2020" s="705"/>
      <c r="M2020" s="704"/>
      <c r="N2020" s="331"/>
      <c r="O2020" s="331" t="s">
        <v>6372</v>
      </c>
      <c r="P2020" s="704"/>
      <c r="Q2020" s="581"/>
      <c r="R2020" s="581"/>
      <c r="S2020" s="581"/>
      <c r="T2020" s="581"/>
      <c r="U2020" s="581"/>
      <c r="V2020" s="581"/>
      <c r="W2020" s="581"/>
      <c r="X2020" s="581"/>
      <c r="Y2020" s="581"/>
      <c r="Z2020" s="581"/>
      <c r="AA2020" s="581"/>
      <c r="AB2020" s="581"/>
      <c r="AC2020" s="581"/>
      <c r="AD2020" s="581"/>
      <c r="AE2020" s="581"/>
      <c r="AF2020" s="581"/>
    </row>
    <row r="2021" hidden="1">
      <c r="A2021" s="471">
        <v>22.0</v>
      </c>
      <c r="B2021" s="470" t="s">
        <v>7122</v>
      </c>
      <c r="C2021" s="471" t="s">
        <v>80</v>
      </c>
      <c r="D2021" s="471" t="s">
        <v>7123</v>
      </c>
      <c r="E2021" s="593" t="s">
        <v>7124</v>
      </c>
      <c r="F2021" s="471" t="s">
        <v>3928</v>
      </c>
      <c r="G2021" s="525">
        <v>46358.0</v>
      </c>
      <c r="H2021" s="471">
        <v>13.0</v>
      </c>
      <c r="I2021" s="471" t="s">
        <v>2890</v>
      </c>
      <c r="J2021" s="19"/>
      <c r="K2021" s="19"/>
      <c r="L2021" s="14"/>
      <c r="M2021" s="19"/>
      <c r="N2021" s="19"/>
      <c r="O2021" s="34" t="s">
        <v>6372</v>
      </c>
      <c r="P2021" s="19"/>
    </row>
    <row r="2022" hidden="1">
      <c r="A2022" s="471">
        <v>23.0</v>
      </c>
      <c r="B2022" s="470" t="s">
        <v>7125</v>
      </c>
      <c r="C2022" s="471" t="s">
        <v>1185</v>
      </c>
      <c r="D2022" s="471" t="s">
        <v>7126</v>
      </c>
      <c r="E2022" s="593" t="s">
        <v>7127</v>
      </c>
      <c r="F2022" s="471" t="s">
        <v>3583</v>
      </c>
      <c r="G2022" s="471" t="s">
        <v>6329</v>
      </c>
      <c r="H2022" s="471">
        <v>14.0</v>
      </c>
      <c r="I2022" s="471" t="s">
        <v>2890</v>
      </c>
      <c r="J2022" s="19"/>
      <c r="K2022" s="19"/>
      <c r="L2022" s="14"/>
      <c r="M2022" s="19"/>
      <c r="N2022" s="19"/>
      <c r="O2022" s="648">
        <v>46066.0</v>
      </c>
      <c r="P2022" s="19"/>
    </row>
    <row r="2023" hidden="1">
      <c r="A2023" s="471">
        <v>24.0</v>
      </c>
      <c r="B2023" s="470" t="s">
        <v>7128</v>
      </c>
      <c r="C2023" s="471" t="s">
        <v>80</v>
      </c>
      <c r="D2023" s="471" t="s">
        <v>7129</v>
      </c>
      <c r="E2023" s="593" t="s">
        <v>7130</v>
      </c>
      <c r="F2023" s="471" t="s">
        <v>3583</v>
      </c>
      <c r="G2023" s="471" t="s">
        <v>6329</v>
      </c>
      <c r="H2023" s="471">
        <v>14.0</v>
      </c>
      <c r="I2023" s="471" t="s">
        <v>2890</v>
      </c>
      <c r="J2023" s="19"/>
      <c r="K2023" s="19"/>
      <c r="L2023" s="14"/>
      <c r="M2023" s="19"/>
      <c r="N2023" s="19"/>
      <c r="O2023" s="648">
        <v>46066.0</v>
      </c>
      <c r="P2023" s="19"/>
    </row>
    <row r="2024" hidden="1">
      <c r="A2024" s="339" t="s">
        <v>7131</v>
      </c>
      <c r="Q2024" s="35"/>
      <c r="R2024" s="35"/>
      <c r="S2024" s="35"/>
      <c r="T2024" s="35"/>
      <c r="U2024" s="35"/>
      <c r="V2024" s="35"/>
      <c r="W2024" s="35"/>
      <c r="X2024" s="35"/>
      <c r="Y2024" s="35"/>
      <c r="Z2024" s="35"/>
      <c r="AA2024" s="35"/>
      <c r="AB2024" s="35"/>
      <c r="AC2024" s="35"/>
      <c r="AD2024" s="35"/>
      <c r="AE2024" s="35"/>
      <c r="AF2024" s="35"/>
    </row>
    <row r="2025" hidden="1">
      <c r="A2025" s="670" t="s">
        <v>47</v>
      </c>
      <c r="B2025" s="678" t="s">
        <v>7</v>
      </c>
      <c r="C2025" s="670" t="s">
        <v>9</v>
      </c>
      <c r="D2025" s="670" t="s">
        <v>10</v>
      </c>
      <c r="E2025" s="670" t="s">
        <v>11</v>
      </c>
      <c r="F2025" s="670" t="s">
        <v>12</v>
      </c>
      <c r="G2025" s="670" t="s">
        <v>2378</v>
      </c>
      <c r="H2025" s="670" t="s">
        <v>2681</v>
      </c>
      <c r="I2025" s="4" t="s">
        <v>2847</v>
      </c>
      <c r="J2025" s="8" t="s">
        <v>14</v>
      </c>
      <c r="K2025" s="9" t="s">
        <v>16</v>
      </c>
      <c r="L2025" s="9" t="s">
        <v>4330</v>
      </c>
      <c r="M2025" s="9" t="s">
        <v>18</v>
      </c>
      <c r="N2025" s="9" t="s">
        <v>19</v>
      </c>
      <c r="O2025" s="9" t="s">
        <v>20</v>
      </c>
      <c r="P2025" s="9" t="s">
        <v>21</v>
      </c>
      <c r="Q2025" s="35"/>
      <c r="R2025" s="35"/>
      <c r="S2025" s="35"/>
      <c r="T2025" s="35"/>
      <c r="U2025" s="35"/>
      <c r="V2025" s="35"/>
      <c r="W2025" s="35"/>
      <c r="X2025" s="35"/>
      <c r="Y2025" s="35"/>
      <c r="Z2025" s="35"/>
      <c r="AA2025" s="35"/>
      <c r="AB2025" s="35"/>
      <c r="AC2025" s="35"/>
      <c r="AD2025" s="35"/>
      <c r="AE2025" s="35"/>
      <c r="AF2025" s="35"/>
    </row>
    <row r="2026" hidden="1">
      <c r="A2026" s="361">
        <v>1.0</v>
      </c>
      <c r="B2026" s="527" t="s">
        <v>7132</v>
      </c>
      <c r="C2026" s="504" t="s">
        <v>80</v>
      </c>
      <c r="D2026" s="504" t="s">
        <v>7133</v>
      </c>
      <c r="E2026" s="526" t="s">
        <v>7134</v>
      </c>
      <c r="F2026" s="504" t="s">
        <v>4405</v>
      </c>
      <c r="G2026" s="282" t="s">
        <v>7135</v>
      </c>
      <c r="H2026" s="495">
        <v>21.0</v>
      </c>
      <c r="I2026" s="355"/>
      <c r="L2026" s="140"/>
      <c r="O2026" s="571">
        <v>46114.0</v>
      </c>
      <c r="P2026" s="385" t="s">
        <v>1432</v>
      </c>
    </row>
    <row r="2027" hidden="1">
      <c r="A2027" s="361">
        <v>2.0</v>
      </c>
      <c r="B2027" s="527" t="s">
        <v>7136</v>
      </c>
      <c r="C2027" s="504" t="s">
        <v>80</v>
      </c>
      <c r="D2027" s="504" t="s">
        <v>7137</v>
      </c>
      <c r="E2027" s="526" t="s">
        <v>7138</v>
      </c>
      <c r="F2027" s="504" t="s">
        <v>7139</v>
      </c>
      <c r="G2027" s="282" t="s">
        <v>6973</v>
      </c>
      <c r="H2027" s="495">
        <v>23.0</v>
      </c>
      <c r="I2027" s="29"/>
      <c r="J2027" s="19"/>
      <c r="K2027" s="19"/>
      <c r="L2027" s="14"/>
      <c r="M2027" s="19"/>
      <c r="N2027" s="19"/>
      <c r="O2027" s="71">
        <v>46205.0</v>
      </c>
      <c r="P2027" s="385" t="s">
        <v>1432</v>
      </c>
    </row>
    <row r="2028" hidden="1">
      <c r="A2028" s="33">
        <v>3.0</v>
      </c>
      <c r="B2028" s="470" t="s">
        <v>7140</v>
      </c>
      <c r="C2028" s="471" t="s">
        <v>80</v>
      </c>
      <c r="D2028" s="342" t="s">
        <v>7141</v>
      </c>
      <c r="E2028" s="471" t="s">
        <v>7142</v>
      </c>
      <c r="F2028" s="471" t="s">
        <v>356</v>
      </c>
      <c r="G2028" s="12" t="s">
        <v>7068</v>
      </c>
      <c r="H2028" s="12">
        <v>20.0</v>
      </c>
      <c r="I2028" s="29"/>
      <c r="J2028" s="34" t="s">
        <v>7143</v>
      </c>
      <c r="K2028" s="148">
        <v>46267.0</v>
      </c>
      <c r="L2028" s="12" t="s">
        <v>51</v>
      </c>
      <c r="M2028" s="19"/>
      <c r="N2028" s="19"/>
      <c r="O2028" s="34" t="s">
        <v>7144</v>
      </c>
      <c r="P2028" s="385" t="s">
        <v>1432</v>
      </c>
    </row>
    <row r="2029" hidden="1">
      <c r="A2029" s="33">
        <v>4.0</v>
      </c>
      <c r="B2029" s="470" t="s">
        <v>7145</v>
      </c>
      <c r="C2029" s="471" t="s">
        <v>80</v>
      </c>
      <c r="D2029" s="342" t="s">
        <v>7146</v>
      </c>
      <c r="E2029" s="625" t="s">
        <v>7147</v>
      </c>
      <c r="F2029" s="471" t="s">
        <v>7148</v>
      </c>
      <c r="G2029" s="12" t="s">
        <v>7068</v>
      </c>
      <c r="H2029" s="12">
        <v>20.0</v>
      </c>
      <c r="I2029" s="29"/>
      <c r="J2029" s="34" t="s">
        <v>7143</v>
      </c>
      <c r="K2029" s="148">
        <v>46328.0</v>
      </c>
      <c r="L2029" s="12" t="s">
        <v>374</v>
      </c>
      <c r="M2029" s="19"/>
      <c r="N2029" s="19"/>
      <c r="O2029" s="34" t="s">
        <v>6916</v>
      </c>
      <c r="P2029" s="385" t="s">
        <v>1432</v>
      </c>
    </row>
    <row r="2030" hidden="1">
      <c r="A2030" s="33">
        <v>5.0</v>
      </c>
      <c r="B2030" s="470" t="s">
        <v>7149</v>
      </c>
      <c r="C2030" s="471" t="s">
        <v>80</v>
      </c>
      <c r="D2030" s="342" t="s">
        <v>7150</v>
      </c>
      <c r="E2030" s="625" t="s">
        <v>7151</v>
      </c>
      <c r="F2030" s="471" t="s">
        <v>7148</v>
      </c>
      <c r="G2030" s="12" t="s">
        <v>7068</v>
      </c>
      <c r="H2030" s="12">
        <v>20.0</v>
      </c>
      <c r="I2030" s="29"/>
      <c r="J2030" s="34" t="s">
        <v>7143</v>
      </c>
      <c r="K2030" s="148">
        <v>46328.0</v>
      </c>
      <c r="L2030" s="12" t="s">
        <v>374</v>
      </c>
      <c r="M2030" s="19"/>
      <c r="N2030" s="19"/>
      <c r="O2030" s="34" t="s">
        <v>6916</v>
      </c>
      <c r="P2030" s="385" t="s">
        <v>1432</v>
      </c>
    </row>
    <row r="2031" hidden="1">
      <c r="A2031" s="33">
        <v>6.0</v>
      </c>
      <c r="B2031" s="470" t="s">
        <v>7152</v>
      </c>
      <c r="C2031" s="471" t="s">
        <v>1185</v>
      </c>
      <c r="D2031" s="342" t="s">
        <v>7153</v>
      </c>
      <c r="E2031" s="471" t="s">
        <v>7154</v>
      </c>
      <c r="F2031" s="471" t="s">
        <v>2098</v>
      </c>
      <c r="G2031" s="12" t="s">
        <v>7135</v>
      </c>
      <c r="H2031" s="12">
        <v>21.0</v>
      </c>
      <c r="I2031" s="29"/>
      <c r="J2031" s="34" t="s">
        <v>7143</v>
      </c>
      <c r="K2031" s="148">
        <v>46267.0</v>
      </c>
      <c r="L2031" s="12" t="s">
        <v>51</v>
      </c>
      <c r="M2031" s="19"/>
      <c r="N2031" s="19"/>
      <c r="O2031" s="34" t="s">
        <v>6916</v>
      </c>
      <c r="P2031" s="385" t="s">
        <v>1432</v>
      </c>
    </row>
    <row r="2032" hidden="1">
      <c r="A2032" s="33">
        <v>7.0</v>
      </c>
      <c r="B2032" s="470" t="s">
        <v>7155</v>
      </c>
      <c r="C2032" s="471" t="s">
        <v>7156</v>
      </c>
      <c r="D2032" s="342" t="s">
        <v>7157</v>
      </c>
      <c r="E2032" s="471" t="s">
        <v>7158</v>
      </c>
      <c r="F2032" s="471" t="s">
        <v>1978</v>
      </c>
      <c r="G2032" s="12" t="s">
        <v>7159</v>
      </c>
      <c r="H2032" s="12">
        <v>22.0</v>
      </c>
      <c r="I2032" s="29"/>
      <c r="J2032" s="34" t="s">
        <v>6998</v>
      </c>
      <c r="K2032" s="148">
        <v>46328.0</v>
      </c>
      <c r="L2032" s="12" t="s">
        <v>51</v>
      </c>
      <c r="M2032" s="19"/>
      <c r="N2032" s="19"/>
      <c r="O2032" s="34" t="s">
        <v>6959</v>
      </c>
      <c r="P2032" s="19"/>
    </row>
    <row r="2033" hidden="1">
      <c r="A2033" s="33">
        <v>8.0</v>
      </c>
      <c r="B2033" s="470" t="s">
        <v>7160</v>
      </c>
      <c r="C2033" s="471" t="s">
        <v>80</v>
      </c>
      <c r="D2033" s="342" t="s">
        <v>7161</v>
      </c>
      <c r="E2033" s="625" t="s">
        <v>7162</v>
      </c>
      <c r="F2033" s="471" t="s">
        <v>5712</v>
      </c>
      <c r="G2033" s="12" t="s">
        <v>7159</v>
      </c>
      <c r="H2033" s="12">
        <v>22.0</v>
      </c>
      <c r="I2033" s="29"/>
      <c r="J2033" s="34" t="s">
        <v>7059</v>
      </c>
      <c r="K2033" s="148">
        <v>46297.0</v>
      </c>
      <c r="L2033" s="12" t="s">
        <v>374</v>
      </c>
      <c r="M2033" s="19"/>
      <c r="N2033" s="19"/>
      <c r="O2033" s="34" t="s">
        <v>7135</v>
      </c>
      <c r="P2033" s="385" t="s">
        <v>1432</v>
      </c>
    </row>
    <row r="2034" hidden="1">
      <c r="A2034" s="33">
        <v>9.0</v>
      </c>
      <c r="B2034" s="470" t="s">
        <v>7163</v>
      </c>
      <c r="C2034" s="471" t="s">
        <v>80</v>
      </c>
      <c r="D2034" s="342" t="s">
        <v>7164</v>
      </c>
      <c r="E2034" s="625" t="s">
        <v>7165</v>
      </c>
      <c r="F2034" s="471" t="s">
        <v>5712</v>
      </c>
      <c r="G2034" s="12" t="s">
        <v>7159</v>
      </c>
      <c r="H2034" s="12">
        <v>22.0</v>
      </c>
      <c r="I2034" s="29"/>
      <c r="J2034" s="34" t="s">
        <v>7059</v>
      </c>
      <c r="K2034" s="148">
        <v>46297.0</v>
      </c>
      <c r="L2034" s="12" t="s">
        <v>374</v>
      </c>
      <c r="M2034" s="19"/>
      <c r="N2034" s="19"/>
      <c r="O2034" s="34" t="s">
        <v>7135</v>
      </c>
      <c r="P2034" s="385" t="s">
        <v>1432</v>
      </c>
    </row>
    <row r="2035" hidden="1">
      <c r="A2035" s="33">
        <v>10.0</v>
      </c>
      <c r="B2035" s="470" t="s">
        <v>7166</v>
      </c>
      <c r="C2035" s="471" t="s">
        <v>1058</v>
      </c>
      <c r="D2035" s="342" t="s">
        <v>7167</v>
      </c>
      <c r="E2035" s="625" t="s">
        <v>7168</v>
      </c>
      <c r="F2035" s="471" t="s">
        <v>7169</v>
      </c>
      <c r="G2035" s="12" t="s">
        <v>7135</v>
      </c>
      <c r="H2035" s="12">
        <v>21.0</v>
      </c>
      <c r="I2035" s="29"/>
      <c r="J2035" s="34" t="s">
        <v>7170</v>
      </c>
      <c r="K2035" s="148">
        <v>46297.0</v>
      </c>
      <c r="L2035" s="12" t="s">
        <v>374</v>
      </c>
      <c r="M2035" s="19"/>
      <c r="N2035" s="19"/>
      <c r="O2035" s="71">
        <v>46084.0</v>
      </c>
      <c r="P2035" s="385" t="s">
        <v>1432</v>
      </c>
    </row>
    <row r="2036" hidden="1">
      <c r="A2036" s="33">
        <v>11.0</v>
      </c>
      <c r="B2036" s="470" t="s">
        <v>7171</v>
      </c>
      <c r="C2036" s="471" t="s">
        <v>1058</v>
      </c>
      <c r="D2036" s="342" t="s">
        <v>7172</v>
      </c>
      <c r="E2036" s="625" t="s">
        <v>7173</v>
      </c>
      <c r="F2036" s="471" t="s">
        <v>7169</v>
      </c>
      <c r="G2036" s="12" t="s">
        <v>7135</v>
      </c>
      <c r="H2036" s="12">
        <v>21.0</v>
      </c>
      <c r="I2036" s="29"/>
      <c r="J2036" s="34" t="s">
        <v>7170</v>
      </c>
      <c r="K2036" s="148">
        <v>46297.0</v>
      </c>
      <c r="L2036" s="12" t="s">
        <v>374</v>
      </c>
      <c r="M2036" s="19"/>
      <c r="N2036" s="19"/>
      <c r="O2036" s="71">
        <v>46084.0</v>
      </c>
      <c r="P2036" s="385" t="s">
        <v>1432</v>
      </c>
    </row>
    <row r="2037" hidden="1">
      <c r="A2037" s="33">
        <v>12.0</v>
      </c>
      <c r="B2037" s="470" t="s">
        <v>7174</v>
      </c>
      <c r="C2037" s="471" t="s">
        <v>688</v>
      </c>
      <c r="D2037" s="342" t="s">
        <v>7175</v>
      </c>
      <c r="E2037" s="471" t="s">
        <v>7176</v>
      </c>
      <c r="F2037" s="471" t="s">
        <v>7177</v>
      </c>
      <c r="G2037" s="164">
        <v>46267.0</v>
      </c>
      <c r="H2037" s="12">
        <v>22.0</v>
      </c>
      <c r="I2037" s="29"/>
      <c r="J2037" s="34" t="s">
        <v>699</v>
      </c>
      <c r="K2037" s="71">
        <v>46205.0</v>
      </c>
      <c r="L2037" s="12" t="s">
        <v>374</v>
      </c>
      <c r="M2037" s="19"/>
      <c r="N2037" s="19"/>
      <c r="O2037" s="148">
        <v>46145.0</v>
      </c>
      <c r="P2037" s="385" t="s">
        <v>1432</v>
      </c>
    </row>
    <row r="2038" hidden="1">
      <c r="A2038" s="33">
        <v>13.0</v>
      </c>
      <c r="B2038" s="470" t="s">
        <v>7178</v>
      </c>
      <c r="C2038" s="471" t="s">
        <v>688</v>
      </c>
      <c r="D2038" s="342" t="s">
        <v>7179</v>
      </c>
      <c r="E2038" s="471" t="s">
        <v>7180</v>
      </c>
      <c r="F2038" s="471" t="s">
        <v>5416</v>
      </c>
      <c r="G2038" s="164">
        <v>46267.0</v>
      </c>
      <c r="H2038" s="12">
        <v>22.0</v>
      </c>
      <c r="I2038" s="29"/>
      <c r="J2038" s="34" t="s">
        <v>699</v>
      </c>
      <c r="K2038" s="71">
        <v>46205.0</v>
      </c>
      <c r="L2038" s="12" t="s">
        <v>374</v>
      </c>
      <c r="M2038" s="19"/>
      <c r="N2038" s="19"/>
      <c r="O2038" s="71">
        <v>46056.0</v>
      </c>
      <c r="P2038" s="19"/>
    </row>
    <row r="2039" hidden="1">
      <c r="A2039" s="33">
        <v>14.0</v>
      </c>
      <c r="B2039" s="470" t="s">
        <v>7181</v>
      </c>
      <c r="C2039" s="471" t="s">
        <v>80</v>
      </c>
      <c r="D2039" s="342" t="s">
        <v>7182</v>
      </c>
      <c r="E2039" s="471" t="s">
        <v>7183</v>
      </c>
      <c r="F2039" s="471" t="s">
        <v>4405</v>
      </c>
      <c r="G2039" s="12" t="s">
        <v>7135</v>
      </c>
      <c r="H2039" s="12">
        <v>21.0</v>
      </c>
      <c r="I2039" s="29"/>
      <c r="J2039" s="34" t="s">
        <v>7059</v>
      </c>
      <c r="K2039" s="148">
        <v>46267.0</v>
      </c>
      <c r="L2039" s="12" t="s">
        <v>51</v>
      </c>
      <c r="M2039" s="19"/>
      <c r="N2039" s="19"/>
      <c r="O2039" s="34" t="s">
        <v>6916</v>
      </c>
      <c r="P2039" s="385" t="s">
        <v>1432</v>
      </c>
    </row>
    <row r="2040" hidden="1">
      <c r="A2040" s="33">
        <v>15.0</v>
      </c>
      <c r="B2040" s="706" t="s">
        <v>7184</v>
      </c>
      <c r="C2040" s="707" t="s">
        <v>80</v>
      </c>
      <c r="D2040" s="342" t="s">
        <v>7185</v>
      </c>
      <c r="E2040" s="707" t="s">
        <v>7186</v>
      </c>
      <c r="F2040" s="471" t="s">
        <v>4666</v>
      </c>
      <c r="G2040" s="12" t="s">
        <v>7135</v>
      </c>
      <c r="H2040" s="12">
        <v>21.0</v>
      </c>
      <c r="I2040" s="29"/>
      <c r="J2040" s="143" t="s">
        <v>7187</v>
      </c>
      <c r="K2040" s="101" t="s">
        <v>7188</v>
      </c>
      <c r="L2040" s="12" t="s">
        <v>374</v>
      </c>
      <c r="M2040" s="19"/>
      <c r="N2040" s="19"/>
      <c r="O2040" s="34" t="s">
        <v>7159</v>
      </c>
      <c r="P2040" s="385" t="s">
        <v>1432</v>
      </c>
    </row>
    <row r="2041" hidden="1">
      <c r="A2041" s="33">
        <v>16.0</v>
      </c>
      <c r="B2041" s="706" t="s">
        <v>7189</v>
      </c>
      <c r="C2041" s="707" t="s">
        <v>80</v>
      </c>
      <c r="D2041" s="342" t="s">
        <v>7190</v>
      </c>
      <c r="E2041" s="707" t="s">
        <v>7191</v>
      </c>
      <c r="F2041" s="471" t="s">
        <v>4666</v>
      </c>
      <c r="G2041" s="12" t="s">
        <v>7192</v>
      </c>
      <c r="H2041" s="12">
        <v>24.0</v>
      </c>
      <c r="I2041" s="29"/>
      <c r="J2041" s="143" t="s">
        <v>6983</v>
      </c>
      <c r="K2041" s="700" t="s">
        <v>7071</v>
      </c>
      <c r="L2041" s="12" t="s">
        <v>374</v>
      </c>
      <c r="M2041" s="19"/>
      <c r="N2041" s="19"/>
      <c r="O2041" s="34" t="s">
        <v>7193</v>
      </c>
      <c r="P2041" s="385" t="s">
        <v>1432</v>
      </c>
    </row>
    <row r="2042" hidden="1">
      <c r="A2042" s="33">
        <v>17.0</v>
      </c>
      <c r="B2042" s="470" t="s">
        <v>7194</v>
      </c>
      <c r="C2042" s="471" t="s">
        <v>1185</v>
      </c>
      <c r="D2042" s="342" t="s">
        <v>7195</v>
      </c>
      <c r="E2042" s="471" t="s">
        <v>7196</v>
      </c>
      <c r="F2042" s="471" t="s">
        <v>356</v>
      </c>
      <c r="G2042" s="12" t="s">
        <v>7192</v>
      </c>
      <c r="H2042" s="12">
        <v>24.0</v>
      </c>
      <c r="I2042" s="29"/>
      <c r="J2042" s="34" t="s">
        <v>7170</v>
      </c>
      <c r="K2042" s="148">
        <v>46297.0</v>
      </c>
      <c r="L2042" s="12" t="s">
        <v>51</v>
      </c>
      <c r="M2042" s="19"/>
      <c r="N2042" s="19"/>
      <c r="O2042" s="148">
        <v>46145.0</v>
      </c>
      <c r="P2042" s="385" t="s">
        <v>1432</v>
      </c>
    </row>
    <row r="2043" hidden="1">
      <c r="A2043" s="33">
        <v>18.0</v>
      </c>
      <c r="B2043" s="470" t="s">
        <v>7197</v>
      </c>
      <c r="C2043" s="471" t="s">
        <v>80</v>
      </c>
      <c r="D2043" s="342" t="s">
        <v>7198</v>
      </c>
      <c r="E2043" s="471" t="s">
        <v>7199</v>
      </c>
      <c r="F2043" s="471" t="s">
        <v>356</v>
      </c>
      <c r="G2043" s="12" t="s">
        <v>7192</v>
      </c>
      <c r="H2043" s="12">
        <v>24.0</v>
      </c>
      <c r="I2043" s="29"/>
      <c r="J2043" s="34" t="s">
        <v>7170</v>
      </c>
      <c r="K2043" s="148">
        <v>46297.0</v>
      </c>
      <c r="L2043" s="12" t="s">
        <v>51</v>
      </c>
      <c r="M2043" s="19"/>
      <c r="N2043" s="19"/>
      <c r="O2043" s="34" t="s">
        <v>6959</v>
      </c>
      <c r="P2043" s="587" t="s">
        <v>1432</v>
      </c>
    </row>
    <row r="2044" hidden="1">
      <c r="A2044" s="33">
        <v>19.0</v>
      </c>
      <c r="B2044" s="470" t="s">
        <v>7200</v>
      </c>
      <c r="C2044" s="471" t="s">
        <v>688</v>
      </c>
      <c r="D2044" s="342" t="s">
        <v>7201</v>
      </c>
      <c r="E2044" s="471" t="s">
        <v>7202</v>
      </c>
      <c r="F2044" s="471" t="s">
        <v>4358</v>
      </c>
      <c r="G2044" s="164">
        <v>46358.0</v>
      </c>
      <c r="H2044" s="12">
        <v>25.0</v>
      </c>
      <c r="I2044" s="29"/>
      <c r="J2044" s="34" t="s">
        <v>699</v>
      </c>
      <c r="K2044" s="71">
        <v>46236.0</v>
      </c>
      <c r="L2044" s="12" t="s">
        <v>374</v>
      </c>
      <c r="M2044" s="19"/>
      <c r="N2044" s="19"/>
      <c r="O2044" s="34" t="s">
        <v>6959</v>
      </c>
      <c r="P2044" s="587" t="s">
        <v>1432</v>
      </c>
    </row>
    <row r="2045" hidden="1">
      <c r="A2045" s="33">
        <v>20.0</v>
      </c>
      <c r="B2045" s="470" t="s">
        <v>7203</v>
      </c>
      <c r="C2045" s="471" t="s">
        <v>80</v>
      </c>
      <c r="D2045" s="342" t="s">
        <v>7204</v>
      </c>
      <c r="E2045" s="625" t="s">
        <v>7205</v>
      </c>
      <c r="F2045" s="471" t="s">
        <v>4666</v>
      </c>
      <c r="G2045" s="12" t="s">
        <v>7206</v>
      </c>
      <c r="H2045" s="12">
        <v>25.0</v>
      </c>
      <c r="I2045" s="29"/>
      <c r="J2045" s="143" t="s">
        <v>6983</v>
      </c>
      <c r="K2045" s="148">
        <v>46358.0</v>
      </c>
      <c r="L2045" s="12" t="s">
        <v>374</v>
      </c>
      <c r="M2045" s="19"/>
      <c r="N2045" s="19"/>
      <c r="O2045" s="71">
        <v>46056.0</v>
      </c>
      <c r="P2045" s="587" t="s">
        <v>1432</v>
      </c>
    </row>
    <row r="2046" hidden="1">
      <c r="A2046" s="33">
        <v>21.0</v>
      </c>
      <c r="B2046" s="470" t="s">
        <v>7207</v>
      </c>
      <c r="C2046" s="471" t="s">
        <v>80</v>
      </c>
      <c r="D2046" s="342" t="s">
        <v>7208</v>
      </c>
      <c r="E2046" s="625" t="s">
        <v>7209</v>
      </c>
      <c r="F2046" s="471" t="s">
        <v>4666</v>
      </c>
      <c r="G2046" s="12" t="s">
        <v>7206</v>
      </c>
      <c r="H2046" s="12">
        <v>25.0</v>
      </c>
      <c r="I2046" s="29"/>
      <c r="J2046" s="143" t="s">
        <v>6983</v>
      </c>
      <c r="K2046" s="148">
        <v>46358.0</v>
      </c>
      <c r="L2046" s="12" t="s">
        <v>374</v>
      </c>
      <c r="M2046" s="19"/>
      <c r="N2046" s="19"/>
      <c r="O2046" s="71">
        <v>46056.0</v>
      </c>
      <c r="P2046" s="587" t="s">
        <v>1432</v>
      </c>
    </row>
    <row r="2047" hidden="1">
      <c r="A2047" s="33">
        <v>22.0</v>
      </c>
      <c r="B2047" s="470" t="s">
        <v>7210</v>
      </c>
      <c r="C2047" s="471" t="s">
        <v>80</v>
      </c>
      <c r="D2047" s="342" t="s">
        <v>7211</v>
      </c>
      <c r="E2047" s="471" t="s">
        <v>7212</v>
      </c>
      <c r="F2047" s="471" t="s">
        <v>172</v>
      </c>
      <c r="G2047" s="12" t="s">
        <v>7206</v>
      </c>
      <c r="H2047" s="12">
        <v>25.0</v>
      </c>
      <c r="I2047" s="29"/>
      <c r="J2047" s="34" t="s">
        <v>7035</v>
      </c>
      <c r="K2047" s="101" t="s">
        <v>6932</v>
      </c>
      <c r="L2047" s="12" t="s">
        <v>51</v>
      </c>
      <c r="M2047" s="19"/>
      <c r="N2047" s="19"/>
      <c r="O2047" s="34" t="s">
        <v>7213</v>
      </c>
      <c r="P2047" s="19"/>
    </row>
    <row r="2048" hidden="1">
      <c r="A2048" s="339" t="s">
        <v>7214</v>
      </c>
      <c r="Q2048" s="35"/>
      <c r="R2048" s="35"/>
      <c r="S2048" s="35"/>
      <c r="T2048" s="35"/>
      <c r="U2048" s="35"/>
      <c r="V2048" s="35"/>
      <c r="W2048" s="35"/>
      <c r="X2048" s="35"/>
      <c r="Y2048" s="35"/>
      <c r="Z2048" s="35"/>
      <c r="AA2048" s="35"/>
      <c r="AB2048" s="35"/>
      <c r="AC2048" s="35"/>
      <c r="AD2048" s="35"/>
      <c r="AE2048" s="35"/>
      <c r="AF2048" s="35"/>
    </row>
    <row r="2049" hidden="1">
      <c r="A2049" s="670" t="s">
        <v>47</v>
      </c>
      <c r="B2049" s="670" t="s">
        <v>7</v>
      </c>
      <c r="C2049" s="670" t="s">
        <v>9</v>
      </c>
      <c r="D2049" s="670" t="s">
        <v>10</v>
      </c>
      <c r="E2049" s="670" t="s">
        <v>11</v>
      </c>
      <c r="F2049" s="670" t="s">
        <v>12</v>
      </c>
      <c r="G2049" s="670" t="s">
        <v>2378</v>
      </c>
      <c r="H2049" s="670" t="s">
        <v>2681</v>
      </c>
      <c r="I2049" s="4" t="s">
        <v>2847</v>
      </c>
      <c r="J2049" s="8" t="s">
        <v>14</v>
      </c>
      <c r="K2049" s="9" t="s">
        <v>16</v>
      </c>
      <c r="L2049" s="9" t="s">
        <v>4330</v>
      </c>
      <c r="M2049" s="9" t="s">
        <v>18</v>
      </c>
      <c r="N2049" s="9" t="s">
        <v>19</v>
      </c>
      <c r="O2049" s="9" t="s">
        <v>20</v>
      </c>
      <c r="P2049" s="9" t="s">
        <v>21</v>
      </c>
      <c r="Q2049" s="355"/>
      <c r="R2049" s="355"/>
      <c r="S2049" s="355"/>
      <c r="T2049" s="355"/>
      <c r="U2049" s="355"/>
      <c r="V2049" s="355"/>
      <c r="W2049" s="355"/>
      <c r="X2049" s="355"/>
      <c r="Y2049" s="355"/>
      <c r="Z2049" s="355"/>
      <c r="AA2049" s="355"/>
      <c r="AB2049" s="355"/>
      <c r="AC2049" s="355"/>
      <c r="AD2049" s="355"/>
      <c r="AE2049" s="355"/>
      <c r="AF2049" s="355"/>
    </row>
    <row r="2050" hidden="1">
      <c r="A2050" s="526">
        <v>1.0</v>
      </c>
      <c r="B2050" s="527" t="s">
        <v>7215</v>
      </c>
      <c r="C2050" s="526" t="s">
        <v>80</v>
      </c>
      <c r="D2050" s="526" t="s">
        <v>7216</v>
      </c>
      <c r="E2050" s="526" t="s">
        <v>7217</v>
      </c>
      <c r="F2050" s="526" t="s">
        <v>718</v>
      </c>
      <c r="G2050" s="526" t="s">
        <v>7218</v>
      </c>
      <c r="H2050" s="526">
        <v>20.0</v>
      </c>
      <c r="I2050" s="495" t="s">
        <v>2890</v>
      </c>
      <c r="L2050" s="140"/>
      <c r="O2050" s="571">
        <v>46297.0</v>
      </c>
      <c r="P2050" s="587" t="s">
        <v>1432</v>
      </c>
    </row>
    <row r="2051" hidden="1">
      <c r="A2051" s="526">
        <v>2.0</v>
      </c>
      <c r="B2051" s="527" t="s">
        <v>7219</v>
      </c>
      <c r="C2051" s="526" t="s">
        <v>80</v>
      </c>
      <c r="D2051" s="526" t="s">
        <v>7220</v>
      </c>
      <c r="E2051" s="526" t="s">
        <v>7221</v>
      </c>
      <c r="F2051" s="526" t="s">
        <v>2120</v>
      </c>
      <c r="G2051" s="526" t="s">
        <v>7222</v>
      </c>
      <c r="H2051" s="526">
        <v>22.0</v>
      </c>
      <c r="I2051" s="495" t="s">
        <v>2890</v>
      </c>
      <c r="L2051" s="140"/>
      <c r="O2051" s="571">
        <v>46297.0</v>
      </c>
      <c r="P2051" s="587" t="s">
        <v>1432</v>
      </c>
    </row>
    <row r="2052" hidden="1">
      <c r="A2052" s="471">
        <v>3.0</v>
      </c>
      <c r="B2052" s="706" t="s">
        <v>7223</v>
      </c>
      <c r="C2052" s="471" t="s">
        <v>80</v>
      </c>
      <c r="D2052" s="471" t="s">
        <v>7224</v>
      </c>
      <c r="E2052" s="593" t="s">
        <v>7225</v>
      </c>
      <c r="F2052" s="471" t="s">
        <v>3928</v>
      </c>
      <c r="G2052" s="471" t="s">
        <v>7226</v>
      </c>
      <c r="H2052" s="471">
        <v>13.0</v>
      </c>
      <c r="I2052" s="12" t="s">
        <v>2890</v>
      </c>
      <c r="J2052" s="19"/>
      <c r="K2052" s="19"/>
      <c r="L2052" s="14"/>
      <c r="M2052" s="19"/>
      <c r="N2052" s="19"/>
      <c r="O2052" s="648">
        <v>46062.0</v>
      </c>
      <c r="P2052" s="19"/>
    </row>
    <row r="2053" hidden="1">
      <c r="A2053" s="471">
        <v>4.0</v>
      </c>
      <c r="B2053" s="470" t="s">
        <v>7227</v>
      </c>
      <c r="C2053" s="471" t="s">
        <v>6368</v>
      </c>
      <c r="D2053" s="471" t="s">
        <v>7228</v>
      </c>
      <c r="E2053" s="471" t="s">
        <v>7229</v>
      </c>
      <c r="F2053" s="471" t="s">
        <v>2490</v>
      </c>
      <c r="G2053" s="647"/>
      <c r="H2053" s="647"/>
      <c r="I2053" s="12" t="s">
        <v>2890</v>
      </c>
      <c r="J2053" s="34" t="s">
        <v>51</v>
      </c>
      <c r="K2053" s="19"/>
      <c r="L2053" s="12" t="s">
        <v>51</v>
      </c>
      <c r="M2053" s="19"/>
      <c r="N2053" s="19"/>
      <c r="O2053" s="71">
        <v>46115.0</v>
      </c>
      <c r="P2053" s="19"/>
    </row>
    <row r="2054" hidden="1">
      <c r="A2054" s="471">
        <v>5.0</v>
      </c>
      <c r="B2054" s="470" t="s">
        <v>7230</v>
      </c>
      <c r="C2054" s="471" t="s">
        <v>80</v>
      </c>
      <c r="D2054" s="471" t="s">
        <v>7231</v>
      </c>
      <c r="E2054" s="471" t="s">
        <v>7232</v>
      </c>
      <c r="F2054" s="471" t="s">
        <v>5416</v>
      </c>
      <c r="G2054" s="471" t="s">
        <v>7222</v>
      </c>
      <c r="H2054" s="471">
        <v>22.0</v>
      </c>
      <c r="I2054" s="12" t="s">
        <v>2890</v>
      </c>
      <c r="J2054" s="143" t="s">
        <v>6983</v>
      </c>
      <c r="K2054" s="148">
        <v>46358.0</v>
      </c>
      <c r="L2054" s="12" t="s">
        <v>51</v>
      </c>
      <c r="M2054" s="19"/>
      <c r="N2054" s="19"/>
      <c r="O2054" s="34" t="s">
        <v>6959</v>
      </c>
      <c r="P2054" s="634" t="s">
        <v>4937</v>
      </c>
    </row>
    <row r="2055" hidden="1">
      <c r="A2055" s="471">
        <v>6.0</v>
      </c>
      <c r="B2055" s="470" t="s">
        <v>7233</v>
      </c>
      <c r="C2055" s="471" t="s">
        <v>80</v>
      </c>
      <c r="D2055" s="471" t="s">
        <v>7234</v>
      </c>
      <c r="E2055" s="471" t="s">
        <v>7235</v>
      </c>
      <c r="F2055" s="471" t="s">
        <v>5416</v>
      </c>
      <c r="G2055" s="471" t="s">
        <v>7222</v>
      </c>
      <c r="H2055" s="471">
        <v>22.0</v>
      </c>
      <c r="I2055" s="12" t="s">
        <v>2890</v>
      </c>
      <c r="J2055" s="143" t="s">
        <v>6983</v>
      </c>
      <c r="K2055" s="148">
        <v>46358.0</v>
      </c>
      <c r="L2055" s="12" t="s">
        <v>51</v>
      </c>
      <c r="M2055" s="19"/>
      <c r="N2055" s="19"/>
      <c r="O2055" s="34" t="s">
        <v>7236</v>
      </c>
      <c r="P2055" s="19"/>
    </row>
    <row r="2056" ht="15.75" hidden="1" customHeight="1">
      <c r="A2056" s="471">
        <v>7.0</v>
      </c>
      <c r="B2056" s="470" t="s">
        <v>7237</v>
      </c>
      <c r="C2056" s="471" t="s">
        <v>80</v>
      </c>
      <c r="D2056" s="471" t="s">
        <v>7238</v>
      </c>
      <c r="E2056" s="471" t="s">
        <v>7239</v>
      </c>
      <c r="F2056" s="471" t="s">
        <v>2638</v>
      </c>
      <c r="G2056" s="471" t="s">
        <v>7240</v>
      </c>
      <c r="H2056" s="471">
        <v>21.0</v>
      </c>
      <c r="I2056" s="12" t="s">
        <v>2890</v>
      </c>
      <c r="J2056" s="34" t="s">
        <v>7241</v>
      </c>
      <c r="K2056" s="101" t="s">
        <v>7071</v>
      </c>
      <c r="L2056" s="12" t="s">
        <v>51</v>
      </c>
      <c r="M2056" s="19"/>
      <c r="N2056" s="19"/>
      <c r="O2056" s="34" t="s">
        <v>7242</v>
      </c>
      <c r="P2056" s="385" t="s">
        <v>1432</v>
      </c>
    </row>
    <row r="2057" hidden="1">
      <c r="A2057" s="471">
        <v>9.0</v>
      </c>
      <c r="B2057" s="470" t="s">
        <v>7243</v>
      </c>
      <c r="C2057" s="471" t="s">
        <v>7244</v>
      </c>
      <c r="D2057" s="471" t="s">
        <v>7245</v>
      </c>
      <c r="E2057" s="613" t="s">
        <v>7246</v>
      </c>
      <c r="F2057" s="471" t="s">
        <v>2638</v>
      </c>
      <c r="G2057" s="708">
        <v>46358.0</v>
      </c>
      <c r="H2057" s="471">
        <v>21.0</v>
      </c>
      <c r="I2057" s="12" t="s">
        <v>2890</v>
      </c>
      <c r="J2057" s="34" t="s">
        <v>7247</v>
      </c>
      <c r="K2057" s="148">
        <v>46267.0</v>
      </c>
      <c r="L2057" s="12" t="s">
        <v>374</v>
      </c>
      <c r="M2057" s="19"/>
      <c r="N2057" s="19"/>
      <c r="O2057" s="34" t="s">
        <v>6372</v>
      </c>
      <c r="P2057" s="587" t="s">
        <v>1432</v>
      </c>
    </row>
    <row r="2058" hidden="1">
      <c r="A2058" s="471">
        <v>8.0</v>
      </c>
      <c r="B2058" s="470" t="s">
        <v>7248</v>
      </c>
      <c r="C2058" s="471" t="s">
        <v>7249</v>
      </c>
      <c r="D2058" s="471" t="s">
        <v>7250</v>
      </c>
      <c r="E2058" s="613" t="s">
        <v>7251</v>
      </c>
      <c r="F2058" s="471" t="s">
        <v>2638</v>
      </c>
      <c r="G2058" s="708">
        <v>46358.0</v>
      </c>
      <c r="H2058" s="471">
        <v>21.0</v>
      </c>
      <c r="I2058" s="12" t="s">
        <v>2890</v>
      </c>
      <c r="J2058" s="34" t="s">
        <v>7247</v>
      </c>
      <c r="K2058" s="148">
        <v>46267.0</v>
      </c>
      <c r="L2058" s="12" t="s">
        <v>374</v>
      </c>
      <c r="M2058" s="19"/>
      <c r="N2058" s="19"/>
      <c r="O2058" s="34" t="s">
        <v>6372</v>
      </c>
      <c r="P2058" s="587" t="s">
        <v>1432</v>
      </c>
    </row>
    <row r="2059" hidden="1">
      <c r="A2059" s="471">
        <v>10.0</v>
      </c>
      <c r="B2059" s="470" t="s">
        <v>7252</v>
      </c>
      <c r="C2059" s="471" t="s">
        <v>1058</v>
      </c>
      <c r="D2059" s="471" t="s">
        <v>7253</v>
      </c>
      <c r="E2059" s="613" t="s">
        <v>7254</v>
      </c>
      <c r="F2059" s="471" t="s">
        <v>7255</v>
      </c>
      <c r="G2059" s="471" t="s">
        <v>7240</v>
      </c>
      <c r="H2059" s="471">
        <v>21.0</v>
      </c>
      <c r="I2059" s="12" t="s">
        <v>2890</v>
      </c>
      <c r="J2059" s="34" t="s">
        <v>6983</v>
      </c>
      <c r="K2059" s="148">
        <v>46328.0</v>
      </c>
      <c r="L2059" s="12" t="s">
        <v>374</v>
      </c>
      <c r="M2059" s="19"/>
      <c r="N2059" s="19"/>
      <c r="O2059" s="34" t="s">
        <v>7236</v>
      </c>
      <c r="P2059" s="587" t="s">
        <v>1432</v>
      </c>
    </row>
    <row r="2060" hidden="1">
      <c r="A2060" s="471">
        <v>11.0</v>
      </c>
      <c r="B2060" s="470" t="s">
        <v>7256</v>
      </c>
      <c r="C2060" s="471" t="s">
        <v>1058</v>
      </c>
      <c r="D2060" s="471" t="s">
        <v>7257</v>
      </c>
      <c r="E2060" s="613" t="s">
        <v>7258</v>
      </c>
      <c r="F2060" s="471" t="s">
        <v>7255</v>
      </c>
      <c r="G2060" s="471" t="s">
        <v>7240</v>
      </c>
      <c r="H2060" s="471">
        <v>21.0</v>
      </c>
      <c r="I2060" s="12" t="s">
        <v>2890</v>
      </c>
      <c r="J2060" s="34" t="s">
        <v>6983</v>
      </c>
      <c r="K2060" s="148">
        <v>46328.0</v>
      </c>
      <c r="L2060" s="12" t="s">
        <v>374</v>
      </c>
      <c r="M2060" s="19"/>
      <c r="N2060" s="19"/>
      <c r="O2060" s="34" t="s">
        <v>7236</v>
      </c>
      <c r="P2060" s="587" t="s">
        <v>1432</v>
      </c>
    </row>
    <row r="2061" hidden="1">
      <c r="A2061" s="471">
        <v>12.0</v>
      </c>
      <c r="B2061" s="470" t="s">
        <v>7259</v>
      </c>
      <c r="C2061" s="471" t="s">
        <v>651</v>
      </c>
      <c r="D2061" s="471" t="s">
        <v>7260</v>
      </c>
      <c r="E2061" s="471" t="s">
        <v>7261</v>
      </c>
      <c r="F2061" s="471" t="s">
        <v>5436</v>
      </c>
      <c r="G2061" s="471" t="s">
        <v>7222</v>
      </c>
      <c r="H2061" s="471">
        <v>22.0</v>
      </c>
      <c r="I2061" s="12" t="s">
        <v>2890</v>
      </c>
      <c r="J2061" s="34" t="s">
        <v>7241</v>
      </c>
      <c r="K2061" s="101" t="s">
        <v>7071</v>
      </c>
      <c r="L2061" s="12" t="s">
        <v>51</v>
      </c>
      <c r="M2061" s="19"/>
      <c r="N2061" s="19"/>
      <c r="O2061" s="34" t="s">
        <v>7159</v>
      </c>
      <c r="P2061" s="587" t="s">
        <v>1432</v>
      </c>
    </row>
    <row r="2062" hidden="1">
      <c r="A2062" s="471">
        <v>13.0</v>
      </c>
      <c r="B2062" s="470" t="s">
        <v>7262</v>
      </c>
      <c r="C2062" s="471" t="s">
        <v>80</v>
      </c>
      <c r="D2062" s="471" t="s">
        <v>7263</v>
      </c>
      <c r="E2062" s="471" t="s">
        <v>7264</v>
      </c>
      <c r="F2062" s="471" t="s">
        <v>356</v>
      </c>
      <c r="G2062" s="471" t="s">
        <v>7222</v>
      </c>
      <c r="H2062" s="471">
        <v>22.0</v>
      </c>
      <c r="I2062" s="12" t="s">
        <v>2890</v>
      </c>
      <c r="J2062" s="143" t="s">
        <v>6983</v>
      </c>
      <c r="K2062" s="101" t="s">
        <v>7071</v>
      </c>
      <c r="L2062" s="12" t="s">
        <v>51</v>
      </c>
      <c r="M2062" s="19"/>
      <c r="N2062" s="19"/>
      <c r="O2062" s="34" t="s">
        <v>7236</v>
      </c>
      <c r="P2062" s="587" t="s">
        <v>1432</v>
      </c>
    </row>
    <row r="2063" hidden="1">
      <c r="A2063" s="471">
        <v>14.0</v>
      </c>
      <c r="B2063" s="470" t="s">
        <v>7265</v>
      </c>
      <c r="C2063" s="471" t="s">
        <v>80</v>
      </c>
      <c r="D2063" s="471" t="s">
        <v>7266</v>
      </c>
      <c r="E2063" s="613" t="s">
        <v>7267</v>
      </c>
      <c r="F2063" s="471" t="s">
        <v>7268</v>
      </c>
      <c r="G2063" s="471" t="s">
        <v>7222</v>
      </c>
      <c r="H2063" s="471">
        <v>22.0</v>
      </c>
      <c r="I2063" s="12" t="s">
        <v>2890</v>
      </c>
      <c r="J2063" s="34" t="s">
        <v>7269</v>
      </c>
      <c r="K2063" s="148">
        <v>46358.0</v>
      </c>
      <c r="L2063" s="12" t="s">
        <v>374</v>
      </c>
      <c r="M2063" s="19"/>
      <c r="N2063" s="19"/>
      <c r="O2063" s="34" t="s">
        <v>7270</v>
      </c>
      <c r="P2063" s="407" t="s">
        <v>1798</v>
      </c>
    </row>
    <row r="2064" hidden="1">
      <c r="A2064" s="471">
        <v>15.0</v>
      </c>
      <c r="B2064" s="470" t="s">
        <v>7271</v>
      </c>
      <c r="C2064" s="471" t="s">
        <v>80</v>
      </c>
      <c r="D2064" s="471" t="s">
        <v>7272</v>
      </c>
      <c r="E2064" s="613" t="s">
        <v>7273</v>
      </c>
      <c r="F2064" s="471" t="s">
        <v>7268</v>
      </c>
      <c r="G2064" s="471" t="s">
        <v>7222</v>
      </c>
      <c r="H2064" s="471">
        <v>22.0</v>
      </c>
      <c r="I2064" s="12" t="s">
        <v>2890</v>
      </c>
      <c r="J2064" s="34" t="s">
        <v>7269</v>
      </c>
      <c r="K2064" s="148">
        <v>46358.0</v>
      </c>
      <c r="L2064" s="12" t="s">
        <v>374</v>
      </c>
      <c r="M2064" s="19"/>
      <c r="N2064" s="19"/>
      <c r="O2064" s="34" t="s">
        <v>7270</v>
      </c>
      <c r="P2064" s="407" t="s">
        <v>1798</v>
      </c>
    </row>
    <row r="2065" hidden="1">
      <c r="A2065" s="471">
        <v>16.0</v>
      </c>
      <c r="B2065" s="470" t="s">
        <v>7274</v>
      </c>
      <c r="C2065" s="471" t="s">
        <v>1769</v>
      </c>
      <c r="D2065" s="471" t="s">
        <v>7275</v>
      </c>
      <c r="E2065" s="613" t="s">
        <v>7276</v>
      </c>
      <c r="F2065" s="471" t="s">
        <v>436</v>
      </c>
      <c r="G2065" s="471" t="s">
        <v>7222</v>
      </c>
      <c r="H2065" s="471">
        <v>22.0</v>
      </c>
      <c r="I2065" s="12" t="s">
        <v>2890</v>
      </c>
      <c r="J2065" s="34" t="s">
        <v>7269</v>
      </c>
      <c r="K2065" s="148">
        <v>46358.0</v>
      </c>
      <c r="L2065" s="12" t="s">
        <v>374</v>
      </c>
      <c r="M2065" s="19"/>
      <c r="N2065" s="19"/>
      <c r="O2065" s="34" t="s">
        <v>7270</v>
      </c>
      <c r="P2065" s="385" t="s">
        <v>1432</v>
      </c>
    </row>
    <row r="2066" hidden="1">
      <c r="A2066" s="471">
        <v>17.0</v>
      </c>
      <c r="B2066" s="470" t="s">
        <v>7277</v>
      </c>
      <c r="C2066" s="471" t="s">
        <v>1769</v>
      </c>
      <c r="D2066" s="471" t="s">
        <v>7278</v>
      </c>
      <c r="E2066" s="613" t="s">
        <v>7279</v>
      </c>
      <c r="F2066" s="471" t="s">
        <v>436</v>
      </c>
      <c r="G2066" s="471" t="s">
        <v>7222</v>
      </c>
      <c r="H2066" s="471">
        <v>22.0</v>
      </c>
      <c r="I2066" s="12" t="s">
        <v>2890</v>
      </c>
      <c r="J2066" s="34" t="s">
        <v>7269</v>
      </c>
      <c r="K2066" s="148">
        <v>46358.0</v>
      </c>
      <c r="L2066" s="12" t="s">
        <v>374</v>
      </c>
      <c r="M2066" s="19"/>
      <c r="N2066" s="19"/>
      <c r="O2066" s="34" t="s">
        <v>7270</v>
      </c>
      <c r="P2066" s="385" t="s">
        <v>1432</v>
      </c>
    </row>
    <row r="2067" hidden="1">
      <c r="A2067" s="471">
        <v>18.0</v>
      </c>
      <c r="B2067" s="470" t="s">
        <v>7280</v>
      </c>
      <c r="C2067" s="471" t="s">
        <v>80</v>
      </c>
      <c r="D2067" s="471" t="s">
        <v>7281</v>
      </c>
      <c r="E2067" s="471" t="s">
        <v>7282</v>
      </c>
      <c r="F2067" s="471" t="s">
        <v>4405</v>
      </c>
      <c r="G2067" s="471" t="s">
        <v>7222</v>
      </c>
      <c r="H2067" s="471">
        <v>22.0</v>
      </c>
      <c r="I2067" s="12" t="s">
        <v>2890</v>
      </c>
      <c r="J2067" s="34" t="s">
        <v>7269</v>
      </c>
      <c r="K2067" s="148">
        <v>46358.0</v>
      </c>
      <c r="L2067" s="12" t="s">
        <v>51</v>
      </c>
      <c r="M2067" s="19"/>
      <c r="N2067" s="19"/>
      <c r="O2067" s="34" t="s">
        <v>7283</v>
      </c>
      <c r="P2067" s="587" t="s">
        <v>1432</v>
      </c>
    </row>
    <row r="2068" hidden="1">
      <c r="A2068" s="471">
        <v>19.0</v>
      </c>
      <c r="B2068" s="470" t="s">
        <v>7284</v>
      </c>
      <c r="C2068" s="471" t="s">
        <v>80</v>
      </c>
      <c r="D2068" s="471" t="s">
        <v>7285</v>
      </c>
      <c r="E2068" s="471" t="s">
        <v>7286</v>
      </c>
      <c r="F2068" s="471" t="s">
        <v>7287</v>
      </c>
      <c r="G2068" s="471" t="s">
        <v>7222</v>
      </c>
      <c r="H2068" s="471">
        <v>22.0</v>
      </c>
      <c r="I2068" s="12" t="s">
        <v>2890</v>
      </c>
      <c r="J2068" s="34" t="s">
        <v>7288</v>
      </c>
      <c r="K2068" s="101" t="s">
        <v>6932</v>
      </c>
      <c r="L2068" s="12" t="s">
        <v>374</v>
      </c>
      <c r="M2068" s="19"/>
      <c r="N2068" s="19"/>
      <c r="O2068" s="34" t="s">
        <v>6959</v>
      </c>
      <c r="P2068" s="587" t="s">
        <v>1432</v>
      </c>
    </row>
    <row r="2069" hidden="1">
      <c r="A2069" s="471">
        <v>20.0</v>
      </c>
      <c r="B2069" s="470" t="s">
        <v>7289</v>
      </c>
      <c r="C2069" s="471" t="s">
        <v>80</v>
      </c>
      <c r="D2069" s="471" t="s">
        <v>7290</v>
      </c>
      <c r="E2069" s="709" t="s">
        <v>7291</v>
      </c>
      <c r="F2069" s="471" t="s">
        <v>7292</v>
      </c>
      <c r="G2069" s="708">
        <v>46025.0</v>
      </c>
      <c r="H2069" s="471">
        <v>23.0</v>
      </c>
      <c r="I2069" s="12" t="s">
        <v>2890</v>
      </c>
      <c r="J2069" s="34" t="s">
        <v>7035</v>
      </c>
      <c r="K2069" s="101" t="s">
        <v>7188</v>
      </c>
      <c r="L2069" s="12" t="s">
        <v>374</v>
      </c>
      <c r="M2069" s="19"/>
      <c r="N2069" s="19"/>
      <c r="O2069" s="34" t="s">
        <v>6959</v>
      </c>
      <c r="P2069" s="19"/>
    </row>
    <row r="2070" hidden="1">
      <c r="A2070" s="471">
        <v>21.0</v>
      </c>
      <c r="B2070" s="470" t="s">
        <v>7293</v>
      </c>
      <c r="C2070" s="471" t="s">
        <v>80</v>
      </c>
      <c r="D2070" s="471" t="s">
        <v>7294</v>
      </c>
      <c r="E2070" s="593" t="s">
        <v>7295</v>
      </c>
      <c r="F2070" s="471" t="s">
        <v>3928</v>
      </c>
      <c r="G2070" s="471" t="s">
        <v>7226</v>
      </c>
      <c r="H2070" s="471">
        <v>13.0</v>
      </c>
      <c r="I2070" s="12" t="s">
        <v>2890</v>
      </c>
      <c r="J2070" s="34" t="s">
        <v>3099</v>
      </c>
      <c r="K2070" s="19"/>
      <c r="L2070" s="14"/>
      <c r="M2070" s="19"/>
      <c r="N2070" s="19"/>
      <c r="O2070" s="648">
        <v>46070.0</v>
      </c>
      <c r="P2070" s="19"/>
    </row>
    <row r="2071" hidden="1">
      <c r="A2071" s="471">
        <v>22.0</v>
      </c>
      <c r="B2071" s="470" t="s">
        <v>7296</v>
      </c>
      <c r="C2071" s="471" t="s">
        <v>80</v>
      </c>
      <c r="D2071" s="471" t="s">
        <v>7297</v>
      </c>
      <c r="E2071" s="593" t="s">
        <v>7298</v>
      </c>
      <c r="F2071" s="471" t="s">
        <v>3928</v>
      </c>
      <c r="G2071" s="471" t="s">
        <v>7226</v>
      </c>
      <c r="H2071" s="471">
        <v>13.0</v>
      </c>
      <c r="I2071" s="12" t="s">
        <v>2890</v>
      </c>
      <c r="J2071" s="19"/>
      <c r="K2071" s="19"/>
      <c r="L2071" s="14"/>
      <c r="M2071" s="19"/>
      <c r="N2071" s="19"/>
      <c r="O2071" s="648">
        <v>46070.0</v>
      </c>
      <c r="P2071" s="19"/>
    </row>
    <row r="2072" hidden="1">
      <c r="A2072" s="471">
        <v>23.0</v>
      </c>
      <c r="B2072" s="470" t="s">
        <v>7299</v>
      </c>
      <c r="C2072" s="471" t="s">
        <v>80</v>
      </c>
      <c r="D2072" s="471" t="s">
        <v>7300</v>
      </c>
      <c r="E2072" s="593" t="s">
        <v>7301</v>
      </c>
      <c r="F2072" s="471" t="s">
        <v>3928</v>
      </c>
      <c r="G2072" s="471" t="s">
        <v>7226</v>
      </c>
      <c r="H2072" s="471">
        <v>13.0</v>
      </c>
      <c r="I2072" s="12" t="s">
        <v>2890</v>
      </c>
      <c r="J2072" s="19"/>
      <c r="K2072" s="19"/>
      <c r="L2072" s="14"/>
      <c r="M2072" s="19"/>
      <c r="N2072" s="19"/>
      <c r="O2072" s="648">
        <v>46070.0</v>
      </c>
      <c r="P2072" s="19"/>
    </row>
    <row r="2073" hidden="1">
      <c r="A2073" s="471">
        <v>24.0</v>
      </c>
      <c r="B2073" s="470" t="s">
        <v>7302</v>
      </c>
      <c r="C2073" s="471" t="s">
        <v>80</v>
      </c>
      <c r="D2073" s="471" t="s">
        <v>7303</v>
      </c>
      <c r="E2073" s="471" t="s">
        <v>7304</v>
      </c>
      <c r="F2073" s="471" t="s">
        <v>4405</v>
      </c>
      <c r="G2073" s="708">
        <v>46025.0</v>
      </c>
      <c r="H2073" s="471">
        <v>23.0</v>
      </c>
      <c r="I2073" s="12" t="s">
        <v>2890</v>
      </c>
      <c r="J2073" s="34" t="s">
        <v>7269</v>
      </c>
      <c r="K2073" s="148">
        <v>46358.0</v>
      </c>
      <c r="L2073" s="12" t="s">
        <v>51</v>
      </c>
      <c r="M2073" s="19"/>
      <c r="N2073" s="19"/>
      <c r="O2073" s="34" t="s">
        <v>6967</v>
      </c>
      <c r="P2073" s="587" t="s">
        <v>1432</v>
      </c>
    </row>
    <row r="2074" hidden="1">
      <c r="A2074" s="471">
        <v>25.0</v>
      </c>
      <c r="B2074" s="710" t="s">
        <v>7305</v>
      </c>
      <c r="C2074" s="471" t="s">
        <v>80</v>
      </c>
      <c r="D2074" s="471" t="s">
        <v>7306</v>
      </c>
      <c r="E2074" s="471" t="s">
        <v>7307</v>
      </c>
      <c r="F2074" s="471" t="s">
        <v>5712</v>
      </c>
      <c r="G2074" s="708">
        <v>46025.0</v>
      </c>
      <c r="H2074" s="471">
        <v>23.0</v>
      </c>
      <c r="I2074" s="12" t="s">
        <v>2890</v>
      </c>
      <c r="J2074" s="34" t="s">
        <v>2065</v>
      </c>
      <c r="K2074" s="19"/>
      <c r="L2074" s="12" t="s">
        <v>51</v>
      </c>
      <c r="M2074" s="19"/>
      <c r="N2074" s="34" t="s">
        <v>7308</v>
      </c>
      <c r="O2074" s="148">
        <v>46115.0</v>
      </c>
      <c r="P2074" s="19"/>
    </row>
    <row r="2075" hidden="1">
      <c r="A2075" s="471">
        <v>26.0</v>
      </c>
      <c r="B2075" s="470" t="s">
        <v>7309</v>
      </c>
      <c r="C2075" s="471" t="s">
        <v>80</v>
      </c>
      <c r="D2075" s="471" t="s">
        <v>7310</v>
      </c>
      <c r="E2075" s="593" t="s">
        <v>7311</v>
      </c>
      <c r="F2075" s="471" t="s">
        <v>7312</v>
      </c>
      <c r="G2075" s="471" t="s">
        <v>7313</v>
      </c>
      <c r="H2075" s="471">
        <v>14.0</v>
      </c>
      <c r="I2075" s="12" t="s">
        <v>2890</v>
      </c>
      <c r="J2075" s="34" t="s">
        <v>3099</v>
      </c>
      <c r="K2075" s="34" t="s">
        <v>6372</v>
      </c>
      <c r="L2075" s="14"/>
      <c r="M2075" s="19"/>
      <c r="N2075" s="19"/>
      <c r="O2075" s="648">
        <v>46073.0</v>
      </c>
      <c r="P2075" s="19"/>
    </row>
    <row r="2076" hidden="1">
      <c r="A2076" s="471">
        <v>27.0</v>
      </c>
      <c r="B2076" s="470" t="s">
        <v>7314</v>
      </c>
      <c r="C2076" s="471" t="s">
        <v>80</v>
      </c>
      <c r="D2076" s="471" t="s">
        <v>7315</v>
      </c>
      <c r="E2076" s="593" t="s">
        <v>7311</v>
      </c>
      <c r="F2076" s="471" t="s">
        <v>7312</v>
      </c>
      <c r="G2076" s="471" t="s">
        <v>7313</v>
      </c>
      <c r="H2076" s="471">
        <v>14.0</v>
      </c>
      <c r="I2076" s="12" t="s">
        <v>2890</v>
      </c>
      <c r="J2076" s="34" t="s">
        <v>3099</v>
      </c>
      <c r="K2076" s="34" t="s">
        <v>6932</v>
      </c>
      <c r="L2076" s="14"/>
      <c r="M2076" s="19"/>
      <c r="N2076" s="19"/>
      <c r="O2076" s="648">
        <v>46073.0</v>
      </c>
      <c r="P2076" s="19"/>
    </row>
    <row r="2077" hidden="1">
      <c r="A2077" s="471">
        <v>28.0</v>
      </c>
      <c r="B2077" s="470" t="s">
        <v>7316</v>
      </c>
      <c r="C2077" s="471" t="s">
        <v>80</v>
      </c>
      <c r="D2077" s="471" t="s">
        <v>7317</v>
      </c>
      <c r="E2077" s="593" t="s">
        <v>7311</v>
      </c>
      <c r="F2077" s="471" t="s">
        <v>7312</v>
      </c>
      <c r="G2077" s="471" t="s">
        <v>7313</v>
      </c>
      <c r="H2077" s="471">
        <v>14.0</v>
      </c>
      <c r="I2077" s="12" t="s">
        <v>2890</v>
      </c>
      <c r="J2077" s="34" t="s">
        <v>3099</v>
      </c>
      <c r="K2077" s="34" t="s">
        <v>6932</v>
      </c>
      <c r="L2077" s="14"/>
      <c r="M2077" s="19"/>
      <c r="N2077" s="19"/>
      <c r="O2077" s="648">
        <v>46073.0</v>
      </c>
      <c r="P2077" s="19"/>
    </row>
    <row r="2078" hidden="1">
      <c r="A2078" s="471">
        <v>29.0</v>
      </c>
      <c r="B2078" s="470" t="s">
        <v>7318</v>
      </c>
      <c r="C2078" s="471" t="s">
        <v>80</v>
      </c>
      <c r="D2078" s="471" t="s">
        <v>7319</v>
      </c>
      <c r="E2078" s="593" t="s">
        <v>7311</v>
      </c>
      <c r="F2078" s="471" t="s">
        <v>7312</v>
      </c>
      <c r="G2078" s="471" t="s">
        <v>7313</v>
      </c>
      <c r="H2078" s="471">
        <v>14.0</v>
      </c>
      <c r="I2078" s="12" t="s">
        <v>2890</v>
      </c>
      <c r="J2078" s="34" t="s">
        <v>3099</v>
      </c>
      <c r="K2078" s="34" t="s">
        <v>6372</v>
      </c>
      <c r="L2078" s="14"/>
      <c r="M2078" s="19"/>
      <c r="N2078" s="19"/>
      <c r="O2078" s="648">
        <v>46073.0</v>
      </c>
      <c r="P2078" s="19"/>
    </row>
    <row r="2079" hidden="1">
      <c r="A2079" s="471">
        <v>30.0</v>
      </c>
      <c r="B2079" s="470" t="s">
        <v>7320</v>
      </c>
      <c r="C2079" s="471" t="s">
        <v>1185</v>
      </c>
      <c r="D2079" s="471" t="s">
        <v>7321</v>
      </c>
      <c r="E2079" s="593" t="s">
        <v>7322</v>
      </c>
      <c r="F2079" s="471" t="s">
        <v>3583</v>
      </c>
      <c r="G2079" s="708">
        <v>46056.0</v>
      </c>
      <c r="H2079" s="471">
        <v>24.0</v>
      </c>
      <c r="I2079" s="12" t="s">
        <v>2890</v>
      </c>
      <c r="J2079" s="19"/>
      <c r="K2079" s="19"/>
      <c r="L2079" s="14"/>
      <c r="M2079" s="19"/>
      <c r="N2079" s="19"/>
      <c r="O2079" s="648">
        <v>46077.0</v>
      </c>
      <c r="P2079" s="19"/>
    </row>
    <row r="2080" hidden="1">
      <c r="A2080" s="471">
        <v>31.0</v>
      </c>
      <c r="B2080" s="621" t="s">
        <v>7323</v>
      </c>
      <c r="C2080" s="471" t="s">
        <v>80</v>
      </c>
      <c r="D2080" s="471" t="s">
        <v>7324</v>
      </c>
      <c r="E2080" s="471" t="s">
        <v>7325</v>
      </c>
      <c r="F2080" s="471" t="s">
        <v>4358</v>
      </c>
      <c r="G2080" s="708">
        <v>46056.0</v>
      </c>
      <c r="H2080" s="471">
        <v>24.0</v>
      </c>
      <c r="I2080" s="12" t="s">
        <v>2890</v>
      </c>
      <c r="J2080" s="34" t="s">
        <v>7326</v>
      </c>
      <c r="K2080" s="34" t="s">
        <v>7036</v>
      </c>
      <c r="L2080" s="12" t="s">
        <v>4195</v>
      </c>
      <c r="M2080" s="19"/>
      <c r="N2080" s="19"/>
      <c r="O2080" s="148">
        <v>46085.0</v>
      </c>
      <c r="P2080" s="385" t="s">
        <v>1432</v>
      </c>
    </row>
    <row r="2081" hidden="1">
      <c r="A2081" s="471">
        <v>32.0</v>
      </c>
      <c r="B2081" s="470" t="s">
        <v>7327</v>
      </c>
      <c r="C2081" s="471" t="s">
        <v>80</v>
      </c>
      <c r="D2081" s="471" t="s">
        <v>7328</v>
      </c>
      <c r="E2081" s="709" t="s">
        <v>7329</v>
      </c>
      <c r="F2081" s="471" t="s">
        <v>7292</v>
      </c>
      <c r="G2081" s="708">
        <v>46025.0</v>
      </c>
      <c r="H2081" s="471">
        <v>23.0</v>
      </c>
      <c r="I2081" s="12" t="s">
        <v>2890</v>
      </c>
      <c r="J2081" s="34" t="s">
        <v>7035</v>
      </c>
      <c r="K2081" s="129" t="s">
        <v>7188</v>
      </c>
      <c r="L2081" s="12" t="s">
        <v>374</v>
      </c>
      <c r="M2081" s="19"/>
      <c r="N2081" s="19"/>
      <c r="O2081" s="34" t="s">
        <v>6959</v>
      </c>
      <c r="P2081" s="19"/>
    </row>
    <row r="2082" hidden="1">
      <c r="L2082" s="140"/>
      <c r="Q2082" s="35"/>
      <c r="R2082" s="35"/>
      <c r="S2082" s="35"/>
      <c r="T2082" s="35"/>
      <c r="U2082" s="35"/>
      <c r="V2082" s="35"/>
      <c r="W2082" s="35"/>
      <c r="X2082" s="35"/>
      <c r="Y2082" s="35"/>
      <c r="Z2082" s="35"/>
      <c r="AA2082" s="35"/>
      <c r="AB2082" s="35"/>
      <c r="AC2082" s="35"/>
      <c r="AD2082" s="35"/>
      <c r="AE2082" s="35"/>
      <c r="AF2082" s="35"/>
    </row>
    <row r="2083" hidden="1">
      <c r="A2083" s="339" t="s">
        <v>7330</v>
      </c>
      <c r="Q2083" s="35"/>
      <c r="R2083" s="35"/>
      <c r="S2083" s="35"/>
      <c r="T2083" s="35"/>
      <c r="U2083" s="35"/>
      <c r="V2083" s="35"/>
      <c r="W2083" s="35"/>
      <c r="X2083" s="35"/>
      <c r="Y2083" s="35"/>
      <c r="Z2083" s="35"/>
      <c r="AA2083" s="35"/>
      <c r="AB2083" s="35"/>
      <c r="AC2083" s="35"/>
      <c r="AD2083" s="35"/>
      <c r="AE2083" s="35"/>
      <c r="AF2083" s="35"/>
    </row>
    <row r="2084" hidden="1">
      <c r="A2084" s="670" t="s">
        <v>47</v>
      </c>
      <c r="B2084" s="670" t="s">
        <v>7</v>
      </c>
      <c r="C2084" s="670" t="s">
        <v>9</v>
      </c>
      <c r="D2084" s="670" t="s">
        <v>10</v>
      </c>
      <c r="E2084" s="670" t="s">
        <v>11</v>
      </c>
      <c r="F2084" s="670" t="s">
        <v>12</v>
      </c>
      <c r="G2084" s="670" t="s">
        <v>2378</v>
      </c>
      <c r="H2084" s="670" t="s">
        <v>2681</v>
      </c>
      <c r="I2084" s="4" t="s">
        <v>2847</v>
      </c>
      <c r="J2084" s="8" t="s">
        <v>14</v>
      </c>
      <c r="K2084" s="9" t="s">
        <v>16</v>
      </c>
      <c r="L2084" s="9" t="s">
        <v>4330</v>
      </c>
      <c r="M2084" s="9" t="s">
        <v>18</v>
      </c>
      <c r="N2084" s="9" t="s">
        <v>19</v>
      </c>
      <c r="O2084" s="9" t="s">
        <v>20</v>
      </c>
      <c r="P2084" s="9" t="s">
        <v>21</v>
      </c>
      <c r="Q2084" s="355"/>
      <c r="R2084" s="355"/>
      <c r="S2084" s="355"/>
      <c r="T2084" s="355"/>
      <c r="U2084" s="355"/>
      <c r="V2084" s="355"/>
      <c r="W2084" s="355"/>
      <c r="X2084" s="355"/>
      <c r="Y2084" s="355"/>
      <c r="Z2084" s="355"/>
      <c r="AA2084" s="355"/>
      <c r="AB2084" s="355"/>
      <c r="AC2084" s="355"/>
      <c r="AD2084" s="355"/>
      <c r="AE2084" s="355"/>
      <c r="AF2084" s="355"/>
    </row>
    <row r="2085" hidden="1">
      <c r="A2085" s="471">
        <v>1.0</v>
      </c>
      <c r="B2085" s="470" t="s">
        <v>7331</v>
      </c>
      <c r="C2085" s="471" t="s">
        <v>1185</v>
      </c>
      <c r="D2085" s="471" t="s">
        <v>7332</v>
      </c>
      <c r="E2085" s="471" t="s">
        <v>7333</v>
      </c>
      <c r="F2085" s="471" t="s">
        <v>2098</v>
      </c>
      <c r="G2085" s="390">
        <v>46025.0</v>
      </c>
      <c r="H2085" s="33">
        <v>20.0</v>
      </c>
      <c r="I2085" s="472" t="s">
        <v>2890</v>
      </c>
      <c r="J2085" s="34" t="s">
        <v>7241</v>
      </c>
      <c r="K2085" s="34" t="s">
        <v>7071</v>
      </c>
      <c r="L2085" s="12" t="s">
        <v>51</v>
      </c>
      <c r="M2085" s="19"/>
      <c r="N2085" s="19"/>
      <c r="O2085" s="71">
        <v>46084.0</v>
      </c>
      <c r="P2085" s="587" t="s">
        <v>1432</v>
      </c>
    </row>
    <row r="2086" hidden="1">
      <c r="A2086" s="471">
        <v>2.0</v>
      </c>
      <c r="B2086" s="470" t="s">
        <v>7334</v>
      </c>
      <c r="C2086" s="471" t="s">
        <v>1185</v>
      </c>
      <c r="D2086" s="471" t="s">
        <v>7335</v>
      </c>
      <c r="E2086" s="471" t="s">
        <v>7336</v>
      </c>
      <c r="F2086" s="471" t="s">
        <v>2098</v>
      </c>
      <c r="G2086" s="390">
        <v>46025.0</v>
      </c>
      <c r="H2086" s="33">
        <v>20.0</v>
      </c>
      <c r="I2086" s="522" t="s">
        <v>3231</v>
      </c>
      <c r="J2086" s="34" t="s">
        <v>7241</v>
      </c>
      <c r="K2086" s="34" t="s">
        <v>7337</v>
      </c>
      <c r="L2086" s="12" t="s">
        <v>51</v>
      </c>
      <c r="M2086" s="19"/>
      <c r="N2086" s="19"/>
      <c r="O2086" s="34" t="s">
        <v>7338</v>
      </c>
      <c r="P2086" s="587" t="s">
        <v>1432</v>
      </c>
    </row>
    <row r="2087" hidden="1">
      <c r="A2087" s="471">
        <v>3.0</v>
      </c>
      <c r="B2087" s="470" t="s">
        <v>7339</v>
      </c>
      <c r="C2087" s="471" t="s">
        <v>1185</v>
      </c>
      <c r="D2087" s="471" t="s">
        <v>7340</v>
      </c>
      <c r="E2087" s="471" t="s">
        <v>7341</v>
      </c>
      <c r="F2087" s="471" t="s">
        <v>2098</v>
      </c>
      <c r="G2087" s="390">
        <v>46056.0</v>
      </c>
      <c r="H2087" s="33">
        <v>21.0</v>
      </c>
      <c r="I2087" s="522" t="s">
        <v>4698</v>
      </c>
      <c r="J2087" s="34" t="s">
        <v>7241</v>
      </c>
      <c r="K2087" s="34" t="s">
        <v>7337</v>
      </c>
      <c r="L2087" s="12" t="s">
        <v>51</v>
      </c>
      <c r="M2087" s="19"/>
      <c r="N2087" s="19"/>
      <c r="O2087" s="71">
        <v>46056.0</v>
      </c>
      <c r="P2087" s="587" t="s">
        <v>1432</v>
      </c>
    </row>
    <row r="2088" hidden="1">
      <c r="A2088" s="471">
        <v>4.0</v>
      </c>
      <c r="B2088" s="470" t="s">
        <v>7342</v>
      </c>
      <c r="C2088" s="471" t="s">
        <v>1185</v>
      </c>
      <c r="D2088" s="471" t="s">
        <v>7343</v>
      </c>
      <c r="E2088" s="471" t="s">
        <v>7344</v>
      </c>
      <c r="F2088" s="471" t="s">
        <v>2098</v>
      </c>
      <c r="G2088" s="390">
        <v>46056.0</v>
      </c>
      <c r="H2088" s="33">
        <v>21.0</v>
      </c>
      <c r="I2088" s="472" t="s">
        <v>2890</v>
      </c>
      <c r="J2088" s="34" t="s">
        <v>7345</v>
      </c>
      <c r="K2088" s="34" t="s">
        <v>7071</v>
      </c>
      <c r="L2088" s="12" t="s">
        <v>4195</v>
      </c>
      <c r="M2088" s="19"/>
      <c r="N2088" s="19"/>
      <c r="O2088" s="34" t="s">
        <v>7346</v>
      </c>
      <c r="P2088" s="587" t="s">
        <v>1432</v>
      </c>
    </row>
    <row r="2089" hidden="1">
      <c r="A2089" s="471">
        <v>5.0</v>
      </c>
      <c r="B2089" s="470" t="s">
        <v>7347</v>
      </c>
      <c r="C2089" s="471" t="s">
        <v>1185</v>
      </c>
      <c r="D2089" s="471" t="s">
        <v>7348</v>
      </c>
      <c r="E2089" s="471" t="s">
        <v>7349</v>
      </c>
      <c r="F2089" s="471" t="s">
        <v>2098</v>
      </c>
      <c r="G2089" s="390">
        <v>46025.0</v>
      </c>
      <c r="H2089" s="33">
        <v>20.0</v>
      </c>
      <c r="I2089" s="472" t="s">
        <v>2890</v>
      </c>
      <c r="J2089" s="34" t="s">
        <v>7345</v>
      </c>
      <c r="K2089" s="34" t="s">
        <v>7071</v>
      </c>
      <c r="L2089" s="12" t="s">
        <v>374</v>
      </c>
      <c r="M2089" s="19"/>
      <c r="N2089" s="19"/>
      <c r="O2089" s="71">
        <v>46056.0</v>
      </c>
      <c r="P2089" s="587" t="s">
        <v>1432</v>
      </c>
    </row>
    <row r="2090" hidden="1">
      <c r="A2090" s="471">
        <v>6.0</v>
      </c>
      <c r="B2090" s="470" t="s">
        <v>7350</v>
      </c>
      <c r="C2090" s="471" t="s">
        <v>1185</v>
      </c>
      <c r="D2090" s="471" t="s">
        <v>7351</v>
      </c>
      <c r="E2090" s="471" t="s">
        <v>7352</v>
      </c>
      <c r="F2090" s="471" t="s">
        <v>2098</v>
      </c>
      <c r="G2090" s="390">
        <v>46025.0</v>
      </c>
      <c r="H2090" s="33">
        <v>20.0</v>
      </c>
      <c r="I2090" s="472" t="s">
        <v>2890</v>
      </c>
      <c r="J2090" s="34" t="s">
        <v>7288</v>
      </c>
      <c r="K2090" s="34" t="s">
        <v>6932</v>
      </c>
      <c r="L2090" s="12" t="s">
        <v>4195</v>
      </c>
      <c r="M2090" s="19"/>
      <c r="N2090" s="19"/>
      <c r="O2090" s="34" t="s">
        <v>7242</v>
      </c>
      <c r="P2090" s="587" t="s">
        <v>1432</v>
      </c>
    </row>
    <row r="2091" hidden="1">
      <c r="A2091" s="471">
        <v>7.0</v>
      </c>
      <c r="B2091" s="470" t="s">
        <v>7353</v>
      </c>
      <c r="C2091" s="471" t="s">
        <v>1185</v>
      </c>
      <c r="D2091" s="471" t="s">
        <v>7354</v>
      </c>
      <c r="E2091" s="471" t="s">
        <v>7355</v>
      </c>
      <c r="F2091" s="471" t="s">
        <v>2098</v>
      </c>
      <c r="G2091" s="390">
        <v>46025.0</v>
      </c>
      <c r="H2091" s="33">
        <v>20.0</v>
      </c>
      <c r="I2091" s="472" t="s">
        <v>2890</v>
      </c>
      <c r="J2091" s="34" t="s">
        <v>7288</v>
      </c>
      <c r="K2091" s="34" t="s">
        <v>7337</v>
      </c>
      <c r="L2091" s="12" t="s">
        <v>374</v>
      </c>
      <c r="M2091" s="19"/>
      <c r="N2091" s="19"/>
      <c r="O2091" s="34" t="s">
        <v>7242</v>
      </c>
      <c r="P2091" s="587" t="s">
        <v>1432</v>
      </c>
    </row>
    <row r="2092" hidden="1">
      <c r="A2092" s="471">
        <v>8.0</v>
      </c>
      <c r="B2092" s="470" t="s">
        <v>7356</v>
      </c>
      <c r="C2092" s="471" t="s">
        <v>1185</v>
      </c>
      <c r="D2092" s="471" t="s">
        <v>7357</v>
      </c>
      <c r="E2092" s="471" t="s">
        <v>7358</v>
      </c>
      <c r="F2092" s="471" t="s">
        <v>2098</v>
      </c>
      <c r="G2092" s="390">
        <v>46056.0</v>
      </c>
      <c r="H2092" s="33">
        <v>21.0</v>
      </c>
      <c r="I2092" s="472" t="s">
        <v>2890</v>
      </c>
      <c r="J2092" s="34" t="s">
        <v>7288</v>
      </c>
      <c r="K2092" s="34" t="s">
        <v>6372</v>
      </c>
      <c r="L2092" s="12" t="s">
        <v>4195</v>
      </c>
      <c r="M2092" s="19"/>
      <c r="N2092" s="19"/>
      <c r="O2092" s="34" t="s">
        <v>7236</v>
      </c>
      <c r="P2092" s="587" t="s">
        <v>1432</v>
      </c>
    </row>
    <row r="2093" hidden="1">
      <c r="A2093" s="471">
        <v>9.0</v>
      </c>
      <c r="B2093" s="470" t="s">
        <v>7359</v>
      </c>
      <c r="C2093" s="471" t="s">
        <v>1185</v>
      </c>
      <c r="D2093" s="471" t="s">
        <v>7360</v>
      </c>
      <c r="E2093" s="471" t="s">
        <v>7361</v>
      </c>
      <c r="F2093" s="471" t="s">
        <v>2098</v>
      </c>
      <c r="G2093" s="390">
        <v>46056.0</v>
      </c>
      <c r="H2093" s="33">
        <v>21.0</v>
      </c>
      <c r="I2093" s="472" t="s">
        <v>2890</v>
      </c>
      <c r="J2093" s="34" t="s">
        <v>7288</v>
      </c>
      <c r="K2093" s="34" t="s">
        <v>6372</v>
      </c>
      <c r="L2093" s="12" t="s">
        <v>374</v>
      </c>
      <c r="M2093" s="19"/>
      <c r="N2093" s="19"/>
      <c r="O2093" s="34" t="s">
        <v>7338</v>
      </c>
      <c r="P2093" s="587" t="s">
        <v>1432</v>
      </c>
    </row>
    <row r="2094" hidden="1">
      <c r="A2094" s="471">
        <v>10.0</v>
      </c>
      <c r="B2094" s="470" t="s">
        <v>7362</v>
      </c>
      <c r="C2094" s="471" t="s">
        <v>80</v>
      </c>
      <c r="D2094" s="471" t="s">
        <v>7363</v>
      </c>
      <c r="E2094" s="471" t="s">
        <v>7364</v>
      </c>
      <c r="F2094" s="471" t="s">
        <v>4358</v>
      </c>
      <c r="G2094" s="33" t="s">
        <v>7192</v>
      </c>
      <c r="H2094" s="33">
        <v>17.0</v>
      </c>
      <c r="I2094" s="472" t="s">
        <v>2890</v>
      </c>
      <c r="J2094" s="34" t="s">
        <v>7365</v>
      </c>
      <c r="K2094" s="34" t="s">
        <v>6372</v>
      </c>
      <c r="L2094" s="12" t="s">
        <v>374</v>
      </c>
      <c r="M2094" s="19"/>
      <c r="N2094" s="19"/>
      <c r="O2094" s="34" t="s">
        <v>7366</v>
      </c>
      <c r="P2094" s="587" t="s">
        <v>1432</v>
      </c>
    </row>
    <row r="2095" hidden="1">
      <c r="A2095" s="471">
        <v>11.0</v>
      </c>
      <c r="B2095" s="470" t="s">
        <v>7367</v>
      </c>
      <c r="C2095" s="471" t="s">
        <v>80</v>
      </c>
      <c r="D2095" s="471" t="s">
        <v>7368</v>
      </c>
      <c r="E2095" s="471" t="s">
        <v>7369</v>
      </c>
      <c r="F2095" s="471" t="s">
        <v>4666</v>
      </c>
      <c r="G2095" s="390">
        <v>46056.0</v>
      </c>
      <c r="H2095" s="33">
        <v>21.0</v>
      </c>
      <c r="I2095" s="472" t="s">
        <v>2890</v>
      </c>
      <c r="J2095" s="34" t="s">
        <v>7365</v>
      </c>
      <c r="K2095" s="34" t="s">
        <v>6372</v>
      </c>
      <c r="L2095" s="12" t="s">
        <v>51</v>
      </c>
      <c r="M2095" s="19"/>
      <c r="N2095" s="19"/>
      <c r="O2095" s="34" t="s">
        <v>7236</v>
      </c>
      <c r="P2095" s="587" t="s">
        <v>1432</v>
      </c>
    </row>
    <row r="2096" hidden="1">
      <c r="A2096" s="471">
        <v>12.0</v>
      </c>
      <c r="B2096" s="470" t="s">
        <v>7370</v>
      </c>
      <c r="C2096" s="471" t="s">
        <v>80</v>
      </c>
      <c r="D2096" s="471" t="s">
        <v>7371</v>
      </c>
      <c r="E2096" s="613" t="s">
        <v>7372</v>
      </c>
      <c r="F2096" s="471" t="s">
        <v>4666</v>
      </c>
      <c r="G2096" s="390">
        <v>46056.0</v>
      </c>
      <c r="H2096" s="33">
        <v>21.0</v>
      </c>
      <c r="I2096" s="472" t="s">
        <v>2890</v>
      </c>
      <c r="J2096" s="34" t="s">
        <v>7288</v>
      </c>
      <c r="K2096" s="34" t="s">
        <v>6372</v>
      </c>
      <c r="L2096" s="12" t="s">
        <v>374</v>
      </c>
      <c r="M2096" s="19"/>
      <c r="N2096" s="19"/>
      <c r="O2096" s="148">
        <v>46145.0</v>
      </c>
      <c r="P2096" s="587" t="s">
        <v>1432</v>
      </c>
    </row>
    <row r="2097" hidden="1">
      <c r="A2097" s="471">
        <v>13.0</v>
      </c>
      <c r="B2097" s="470" t="s">
        <v>7373</v>
      </c>
      <c r="C2097" s="471" t="s">
        <v>80</v>
      </c>
      <c r="D2097" s="471" t="s">
        <v>7374</v>
      </c>
      <c r="E2097" s="613" t="s">
        <v>7375</v>
      </c>
      <c r="F2097" s="471" t="s">
        <v>4666</v>
      </c>
      <c r="G2097" s="390">
        <v>46056.0</v>
      </c>
      <c r="H2097" s="33">
        <v>21.0</v>
      </c>
      <c r="I2097" s="472" t="s">
        <v>2890</v>
      </c>
      <c r="J2097" s="34" t="s">
        <v>7288</v>
      </c>
      <c r="K2097" s="34" t="s">
        <v>6372</v>
      </c>
      <c r="L2097" s="12" t="s">
        <v>374</v>
      </c>
      <c r="M2097" s="19"/>
      <c r="N2097" s="19"/>
      <c r="O2097" s="34" t="s">
        <v>7242</v>
      </c>
      <c r="P2097" s="587" t="s">
        <v>1432</v>
      </c>
    </row>
    <row r="2098" hidden="1">
      <c r="A2098" s="471">
        <v>14.0</v>
      </c>
      <c r="B2098" s="470" t="s">
        <v>7376</v>
      </c>
      <c r="C2098" s="471" t="s">
        <v>80</v>
      </c>
      <c r="D2098" s="471" t="s">
        <v>7377</v>
      </c>
      <c r="E2098" s="471" t="s">
        <v>7378</v>
      </c>
      <c r="F2098" s="471" t="s">
        <v>7379</v>
      </c>
      <c r="G2098" s="390">
        <v>46084.0</v>
      </c>
      <c r="H2098" s="33">
        <v>22.0</v>
      </c>
      <c r="I2098" s="472" t="s">
        <v>2890</v>
      </c>
      <c r="J2098" s="34" t="s">
        <v>7035</v>
      </c>
      <c r="K2098" s="34" t="s">
        <v>6932</v>
      </c>
      <c r="L2098" s="12" t="s">
        <v>4195</v>
      </c>
      <c r="M2098" s="19"/>
      <c r="N2098" s="19"/>
      <c r="O2098" s="71">
        <v>46085.0</v>
      </c>
      <c r="P2098" s="587" t="s">
        <v>1432</v>
      </c>
    </row>
    <row r="2099" hidden="1">
      <c r="A2099" s="471">
        <v>15.0</v>
      </c>
      <c r="B2099" s="470" t="s">
        <v>7380</v>
      </c>
      <c r="C2099" s="471" t="s">
        <v>80</v>
      </c>
      <c r="D2099" s="471" t="s">
        <v>7381</v>
      </c>
      <c r="E2099" s="471" t="s">
        <v>7382</v>
      </c>
      <c r="F2099" s="471" t="s">
        <v>5436</v>
      </c>
      <c r="G2099" s="390">
        <v>46084.0</v>
      </c>
      <c r="H2099" s="33">
        <v>22.0</v>
      </c>
      <c r="I2099" s="472" t="s">
        <v>2890</v>
      </c>
      <c r="J2099" s="143" t="s">
        <v>7187</v>
      </c>
      <c r="K2099" s="34" t="s">
        <v>7188</v>
      </c>
      <c r="L2099" s="12" t="s">
        <v>4195</v>
      </c>
      <c r="M2099" s="19"/>
      <c r="N2099" s="19"/>
      <c r="O2099" s="34" t="s">
        <v>7383</v>
      </c>
      <c r="P2099" s="634" t="s">
        <v>4937</v>
      </c>
    </row>
    <row r="2100" hidden="1">
      <c r="A2100" s="471">
        <v>16.0</v>
      </c>
      <c r="B2100" s="470" t="s">
        <v>7384</v>
      </c>
      <c r="C2100" s="471" t="s">
        <v>651</v>
      </c>
      <c r="D2100" s="471" t="s">
        <v>7385</v>
      </c>
      <c r="E2100" s="471" t="s">
        <v>7386</v>
      </c>
      <c r="F2100" s="471" t="s">
        <v>4779</v>
      </c>
      <c r="G2100" s="390">
        <v>46084.0</v>
      </c>
      <c r="H2100" s="33">
        <v>22.0</v>
      </c>
      <c r="I2100" s="472" t="s">
        <v>2890</v>
      </c>
      <c r="J2100" s="34" t="s">
        <v>362</v>
      </c>
      <c r="K2100" s="34" t="s">
        <v>7387</v>
      </c>
      <c r="L2100" s="12" t="s">
        <v>51</v>
      </c>
      <c r="M2100" s="19"/>
      <c r="N2100" s="19"/>
      <c r="O2100" s="34" t="s">
        <v>7242</v>
      </c>
      <c r="P2100" s="587" t="s">
        <v>1432</v>
      </c>
    </row>
    <row r="2101" hidden="1">
      <c r="A2101" s="471">
        <v>17.0</v>
      </c>
      <c r="B2101" s="470" t="s">
        <v>7388</v>
      </c>
      <c r="C2101" s="471" t="s">
        <v>80</v>
      </c>
      <c r="D2101" s="471" t="s">
        <v>7389</v>
      </c>
      <c r="E2101" s="471" t="s">
        <v>7390</v>
      </c>
      <c r="F2101" s="471" t="s">
        <v>6031</v>
      </c>
      <c r="G2101" s="390">
        <v>46115.0</v>
      </c>
      <c r="H2101" s="33">
        <v>23.0</v>
      </c>
      <c r="I2101" s="472" t="s">
        <v>2890</v>
      </c>
      <c r="J2101" s="143" t="s">
        <v>7187</v>
      </c>
      <c r="K2101" s="34" t="s">
        <v>7188</v>
      </c>
      <c r="L2101" s="12" t="s">
        <v>374</v>
      </c>
      <c r="M2101" s="19"/>
      <c r="N2101" s="19"/>
      <c r="O2101" s="148">
        <v>46145.0</v>
      </c>
      <c r="P2101" s="587" t="s">
        <v>1432</v>
      </c>
    </row>
    <row r="2102" hidden="1">
      <c r="A2102" s="471">
        <v>18.0</v>
      </c>
      <c r="B2102" s="470" t="s">
        <v>7391</v>
      </c>
      <c r="C2102" s="471" t="s">
        <v>80</v>
      </c>
      <c r="D2102" s="471" t="s">
        <v>7392</v>
      </c>
      <c r="E2102" s="471" t="s">
        <v>7393</v>
      </c>
      <c r="F2102" s="471" t="s">
        <v>4666</v>
      </c>
      <c r="G2102" s="390">
        <v>46115.0</v>
      </c>
      <c r="H2102" s="33">
        <v>23.0</v>
      </c>
      <c r="I2102" s="472" t="s">
        <v>2890</v>
      </c>
      <c r="J2102" s="34" t="s">
        <v>7394</v>
      </c>
      <c r="K2102" s="34" t="s">
        <v>7071</v>
      </c>
      <c r="L2102" s="12" t="s">
        <v>374</v>
      </c>
      <c r="M2102" s="19"/>
      <c r="N2102" s="19"/>
      <c r="O2102" s="34" t="s">
        <v>6372</v>
      </c>
      <c r="P2102" s="19"/>
    </row>
    <row r="2103" hidden="1">
      <c r="A2103" s="471">
        <v>19.0</v>
      </c>
      <c r="B2103" s="470" t="s">
        <v>7395</v>
      </c>
      <c r="C2103" s="471" t="s">
        <v>80</v>
      </c>
      <c r="D2103" s="471" t="s">
        <v>7396</v>
      </c>
      <c r="E2103" s="471" t="s">
        <v>7397</v>
      </c>
      <c r="F2103" s="471" t="s">
        <v>5436</v>
      </c>
      <c r="G2103" s="390">
        <v>46115.0</v>
      </c>
      <c r="H2103" s="33">
        <v>23.0</v>
      </c>
      <c r="I2103" s="472" t="s">
        <v>2890</v>
      </c>
      <c r="J2103" s="34" t="s">
        <v>7398</v>
      </c>
      <c r="K2103" s="34" t="s">
        <v>6999</v>
      </c>
      <c r="L2103" s="12" t="s">
        <v>4195</v>
      </c>
      <c r="M2103" s="19"/>
      <c r="N2103" s="19"/>
      <c r="O2103" s="34" t="s">
        <v>7346</v>
      </c>
      <c r="P2103" s="587" t="s">
        <v>1432</v>
      </c>
    </row>
    <row r="2104" hidden="1">
      <c r="A2104" s="471">
        <v>20.0</v>
      </c>
      <c r="B2104" s="470" t="s">
        <v>7399</v>
      </c>
      <c r="C2104" s="471" t="s">
        <v>1185</v>
      </c>
      <c r="D2104" s="471" t="s">
        <v>7400</v>
      </c>
      <c r="E2104" s="471" t="s">
        <v>7401</v>
      </c>
      <c r="F2104" s="471" t="s">
        <v>2098</v>
      </c>
      <c r="G2104" s="390">
        <v>46115.0</v>
      </c>
      <c r="H2104" s="33">
        <v>23.0</v>
      </c>
      <c r="I2104" s="472" t="s">
        <v>2890</v>
      </c>
      <c r="J2104" s="34" t="s">
        <v>7288</v>
      </c>
      <c r="K2104" s="34" t="s">
        <v>6932</v>
      </c>
      <c r="L2104" s="12" t="s">
        <v>51</v>
      </c>
      <c r="M2104" s="19"/>
      <c r="N2104" s="19"/>
      <c r="O2104" s="71">
        <v>46329.0</v>
      </c>
      <c r="P2104" s="587" t="s">
        <v>1432</v>
      </c>
    </row>
    <row r="2105" hidden="1">
      <c r="A2105" s="471">
        <v>21.0</v>
      </c>
      <c r="B2105" s="470" t="s">
        <v>7402</v>
      </c>
      <c r="C2105" s="471" t="s">
        <v>1185</v>
      </c>
      <c r="D2105" s="471" t="s">
        <v>7403</v>
      </c>
      <c r="E2105" s="471" t="s">
        <v>7404</v>
      </c>
      <c r="F2105" s="471" t="s">
        <v>2098</v>
      </c>
      <c r="G2105" s="390">
        <v>46115.0</v>
      </c>
      <c r="H2105" s="33">
        <v>23.0</v>
      </c>
      <c r="I2105" s="540" t="s">
        <v>3465</v>
      </c>
      <c r="J2105" s="34" t="s">
        <v>7288</v>
      </c>
      <c r="K2105" s="34" t="s">
        <v>6932</v>
      </c>
      <c r="L2105" s="12" t="s">
        <v>4195</v>
      </c>
      <c r="M2105" s="19"/>
      <c r="N2105" s="19"/>
      <c r="O2105" s="148">
        <v>46145.0</v>
      </c>
      <c r="P2105" s="587" t="s">
        <v>1432</v>
      </c>
    </row>
    <row r="2106" hidden="1">
      <c r="A2106" s="471">
        <v>22.0</v>
      </c>
      <c r="B2106" s="470" t="s">
        <v>7405</v>
      </c>
      <c r="C2106" s="471" t="s">
        <v>80</v>
      </c>
      <c r="D2106" s="471" t="s">
        <v>7406</v>
      </c>
      <c r="E2106" s="471" t="s">
        <v>7407</v>
      </c>
      <c r="F2106" s="471" t="s">
        <v>4666</v>
      </c>
      <c r="G2106" s="390">
        <v>46145.0</v>
      </c>
      <c r="H2106" s="33">
        <v>24.0</v>
      </c>
      <c r="I2106" s="540" t="s">
        <v>3465</v>
      </c>
      <c r="J2106" s="34" t="s">
        <v>7326</v>
      </c>
      <c r="K2106" s="34" t="s">
        <v>7036</v>
      </c>
      <c r="L2106" s="12" t="s">
        <v>374</v>
      </c>
      <c r="M2106" s="19"/>
      <c r="N2106" s="19"/>
      <c r="O2106" s="71">
        <v>46298.0</v>
      </c>
      <c r="P2106" s="587" t="s">
        <v>1432</v>
      </c>
    </row>
    <row r="2107" hidden="1">
      <c r="A2107" s="471">
        <v>23.0</v>
      </c>
      <c r="B2107" s="470" t="s">
        <v>7408</v>
      </c>
      <c r="C2107" s="471" t="s">
        <v>80</v>
      </c>
      <c r="D2107" s="471" t="s">
        <v>7409</v>
      </c>
      <c r="E2107" s="471" t="s">
        <v>7410</v>
      </c>
      <c r="F2107" s="471" t="s">
        <v>4405</v>
      </c>
      <c r="G2107" s="390">
        <v>46115.0</v>
      </c>
      <c r="H2107" s="33">
        <v>23.0</v>
      </c>
      <c r="I2107" s="472" t="s">
        <v>2890</v>
      </c>
      <c r="J2107" s="34" t="s">
        <v>2065</v>
      </c>
      <c r="K2107" s="34" t="s">
        <v>6372</v>
      </c>
      <c r="L2107" s="12" t="s">
        <v>51</v>
      </c>
      <c r="M2107" s="19"/>
      <c r="N2107" s="19"/>
      <c r="O2107" s="34" t="s">
        <v>7346</v>
      </c>
      <c r="P2107" s="587" t="s">
        <v>1432</v>
      </c>
    </row>
    <row r="2108" hidden="1">
      <c r="A2108" s="471">
        <v>24.0</v>
      </c>
      <c r="B2108" s="470" t="s">
        <v>7411</v>
      </c>
      <c r="C2108" s="471" t="s">
        <v>80</v>
      </c>
      <c r="D2108" s="471" t="s">
        <v>7412</v>
      </c>
      <c r="E2108" s="471" t="s">
        <v>7413</v>
      </c>
      <c r="F2108" s="471" t="s">
        <v>4358</v>
      </c>
      <c r="G2108" s="390">
        <v>46115.0</v>
      </c>
      <c r="H2108" s="33">
        <v>23.0</v>
      </c>
      <c r="I2108" s="472" t="s">
        <v>2890</v>
      </c>
      <c r="J2108" s="34" t="s">
        <v>7365</v>
      </c>
      <c r="K2108" s="34" t="s">
        <v>6372</v>
      </c>
      <c r="L2108" s="12" t="s">
        <v>4195</v>
      </c>
      <c r="M2108" s="19"/>
      <c r="N2108" s="19"/>
      <c r="O2108" s="34" t="s">
        <v>7346</v>
      </c>
      <c r="P2108" s="587" t="s">
        <v>1432</v>
      </c>
    </row>
    <row r="2109" hidden="1">
      <c r="A2109" s="471">
        <v>25.0</v>
      </c>
      <c r="B2109" s="470" t="s">
        <v>7414</v>
      </c>
      <c r="C2109" s="471" t="s">
        <v>80</v>
      </c>
      <c r="D2109" s="471" t="s">
        <v>7415</v>
      </c>
      <c r="E2109" s="613" t="s">
        <v>7416</v>
      </c>
      <c r="F2109" s="471" t="s">
        <v>4771</v>
      </c>
      <c r="G2109" s="390">
        <v>46115.0</v>
      </c>
      <c r="H2109" s="33">
        <v>23.0</v>
      </c>
      <c r="I2109" s="472" t="s">
        <v>2890</v>
      </c>
      <c r="J2109" s="34" t="s">
        <v>7365</v>
      </c>
      <c r="K2109" s="34" t="s">
        <v>6372</v>
      </c>
      <c r="L2109" s="12" t="s">
        <v>51</v>
      </c>
      <c r="M2109" s="19"/>
      <c r="N2109" s="19"/>
      <c r="O2109" s="34" t="s">
        <v>7338</v>
      </c>
      <c r="P2109" s="587" t="s">
        <v>1432</v>
      </c>
    </row>
    <row r="2110" hidden="1">
      <c r="A2110" s="471">
        <v>26.0</v>
      </c>
      <c r="B2110" s="470" t="s">
        <v>7417</v>
      </c>
      <c r="C2110" s="471" t="s">
        <v>80</v>
      </c>
      <c r="D2110" s="471" t="s">
        <v>7418</v>
      </c>
      <c r="E2110" s="613" t="s">
        <v>7419</v>
      </c>
      <c r="F2110" s="471" t="s">
        <v>4771</v>
      </c>
      <c r="G2110" s="390">
        <v>46115.0</v>
      </c>
      <c r="H2110" s="33">
        <v>23.0</v>
      </c>
      <c r="I2110" s="472" t="s">
        <v>2890</v>
      </c>
      <c r="J2110" s="34" t="s">
        <v>7365</v>
      </c>
      <c r="K2110" s="34" t="s">
        <v>6372</v>
      </c>
      <c r="L2110" s="12" t="s">
        <v>51</v>
      </c>
      <c r="M2110" s="19"/>
      <c r="N2110" s="19"/>
      <c r="O2110" s="34" t="s">
        <v>7338</v>
      </c>
      <c r="P2110" s="587" t="s">
        <v>1432</v>
      </c>
    </row>
    <row r="2111" hidden="1">
      <c r="A2111" s="471">
        <v>27.0</v>
      </c>
      <c r="B2111" s="470" t="s">
        <v>7420</v>
      </c>
      <c r="C2111" s="471" t="s">
        <v>1185</v>
      </c>
      <c r="D2111" s="471" t="s">
        <v>7421</v>
      </c>
      <c r="E2111" s="471" t="s">
        <v>7422</v>
      </c>
      <c r="F2111" s="471" t="s">
        <v>356</v>
      </c>
      <c r="G2111" s="390">
        <v>46115.0</v>
      </c>
      <c r="H2111" s="33">
        <v>23.0</v>
      </c>
      <c r="I2111" s="472" t="s">
        <v>2890</v>
      </c>
      <c r="J2111" s="34" t="s">
        <v>7365</v>
      </c>
      <c r="K2111" s="34" t="s">
        <v>6372</v>
      </c>
      <c r="L2111" s="12" t="s">
        <v>374</v>
      </c>
      <c r="M2111" s="19"/>
      <c r="N2111" s="19"/>
      <c r="O2111" s="71">
        <v>46206.0</v>
      </c>
      <c r="P2111" s="587" t="s">
        <v>1432</v>
      </c>
    </row>
    <row r="2112" hidden="1">
      <c r="A2112" s="471">
        <v>28.0</v>
      </c>
      <c r="B2112" s="470" t="s">
        <v>7423</v>
      </c>
      <c r="C2112" s="471" t="s">
        <v>397</v>
      </c>
      <c r="D2112" s="471" t="s">
        <v>7424</v>
      </c>
      <c r="E2112" s="471" t="s">
        <v>7425</v>
      </c>
      <c r="F2112" s="471" t="s">
        <v>1199</v>
      </c>
      <c r="G2112" s="33" t="s">
        <v>6987</v>
      </c>
      <c r="H2112" s="33">
        <v>9.0</v>
      </c>
      <c r="I2112" s="472" t="s">
        <v>2890</v>
      </c>
      <c r="J2112" s="34" t="s">
        <v>699</v>
      </c>
      <c r="K2112" s="34" t="s">
        <v>7071</v>
      </c>
      <c r="L2112" s="12" t="s">
        <v>4195</v>
      </c>
      <c r="M2112" s="19"/>
      <c r="N2112" s="19"/>
      <c r="O2112" s="148">
        <v>46145.0</v>
      </c>
      <c r="P2112" s="587" t="s">
        <v>1432</v>
      </c>
    </row>
    <row r="2113" hidden="1">
      <c r="A2113" s="471">
        <v>29.0</v>
      </c>
      <c r="B2113" s="470" t="s">
        <v>7426</v>
      </c>
      <c r="C2113" s="471" t="s">
        <v>80</v>
      </c>
      <c r="D2113" s="471" t="s">
        <v>7427</v>
      </c>
      <c r="E2113" s="471" t="s">
        <v>7428</v>
      </c>
      <c r="F2113" s="471" t="s">
        <v>6031</v>
      </c>
      <c r="G2113" s="390">
        <v>46145.0</v>
      </c>
      <c r="H2113" s="33">
        <v>24.0</v>
      </c>
      <c r="I2113" s="472" t="s">
        <v>2890</v>
      </c>
      <c r="J2113" s="143" t="s">
        <v>7187</v>
      </c>
      <c r="K2113" s="34" t="s">
        <v>7188</v>
      </c>
      <c r="L2113" s="12" t="s">
        <v>51</v>
      </c>
      <c r="M2113" s="19"/>
      <c r="N2113" s="19"/>
      <c r="O2113" s="71">
        <v>46298.0</v>
      </c>
      <c r="P2113" s="587" t="s">
        <v>1432</v>
      </c>
    </row>
    <row r="2114" hidden="1">
      <c r="A2114" s="471">
        <v>30.0</v>
      </c>
      <c r="B2114" s="470" t="s">
        <v>7429</v>
      </c>
      <c r="C2114" s="471" t="s">
        <v>7430</v>
      </c>
      <c r="D2114" s="471" t="s">
        <v>7431</v>
      </c>
      <c r="E2114" s="471" t="s">
        <v>7432</v>
      </c>
      <c r="F2114" s="471" t="s">
        <v>7433</v>
      </c>
      <c r="G2114" s="390">
        <v>46145.0</v>
      </c>
      <c r="H2114" s="33">
        <v>24.0</v>
      </c>
      <c r="I2114" s="472" t="s">
        <v>2890</v>
      </c>
      <c r="J2114" s="19"/>
      <c r="K2114" s="19"/>
      <c r="L2114" s="12" t="s">
        <v>51</v>
      </c>
      <c r="M2114" s="19"/>
      <c r="N2114" s="19"/>
      <c r="O2114" s="71">
        <v>46206.0</v>
      </c>
      <c r="P2114" s="587" t="s">
        <v>1432</v>
      </c>
    </row>
    <row r="2115" hidden="1">
      <c r="A2115" s="471">
        <v>31.0</v>
      </c>
      <c r="B2115" s="470" t="s">
        <v>7434</v>
      </c>
      <c r="C2115" s="471" t="s">
        <v>397</v>
      </c>
      <c r="D2115" s="471" t="s">
        <v>7435</v>
      </c>
      <c r="E2115" s="613" t="s">
        <v>7436</v>
      </c>
      <c r="F2115" s="471" t="s">
        <v>5865</v>
      </c>
      <c r="G2115" s="33" t="s">
        <v>6987</v>
      </c>
      <c r="H2115" s="33">
        <v>9.0</v>
      </c>
      <c r="I2115" s="472" t="s">
        <v>2890</v>
      </c>
      <c r="J2115" s="34" t="s">
        <v>7394</v>
      </c>
      <c r="K2115" s="34" t="s">
        <v>7071</v>
      </c>
      <c r="L2115" s="12" t="s">
        <v>4195</v>
      </c>
      <c r="M2115" s="19"/>
      <c r="N2115" s="19"/>
      <c r="O2115" s="34" t="s">
        <v>6409</v>
      </c>
      <c r="P2115" s="587" t="s">
        <v>1432</v>
      </c>
    </row>
    <row r="2116" hidden="1">
      <c r="A2116" s="471">
        <v>32.0</v>
      </c>
      <c r="B2116" s="470" t="s">
        <v>7437</v>
      </c>
      <c r="C2116" s="471" t="s">
        <v>688</v>
      </c>
      <c r="D2116" s="471" t="s">
        <v>7438</v>
      </c>
      <c r="E2116" s="613" t="s">
        <v>7439</v>
      </c>
      <c r="F2116" s="471" t="s">
        <v>5865</v>
      </c>
      <c r="G2116" s="33" t="s">
        <v>6987</v>
      </c>
      <c r="H2116" s="33">
        <v>9.0</v>
      </c>
      <c r="I2116" s="472" t="s">
        <v>2890</v>
      </c>
      <c r="J2116" s="34" t="s">
        <v>7394</v>
      </c>
      <c r="K2116" s="34" t="s">
        <v>7071</v>
      </c>
      <c r="L2116" s="12" t="s">
        <v>4195</v>
      </c>
      <c r="M2116" s="19"/>
      <c r="N2116" s="19"/>
      <c r="O2116" s="34" t="s">
        <v>6409</v>
      </c>
      <c r="P2116" s="587" t="s">
        <v>1432</v>
      </c>
    </row>
    <row r="2117" hidden="1">
      <c r="A2117" s="471">
        <v>33.0</v>
      </c>
      <c r="B2117" s="470" t="s">
        <v>7440</v>
      </c>
      <c r="C2117" s="471" t="s">
        <v>80</v>
      </c>
      <c r="D2117" s="471" t="s">
        <v>7441</v>
      </c>
      <c r="E2117" s="613" t="s">
        <v>7442</v>
      </c>
      <c r="F2117" s="471" t="s">
        <v>4405</v>
      </c>
      <c r="G2117" s="390">
        <v>46145.0</v>
      </c>
      <c r="H2117" s="33">
        <v>24.0</v>
      </c>
      <c r="I2117" s="472" t="s">
        <v>2890</v>
      </c>
      <c r="J2117" s="34" t="s">
        <v>7288</v>
      </c>
      <c r="K2117" s="34" t="s">
        <v>7337</v>
      </c>
      <c r="L2117" s="12" t="s">
        <v>374</v>
      </c>
      <c r="M2117" s="19"/>
      <c r="N2117" s="19"/>
      <c r="O2117" s="71">
        <v>46298.0</v>
      </c>
      <c r="P2117" s="587" t="s">
        <v>1432</v>
      </c>
    </row>
    <row r="2118" hidden="1">
      <c r="A2118" s="471">
        <v>34.0</v>
      </c>
      <c r="B2118" s="470" t="s">
        <v>7443</v>
      </c>
      <c r="C2118" s="471" t="s">
        <v>80</v>
      </c>
      <c r="D2118" s="471" t="s">
        <v>7444</v>
      </c>
      <c r="E2118" s="613" t="s">
        <v>7445</v>
      </c>
      <c r="F2118" s="471" t="s">
        <v>4405</v>
      </c>
      <c r="G2118" s="390">
        <v>46145.0</v>
      </c>
      <c r="H2118" s="33">
        <v>24.0</v>
      </c>
      <c r="I2118" s="472" t="s">
        <v>2890</v>
      </c>
      <c r="J2118" s="34" t="s">
        <v>7288</v>
      </c>
      <c r="K2118" s="34" t="s">
        <v>7337</v>
      </c>
      <c r="L2118" s="12" t="s">
        <v>374</v>
      </c>
      <c r="M2118" s="19"/>
      <c r="N2118" s="19"/>
      <c r="O2118" s="71">
        <v>46298.0</v>
      </c>
      <c r="P2118" s="587" t="s">
        <v>1432</v>
      </c>
    </row>
    <row r="2119" hidden="1">
      <c r="A2119" s="471">
        <v>35.0</v>
      </c>
      <c r="B2119" s="470" t="s">
        <v>7446</v>
      </c>
      <c r="C2119" s="471" t="s">
        <v>80</v>
      </c>
      <c r="D2119" s="481" t="s">
        <v>7447</v>
      </c>
      <c r="E2119" s="615" t="s">
        <v>7448</v>
      </c>
      <c r="F2119" s="471" t="s">
        <v>3583</v>
      </c>
      <c r="G2119" s="33" t="s">
        <v>7159</v>
      </c>
      <c r="H2119" s="33">
        <v>15.0</v>
      </c>
      <c r="I2119" s="472" t="s">
        <v>2890</v>
      </c>
      <c r="J2119" s="34" t="s">
        <v>2541</v>
      </c>
      <c r="K2119" s="34" t="s">
        <v>7337</v>
      </c>
      <c r="L2119" s="14"/>
      <c r="M2119" s="19"/>
      <c r="N2119" s="19"/>
      <c r="O2119" s="148">
        <v>46359.0</v>
      </c>
      <c r="P2119" s="19"/>
    </row>
    <row r="2120" hidden="1">
      <c r="A2120" s="471">
        <v>36.0</v>
      </c>
      <c r="B2120" s="470" t="s">
        <v>7449</v>
      </c>
      <c r="C2120" s="471" t="s">
        <v>80</v>
      </c>
      <c r="D2120" s="481" t="s">
        <v>7450</v>
      </c>
      <c r="E2120" s="615" t="s">
        <v>7451</v>
      </c>
      <c r="F2120" s="471" t="s">
        <v>3583</v>
      </c>
      <c r="G2120" s="33" t="s">
        <v>7159</v>
      </c>
      <c r="H2120" s="33">
        <v>15.0</v>
      </c>
      <c r="I2120" s="472" t="s">
        <v>2890</v>
      </c>
      <c r="J2120" s="34" t="s">
        <v>2541</v>
      </c>
      <c r="K2120" s="34" t="s">
        <v>7337</v>
      </c>
      <c r="L2120" s="14"/>
      <c r="M2120" s="19"/>
      <c r="N2120" s="19"/>
      <c r="O2120" s="648">
        <v>46077.0</v>
      </c>
      <c r="P2120" s="19"/>
    </row>
    <row r="2121" hidden="1">
      <c r="A2121" s="471">
        <v>37.0</v>
      </c>
      <c r="B2121" s="470" t="s">
        <v>7452</v>
      </c>
      <c r="C2121" s="471" t="s">
        <v>80</v>
      </c>
      <c r="D2121" s="481" t="s">
        <v>7453</v>
      </c>
      <c r="E2121" s="615" t="s">
        <v>7454</v>
      </c>
      <c r="F2121" s="471" t="s">
        <v>3583</v>
      </c>
      <c r="G2121" s="33" t="s">
        <v>7159</v>
      </c>
      <c r="H2121" s="33">
        <v>15.0</v>
      </c>
      <c r="I2121" s="472" t="s">
        <v>2890</v>
      </c>
      <c r="J2121" s="34" t="s">
        <v>2541</v>
      </c>
      <c r="K2121" s="34" t="s">
        <v>7337</v>
      </c>
      <c r="L2121" s="14"/>
      <c r="M2121" s="19"/>
      <c r="N2121" s="19"/>
      <c r="O2121" s="648">
        <v>46083.0</v>
      </c>
      <c r="P2121" s="19"/>
    </row>
    <row r="2122" hidden="1">
      <c r="A2122" s="471">
        <v>38.0</v>
      </c>
      <c r="B2122" s="470" t="s">
        <v>7455</v>
      </c>
      <c r="C2122" s="471" t="s">
        <v>80</v>
      </c>
      <c r="D2122" s="481" t="s">
        <v>7456</v>
      </c>
      <c r="E2122" s="615" t="s">
        <v>7457</v>
      </c>
      <c r="F2122" s="471" t="s">
        <v>3928</v>
      </c>
      <c r="G2122" s="33" t="s">
        <v>6973</v>
      </c>
      <c r="H2122" s="33">
        <v>16.0</v>
      </c>
      <c r="I2122" s="472" t="s">
        <v>2890</v>
      </c>
      <c r="J2122" s="34" t="s">
        <v>7458</v>
      </c>
      <c r="K2122" s="34" t="s">
        <v>7036</v>
      </c>
      <c r="L2122" s="14"/>
      <c r="M2122" s="19"/>
      <c r="N2122" s="19"/>
      <c r="O2122" s="648">
        <v>46081.0</v>
      </c>
      <c r="P2122" s="19"/>
    </row>
    <row r="2123" hidden="1">
      <c r="A2123" s="471">
        <v>39.0</v>
      </c>
      <c r="B2123" s="470" t="s">
        <v>7459</v>
      </c>
      <c r="C2123" s="471" t="s">
        <v>80</v>
      </c>
      <c r="D2123" s="481" t="s">
        <v>7460</v>
      </c>
      <c r="E2123" s="615" t="s">
        <v>7461</v>
      </c>
      <c r="F2123" s="471" t="s">
        <v>3928</v>
      </c>
      <c r="G2123" s="33" t="s">
        <v>6973</v>
      </c>
      <c r="H2123" s="33">
        <v>16.0</v>
      </c>
      <c r="I2123" s="472" t="s">
        <v>2890</v>
      </c>
      <c r="J2123" s="34" t="s">
        <v>3099</v>
      </c>
      <c r="K2123" s="34" t="s">
        <v>7036</v>
      </c>
      <c r="L2123" s="14"/>
      <c r="M2123" s="19"/>
      <c r="N2123" s="19"/>
      <c r="O2123" s="648">
        <v>46081.0</v>
      </c>
      <c r="P2123" s="19"/>
    </row>
    <row r="2124" hidden="1">
      <c r="A2124" s="471">
        <v>40.0</v>
      </c>
      <c r="B2124" s="470" t="s">
        <v>7462</v>
      </c>
      <c r="C2124" s="471" t="s">
        <v>80</v>
      </c>
      <c r="D2124" s="481" t="s">
        <v>7463</v>
      </c>
      <c r="E2124" s="615" t="s">
        <v>7464</v>
      </c>
      <c r="F2124" s="471" t="s">
        <v>3928</v>
      </c>
      <c r="G2124" s="33" t="s">
        <v>6973</v>
      </c>
      <c r="H2124" s="33">
        <v>16.0</v>
      </c>
      <c r="I2124" s="472" t="s">
        <v>2890</v>
      </c>
      <c r="J2124" s="34" t="s">
        <v>3099</v>
      </c>
      <c r="K2124" s="34" t="s">
        <v>7036</v>
      </c>
      <c r="L2124" s="14"/>
      <c r="M2124" s="19"/>
      <c r="N2124" s="19"/>
      <c r="O2124" s="648">
        <v>46081.0</v>
      </c>
      <c r="P2124" s="19"/>
    </row>
    <row r="2125" hidden="1">
      <c r="A2125" s="339" t="s">
        <v>7465</v>
      </c>
    </row>
    <row r="2126" hidden="1">
      <c r="A2126" s="670" t="s">
        <v>47</v>
      </c>
      <c r="B2126" s="670" t="s">
        <v>7</v>
      </c>
      <c r="C2126" s="670" t="s">
        <v>9</v>
      </c>
      <c r="D2126" s="670" t="s">
        <v>10</v>
      </c>
      <c r="E2126" s="670" t="s">
        <v>11</v>
      </c>
      <c r="F2126" s="670" t="s">
        <v>12</v>
      </c>
      <c r="G2126" s="670" t="s">
        <v>2378</v>
      </c>
      <c r="H2126" s="670" t="s">
        <v>2681</v>
      </c>
      <c r="I2126" s="4" t="s">
        <v>2847</v>
      </c>
      <c r="J2126" s="8" t="s">
        <v>14</v>
      </c>
      <c r="K2126" s="9" t="s">
        <v>16</v>
      </c>
      <c r="L2126" s="9" t="s">
        <v>4330</v>
      </c>
      <c r="M2126" s="9" t="s">
        <v>18</v>
      </c>
      <c r="N2126" s="9" t="s">
        <v>19</v>
      </c>
      <c r="O2126" s="9" t="s">
        <v>20</v>
      </c>
      <c r="P2126" s="9" t="s">
        <v>21</v>
      </c>
      <c r="Q2126" s="35"/>
      <c r="R2126" s="35"/>
      <c r="S2126" s="35"/>
      <c r="T2126" s="35"/>
      <c r="U2126" s="35"/>
      <c r="V2126" s="35"/>
      <c r="W2126" s="35"/>
      <c r="X2126" s="35"/>
      <c r="Y2126" s="35"/>
      <c r="Z2126" s="35"/>
      <c r="AA2126" s="35"/>
      <c r="AB2126" s="35"/>
      <c r="AC2126" s="35"/>
      <c r="AD2126" s="35"/>
      <c r="AE2126" s="35"/>
      <c r="AF2126" s="35"/>
    </row>
    <row r="2127" hidden="1">
      <c r="A2127" s="128">
        <v>1.0</v>
      </c>
      <c r="B2127" s="595" t="s">
        <v>7466</v>
      </c>
      <c r="C2127" s="275" t="s">
        <v>397</v>
      </c>
      <c r="D2127" s="472" t="s">
        <v>7467</v>
      </c>
      <c r="E2127" s="472" t="s">
        <v>7468</v>
      </c>
      <c r="F2127" s="275" t="s">
        <v>1199</v>
      </c>
      <c r="G2127" s="128" t="s">
        <v>6772</v>
      </c>
      <c r="H2127" s="472">
        <v>8.0</v>
      </c>
      <c r="I2127" s="472" t="s">
        <v>2890</v>
      </c>
      <c r="J2127" s="34" t="s">
        <v>699</v>
      </c>
      <c r="K2127" s="34" t="s">
        <v>6372</v>
      </c>
      <c r="L2127" s="14"/>
      <c r="M2127" s="19"/>
      <c r="N2127" s="19"/>
      <c r="O2127" s="34" t="s">
        <v>7159</v>
      </c>
      <c r="P2127" s="587" t="s">
        <v>1432</v>
      </c>
    </row>
    <row r="2128" hidden="1">
      <c r="A2128" s="128">
        <v>2.0</v>
      </c>
      <c r="B2128" s="595" t="s">
        <v>7469</v>
      </c>
      <c r="C2128" s="275" t="s">
        <v>2307</v>
      </c>
      <c r="D2128" s="472" t="s">
        <v>7470</v>
      </c>
      <c r="E2128" s="472" t="s">
        <v>7471</v>
      </c>
      <c r="F2128" s="275" t="s">
        <v>4358</v>
      </c>
      <c r="G2128" s="128" t="s">
        <v>6987</v>
      </c>
      <c r="H2128" s="472">
        <v>5.0</v>
      </c>
      <c r="I2128" s="472" t="s">
        <v>2890</v>
      </c>
      <c r="J2128" s="34" t="s">
        <v>699</v>
      </c>
      <c r="K2128" s="34" t="s">
        <v>7337</v>
      </c>
      <c r="L2128" s="12" t="s">
        <v>4195</v>
      </c>
      <c r="M2128" s="19"/>
      <c r="N2128" s="19"/>
      <c r="O2128" s="34" t="s">
        <v>6973</v>
      </c>
      <c r="P2128" s="587" t="s">
        <v>1432</v>
      </c>
    </row>
    <row r="2129" hidden="1">
      <c r="A2129" s="128">
        <v>3.0</v>
      </c>
      <c r="B2129" s="595" t="s">
        <v>7472</v>
      </c>
      <c r="C2129" s="472" t="s">
        <v>1185</v>
      </c>
      <c r="D2129" s="472" t="s">
        <v>7473</v>
      </c>
      <c r="E2129" s="472" t="s">
        <v>7474</v>
      </c>
      <c r="F2129" s="472" t="s">
        <v>2098</v>
      </c>
      <c r="G2129" s="711">
        <v>46115.0</v>
      </c>
      <c r="H2129" s="472">
        <v>19.0</v>
      </c>
      <c r="I2129" s="472" t="s">
        <v>2890</v>
      </c>
      <c r="J2129" s="34" t="s">
        <v>7475</v>
      </c>
      <c r="K2129" s="34" t="s">
        <v>6988</v>
      </c>
      <c r="L2129" s="12" t="s">
        <v>51</v>
      </c>
      <c r="M2129" s="19"/>
      <c r="N2129" s="19"/>
      <c r="O2129" s="148">
        <v>46145.0</v>
      </c>
      <c r="P2129" s="587" t="s">
        <v>1432</v>
      </c>
    </row>
    <row r="2130" hidden="1">
      <c r="A2130" s="128">
        <v>4.0</v>
      </c>
      <c r="B2130" s="595" t="s">
        <v>7476</v>
      </c>
      <c r="C2130" s="472" t="s">
        <v>1185</v>
      </c>
      <c r="D2130" s="472" t="s">
        <v>7477</v>
      </c>
      <c r="E2130" s="472" t="s">
        <v>7478</v>
      </c>
      <c r="F2130" s="472" t="s">
        <v>2098</v>
      </c>
      <c r="G2130" s="711">
        <v>46115.0</v>
      </c>
      <c r="H2130" s="472">
        <v>19.0</v>
      </c>
      <c r="I2130" s="472" t="s">
        <v>2890</v>
      </c>
      <c r="J2130" s="34" t="s">
        <v>6958</v>
      </c>
      <c r="K2130" s="34" t="s">
        <v>6988</v>
      </c>
      <c r="L2130" s="12" t="s">
        <v>5035</v>
      </c>
      <c r="M2130" s="19"/>
      <c r="N2130" s="19"/>
      <c r="O2130" s="34" t="s">
        <v>7479</v>
      </c>
      <c r="P2130" s="587" t="s">
        <v>1432</v>
      </c>
    </row>
    <row r="2131" hidden="1">
      <c r="A2131" s="128">
        <v>5.0</v>
      </c>
      <c r="B2131" s="595" t="s">
        <v>7480</v>
      </c>
      <c r="C2131" s="472" t="s">
        <v>1185</v>
      </c>
      <c r="D2131" s="472" t="s">
        <v>7481</v>
      </c>
      <c r="E2131" s="472" t="s">
        <v>7482</v>
      </c>
      <c r="F2131" s="472" t="s">
        <v>2098</v>
      </c>
      <c r="G2131" s="711">
        <v>46056.0</v>
      </c>
      <c r="H2131" s="472">
        <v>17.0</v>
      </c>
      <c r="I2131" s="472" t="s">
        <v>2890</v>
      </c>
      <c r="J2131" s="34" t="s">
        <v>6958</v>
      </c>
      <c r="K2131" s="34" t="s">
        <v>6988</v>
      </c>
      <c r="L2131" s="12" t="s">
        <v>4195</v>
      </c>
      <c r="M2131" s="19"/>
      <c r="N2131" s="19"/>
      <c r="O2131" s="71">
        <v>46298.0</v>
      </c>
      <c r="P2131" s="587" t="s">
        <v>1432</v>
      </c>
    </row>
    <row r="2132" ht="16.5" hidden="1" customHeight="1">
      <c r="A2132" s="128">
        <v>6.0</v>
      </c>
      <c r="B2132" s="595" t="s">
        <v>7483</v>
      </c>
      <c r="C2132" s="472" t="s">
        <v>80</v>
      </c>
      <c r="D2132" s="472" t="s">
        <v>7484</v>
      </c>
      <c r="E2132" s="472" t="s">
        <v>7485</v>
      </c>
      <c r="F2132" s="472" t="s">
        <v>356</v>
      </c>
      <c r="G2132" s="711">
        <v>46056.0</v>
      </c>
      <c r="H2132" s="472">
        <v>17.0</v>
      </c>
      <c r="I2132" s="472" t="s">
        <v>2890</v>
      </c>
      <c r="J2132" s="34" t="s">
        <v>6958</v>
      </c>
      <c r="K2132" s="34" t="s">
        <v>6988</v>
      </c>
      <c r="L2132" s="12" t="s">
        <v>51</v>
      </c>
      <c r="M2132" s="19"/>
      <c r="N2132" s="19"/>
      <c r="O2132" s="34" t="s">
        <v>7242</v>
      </c>
      <c r="P2132" s="587" t="s">
        <v>1432</v>
      </c>
    </row>
    <row r="2133" hidden="1">
      <c r="A2133" s="128">
        <v>7.0</v>
      </c>
      <c r="B2133" s="595" t="s">
        <v>7486</v>
      </c>
      <c r="C2133" s="472" t="s">
        <v>80</v>
      </c>
      <c r="D2133" s="472" t="s">
        <v>7487</v>
      </c>
      <c r="E2133" s="667" t="s">
        <v>7488</v>
      </c>
      <c r="F2133" s="472" t="s">
        <v>356</v>
      </c>
      <c r="G2133" s="711">
        <v>46056.0</v>
      </c>
      <c r="H2133" s="472">
        <v>17.0</v>
      </c>
      <c r="I2133" s="472" t="s">
        <v>2890</v>
      </c>
      <c r="J2133" s="34" t="s">
        <v>7489</v>
      </c>
      <c r="K2133" s="34" t="s">
        <v>6988</v>
      </c>
      <c r="L2133" s="12" t="s">
        <v>51</v>
      </c>
      <c r="M2133" s="19"/>
      <c r="N2133" s="19"/>
      <c r="O2133" s="34" t="s">
        <v>7338</v>
      </c>
      <c r="P2133" s="587" t="s">
        <v>1432</v>
      </c>
    </row>
    <row r="2134" hidden="1">
      <c r="A2134" s="128">
        <v>8.0</v>
      </c>
      <c r="B2134" s="595" t="s">
        <v>7490</v>
      </c>
      <c r="C2134" s="472" t="s">
        <v>80</v>
      </c>
      <c r="D2134" s="472" t="s">
        <v>7491</v>
      </c>
      <c r="E2134" s="667" t="s">
        <v>7492</v>
      </c>
      <c r="F2134" s="472" t="s">
        <v>356</v>
      </c>
      <c r="G2134" s="711">
        <v>46056.0</v>
      </c>
      <c r="H2134" s="472">
        <v>17.0</v>
      </c>
      <c r="I2134" s="472" t="s">
        <v>2890</v>
      </c>
      <c r="J2134" s="34" t="s">
        <v>7489</v>
      </c>
      <c r="K2134" s="34" t="s">
        <v>6988</v>
      </c>
      <c r="L2134" s="12" t="s">
        <v>51</v>
      </c>
      <c r="M2134" s="19"/>
      <c r="N2134" s="19"/>
      <c r="O2134" s="34" t="s">
        <v>7338</v>
      </c>
      <c r="P2134" s="587" t="s">
        <v>1432</v>
      </c>
    </row>
    <row r="2135" hidden="1">
      <c r="A2135" s="128">
        <v>9.0</v>
      </c>
      <c r="B2135" s="595" t="s">
        <v>7493</v>
      </c>
      <c r="C2135" s="472" t="s">
        <v>651</v>
      </c>
      <c r="D2135" s="472" t="s">
        <v>7494</v>
      </c>
      <c r="E2135" s="472" t="s">
        <v>7495</v>
      </c>
      <c r="F2135" s="472" t="s">
        <v>4338</v>
      </c>
      <c r="G2135" s="711">
        <v>46056.0</v>
      </c>
      <c r="H2135" s="472">
        <v>17.0</v>
      </c>
      <c r="I2135" s="472" t="s">
        <v>2890</v>
      </c>
      <c r="J2135" s="34" t="s">
        <v>2065</v>
      </c>
      <c r="K2135" s="19"/>
      <c r="L2135" s="12" t="s">
        <v>5035</v>
      </c>
      <c r="M2135" s="19"/>
      <c r="N2135" s="19"/>
      <c r="O2135" s="34" t="s">
        <v>7270</v>
      </c>
      <c r="P2135" s="19"/>
    </row>
    <row r="2136" hidden="1">
      <c r="A2136" s="128">
        <v>10.0</v>
      </c>
      <c r="B2136" s="595" t="s">
        <v>7496</v>
      </c>
      <c r="C2136" s="472" t="s">
        <v>1185</v>
      </c>
      <c r="D2136" s="472" t="s">
        <v>7497</v>
      </c>
      <c r="E2136" s="472" t="s">
        <v>7498</v>
      </c>
      <c r="F2136" s="472" t="s">
        <v>25</v>
      </c>
      <c r="G2136" s="711">
        <v>46084.0</v>
      </c>
      <c r="H2136" s="472">
        <v>18.0</v>
      </c>
      <c r="I2136" s="540" t="s">
        <v>3465</v>
      </c>
      <c r="J2136" s="34" t="s">
        <v>7489</v>
      </c>
      <c r="K2136" s="34" t="s">
        <v>7188</v>
      </c>
      <c r="L2136" s="12" t="s">
        <v>4195</v>
      </c>
      <c r="M2136" s="19"/>
      <c r="N2136" s="19"/>
      <c r="O2136" s="71">
        <v>46298.0</v>
      </c>
      <c r="P2136" s="587" t="s">
        <v>1432</v>
      </c>
    </row>
    <row r="2137" hidden="1">
      <c r="A2137" s="128">
        <v>11.0</v>
      </c>
      <c r="B2137" s="595" t="s">
        <v>7499</v>
      </c>
      <c r="C2137" s="472" t="s">
        <v>1185</v>
      </c>
      <c r="D2137" s="472" t="s">
        <v>7500</v>
      </c>
      <c r="E2137" s="472" t="s">
        <v>7501</v>
      </c>
      <c r="F2137" s="472" t="s">
        <v>25</v>
      </c>
      <c r="G2137" s="711">
        <v>46084.0</v>
      </c>
      <c r="H2137" s="472">
        <v>18.0</v>
      </c>
      <c r="I2137" s="472" t="s">
        <v>2890</v>
      </c>
      <c r="J2137" s="34" t="s">
        <v>7489</v>
      </c>
      <c r="K2137" s="34" t="s">
        <v>7188</v>
      </c>
      <c r="L2137" s="12" t="s">
        <v>51</v>
      </c>
      <c r="M2137" s="19"/>
      <c r="N2137" s="19"/>
      <c r="O2137" s="148">
        <v>46145.0</v>
      </c>
      <c r="P2137" s="587" t="s">
        <v>1432</v>
      </c>
    </row>
    <row r="2138" hidden="1">
      <c r="A2138" s="128">
        <v>12.0</v>
      </c>
      <c r="B2138" s="595" t="s">
        <v>7502</v>
      </c>
      <c r="C2138" s="472" t="s">
        <v>80</v>
      </c>
      <c r="D2138" s="472" t="s">
        <v>7503</v>
      </c>
      <c r="E2138" s="472" t="s">
        <v>7504</v>
      </c>
      <c r="F2138" s="472" t="s">
        <v>5436</v>
      </c>
      <c r="G2138" s="711">
        <v>46056.0</v>
      </c>
      <c r="H2138" s="472">
        <v>17.0</v>
      </c>
      <c r="I2138" s="472" t="s">
        <v>2890</v>
      </c>
      <c r="J2138" s="34" t="s">
        <v>7505</v>
      </c>
      <c r="K2138" s="34" t="s">
        <v>7506</v>
      </c>
      <c r="L2138" s="12" t="s">
        <v>5035</v>
      </c>
      <c r="M2138" s="19"/>
      <c r="N2138" s="19"/>
      <c r="O2138" s="34" t="s">
        <v>7270</v>
      </c>
      <c r="P2138" s="587" t="s">
        <v>1432</v>
      </c>
    </row>
    <row r="2139" hidden="1">
      <c r="A2139" s="128">
        <v>13.0</v>
      </c>
      <c r="B2139" s="595" t="s">
        <v>7507</v>
      </c>
      <c r="C2139" s="472" t="s">
        <v>938</v>
      </c>
      <c r="D2139" s="472" t="s">
        <v>7508</v>
      </c>
      <c r="E2139" s="667" t="s">
        <v>7509</v>
      </c>
      <c r="F2139" s="472" t="s">
        <v>243</v>
      </c>
      <c r="G2139" s="711">
        <v>46084.0</v>
      </c>
      <c r="H2139" s="472">
        <v>18.0</v>
      </c>
      <c r="I2139" s="472" t="s">
        <v>2890</v>
      </c>
      <c r="J2139" s="34" t="s">
        <v>2541</v>
      </c>
      <c r="K2139" s="34" t="s">
        <v>6959</v>
      </c>
      <c r="L2139" s="12" t="s">
        <v>51</v>
      </c>
      <c r="M2139" s="19"/>
      <c r="N2139" s="34" t="s">
        <v>7510</v>
      </c>
      <c r="O2139" s="148">
        <v>46176.0</v>
      </c>
      <c r="P2139" s="587" t="s">
        <v>1432</v>
      </c>
    </row>
    <row r="2140" hidden="1">
      <c r="A2140" s="128">
        <v>14.0</v>
      </c>
      <c r="B2140" s="595" t="s">
        <v>7511</v>
      </c>
      <c r="C2140" s="472" t="s">
        <v>938</v>
      </c>
      <c r="D2140" s="472" t="s">
        <v>7512</v>
      </c>
      <c r="E2140" s="667" t="s">
        <v>7513</v>
      </c>
      <c r="F2140" s="472" t="s">
        <v>243</v>
      </c>
      <c r="G2140" s="711">
        <v>46084.0</v>
      </c>
      <c r="H2140" s="472">
        <v>18.0</v>
      </c>
      <c r="I2140" s="472" t="s">
        <v>2890</v>
      </c>
      <c r="J2140" s="34" t="s">
        <v>2541</v>
      </c>
      <c r="K2140" s="34" t="s">
        <v>6959</v>
      </c>
      <c r="L2140" s="12" t="s">
        <v>51</v>
      </c>
      <c r="M2140" s="19"/>
      <c r="N2140" s="34" t="s">
        <v>7510</v>
      </c>
      <c r="O2140" s="148">
        <v>46176.0</v>
      </c>
      <c r="P2140" s="587" t="s">
        <v>1432</v>
      </c>
    </row>
    <row r="2141" hidden="1">
      <c r="A2141" s="128">
        <v>15.0</v>
      </c>
      <c r="B2141" s="595" t="s">
        <v>7514</v>
      </c>
      <c r="C2141" s="472" t="s">
        <v>80</v>
      </c>
      <c r="D2141" s="472" t="s">
        <v>7515</v>
      </c>
      <c r="E2141" s="472" t="s">
        <v>7516</v>
      </c>
      <c r="F2141" s="472" t="s">
        <v>4358</v>
      </c>
      <c r="G2141" s="711">
        <v>46084.0</v>
      </c>
      <c r="H2141" s="472">
        <v>18.0</v>
      </c>
      <c r="I2141" s="472" t="s">
        <v>2890</v>
      </c>
      <c r="J2141" s="19"/>
      <c r="K2141" s="19"/>
      <c r="L2141" s="12" t="s">
        <v>4195</v>
      </c>
      <c r="M2141" s="19"/>
      <c r="N2141" s="19"/>
      <c r="O2141" s="34" t="s">
        <v>7517</v>
      </c>
      <c r="P2141" s="19"/>
    </row>
    <row r="2142" hidden="1">
      <c r="A2142" s="128">
        <v>16.0</v>
      </c>
      <c r="B2142" s="595" t="s">
        <v>7518</v>
      </c>
      <c r="C2142" s="472" t="s">
        <v>1185</v>
      </c>
      <c r="D2142" s="472" t="s">
        <v>7519</v>
      </c>
      <c r="E2142" s="472" t="s">
        <v>7520</v>
      </c>
      <c r="F2142" s="472" t="s">
        <v>25</v>
      </c>
      <c r="G2142" s="711">
        <v>46115.0</v>
      </c>
      <c r="H2142" s="472">
        <v>19.0</v>
      </c>
      <c r="I2142" s="540" t="s">
        <v>3465</v>
      </c>
      <c r="J2142" s="34" t="s">
        <v>7505</v>
      </c>
      <c r="K2142" s="34" t="s">
        <v>7506</v>
      </c>
      <c r="L2142" s="12" t="s">
        <v>5035</v>
      </c>
      <c r="M2142" s="19"/>
      <c r="N2142" s="19"/>
      <c r="O2142" s="34" t="s">
        <v>7270</v>
      </c>
      <c r="P2142" s="587" t="s">
        <v>1432</v>
      </c>
    </row>
    <row r="2143" hidden="1">
      <c r="A2143" s="128">
        <v>17.0</v>
      </c>
      <c r="B2143" s="595" t="s">
        <v>7521</v>
      </c>
      <c r="C2143" s="472" t="s">
        <v>80</v>
      </c>
      <c r="D2143" s="472" t="s">
        <v>7522</v>
      </c>
      <c r="E2143" s="472" t="s">
        <v>7523</v>
      </c>
      <c r="F2143" s="472" t="s">
        <v>7524</v>
      </c>
      <c r="G2143" s="711">
        <v>46056.0</v>
      </c>
      <c r="H2143" s="472">
        <v>17.0</v>
      </c>
      <c r="I2143" s="472" t="s">
        <v>2890</v>
      </c>
      <c r="J2143" s="19"/>
      <c r="K2143" s="19"/>
      <c r="L2143" s="12" t="s">
        <v>7525</v>
      </c>
      <c r="M2143" s="19"/>
      <c r="N2143" s="19"/>
      <c r="O2143" s="34" t="s">
        <v>7526</v>
      </c>
      <c r="P2143" s="587" t="s">
        <v>1432</v>
      </c>
    </row>
    <row r="2144" hidden="1">
      <c r="A2144" s="128">
        <v>18.0</v>
      </c>
      <c r="B2144" s="595" t="s">
        <v>7527</v>
      </c>
      <c r="C2144" s="472" t="s">
        <v>1058</v>
      </c>
      <c r="D2144" s="472" t="s">
        <v>7528</v>
      </c>
      <c r="E2144" s="667" t="s">
        <v>7529</v>
      </c>
      <c r="F2144" s="472" t="s">
        <v>535</v>
      </c>
      <c r="G2144" s="711">
        <v>46084.0</v>
      </c>
      <c r="H2144" s="472">
        <v>18.0</v>
      </c>
      <c r="I2144" s="472" t="s">
        <v>2890</v>
      </c>
      <c r="J2144" s="34" t="s">
        <v>7489</v>
      </c>
      <c r="K2144" s="34" t="s">
        <v>7188</v>
      </c>
      <c r="L2144" s="12" t="s">
        <v>5035</v>
      </c>
      <c r="M2144" s="19"/>
      <c r="N2144" s="19"/>
      <c r="O2144" s="71">
        <v>46115.0</v>
      </c>
      <c r="P2144" s="587" t="s">
        <v>1432</v>
      </c>
    </row>
    <row r="2145" hidden="1">
      <c r="A2145" s="128">
        <v>19.0</v>
      </c>
      <c r="B2145" s="595" t="s">
        <v>7530</v>
      </c>
      <c r="C2145" s="472" t="s">
        <v>80</v>
      </c>
      <c r="D2145" s="472" t="s">
        <v>7531</v>
      </c>
      <c r="E2145" s="667" t="s">
        <v>7532</v>
      </c>
      <c r="F2145" s="472" t="s">
        <v>535</v>
      </c>
      <c r="G2145" s="711">
        <v>46084.0</v>
      </c>
      <c r="H2145" s="472">
        <v>18.0</v>
      </c>
      <c r="I2145" s="472" t="s">
        <v>2890</v>
      </c>
      <c r="J2145" s="34" t="s">
        <v>7489</v>
      </c>
      <c r="K2145" s="34" t="s">
        <v>7188</v>
      </c>
      <c r="L2145" s="12" t="s">
        <v>5035</v>
      </c>
      <c r="M2145" s="19"/>
      <c r="N2145" s="19"/>
      <c r="O2145" s="71">
        <v>46115.0</v>
      </c>
      <c r="P2145" s="587" t="s">
        <v>1432</v>
      </c>
    </row>
    <row r="2146" hidden="1">
      <c r="A2146" s="128">
        <v>20.0</v>
      </c>
      <c r="B2146" s="595" t="s">
        <v>7533</v>
      </c>
      <c r="C2146" s="472" t="s">
        <v>80</v>
      </c>
      <c r="D2146" s="472" t="s">
        <v>7534</v>
      </c>
      <c r="E2146" s="667" t="s">
        <v>7535</v>
      </c>
      <c r="F2146" s="472" t="s">
        <v>586</v>
      </c>
      <c r="G2146" s="711">
        <v>46056.0</v>
      </c>
      <c r="H2146" s="472">
        <v>8.0</v>
      </c>
      <c r="I2146" s="472" t="s">
        <v>2890</v>
      </c>
      <c r="J2146" s="34" t="s">
        <v>7536</v>
      </c>
      <c r="K2146" s="34" t="s">
        <v>6999</v>
      </c>
      <c r="L2146" s="12" t="s">
        <v>4195</v>
      </c>
      <c r="M2146" s="19"/>
      <c r="N2146" s="19"/>
      <c r="O2146" s="34" t="s">
        <v>7270</v>
      </c>
      <c r="P2146" s="634" t="s">
        <v>4937</v>
      </c>
    </row>
    <row r="2147" hidden="1">
      <c r="A2147" s="128">
        <v>21.0</v>
      </c>
      <c r="B2147" s="595" t="s">
        <v>7537</v>
      </c>
      <c r="C2147" s="472" t="s">
        <v>80</v>
      </c>
      <c r="D2147" s="472" t="s">
        <v>7538</v>
      </c>
      <c r="E2147" s="667" t="s">
        <v>7539</v>
      </c>
      <c r="F2147" s="472" t="s">
        <v>586</v>
      </c>
      <c r="G2147" s="711">
        <v>46056.0</v>
      </c>
      <c r="H2147" s="472">
        <v>8.0</v>
      </c>
      <c r="I2147" s="472" t="s">
        <v>2890</v>
      </c>
      <c r="J2147" s="34" t="s">
        <v>7536</v>
      </c>
      <c r="K2147" s="34" t="s">
        <v>6999</v>
      </c>
      <c r="L2147" s="12" t="s">
        <v>4195</v>
      </c>
      <c r="M2147" s="19"/>
      <c r="N2147" s="19"/>
      <c r="O2147" s="34" t="s">
        <v>7270</v>
      </c>
      <c r="P2147" s="634" t="s">
        <v>4937</v>
      </c>
    </row>
    <row r="2148" hidden="1">
      <c r="A2148" s="128">
        <v>22.0</v>
      </c>
      <c r="B2148" s="595" t="s">
        <v>7540</v>
      </c>
      <c r="C2148" s="472" t="s">
        <v>80</v>
      </c>
      <c r="D2148" s="472" t="s">
        <v>7541</v>
      </c>
      <c r="E2148" s="472" t="s">
        <v>7542</v>
      </c>
      <c r="F2148" s="472" t="s">
        <v>6031</v>
      </c>
      <c r="G2148" s="711">
        <v>46056.0</v>
      </c>
      <c r="H2148" s="472">
        <v>8.0</v>
      </c>
      <c r="I2148" s="472" t="s">
        <v>2890</v>
      </c>
      <c r="J2148" s="34" t="s">
        <v>6958</v>
      </c>
      <c r="K2148" s="34" t="s">
        <v>6988</v>
      </c>
      <c r="L2148" s="12" t="s">
        <v>5035</v>
      </c>
      <c r="M2148" s="19"/>
      <c r="N2148" s="19"/>
      <c r="O2148" s="34" t="s">
        <v>7346</v>
      </c>
      <c r="P2148" s="587" t="s">
        <v>1432</v>
      </c>
    </row>
    <row r="2149" hidden="1">
      <c r="A2149" s="128">
        <v>23.0</v>
      </c>
      <c r="B2149" s="595" t="s">
        <v>7543</v>
      </c>
      <c r="C2149" s="472" t="s">
        <v>80</v>
      </c>
      <c r="D2149" s="472" t="s">
        <v>7544</v>
      </c>
      <c r="E2149" s="599" t="s">
        <v>7545</v>
      </c>
      <c r="F2149" s="472" t="s">
        <v>3928</v>
      </c>
      <c r="G2149" s="12" t="s">
        <v>7218</v>
      </c>
      <c r="H2149" s="472">
        <v>13.0</v>
      </c>
      <c r="I2149" s="472" t="s">
        <v>2890</v>
      </c>
      <c r="J2149" s="34" t="s">
        <v>51</v>
      </c>
      <c r="K2149" s="34" t="s">
        <v>7213</v>
      </c>
      <c r="L2149" s="14"/>
      <c r="M2149" s="19"/>
      <c r="N2149" s="19"/>
      <c r="O2149" s="648">
        <v>46081.0</v>
      </c>
      <c r="P2149" s="19"/>
    </row>
    <row r="2150" ht="18.75" hidden="1" customHeight="1">
      <c r="A2150" s="128">
        <v>24.0</v>
      </c>
      <c r="B2150" s="595" t="s">
        <v>7546</v>
      </c>
      <c r="C2150" s="472" t="s">
        <v>80</v>
      </c>
      <c r="D2150" s="472" t="s">
        <v>7547</v>
      </c>
      <c r="E2150" s="599" t="s">
        <v>7548</v>
      </c>
      <c r="F2150" s="472" t="s">
        <v>3928</v>
      </c>
      <c r="G2150" s="12" t="s">
        <v>7218</v>
      </c>
      <c r="H2150" s="472">
        <v>13.0</v>
      </c>
      <c r="I2150" s="472" t="s">
        <v>2890</v>
      </c>
      <c r="J2150" s="34" t="s">
        <v>51</v>
      </c>
      <c r="K2150" s="34" t="s">
        <v>7213</v>
      </c>
      <c r="L2150" s="14"/>
      <c r="M2150" s="19"/>
      <c r="N2150" s="19"/>
      <c r="O2150" s="648">
        <v>46081.0</v>
      </c>
      <c r="P2150" s="19"/>
    </row>
    <row r="2151" hidden="1">
      <c r="A2151" s="339" t="s">
        <v>7549</v>
      </c>
    </row>
    <row r="2152" hidden="1">
      <c r="A2152" s="670" t="s">
        <v>47</v>
      </c>
      <c r="B2152" s="670" t="s">
        <v>7</v>
      </c>
      <c r="C2152" s="670" t="s">
        <v>9</v>
      </c>
      <c r="D2152" s="670" t="s">
        <v>10</v>
      </c>
      <c r="E2152" s="670" t="s">
        <v>11</v>
      </c>
      <c r="F2152" s="670" t="s">
        <v>12</v>
      </c>
      <c r="G2152" s="670" t="s">
        <v>2378</v>
      </c>
      <c r="H2152" s="670" t="s">
        <v>2681</v>
      </c>
      <c r="I2152" s="4" t="s">
        <v>2847</v>
      </c>
      <c r="J2152" s="8" t="s">
        <v>14</v>
      </c>
      <c r="K2152" s="9" t="s">
        <v>16</v>
      </c>
      <c r="L2152" s="9" t="s">
        <v>4330</v>
      </c>
      <c r="M2152" s="9" t="s">
        <v>18</v>
      </c>
      <c r="N2152" s="9" t="s">
        <v>19</v>
      </c>
      <c r="O2152" s="9" t="s">
        <v>20</v>
      </c>
      <c r="P2152" s="9" t="s">
        <v>21</v>
      </c>
      <c r="Q2152" s="35"/>
      <c r="R2152" s="35"/>
      <c r="S2152" s="35"/>
      <c r="T2152" s="35"/>
      <c r="U2152" s="35"/>
      <c r="V2152" s="35"/>
      <c r="W2152" s="35"/>
      <c r="X2152" s="35"/>
      <c r="Y2152" s="35"/>
      <c r="Z2152" s="35"/>
      <c r="AA2152" s="35"/>
      <c r="AB2152" s="35"/>
      <c r="AC2152" s="35"/>
      <c r="AD2152" s="35"/>
      <c r="AE2152" s="35"/>
      <c r="AF2152" s="35"/>
    </row>
    <row r="2153" hidden="1">
      <c r="A2153" s="574">
        <v>1.0</v>
      </c>
      <c r="B2153" s="601" t="s">
        <v>7550</v>
      </c>
      <c r="C2153" s="574" t="s">
        <v>80</v>
      </c>
      <c r="D2153" s="495" t="s">
        <v>7551</v>
      </c>
      <c r="E2153" s="574" t="s">
        <v>7552</v>
      </c>
      <c r="F2153" s="574" t="s">
        <v>4405</v>
      </c>
      <c r="G2153" s="645"/>
      <c r="H2153" s="645"/>
      <c r="I2153" s="355"/>
      <c r="J2153" s="143" t="s">
        <v>3066</v>
      </c>
      <c r="K2153" s="143" t="s">
        <v>6932</v>
      </c>
      <c r="L2153" s="140"/>
      <c r="O2153" s="143" t="s">
        <v>6967</v>
      </c>
      <c r="P2153" s="587" t="s">
        <v>1432</v>
      </c>
    </row>
    <row r="2154" hidden="1">
      <c r="A2154" s="574">
        <v>2.0</v>
      </c>
      <c r="B2154" s="601" t="s">
        <v>7553</v>
      </c>
      <c r="C2154" s="574" t="s">
        <v>80</v>
      </c>
      <c r="D2154" s="495" t="s">
        <v>7554</v>
      </c>
      <c r="E2154" s="574" t="s">
        <v>7555</v>
      </c>
      <c r="F2154" s="574" t="s">
        <v>4358</v>
      </c>
      <c r="G2154" s="702">
        <v>46176.0</v>
      </c>
      <c r="H2154" s="495">
        <v>18.0</v>
      </c>
      <c r="I2154" s="29"/>
      <c r="J2154" s="19"/>
      <c r="K2154" s="19"/>
      <c r="L2154" s="12" t="s">
        <v>374</v>
      </c>
      <c r="M2154" s="19"/>
      <c r="N2154" s="19"/>
      <c r="O2154" s="148">
        <v>46329.0</v>
      </c>
      <c r="P2154" s="587" t="s">
        <v>1432</v>
      </c>
    </row>
    <row r="2155" hidden="1">
      <c r="A2155" s="574">
        <v>3.0</v>
      </c>
      <c r="B2155" s="601" t="s">
        <v>7556</v>
      </c>
      <c r="C2155" s="574" t="s">
        <v>80</v>
      </c>
      <c r="D2155" s="495" t="s">
        <v>7557</v>
      </c>
      <c r="E2155" s="599" t="s">
        <v>44</v>
      </c>
      <c r="F2155" s="574" t="s">
        <v>44</v>
      </c>
      <c r="G2155" s="702">
        <v>46084.0</v>
      </c>
      <c r="H2155" s="495">
        <v>15.0</v>
      </c>
      <c r="I2155" s="29"/>
      <c r="J2155" s="34" t="s">
        <v>3066</v>
      </c>
      <c r="K2155" s="34" t="s">
        <v>6932</v>
      </c>
      <c r="L2155" s="14"/>
      <c r="M2155" s="19"/>
      <c r="N2155" s="19"/>
      <c r="O2155" s="34" t="s">
        <v>6999</v>
      </c>
      <c r="P2155" s="19"/>
    </row>
    <row r="2156" hidden="1">
      <c r="A2156" s="472">
        <v>4.0</v>
      </c>
      <c r="B2156" s="595" t="s">
        <v>7558</v>
      </c>
      <c r="C2156" s="472" t="s">
        <v>2307</v>
      </c>
      <c r="D2156" s="12" t="s">
        <v>7559</v>
      </c>
      <c r="E2156" s="472" t="s">
        <v>7560</v>
      </c>
      <c r="F2156" s="472" t="s">
        <v>4358</v>
      </c>
      <c r="G2156" s="472" t="s">
        <v>7068</v>
      </c>
      <c r="H2156" s="12">
        <v>12.0</v>
      </c>
      <c r="I2156" s="29"/>
      <c r="J2156" s="34" t="s">
        <v>7561</v>
      </c>
      <c r="K2156" s="34" t="s">
        <v>6999</v>
      </c>
      <c r="L2156" s="12" t="s">
        <v>4195</v>
      </c>
      <c r="M2156" s="19"/>
      <c r="N2156" s="19"/>
      <c r="O2156" s="71">
        <v>46056.0</v>
      </c>
      <c r="P2156" s="587" t="s">
        <v>1432</v>
      </c>
    </row>
    <row r="2157" hidden="1">
      <c r="A2157" s="472">
        <v>5.0</v>
      </c>
      <c r="B2157" s="595" t="s">
        <v>7562</v>
      </c>
      <c r="C2157" s="472" t="s">
        <v>1246</v>
      </c>
      <c r="D2157" s="12" t="s">
        <v>7563</v>
      </c>
      <c r="E2157" s="472" t="s">
        <v>7564</v>
      </c>
      <c r="F2157" s="472" t="s">
        <v>6325</v>
      </c>
      <c r="G2157" s="472" t="s">
        <v>7565</v>
      </c>
      <c r="H2157" s="12">
        <v>8.0</v>
      </c>
      <c r="I2157" s="29"/>
      <c r="J2157" s="19"/>
      <c r="K2157" s="19"/>
      <c r="L2157" s="14"/>
      <c r="M2157" s="19"/>
      <c r="N2157" s="19"/>
      <c r="O2157" s="34" t="s">
        <v>7566</v>
      </c>
      <c r="P2157" s="19"/>
    </row>
    <row r="2158" hidden="1">
      <c r="A2158" s="472">
        <v>6.0</v>
      </c>
      <c r="B2158" s="595" t="s">
        <v>7567</v>
      </c>
      <c r="C2158" s="472" t="s">
        <v>1246</v>
      </c>
      <c r="D2158" s="12" t="s">
        <v>7568</v>
      </c>
      <c r="E2158" s="472" t="s">
        <v>7569</v>
      </c>
      <c r="F2158" s="472" t="s">
        <v>6325</v>
      </c>
      <c r="G2158" s="472" t="s">
        <v>7565</v>
      </c>
      <c r="H2158" s="12">
        <v>8.0</v>
      </c>
      <c r="I2158" s="29"/>
      <c r="J2158" s="19"/>
      <c r="K2158" s="19"/>
      <c r="L2158" s="14"/>
      <c r="M2158" s="19"/>
      <c r="N2158" s="19"/>
      <c r="O2158" s="34" t="s">
        <v>7566</v>
      </c>
      <c r="P2158" s="19"/>
    </row>
    <row r="2159" hidden="1">
      <c r="A2159" s="472">
        <v>7.0</v>
      </c>
      <c r="B2159" s="595" t="s">
        <v>7570</v>
      </c>
      <c r="C2159" s="472" t="s">
        <v>80</v>
      </c>
      <c r="D2159" s="12" t="s">
        <v>7571</v>
      </c>
      <c r="E2159" s="472" t="s">
        <v>7572</v>
      </c>
      <c r="F2159" s="472" t="s">
        <v>243</v>
      </c>
      <c r="G2159" s="474">
        <v>46145.0</v>
      </c>
      <c r="H2159" s="12">
        <v>17.0</v>
      </c>
      <c r="I2159" s="29"/>
      <c r="J2159" s="34" t="s">
        <v>7536</v>
      </c>
      <c r="K2159" s="34" t="s">
        <v>7036</v>
      </c>
      <c r="L2159" s="12" t="s">
        <v>4195</v>
      </c>
      <c r="M2159" s="19"/>
      <c r="N2159" s="19"/>
      <c r="O2159" s="34" t="s">
        <v>7270</v>
      </c>
      <c r="P2159" s="587" t="s">
        <v>1432</v>
      </c>
    </row>
    <row r="2160" hidden="1">
      <c r="A2160" s="472">
        <v>8.0</v>
      </c>
      <c r="B2160" s="595" t="s">
        <v>7573</v>
      </c>
      <c r="C2160" s="472" t="s">
        <v>1185</v>
      </c>
      <c r="D2160" s="12" t="s">
        <v>7574</v>
      </c>
      <c r="E2160" s="472" t="s">
        <v>7575</v>
      </c>
      <c r="F2160" s="472" t="s">
        <v>25</v>
      </c>
      <c r="G2160" s="474">
        <v>46145.0</v>
      </c>
      <c r="H2160" s="12">
        <v>17.0</v>
      </c>
      <c r="I2160" s="29"/>
      <c r="J2160" s="34" t="s">
        <v>7326</v>
      </c>
      <c r="K2160" s="34" t="s">
        <v>7036</v>
      </c>
      <c r="L2160" s="12" t="s">
        <v>374</v>
      </c>
      <c r="M2160" s="19"/>
      <c r="N2160" s="19"/>
      <c r="O2160" s="71">
        <v>46298.0</v>
      </c>
      <c r="P2160" s="587" t="s">
        <v>1432</v>
      </c>
    </row>
    <row r="2161" hidden="1">
      <c r="A2161" s="472">
        <v>9.0</v>
      </c>
      <c r="B2161" s="595" t="s">
        <v>7576</v>
      </c>
      <c r="C2161" s="472" t="s">
        <v>80</v>
      </c>
      <c r="D2161" s="12" t="s">
        <v>7577</v>
      </c>
      <c r="E2161" s="712" t="s">
        <v>7578</v>
      </c>
      <c r="F2161" s="472" t="s">
        <v>7579</v>
      </c>
      <c r="G2161" s="474">
        <v>46145.0</v>
      </c>
      <c r="H2161" s="12">
        <v>17.0</v>
      </c>
      <c r="I2161" s="29"/>
      <c r="J2161" s="19"/>
      <c r="K2161" s="19"/>
      <c r="L2161" s="12" t="s">
        <v>51</v>
      </c>
      <c r="M2161" s="19"/>
      <c r="N2161" s="34" t="s">
        <v>7580</v>
      </c>
      <c r="O2161" s="148">
        <v>46116.0</v>
      </c>
      <c r="P2161" s="587" t="s">
        <v>1432</v>
      </c>
    </row>
    <row r="2162" hidden="1">
      <c r="A2162" s="472">
        <v>10.0</v>
      </c>
      <c r="B2162" s="595" t="s">
        <v>7581</v>
      </c>
      <c r="C2162" s="472" t="s">
        <v>80</v>
      </c>
      <c r="D2162" s="12" t="s">
        <v>7582</v>
      </c>
      <c r="E2162" s="712" t="s">
        <v>7583</v>
      </c>
      <c r="F2162" s="472" t="s">
        <v>7579</v>
      </c>
      <c r="G2162" s="474">
        <v>46145.0</v>
      </c>
      <c r="H2162" s="12">
        <v>17.0</v>
      </c>
      <c r="I2162" s="29"/>
      <c r="J2162" s="19"/>
      <c r="K2162" s="19"/>
      <c r="L2162" s="12" t="s">
        <v>51</v>
      </c>
      <c r="M2162" s="19"/>
      <c r="N2162" s="34" t="s">
        <v>7580</v>
      </c>
      <c r="O2162" s="148">
        <v>46116.0</v>
      </c>
      <c r="P2162" s="587" t="s">
        <v>1432</v>
      </c>
    </row>
    <row r="2163" hidden="1">
      <c r="A2163" s="472">
        <v>11.0</v>
      </c>
      <c r="B2163" s="595" t="s">
        <v>7584</v>
      </c>
      <c r="C2163" s="472" t="s">
        <v>80</v>
      </c>
      <c r="D2163" s="12" t="s">
        <v>7585</v>
      </c>
      <c r="E2163" s="713" t="s">
        <v>7586</v>
      </c>
      <c r="F2163" s="472" t="s">
        <v>5712</v>
      </c>
      <c r="G2163" s="474">
        <v>46145.0</v>
      </c>
      <c r="H2163" s="12">
        <v>17.0</v>
      </c>
      <c r="I2163" s="29"/>
      <c r="J2163" s="34" t="s">
        <v>7587</v>
      </c>
      <c r="K2163" s="34" t="s">
        <v>6988</v>
      </c>
      <c r="L2163" s="12" t="s">
        <v>4195</v>
      </c>
      <c r="M2163" s="19"/>
      <c r="N2163" s="19"/>
      <c r="O2163" s="34" t="s">
        <v>7588</v>
      </c>
      <c r="P2163" s="587" t="s">
        <v>1432</v>
      </c>
    </row>
    <row r="2164" hidden="1">
      <c r="A2164" s="472">
        <v>12.0</v>
      </c>
      <c r="B2164" s="595" t="s">
        <v>7589</v>
      </c>
      <c r="C2164" s="472" t="s">
        <v>80</v>
      </c>
      <c r="D2164" s="12" t="s">
        <v>7590</v>
      </c>
      <c r="E2164" s="713" t="s">
        <v>7591</v>
      </c>
      <c r="F2164" s="472" t="s">
        <v>5712</v>
      </c>
      <c r="G2164" s="474">
        <v>46145.0</v>
      </c>
      <c r="H2164" s="12">
        <v>17.0</v>
      </c>
      <c r="I2164" s="29"/>
      <c r="J2164" s="34" t="s">
        <v>7587</v>
      </c>
      <c r="K2164" s="34" t="s">
        <v>6988</v>
      </c>
      <c r="L2164" s="12" t="s">
        <v>4195</v>
      </c>
      <c r="M2164" s="19"/>
      <c r="N2164" s="19"/>
      <c r="O2164" s="34" t="s">
        <v>7588</v>
      </c>
      <c r="P2164" s="587" t="s">
        <v>1432</v>
      </c>
    </row>
    <row r="2165" hidden="1">
      <c r="A2165" s="472">
        <v>13.0</v>
      </c>
      <c r="B2165" s="595" t="s">
        <v>7592</v>
      </c>
      <c r="C2165" s="472" t="s">
        <v>80</v>
      </c>
      <c r="D2165" s="12" t="s">
        <v>7593</v>
      </c>
      <c r="E2165" s="713" t="s">
        <v>7594</v>
      </c>
      <c r="F2165" s="472" t="s">
        <v>7595</v>
      </c>
      <c r="G2165" s="474">
        <v>46176.0</v>
      </c>
      <c r="H2165" s="12">
        <v>18.0</v>
      </c>
      <c r="I2165" s="29"/>
      <c r="J2165" s="34" t="s">
        <v>7536</v>
      </c>
      <c r="K2165" s="34" t="s">
        <v>7213</v>
      </c>
      <c r="L2165" s="12" t="s">
        <v>374</v>
      </c>
      <c r="M2165" s="19"/>
      <c r="N2165" s="19"/>
      <c r="O2165" s="34" t="s">
        <v>7270</v>
      </c>
      <c r="P2165" s="19"/>
    </row>
    <row r="2166" hidden="1">
      <c r="A2166" s="472">
        <v>14.0</v>
      </c>
      <c r="B2166" s="595" t="s">
        <v>7596</v>
      </c>
      <c r="C2166" s="472" t="s">
        <v>1058</v>
      </c>
      <c r="D2166" s="12" t="s">
        <v>7597</v>
      </c>
      <c r="E2166" s="713" t="s">
        <v>7598</v>
      </c>
      <c r="F2166" s="472" t="s">
        <v>7595</v>
      </c>
      <c r="G2166" s="474">
        <v>46176.0</v>
      </c>
      <c r="H2166" s="12">
        <v>18.0</v>
      </c>
      <c r="I2166" s="29"/>
      <c r="J2166" s="34" t="s">
        <v>7536</v>
      </c>
      <c r="K2166" s="34" t="s">
        <v>7213</v>
      </c>
      <c r="L2166" s="12" t="s">
        <v>374</v>
      </c>
      <c r="M2166" s="19"/>
      <c r="N2166" s="19"/>
      <c r="O2166" s="34" t="s">
        <v>7270</v>
      </c>
      <c r="P2166" s="19"/>
    </row>
    <row r="2167" hidden="1">
      <c r="A2167" s="472">
        <v>15.0</v>
      </c>
      <c r="B2167" s="595" t="s">
        <v>7599</v>
      </c>
      <c r="C2167" s="472" t="s">
        <v>80</v>
      </c>
      <c r="D2167" s="12" t="s">
        <v>7600</v>
      </c>
      <c r="E2167" s="713" t="s">
        <v>7601</v>
      </c>
      <c r="F2167" s="472" t="s">
        <v>436</v>
      </c>
      <c r="G2167" s="474">
        <v>46145.0</v>
      </c>
      <c r="H2167" s="12">
        <v>17.0</v>
      </c>
      <c r="I2167" s="29"/>
      <c r="J2167" s="34" t="s">
        <v>7536</v>
      </c>
      <c r="K2167" s="34" t="s">
        <v>7036</v>
      </c>
      <c r="L2167" s="12" t="s">
        <v>7602</v>
      </c>
      <c r="M2167" s="19"/>
      <c r="N2167" s="19"/>
      <c r="O2167" s="71">
        <v>46177.0</v>
      </c>
      <c r="P2167" s="587" t="s">
        <v>1432</v>
      </c>
    </row>
    <row r="2168" hidden="1">
      <c r="A2168" s="472">
        <v>16.0</v>
      </c>
      <c r="B2168" s="595" t="s">
        <v>7603</v>
      </c>
      <c r="C2168" s="472" t="s">
        <v>80</v>
      </c>
      <c r="D2168" s="12" t="s">
        <v>7604</v>
      </c>
      <c r="E2168" s="713" t="s">
        <v>7605</v>
      </c>
      <c r="F2168" s="472" t="s">
        <v>436</v>
      </c>
      <c r="G2168" s="474">
        <v>46145.0</v>
      </c>
      <c r="H2168" s="12">
        <v>17.0</v>
      </c>
      <c r="I2168" s="29"/>
      <c r="J2168" s="34" t="s">
        <v>7536</v>
      </c>
      <c r="K2168" s="34" t="s">
        <v>7036</v>
      </c>
      <c r="L2168" s="12" t="s">
        <v>7602</v>
      </c>
      <c r="M2168" s="19"/>
      <c r="N2168" s="19"/>
      <c r="O2168" s="71">
        <v>46177.0</v>
      </c>
      <c r="P2168" s="587" t="s">
        <v>1432</v>
      </c>
    </row>
    <row r="2169" hidden="1">
      <c r="A2169" s="472">
        <v>17.0</v>
      </c>
      <c r="B2169" s="595" t="s">
        <v>7606</v>
      </c>
      <c r="C2169" s="472" t="s">
        <v>80</v>
      </c>
      <c r="D2169" s="12" t="s">
        <v>7607</v>
      </c>
      <c r="E2169" s="713" t="s">
        <v>7608</v>
      </c>
      <c r="F2169" s="472" t="s">
        <v>436</v>
      </c>
      <c r="G2169" s="474">
        <v>46145.0</v>
      </c>
      <c r="H2169" s="12">
        <v>17.0</v>
      </c>
      <c r="I2169" s="29"/>
      <c r="J2169" s="12" t="s">
        <v>374</v>
      </c>
      <c r="K2169" s="148">
        <v>46298.0</v>
      </c>
      <c r="L2169" s="12" t="s">
        <v>374</v>
      </c>
      <c r="M2169" s="19"/>
      <c r="N2169" s="19"/>
      <c r="O2169" s="34" t="s">
        <v>6423</v>
      </c>
      <c r="P2169" s="587" t="s">
        <v>1432</v>
      </c>
    </row>
    <row r="2170" hidden="1">
      <c r="A2170" s="472">
        <v>18.0</v>
      </c>
      <c r="B2170" s="595" t="s">
        <v>7609</v>
      </c>
      <c r="C2170" s="472" t="s">
        <v>80</v>
      </c>
      <c r="D2170" s="12" t="s">
        <v>7610</v>
      </c>
      <c r="E2170" s="713" t="s">
        <v>7611</v>
      </c>
      <c r="F2170" s="472" t="s">
        <v>436</v>
      </c>
      <c r="G2170" s="474">
        <v>46145.0</v>
      </c>
      <c r="H2170" s="12">
        <v>17.0</v>
      </c>
      <c r="I2170" s="29"/>
      <c r="J2170" s="12" t="s">
        <v>374</v>
      </c>
      <c r="K2170" s="148">
        <v>46299.0</v>
      </c>
      <c r="L2170" s="12" t="s">
        <v>374</v>
      </c>
      <c r="M2170" s="19"/>
      <c r="N2170" s="19"/>
      <c r="O2170" s="34" t="s">
        <v>6423</v>
      </c>
      <c r="P2170" s="587" t="s">
        <v>1432</v>
      </c>
    </row>
    <row r="2171" hidden="1">
      <c r="A2171" s="472">
        <v>19.0</v>
      </c>
      <c r="B2171" s="595" t="s">
        <v>7612</v>
      </c>
      <c r="C2171" s="472" t="s">
        <v>80</v>
      </c>
      <c r="D2171" s="12" t="s">
        <v>7613</v>
      </c>
      <c r="E2171" s="713" t="s">
        <v>7614</v>
      </c>
      <c r="F2171" s="472" t="s">
        <v>436</v>
      </c>
      <c r="G2171" s="474">
        <v>46145.0</v>
      </c>
      <c r="H2171" s="12">
        <v>17.0</v>
      </c>
      <c r="I2171" s="29"/>
      <c r="J2171" s="12" t="s">
        <v>374</v>
      </c>
      <c r="K2171" s="148">
        <v>46300.0</v>
      </c>
      <c r="L2171" s="12" t="s">
        <v>374</v>
      </c>
      <c r="M2171" s="19"/>
      <c r="N2171" s="19"/>
      <c r="O2171" s="34" t="s">
        <v>6423</v>
      </c>
      <c r="P2171" s="587" t="s">
        <v>1432</v>
      </c>
    </row>
    <row r="2172" hidden="1">
      <c r="A2172" s="472">
        <v>20.0</v>
      </c>
      <c r="B2172" s="595" t="s">
        <v>7615</v>
      </c>
      <c r="C2172" s="472" t="s">
        <v>80</v>
      </c>
      <c r="D2172" s="12" t="s">
        <v>7616</v>
      </c>
      <c r="E2172" s="713" t="s">
        <v>7617</v>
      </c>
      <c r="F2172" s="472" t="s">
        <v>436</v>
      </c>
      <c r="G2172" s="474">
        <v>46145.0</v>
      </c>
      <c r="H2172" s="12">
        <v>17.0</v>
      </c>
      <c r="I2172" s="29"/>
      <c r="J2172" s="12" t="s">
        <v>374</v>
      </c>
      <c r="K2172" s="148">
        <v>46301.0</v>
      </c>
      <c r="L2172" s="12" t="s">
        <v>374</v>
      </c>
      <c r="M2172" s="19"/>
      <c r="N2172" s="19"/>
      <c r="O2172" s="34" t="s">
        <v>6423</v>
      </c>
      <c r="P2172" s="587" t="s">
        <v>1432</v>
      </c>
    </row>
    <row r="2173" hidden="1">
      <c r="A2173" s="472">
        <v>21.0</v>
      </c>
      <c r="B2173" s="595" t="s">
        <v>7618</v>
      </c>
      <c r="C2173" s="472" t="s">
        <v>80</v>
      </c>
      <c r="D2173" s="12" t="s">
        <v>7619</v>
      </c>
      <c r="E2173" s="713" t="s">
        <v>7620</v>
      </c>
      <c r="F2173" s="472" t="s">
        <v>7621</v>
      </c>
      <c r="G2173" s="474">
        <v>46145.0</v>
      </c>
      <c r="H2173" s="12">
        <v>17.0</v>
      </c>
      <c r="I2173" s="29"/>
      <c r="J2173" s="34" t="s">
        <v>7536</v>
      </c>
      <c r="K2173" s="34" t="s">
        <v>7036</v>
      </c>
      <c r="L2173" s="12" t="s">
        <v>51</v>
      </c>
      <c r="M2173" s="19"/>
      <c r="N2173" s="19"/>
      <c r="O2173" s="71">
        <v>46329.0</v>
      </c>
      <c r="P2173" s="587" t="s">
        <v>1432</v>
      </c>
    </row>
    <row r="2174" hidden="1">
      <c r="A2174" s="472">
        <v>22.0</v>
      </c>
      <c r="B2174" s="595" t="s">
        <v>7622</v>
      </c>
      <c r="C2174" s="472" t="s">
        <v>80</v>
      </c>
      <c r="D2174" s="12" t="s">
        <v>7623</v>
      </c>
      <c r="E2174" s="713" t="s">
        <v>7624</v>
      </c>
      <c r="F2174" s="472" t="s">
        <v>7621</v>
      </c>
      <c r="G2174" s="474">
        <v>46145.0</v>
      </c>
      <c r="H2174" s="12">
        <v>17.0</v>
      </c>
      <c r="I2174" s="29"/>
      <c r="J2174" s="34" t="s">
        <v>7536</v>
      </c>
      <c r="K2174" s="34" t="s">
        <v>7036</v>
      </c>
      <c r="L2174" s="12" t="s">
        <v>51</v>
      </c>
      <c r="M2174" s="19"/>
      <c r="N2174" s="19"/>
      <c r="O2174" s="71">
        <v>46329.0</v>
      </c>
      <c r="P2174" s="587" t="s">
        <v>1432</v>
      </c>
    </row>
    <row r="2175" ht="14.25" hidden="1" customHeight="1">
      <c r="A2175" s="472">
        <v>23.0</v>
      </c>
      <c r="B2175" s="595" t="s">
        <v>7625</v>
      </c>
      <c r="C2175" s="472" t="s">
        <v>80</v>
      </c>
      <c r="D2175" s="12" t="s">
        <v>7626</v>
      </c>
      <c r="E2175" s="472" t="s">
        <v>7627</v>
      </c>
      <c r="F2175" s="472" t="s">
        <v>6031</v>
      </c>
      <c r="G2175" s="474">
        <v>46206.0</v>
      </c>
      <c r="H2175" s="12">
        <v>19.0</v>
      </c>
      <c r="I2175" s="29"/>
      <c r="J2175" s="34" t="s">
        <v>7628</v>
      </c>
      <c r="K2175" s="19"/>
      <c r="L2175" s="12" t="s">
        <v>374</v>
      </c>
      <c r="M2175" s="19"/>
      <c r="N2175" s="19"/>
      <c r="O2175" s="34" t="s">
        <v>7346</v>
      </c>
      <c r="P2175" s="587" t="s">
        <v>1432</v>
      </c>
    </row>
    <row r="2176" hidden="1">
      <c r="A2176" s="472">
        <v>24.0</v>
      </c>
      <c r="B2176" s="595" t="s">
        <v>7629</v>
      </c>
      <c r="C2176" s="472" t="s">
        <v>80</v>
      </c>
      <c r="D2176" s="12" t="s">
        <v>7630</v>
      </c>
      <c r="E2176" s="472" t="s">
        <v>7631</v>
      </c>
      <c r="F2176" s="472" t="s">
        <v>6031</v>
      </c>
      <c r="G2176" s="474">
        <v>46206.0</v>
      </c>
      <c r="H2176" s="12">
        <v>19.0</v>
      </c>
      <c r="I2176" s="29"/>
      <c r="J2176" s="34" t="s">
        <v>7632</v>
      </c>
      <c r="K2176" s="34" t="s">
        <v>6999</v>
      </c>
      <c r="L2176" s="12" t="s">
        <v>51</v>
      </c>
      <c r="M2176" s="19"/>
      <c r="N2176" s="19"/>
      <c r="O2176" s="148">
        <v>46329.0</v>
      </c>
      <c r="P2176" s="587" t="s">
        <v>1432</v>
      </c>
    </row>
    <row r="2177" hidden="1">
      <c r="A2177" s="472">
        <v>25.0</v>
      </c>
      <c r="B2177" s="595" t="s">
        <v>7633</v>
      </c>
      <c r="C2177" s="472" t="s">
        <v>80</v>
      </c>
      <c r="D2177" s="12" t="s">
        <v>7634</v>
      </c>
      <c r="E2177" s="714" t="s">
        <v>7635</v>
      </c>
      <c r="F2177" s="472" t="s">
        <v>4358</v>
      </c>
      <c r="G2177" s="474">
        <v>46176.0</v>
      </c>
      <c r="H2177" s="12">
        <v>18.0</v>
      </c>
      <c r="I2177" s="29"/>
      <c r="J2177" s="34" t="s">
        <v>2541</v>
      </c>
      <c r="K2177" s="19"/>
      <c r="L2177" s="12" t="s">
        <v>374</v>
      </c>
      <c r="M2177" s="19"/>
      <c r="N2177" s="19"/>
      <c r="O2177" s="71">
        <v>46329.0</v>
      </c>
      <c r="P2177" s="587" t="s">
        <v>1432</v>
      </c>
    </row>
    <row r="2178" hidden="1">
      <c r="A2178" s="472">
        <v>26.0</v>
      </c>
      <c r="B2178" s="595" t="s">
        <v>7636</v>
      </c>
      <c r="C2178" s="472" t="s">
        <v>80</v>
      </c>
      <c r="D2178" s="12" t="s">
        <v>7637</v>
      </c>
      <c r="E2178" s="713" t="s">
        <v>7638</v>
      </c>
      <c r="F2178" s="472" t="s">
        <v>5149</v>
      </c>
      <c r="G2178" s="474">
        <v>46056.0</v>
      </c>
      <c r="H2178" s="12">
        <v>14.0</v>
      </c>
      <c r="I2178" s="29"/>
      <c r="J2178" s="34" t="s">
        <v>7639</v>
      </c>
      <c r="K2178" s="34" t="s">
        <v>6999</v>
      </c>
      <c r="L2178" s="12" t="s">
        <v>4195</v>
      </c>
      <c r="M2178" s="19"/>
      <c r="N2178" s="19"/>
      <c r="O2178" s="71">
        <v>46298.0</v>
      </c>
      <c r="P2178" s="19"/>
    </row>
    <row r="2179" hidden="1">
      <c r="A2179" s="472">
        <v>27.0</v>
      </c>
      <c r="B2179" s="595" t="s">
        <v>7640</v>
      </c>
      <c r="C2179" s="472" t="s">
        <v>80</v>
      </c>
      <c r="D2179" s="12" t="s">
        <v>7641</v>
      </c>
      <c r="E2179" s="713" t="s">
        <v>7642</v>
      </c>
      <c r="F2179" s="472" t="s">
        <v>5149</v>
      </c>
      <c r="G2179" s="474">
        <v>46056.0</v>
      </c>
      <c r="H2179" s="12">
        <v>14.0</v>
      </c>
      <c r="I2179" s="29"/>
      <c r="J2179" s="34" t="s">
        <v>7639</v>
      </c>
      <c r="K2179" s="34" t="s">
        <v>6999</v>
      </c>
      <c r="L2179" s="12" t="s">
        <v>4195</v>
      </c>
      <c r="M2179" s="19"/>
      <c r="N2179" s="19"/>
      <c r="O2179" s="71">
        <v>46298.0</v>
      </c>
      <c r="P2179" s="19"/>
    </row>
    <row r="2180" hidden="1">
      <c r="A2180" s="472">
        <v>28.0</v>
      </c>
      <c r="B2180" s="597" t="s">
        <v>7643</v>
      </c>
      <c r="C2180" s="472" t="s">
        <v>80</v>
      </c>
      <c r="D2180" s="12" t="s">
        <v>7644</v>
      </c>
      <c r="E2180" s="472" t="s">
        <v>7645</v>
      </c>
      <c r="F2180" s="472" t="s">
        <v>4405</v>
      </c>
      <c r="G2180" s="472" t="s">
        <v>7206</v>
      </c>
      <c r="H2180" s="12">
        <v>11.0</v>
      </c>
      <c r="I2180" s="29"/>
      <c r="J2180" s="34" t="s">
        <v>7632</v>
      </c>
      <c r="K2180" s="34" t="s">
        <v>6999</v>
      </c>
      <c r="L2180" s="12" t="s">
        <v>374</v>
      </c>
      <c r="M2180" s="19"/>
      <c r="N2180" s="19"/>
      <c r="O2180" s="34" t="s">
        <v>7646</v>
      </c>
      <c r="P2180" s="587" t="s">
        <v>1432</v>
      </c>
    </row>
    <row r="2181" hidden="1">
      <c r="A2181" s="472">
        <v>29.0</v>
      </c>
      <c r="B2181" s="595" t="s">
        <v>7647</v>
      </c>
      <c r="C2181" s="472" t="s">
        <v>80</v>
      </c>
      <c r="D2181" s="12" t="s">
        <v>7648</v>
      </c>
      <c r="E2181" s="472" t="s">
        <v>7649</v>
      </c>
      <c r="F2181" s="472" t="s">
        <v>5416</v>
      </c>
      <c r="G2181" s="474">
        <v>46237.0</v>
      </c>
      <c r="H2181" s="12">
        <v>20.0</v>
      </c>
      <c r="I2181" s="29"/>
      <c r="J2181" s="34" t="s">
        <v>2541</v>
      </c>
      <c r="K2181" s="622">
        <v>46359.0</v>
      </c>
      <c r="L2181" s="12" t="s">
        <v>51</v>
      </c>
      <c r="M2181" s="19"/>
      <c r="N2181" s="19"/>
      <c r="O2181" s="148">
        <v>46116.0</v>
      </c>
      <c r="P2181" s="587" t="s">
        <v>1432</v>
      </c>
    </row>
    <row r="2182" hidden="1">
      <c r="A2182" s="472">
        <v>30.0</v>
      </c>
      <c r="B2182" s="595" t="s">
        <v>7650</v>
      </c>
      <c r="C2182" s="472" t="s">
        <v>80</v>
      </c>
      <c r="D2182" s="12" t="s">
        <v>7651</v>
      </c>
      <c r="E2182" s="599" t="s">
        <v>7652</v>
      </c>
      <c r="F2182" s="472" t="s">
        <v>3928</v>
      </c>
      <c r="G2182" s="474">
        <v>46056.0</v>
      </c>
      <c r="H2182" s="12">
        <v>14.0</v>
      </c>
      <c r="I2182" s="29"/>
      <c r="J2182" s="34" t="s">
        <v>51</v>
      </c>
      <c r="K2182" s="19"/>
      <c r="L2182" s="14"/>
      <c r="M2182" s="19"/>
      <c r="N2182" s="19"/>
      <c r="O2182" s="148">
        <v>46084.0</v>
      </c>
      <c r="P2182" s="19"/>
    </row>
    <row r="2183" hidden="1">
      <c r="A2183" s="472">
        <v>31.0</v>
      </c>
      <c r="B2183" s="595" t="s">
        <v>7653</v>
      </c>
      <c r="C2183" s="472" t="s">
        <v>80</v>
      </c>
      <c r="D2183" s="12" t="s">
        <v>7654</v>
      </c>
      <c r="E2183" s="599" t="s">
        <v>7655</v>
      </c>
      <c r="F2183" s="472" t="s">
        <v>3928</v>
      </c>
      <c r="G2183" s="474">
        <v>46056.0</v>
      </c>
      <c r="H2183" s="12">
        <v>14.0</v>
      </c>
      <c r="I2183" s="29"/>
      <c r="J2183" s="34" t="s">
        <v>51</v>
      </c>
      <c r="K2183" s="19"/>
      <c r="L2183" s="14"/>
      <c r="M2183" s="19"/>
      <c r="N2183" s="19"/>
      <c r="O2183" s="148">
        <v>46084.0</v>
      </c>
      <c r="P2183" s="19"/>
    </row>
    <row r="2184" hidden="1">
      <c r="A2184" s="472">
        <v>32.0</v>
      </c>
      <c r="B2184" s="595" t="s">
        <v>7656</v>
      </c>
      <c r="C2184" s="472" t="s">
        <v>80</v>
      </c>
      <c r="D2184" s="12" t="s">
        <v>7657</v>
      </c>
      <c r="E2184" s="599" t="s">
        <v>7658</v>
      </c>
      <c r="F2184" s="472" t="s">
        <v>3928</v>
      </c>
      <c r="G2184" s="474">
        <v>46056.0</v>
      </c>
      <c r="H2184" s="12">
        <v>14.0</v>
      </c>
      <c r="I2184" s="29"/>
      <c r="J2184" s="34" t="s">
        <v>51</v>
      </c>
      <c r="K2184" s="19"/>
      <c r="L2184" s="14"/>
      <c r="M2184" s="19"/>
      <c r="N2184" s="19"/>
      <c r="O2184" s="148">
        <v>46084.0</v>
      </c>
      <c r="P2184" s="19"/>
    </row>
    <row r="2185" hidden="1">
      <c r="A2185" s="472">
        <v>33.0</v>
      </c>
      <c r="B2185" s="595" t="s">
        <v>7659</v>
      </c>
      <c r="C2185" s="472" t="s">
        <v>80</v>
      </c>
      <c r="D2185" s="12" t="s">
        <v>7660</v>
      </c>
      <c r="E2185" s="599" t="s">
        <v>44</v>
      </c>
      <c r="F2185" s="472" t="s">
        <v>44</v>
      </c>
      <c r="G2185" s="474">
        <v>46056.0</v>
      </c>
      <c r="H2185" s="12">
        <v>14.0</v>
      </c>
      <c r="I2185" s="29"/>
      <c r="J2185" s="34" t="s">
        <v>51</v>
      </c>
      <c r="K2185" s="19"/>
      <c r="L2185" s="14"/>
      <c r="M2185" s="19"/>
      <c r="N2185" s="19"/>
      <c r="O2185" s="148">
        <v>46084.0</v>
      </c>
      <c r="P2185" s="19"/>
    </row>
    <row r="2186" hidden="1">
      <c r="A2186" s="472">
        <v>34.0</v>
      </c>
      <c r="B2186" s="595" t="s">
        <v>7661</v>
      </c>
      <c r="C2186" s="472" t="s">
        <v>80</v>
      </c>
      <c r="D2186" s="12" t="s">
        <v>7662</v>
      </c>
      <c r="E2186" s="599" t="s">
        <v>7663</v>
      </c>
      <c r="F2186" s="472" t="s">
        <v>44</v>
      </c>
      <c r="G2186" s="474">
        <v>46056.0</v>
      </c>
      <c r="H2186" s="12">
        <v>14.0</v>
      </c>
      <c r="I2186" s="29"/>
      <c r="J2186" s="34" t="s">
        <v>2541</v>
      </c>
      <c r="K2186" s="148">
        <v>46359.0</v>
      </c>
      <c r="L2186" s="14"/>
      <c r="M2186" s="19"/>
      <c r="O2186" s="34" t="s">
        <v>7664</v>
      </c>
      <c r="P2186" s="19"/>
    </row>
    <row r="2187" hidden="1">
      <c r="A2187" s="472">
        <v>35.0</v>
      </c>
      <c r="B2187" s="595" t="s">
        <v>7665</v>
      </c>
      <c r="C2187" s="472" t="s">
        <v>80</v>
      </c>
      <c r="D2187" s="12" t="s">
        <v>7666</v>
      </c>
      <c r="E2187" s="599" t="s">
        <v>7663</v>
      </c>
      <c r="F2187" s="472" t="s">
        <v>44</v>
      </c>
      <c r="G2187" s="474">
        <v>46056.0</v>
      </c>
      <c r="H2187" s="12">
        <v>14.0</v>
      </c>
      <c r="I2187" s="29"/>
      <c r="J2187" s="34" t="s">
        <v>2541</v>
      </c>
      <c r="K2187" s="148">
        <v>46359.0</v>
      </c>
      <c r="L2187" s="14"/>
      <c r="M2187" s="19"/>
      <c r="O2187" s="34" t="s">
        <v>7664</v>
      </c>
      <c r="P2187" s="19"/>
    </row>
    <row r="2188" hidden="1">
      <c r="A2188" s="472">
        <v>36.0</v>
      </c>
      <c r="B2188" s="595" t="s">
        <v>7667</v>
      </c>
      <c r="C2188" s="472" t="s">
        <v>80</v>
      </c>
      <c r="D2188" s="12" t="s">
        <v>7668</v>
      </c>
      <c r="E2188" s="599" t="s">
        <v>7663</v>
      </c>
      <c r="F2188" s="472" t="s">
        <v>44</v>
      </c>
      <c r="G2188" s="474">
        <v>46056.0</v>
      </c>
      <c r="H2188" s="12">
        <v>14.0</v>
      </c>
      <c r="I2188" s="29"/>
      <c r="J2188" s="34" t="s">
        <v>2541</v>
      </c>
      <c r="K2188" s="148">
        <v>46359.0</v>
      </c>
      <c r="L2188" s="14"/>
      <c r="M2188" s="19"/>
      <c r="O2188" s="34" t="s">
        <v>7664</v>
      </c>
      <c r="P2188" s="19"/>
    </row>
    <row r="2189" hidden="1">
      <c r="A2189" s="472">
        <v>37.0</v>
      </c>
      <c r="B2189" s="595" t="s">
        <v>7669</v>
      </c>
      <c r="C2189" s="472" t="s">
        <v>80</v>
      </c>
      <c r="D2189" s="12" t="s">
        <v>7670</v>
      </c>
      <c r="E2189" s="599" t="s">
        <v>7663</v>
      </c>
      <c r="F2189" s="472" t="s">
        <v>44</v>
      </c>
      <c r="G2189" s="474">
        <v>46056.0</v>
      </c>
      <c r="H2189" s="12">
        <v>14.0</v>
      </c>
      <c r="I2189" s="29"/>
      <c r="J2189" s="34" t="s">
        <v>2541</v>
      </c>
      <c r="K2189" s="148">
        <v>46359.0</v>
      </c>
      <c r="L2189" s="14"/>
      <c r="M2189" s="19"/>
      <c r="O2189" s="34" t="s">
        <v>7664</v>
      </c>
      <c r="P2189" s="19"/>
    </row>
    <row r="2190" hidden="1">
      <c r="A2190" s="472">
        <v>38.0</v>
      </c>
      <c r="B2190" s="595" t="s">
        <v>7671</v>
      </c>
      <c r="C2190" s="472" t="s">
        <v>80</v>
      </c>
      <c r="D2190" s="12" t="s">
        <v>7672</v>
      </c>
      <c r="E2190" s="599" t="s">
        <v>7663</v>
      </c>
      <c r="F2190" s="472" t="s">
        <v>44</v>
      </c>
      <c r="G2190" s="474">
        <v>46056.0</v>
      </c>
      <c r="H2190" s="12">
        <v>14.0</v>
      </c>
      <c r="I2190" s="29"/>
      <c r="J2190" s="34" t="s">
        <v>2541</v>
      </c>
      <c r="K2190" s="148">
        <v>46359.0</v>
      </c>
      <c r="L2190" s="14"/>
      <c r="M2190" s="19"/>
      <c r="O2190" s="34" t="s">
        <v>7664</v>
      </c>
      <c r="P2190" s="19"/>
    </row>
    <row r="2191" hidden="1">
      <c r="A2191" s="472">
        <v>39.0</v>
      </c>
      <c r="B2191" s="595" t="s">
        <v>7673</v>
      </c>
      <c r="C2191" s="472" t="s">
        <v>80</v>
      </c>
      <c r="D2191" s="12" t="s">
        <v>7674</v>
      </c>
      <c r="E2191" s="599" t="s">
        <v>7663</v>
      </c>
      <c r="F2191" s="472" t="s">
        <v>44</v>
      </c>
      <c r="G2191" s="474">
        <v>46056.0</v>
      </c>
      <c r="H2191" s="12">
        <v>14.0</v>
      </c>
      <c r="I2191" s="29"/>
      <c r="J2191" s="34" t="s">
        <v>2541</v>
      </c>
      <c r="K2191" s="148">
        <v>46359.0</v>
      </c>
      <c r="L2191" s="14"/>
      <c r="M2191" s="19"/>
      <c r="O2191" s="34" t="s">
        <v>7664</v>
      </c>
      <c r="P2191" s="19"/>
    </row>
    <row r="2192" hidden="1">
      <c r="A2192" s="472">
        <v>40.0</v>
      </c>
      <c r="B2192" s="595" t="s">
        <v>7675</v>
      </c>
      <c r="C2192" s="472" t="s">
        <v>80</v>
      </c>
      <c r="D2192" s="12" t="s">
        <v>7676</v>
      </c>
      <c r="E2192" s="599" t="s">
        <v>7663</v>
      </c>
      <c r="F2192" s="472" t="s">
        <v>44</v>
      </c>
      <c r="G2192" s="474">
        <v>46056.0</v>
      </c>
      <c r="H2192" s="12">
        <v>14.0</v>
      </c>
      <c r="I2192" s="29"/>
      <c r="J2192" s="34" t="s">
        <v>2541</v>
      </c>
      <c r="K2192" s="148">
        <v>46359.0</v>
      </c>
      <c r="L2192" s="14"/>
      <c r="M2192" s="19"/>
      <c r="O2192" s="34" t="s">
        <v>7664</v>
      </c>
      <c r="P2192" s="19"/>
    </row>
    <row r="2193" hidden="1">
      <c r="A2193" s="472">
        <v>41.0</v>
      </c>
      <c r="B2193" s="601" t="s">
        <v>7677</v>
      </c>
      <c r="C2193" s="472" t="s">
        <v>80</v>
      </c>
      <c r="D2193" s="12" t="s">
        <v>7678</v>
      </c>
      <c r="E2193" s="599" t="s">
        <v>7663</v>
      </c>
      <c r="F2193" s="472" t="s">
        <v>44</v>
      </c>
      <c r="G2193" s="474">
        <v>46056.0</v>
      </c>
      <c r="H2193" s="12">
        <v>14.0</v>
      </c>
      <c r="I2193" s="29"/>
      <c r="J2193" s="34" t="s">
        <v>2541</v>
      </c>
      <c r="K2193" s="148">
        <v>46359.0</v>
      </c>
      <c r="L2193" s="14"/>
      <c r="M2193" s="19"/>
      <c r="O2193" s="34" t="s">
        <v>7664</v>
      </c>
      <c r="P2193" s="19"/>
    </row>
    <row r="2194" hidden="1">
      <c r="A2194" s="472">
        <v>42.0</v>
      </c>
      <c r="B2194" s="595" t="s">
        <v>7679</v>
      </c>
      <c r="C2194" s="472" t="s">
        <v>80</v>
      </c>
      <c r="D2194" s="12" t="s">
        <v>7680</v>
      </c>
      <c r="E2194" s="599" t="s">
        <v>7663</v>
      </c>
      <c r="F2194" s="472" t="s">
        <v>44</v>
      </c>
      <c r="G2194" s="474">
        <v>46056.0</v>
      </c>
      <c r="H2194" s="12">
        <v>14.0</v>
      </c>
      <c r="I2194" s="29"/>
      <c r="J2194" s="34" t="s">
        <v>2541</v>
      </c>
      <c r="K2194" s="148">
        <v>46359.0</v>
      </c>
      <c r="L2194" s="14"/>
      <c r="M2194" s="19"/>
      <c r="O2194" s="34" t="s">
        <v>7664</v>
      </c>
      <c r="P2194" s="19"/>
    </row>
    <row r="2195" hidden="1">
      <c r="A2195" s="472">
        <v>43.0</v>
      </c>
      <c r="B2195" s="595" t="s">
        <v>7681</v>
      </c>
      <c r="C2195" s="472" t="s">
        <v>80</v>
      </c>
      <c r="D2195" s="12" t="s">
        <v>7682</v>
      </c>
      <c r="E2195" s="599" t="s">
        <v>7663</v>
      </c>
      <c r="F2195" s="472" t="s">
        <v>44</v>
      </c>
      <c r="G2195" s="474">
        <v>46056.0</v>
      </c>
      <c r="H2195" s="12">
        <v>14.0</v>
      </c>
      <c r="I2195" s="29"/>
      <c r="J2195" s="34" t="s">
        <v>2541</v>
      </c>
      <c r="K2195" s="148">
        <v>46359.0</v>
      </c>
      <c r="L2195" s="14"/>
      <c r="M2195" s="19"/>
      <c r="O2195" s="34" t="s">
        <v>7664</v>
      </c>
      <c r="P2195" s="19"/>
    </row>
    <row r="2196" hidden="1">
      <c r="A2196" s="472">
        <v>44.0</v>
      </c>
      <c r="B2196" s="595" t="s">
        <v>7683</v>
      </c>
      <c r="C2196" s="472" t="s">
        <v>80</v>
      </c>
      <c r="D2196" s="12" t="s">
        <v>7684</v>
      </c>
      <c r="E2196" s="599" t="s">
        <v>44</v>
      </c>
      <c r="F2196" s="472" t="s">
        <v>44</v>
      </c>
      <c r="G2196" s="474">
        <v>46084.0</v>
      </c>
      <c r="H2196" s="12">
        <v>15.0</v>
      </c>
      <c r="I2196" s="29"/>
      <c r="J2196" s="34" t="s">
        <v>2541</v>
      </c>
      <c r="K2196" s="19"/>
      <c r="L2196" s="14"/>
      <c r="M2196" s="19"/>
      <c r="N2196" s="19"/>
      <c r="O2196" s="148">
        <v>46298.0</v>
      </c>
      <c r="P2196" s="19"/>
    </row>
    <row r="2197" hidden="1">
      <c r="A2197" s="472">
        <v>45.0</v>
      </c>
      <c r="B2197" s="595" t="s">
        <v>7685</v>
      </c>
      <c r="C2197" s="472" t="s">
        <v>80</v>
      </c>
      <c r="D2197" s="12" t="s">
        <v>7686</v>
      </c>
      <c r="E2197" s="713" t="s">
        <v>7687</v>
      </c>
      <c r="F2197" s="472" t="s">
        <v>7688</v>
      </c>
      <c r="G2197" s="474">
        <v>46237.0</v>
      </c>
      <c r="H2197" s="12">
        <v>20.0</v>
      </c>
      <c r="I2197" s="29"/>
      <c r="J2197" s="34" t="s">
        <v>7505</v>
      </c>
      <c r="K2197" s="34" t="s">
        <v>7213</v>
      </c>
      <c r="L2197" s="12" t="s">
        <v>51</v>
      </c>
      <c r="M2197" s="19"/>
      <c r="N2197" s="19"/>
      <c r="O2197" s="34" t="s">
        <v>7270</v>
      </c>
      <c r="P2197" s="587" t="s">
        <v>1432</v>
      </c>
    </row>
    <row r="2198" hidden="1">
      <c r="A2198" s="472">
        <v>46.0</v>
      </c>
      <c r="B2198" s="595" t="s">
        <v>7689</v>
      </c>
      <c r="C2198" s="472" t="s">
        <v>80</v>
      </c>
      <c r="D2198" s="12" t="s">
        <v>7690</v>
      </c>
      <c r="E2198" s="713" t="s">
        <v>7691</v>
      </c>
      <c r="F2198" s="472" t="s">
        <v>7688</v>
      </c>
      <c r="G2198" s="474">
        <v>46237.0</v>
      </c>
      <c r="H2198" s="12">
        <v>20.0</v>
      </c>
      <c r="I2198" s="29"/>
      <c r="J2198" s="34" t="s">
        <v>7505</v>
      </c>
      <c r="K2198" s="34" t="s">
        <v>7213</v>
      </c>
      <c r="L2198" s="12" t="s">
        <v>51</v>
      </c>
      <c r="M2198" s="19"/>
      <c r="N2198" s="19"/>
      <c r="O2198" s="34" t="s">
        <v>7270</v>
      </c>
      <c r="P2198" s="587" t="s">
        <v>1432</v>
      </c>
    </row>
    <row r="2199" hidden="1">
      <c r="A2199" s="472">
        <v>47.0</v>
      </c>
      <c r="B2199" s="595" t="s">
        <v>7692</v>
      </c>
      <c r="C2199" s="472" t="s">
        <v>80</v>
      </c>
      <c r="D2199" s="12" t="s">
        <v>7693</v>
      </c>
      <c r="E2199" s="472" t="s">
        <v>7694</v>
      </c>
      <c r="F2199" s="472" t="s">
        <v>356</v>
      </c>
      <c r="G2199" s="474">
        <v>46237.0</v>
      </c>
      <c r="H2199" s="12">
        <v>20.0</v>
      </c>
      <c r="I2199" s="29"/>
      <c r="J2199" s="34" t="s">
        <v>7326</v>
      </c>
      <c r="K2199" s="34" t="s">
        <v>7213</v>
      </c>
      <c r="L2199" s="12" t="s">
        <v>4195</v>
      </c>
      <c r="M2199" s="19"/>
      <c r="N2199" s="19"/>
      <c r="O2199" s="34" t="s">
        <v>7646</v>
      </c>
      <c r="P2199" s="19"/>
    </row>
    <row r="2200" hidden="1">
      <c r="A2200" s="472">
        <v>48.0</v>
      </c>
      <c r="B2200" s="595" t="s">
        <v>7695</v>
      </c>
      <c r="C2200" s="472" t="s">
        <v>80</v>
      </c>
      <c r="D2200" s="12" t="s">
        <v>7696</v>
      </c>
      <c r="E2200" s="472" t="s">
        <v>7697</v>
      </c>
      <c r="F2200" s="472" t="s">
        <v>356</v>
      </c>
      <c r="G2200" s="474">
        <v>46237.0</v>
      </c>
      <c r="H2200" s="12">
        <v>20.0</v>
      </c>
      <c r="I2200" s="29"/>
      <c r="J2200" s="34" t="s">
        <v>7639</v>
      </c>
      <c r="K2200" s="34" t="s">
        <v>7036</v>
      </c>
      <c r="L2200" s="12" t="s">
        <v>51</v>
      </c>
      <c r="M2200" s="19"/>
      <c r="N2200" s="19"/>
      <c r="O2200" s="34" t="s">
        <v>7698</v>
      </c>
      <c r="P2200" s="587" t="s">
        <v>1432</v>
      </c>
    </row>
    <row r="2201" hidden="1">
      <c r="A2201" s="472">
        <v>49.0</v>
      </c>
      <c r="B2201" s="595" t="s">
        <v>7699</v>
      </c>
      <c r="C2201" s="472" t="s">
        <v>80</v>
      </c>
      <c r="D2201" s="12" t="s">
        <v>7700</v>
      </c>
      <c r="E2201" s="472" t="s">
        <v>7701</v>
      </c>
      <c r="F2201" s="472" t="s">
        <v>356</v>
      </c>
      <c r="G2201" s="474">
        <v>46237.0</v>
      </c>
      <c r="H2201" s="12">
        <v>20.0</v>
      </c>
      <c r="I2201" s="29"/>
      <c r="J2201" s="34" t="s">
        <v>7639</v>
      </c>
      <c r="K2201" s="34" t="s">
        <v>6999</v>
      </c>
      <c r="L2201" s="12" t="s">
        <v>51</v>
      </c>
      <c r="M2201" s="19"/>
      <c r="N2201" s="19"/>
      <c r="O2201" s="34" t="s">
        <v>7270</v>
      </c>
      <c r="P2201" s="587" t="s">
        <v>1432</v>
      </c>
    </row>
    <row r="2202" hidden="1">
      <c r="A2202" s="472">
        <v>50.0</v>
      </c>
      <c r="B2202" s="595" t="s">
        <v>7702</v>
      </c>
      <c r="C2202" s="472" t="s">
        <v>80</v>
      </c>
      <c r="D2202" s="12" t="s">
        <v>7703</v>
      </c>
      <c r="E2202" s="472" t="s">
        <v>7704</v>
      </c>
      <c r="F2202" s="472" t="s">
        <v>6031</v>
      </c>
      <c r="G2202" s="474">
        <v>46268.0</v>
      </c>
      <c r="H2202" s="12">
        <v>21.0</v>
      </c>
      <c r="I2202" s="29"/>
      <c r="J2202" s="34" t="s">
        <v>7639</v>
      </c>
      <c r="K2202" s="34" t="s">
        <v>6999</v>
      </c>
      <c r="L2202" s="12" t="s">
        <v>4195</v>
      </c>
      <c r="M2202" s="19"/>
      <c r="N2202" s="19"/>
      <c r="O2202" s="34" t="s">
        <v>7479</v>
      </c>
      <c r="P2202" s="587" t="s">
        <v>1432</v>
      </c>
    </row>
    <row r="2203" hidden="1">
      <c r="A2203" s="472">
        <v>51.0</v>
      </c>
      <c r="B2203" s="595" t="s">
        <v>7705</v>
      </c>
      <c r="C2203" s="472" t="s">
        <v>80</v>
      </c>
      <c r="D2203" s="12" t="s">
        <v>7706</v>
      </c>
      <c r="E2203" s="472" t="s">
        <v>7707</v>
      </c>
      <c r="F2203" s="472" t="s">
        <v>4367</v>
      </c>
      <c r="G2203" s="474">
        <v>46237.0</v>
      </c>
      <c r="H2203" s="12">
        <v>20.0</v>
      </c>
      <c r="I2203" s="29"/>
      <c r="J2203" s="34" t="s">
        <v>7639</v>
      </c>
      <c r="K2203" s="34" t="s">
        <v>6999</v>
      </c>
      <c r="L2203" s="12" t="s">
        <v>4195</v>
      </c>
      <c r="M2203" s="19"/>
      <c r="N2203" s="19"/>
      <c r="O2203" s="34" t="s">
        <v>7479</v>
      </c>
      <c r="P2203" s="587" t="s">
        <v>1432</v>
      </c>
    </row>
    <row r="2204" hidden="1">
      <c r="A2204" s="472">
        <v>52.0</v>
      </c>
      <c r="B2204" s="595" t="s">
        <v>7708</v>
      </c>
      <c r="C2204" s="472" t="s">
        <v>80</v>
      </c>
      <c r="D2204" s="12" t="s">
        <v>7709</v>
      </c>
      <c r="E2204" s="599" t="s">
        <v>7710</v>
      </c>
      <c r="F2204" s="472" t="s">
        <v>3928</v>
      </c>
      <c r="G2204" s="474">
        <v>46115.0</v>
      </c>
      <c r="H2204" s="12">
        <v>16.0</v>
      </c>
      <c r="I2204" s="355"/>
      <c r="J2204" s="143" t="s">
        <v>3099</v>
      </c>
      <c r="K2204" s="143" t="s">
        <v>7188</v>
      </c>
      <c r="L2204" s="140"/>
      <c r="O2204" s="143" t="s">
        <v>7159</v>
      </c>
    </row>
    <row r="2205" hidden="1">
      <c r="A2205" s="472">
        <v>53.0</v>
      </c>
      <c r="B2205" s="595" t="s">
        <v>7711</v>
      </c>
      <c r="C2205" s="472" t="s">
        <v>80</v>
      </c>
      <c r="D2205" s="12" t="s">
        <v>7712</v>
      </c>
      <c r="E2205" s="599" t="s">
        <v>7713</v>
      </c>
      <c r="F2205" s="472" t="s">
        <v>3928</v>
      </c>
      <c r="G2205" s="474">
        <v>46115.0</v>
      </c>
      <c r="H2205" s="12">
        <v>16.0</v>
      </c>
      <c r="I2205" s="355"/>
      <c r="J2205" s="143" t="s">
        <v>3099</v>
      </c>
      <c r="K2205" s="143" t="s">
        <v>7188</v>
      </c>
      <c r="L2205" s="140"/>
      <c r="O2205" s="143" t="s">
        <v>7159</v>
      </c>
    </row>
    <row r="2206" hidden="1">
      <c r="A2206" s="472">
        <v>54.0</v>
      </c>
      <c r="B2206" s="595" t="s">
        <v>7714</v>
      </c>
      <c r="C2206" s="472" t="s">
        <v>80</v>
      </c>
      <c r="D2206" s="12" t="s">
        <v>7715</v>
      </c>
      <c r="E2206" s="599" t="s">
        <v>7716</v>
      </c>
      <c r="F2206" s="472" t="s">
        <v>3928</v>
      </c>
      <c r="G2206" s="474">
        <v>46115.0</v>
      </c>
      <c r="H2206" s="12">
        <v>16.0</v>
      </c>
      <c r="I2206" s="355"/>
      <c r="J2206" s="143" t="s">
        <v>3099</v>
      </c>
      <c r="K2206" s="143" t="s">
        <v>6988</v>
      </c>
      <c r="L2206" s="140"/>
      <c r="O2206" s="143" t="s">
        <v>7159</v>
      </c>
    </row>
    <row r="2207" hidden="1">
      <c r="A2207" s="472">
        <v>55.0</v>
      </c>
      <c r="B2207" s="595" t="s">
        <v>7717</v>
      </c>
      <c r="C2207" s="472" t="s">
        <v>80</v>
      </c>
      <c r="D2207" s="12" t="s">
        <v>7718</v>
      </c>
      <c r="E2207" s="599" t="s">
        <v>7719</v>
      </c>
      <c r="F2207" s="472" t="s">
        <v>3928</v>
      </c>
      <c r="G2207" s="474">
        <v>46115.0</v>
      </c>
      <c r="H2207" s="12">
        <v>16.0</v>
      </c>
      <c r="I2207" s="355"/>
      <c r="J2207" s="143" t="s">
        <v>3099</v>
      </c>
      <c r="K2207" s="143" t="s">
        <v>6988</v>
      </c>
      <c r="L2207" s="140"/>
      <c r="O2207" s="143" t="s">
        <v>7159</v>
      </c>
    </row>
    <row r="2208" hidden="1">
      <c r="A2208" s="472">
        <v>56.0</v>
      </c>
      <c r="B2208" s="595" t="s">
        <v>7720</v>
      </c>
      <c r="C2208" s="472" t="s">
        <v>80</v>
      </c>
      <c r="D2208" s="12" t="s">
        <v>7721</v>
      </c>
      <c r="E2208" s="599" t="s">
        <v>7722</v>
      </c>
      <c r="F2208" s="472" t="s">
        <v>3928</v>
      </c>
      <c r="G2208" s="474">
        <v>46115.0</v>
      </c>
      <c r="H2208" s="12">
        <v>16.0</v>
      </c>
      <c r="I2208" s="355"/>
      <c r="J2208" s="143" t="s">
        <v>3099</v>
      </c>
      <c r="K2208" s="143" t="s">
        <v>6988</v>
      </c>
      <c r="L2208" s="140"/>
      <c r="O2208" s="143" t="s">
        <v>7159</v>
      </c>
    </row>
    <row r="2209" hidden="1">
      <c r="A2209" s="339" t="s">
        <v>7723</v>
      </c>
    </row>
    <row r="2210" hidden="1">
      <c r="A2210" s="670" t="s">
        <v>47</v>
      </c>
      <c r="B2210" s="670" t="s">
        <v>7</v>
      </c>
      <c r="C2210" s="670" t="s">
        <v>9</v>
      </c>
      <c r="D2210" s="670" t="s">
        <v>10</v>
      </c>
      <c r="E2210" s="670" t="s">
        <v>11</v>
      </c>
      <c r="F2210" s="670" t="s">
        <v>12</v>
      </c>
      <c r="G2210" s="670" t="s">
        <v>2378</v>
      </c>
      <c r="H2210" s="670" t="s">
        <v>2681</v>
      </c>
      <c r="I2210" s="4" t="s">
        <v>2847</v>
      </c>
      <c r="J2210" s="8" t="s">
        <v>14</v>
      </c>
      <c r="K2210" s="9" t="s">
        <v>16</v>
      </c>
      <c r="L2210" s="9" t="s">
        <v>4330</v>
      </c>
      <c r="M2210" s="9" t="s">
        <v>18</v>
      </c>
      <c r="N2210" s="9" t="s">
        <v>19</v>
      </c>
      <c r="O2210" s="9" t="s">
        <v>20</v>
      </c>
      <c r="P2210" s="9" t="s">
        <v>21</v>
      </c>
      <c r="Q2210" s="35"/>
      <c r="R2210" s="35"/>
      <c r="S2210" s="35"/>
      <c r="T2210" s="35"/>
      <c r="U2210" s="35"/>
      <c r="V2210" s="35"/>
      <c r="W2210" s="35"/>
      <c r="X2210" s="35"/>
      <c r="Y2210" s="35"/>
      <c r="Z2210" s="35"/>
      <c r="AA2210" s="35"/>
      <c r="AB2210" s="35"/>
      <c r="AC2210" s="35"/>
      <c r="AD2210" s="35"/>
      <c r="AE2210" s="35"/>
      <c r="AF2210" s="35"/>
    </row>
    <row r="2211" hidden="1">
      <c r="A2211" s="526">
        <v>1.0</v>
      </c>
      <c r="B2211" s="527" t="s">
        <v>7724</v>
      </c>
      <c r="C2211" s="526" t="s">
        <v>80</v>
      </c>
      <c r="D2211" s="526" t="s">
        <v>7725</v>
      </c>
      <c r="E2211" s="526" t="s">
        <v>7726</v>
      </c>
      <c r="F2211" s="526" t="s">
        <v>4666</v>
      </c>
      <c r="G2211" s="528">
        <v>46145.0</v>
      </c>
      <c r="H2211" s="526">
        <v>13.0</v>
      </c>
      <c r="I2211" s="526" t="s">
        <v>2890</v>
      </c>
      <c r="J2211" s="143" t="s">
        <v>3066</v>
      </c>
      <c r="K2211" s="143" t="s">
        <v>7727</v>
      </c>
      <c r="L2211" s="292" t="s">
        <v>4195</v>
      </c>
      <c r="O2211" s="143" t="s">
        <v>6973</v>
      </c>
      <c r="P2211" s="587" t="s">
        <v>1432</v>
      </c>
    </row>
    <row r="2212" hidden="1">
      <c r="A2212" s="526">
        <v>2.0</v>
      </c>
      <c r="B2212" s="527" t="s">
        <v>7728</v>
      </c>
      <c r="C2212" s="526" t="s">
        <v>80</v>
      </c>
      <c r="D2212" s="526" t="s">
        <v>7729</v>
      </c>
      <c r="E2212" s="526" t="s">
        <v>7730</v>
      </c>
      <c r="F2212" s="526" t="s">
        <v>718</v>
      </c>
      <c r="G2212" s="528">
        <v>46145.0</v>
      </c>
      <c r="H2212" s="526">
        <v>13.0</v>
      </c>
      <c r="I2212" s="526" t="s">
        <v>2890</v>
      </c>
      <c r="J2212" s="143" t="s">
        <v>3066</v>
      </c>
      <c r="K2212" s="143" t="s">
        <v>7727</v>
      </c>
      <c r="L2212" s="140"/>
      <c r="O2212" s="143" t="s">
        <v>7159</v>
      </c>
      <c r="P2212" s="587" t="s">
        <v>1432</v>
      </c>
    </row>
    <row r="2213" hidden="1">
      <c r="A2213" s="526">
        <v>3.0</v>
      </c>
      <c r="B2213" s="527" t="s">
        <v>7731</v>
      </c>
      <c r="C2213" s="526" t="s">
        <v>80</v>
      </c>
      <c r="D2213" s="526" t="s">
        <v>7732</v>
      </c>
      <c r="E2213" s="599" t="s">
        <v>7051</v>
      </c>
      <c r="F2213" s="526" t="s">
        <v>3583</v>
      </c>
      <c r="G2213" s="528">
        <v>46176.0</v>
      </c>
      <c r="H2213" s="526">
        <v>14.0</v>
      </c>
      <c r="I2213" s="526" t="s">
        <v>2890</v>
      </c>
      <c r="J2213" s="143" t="s">
        <v>3066</v>
      </c>
      <c r="K2213" s="143" t="s">
        <v>7727</v>
      </c>
      <c r="L2213" s="140"/>
      <c r="O2213" s="648">
        <v>46083.0</v>
      </c>
    </row>
    <row r="2214" hidden="1">
      <c r="A2214" s="471">
        <v>4.0</v>
      </c>
      <c r="B2214" s="470" t="s">
        <v>7733</v>
      </c>
      <c r="C2214" s="471" t="s">
        <v>1246</v>
      </c>
      <c r="D2214" s="471" t="s">
        <v>7734</v>
      </c>
      <c r="E2214" s="471" t="s">
        <v>7735</v>
      </c>
      <c r="F2214" s="471" t="s">
        <v>2444</v>
      </c>
      <c r="G2214" s="471" t="s">
        <v>299</v>
      </c>
      <c r="H2214" s="471">
        <v>8.0</v>
      </c>
      <c r="I2214" s="471" t="s">
        <v>2890</v>
      </c>
      <c r="J2214" s="143" t="s">
        <v>7736</v>
      </c>
      <c r="L2214" s="292" t="s">
        <v>374</v>
      </c>
      <c r="O2214" s="665">
        <v>46084.0</v>
      </c>
      <c r="P2214" s="587" t="s">
        <v>1432</v>
      </c>
    </row>
    <row r="2215" hidden="1">
      <c r="A2215" s="471">
        <v>5.0</v>
      </c>
      <c r="B2215" s="470" t="s">
        <v>7737</v>
      </c>
      <c r="C2215" s="471" t="s">
        <v>3059</v>
      </c>
      <c r="D2215" s="471" t="s">
        <v>7738</v>
      </c>
      <c r="E2215" s="550" t="s">
        <v>7739</v>
      </c>
      <c r="F2215" s="471" t="s">
        <v>4405</v>
      </c>
      <c r="G2215" s="471" t="s">
        <v>299</v>
      </c>
      <c r="H2215" s="471">
        <v>8.0</v>
      </c>
      <c r="I2215" s="471" t="s">
        <v>2890</v>
      </c>
      <c r="L2215" s="292" t="s">
        <v>374</v>
      </c>
      <c r="O2215" s="143" t="s">
        <v>6409</v>
      </c>
      <c r="P2215" s="587" t="s">
        <v>1432</v>
      </c>
    </row>
    <row r="2216" hidden="1">
      <c r="A2216" s="471">
        <v>6.0</v>
      </c>
      <c r="B2216" s="470" t="s">
        <v>7740</v>
      </c>
      <c r="C2216" s="471" t="s">
        <v>3059</v>
      </c>
      <c r="D2216" s="471" t="s">
        <v>7741</v>
      </c>
      <c r="E2216" s="550" t="s">
        <v>7742</v>
      </c>
      <c r="F2216" s="471" t="s">
        <v>4405</v>
      </c>
      <c r="G2216" s="471" t="s">
        <v>299</v>
      </c>
      <c r="H2216" s="471">
        <v>8.0</v>
      </c>
      <c r="I2216" s="471" t="s">
        <v>2890</v>
      </c>
      <c r="L2216" s="292" t="s">
        <v>374</v>
      </c>
      <c r="O2216" s="143" t="s">
        <v>6409</v>
      </c>
    </row>
    <row r="2217" hidden="1">
      <c r="A2217" s="471">
        <v>7.0</v>
      </c>
      <c r="B2217" s="470" t="s">
        <v>7743</v>
      </c>
      <c r="C2217" s="471" t="s">
        <v>397</v>
      </c>
      <c r="D2217" s="471" t="s">
        <v>7744</v>
      </c>
      <c r="E2217" s="471" t="s">
        <v>7745</v>
      </c>
      <c r="F2217" s="471" t="s">
        <v>7746</v>
      </c>
      <c r="G2217" s="525">
        <v>46025.0</v>
      </c>
      <c r="H2217" s="471">
        <v>9.0</v>
      </c>
      <c r="I2217" s="531" t="s">
        <v>3231</v>
      </c>
      <c r="J2217" s="34" t="s">
        <v>699</v>
      </c>
      <c r="K2217" s="34" t="s">
        <v>7036</v>
      </c>
      <c r="L2217" s="12" t="s">
        <v>4195</v>
      </c>
      <c r="M2217" s="19"/>
      <c r="N2217" s="19"/>
      <c r="O2217" s="34" t="s">
        <v>7747</v>
      </c>
      <c r="P2217" s="587" t="s">
        <v>1432</v>
      </c>
    </row>
    <row r="2218" hidden="1">
      <c r="A2218" s="471">
        <v>8.0</v>
      </c>
      <c r="B2218" s="470" t="s">
        <v>7748</v>
      </c>
      <c r="C2218" s="471" t="s">
        <v>1185</v>
      </c>
      <c r="D2218" s="471" t="s">
        <v>7749</v>
      </c>
      <c r="E2218" s="471" t="s">
        <v>7750</v>
      </c>
      <c r="F2218" s="471" t="s">
        <v>25</v>
      </c>
      <c r="G2218" s="525">
        <v>46237.0</v>
      </c>
      <c r="H2218" s="471">
        <v>16.0</v>
      </c>
      <c r="I2218" s="471" t="s">
        <v>2890</v>
      </c>
      <c r="J2218" s="34" t="s">
        <v>7505</v>
      </c>
      <c r="K2218" s="34" t="s">
        <v>7506</v>
      </c>
      <c r="L2218" s="12" t="s">
        <v>51</v>
      </c>
      <c r="M2218" s="19"/>
      <c r="N2218" s="19"/>
      <c r="O2218" s="34" t="s">
        <v>7270</v>
      </c>
      <c r="P2218" s="587" t="s">
        <v>1432</v>
      </c>
    </row>
    <row r="2219" hidden="1">
      <c r="A2219" s="471">
        <v>9.0</v>
      </c>
      <c r="B2219" s="470" t="s">
        <v>7751</v>
      </c>
      <c r="C2219" s="471" t="s">
        <v>1185</v>
      </c>
      <c r="D2219" s="471" t="s">
        <v>7752</v>
      </c>
      <c r="E2219" s="471" t="s">
        <v>7753</v>
      </c>
      <c r="F2219" s="471" t="s">
        <v>25</v>
      </c>
      <c r="G2219" s="525">
        <v>46237.0</v>
      </c>
      <c r="H2219" s="471">
        <v>16.0</v>
      </c>
      <c r="I2219" s="471" t="s">
        <v>2890</v>
      </c>
      <c r="J2219" s="34" t="s">
        <v>2541</v>
      </c>
      <c r="K2219" s="34" t="s">
        <v>7506</v>
      </c>
      <c r="L2219" s="12" t="s">
        <v>51</v>
      </c>
      <c r="M2219" s="19"/>
      <c r="N2219" s="19"/>
      <c r="O2219" s="34" t="s">
        <v>7383</v>
      </c>
      <c r="P2219" s="587" t="s">
        <v>1432</v>
      </c>
    </row>
    <row r="2220" hidden="1">
      <c r="A2220" s="471">
        <v>10.0</v>
      </c>
      <c r="B2220" s="470" t="s">
        <v>7754</v>
      </c>
      <c r="C2220" s="471" t="s">
        <v>938</v>
      </c>
      <c r="D2220" s="471" t="s">
        <v>7755</v>
      </c>
      <c r="E2220" s="550" t="s">
        <v>7756</v>
      </c>
      <c r="F2220" s="471" t="s">
        <v>243</v>
      </c>
      <c r="G2220" s="525">
        <v>46268.0</v>
      </c>
      <c r="H2220" s="471">
        <v>17.0</v>
      </c>
      <c r="I2220" s="471" t="s">
        <v>2890</v>
      </c>
      <c r="J2220" s="34" t="s">
        <v>7757</v>
      </c>
      <c r="K2220" s="34" t="s">
        <v>7506</v>
      </c>
      <c r="L2220" s="12" t="s">
        <v>374</v>
      </c>
      <c r="M2220" s="19"/>
      <c r="N2220" s="19"/>
      <c r="O2220" s="34" t="s">
        <v>6423</v>
      </c>
      <c r="P2220" s="587" t="s">
        <v>1432</v>
      </c>
    </row>
    <row r="2221" ht="17.25" hidden="1" customHeight="1">
      <c r="A2221" s="471">
        <v>11.0</v>
      </c>
      <c r="B2221" s="470" t="s">
        <v>7758</v>
      </c>
      <c r="C2221" s="471" t="s">
        <v>938</v>
      </c>
      <c r="D2221" s="471" t="s">
        <v>7759</v>
      </c>
      <c r="E2221" s="550" t="s">
        <v>7760</v>
      </c>
      <c r="F2221" s="471" t="s">
        <v>243</v>
      </c>
      <c r="G2221" s="525">
        <v>46268.0</v>
      </c>
      <c r="H2221" s="471">
        <v>17.0</v>
      </c>
      <c r="I2221" s="471" t="s">
        <v>2890</v>
      </c>
      <c r="J2221" s="34" t="s">
        <v>7757</v>
      </c>
      <c r="K2221" s="34" t="s">
        <v>7506</v>
      </c>
      <c r="L2221" s="12" t="s">
        <v>374</v>
      </c>
      <c r="M2221" s="19"/>
      <c r="N2221" s="19"/>
      <c r="O2221" s="34" t="s">
        <v>6423</v>
      </c>
      <c r="P2221" s="587" t="s">
        <v>1432</v>
      </c>
    </row>
    <row r="2222" hidden="1">
      <c r="A2222" s="471">
        <v>12.0</v>
      </c>
      <c r="B2222" s="470" t="s">
        <v>7761</v>
      </c>
      <c r="C2222" s="471" t="s">
        <v>938</v>
      </c>
      <c r="D2222" s="471" t="s">
        <v>7762</v>
      </c>
      <c r="E2222" s="550" t="s">
        <v>7763</v>
      </c>
      <c r="F2222" s="471" t="s">
        <v>243</v>
      </c>
      <c r="G2222" s="525">
        <v>46268.0</v>
      </c>
      <c r="H2222" s="471">
        <v>17.0</v>
      </c>
      <c r="I2222" s="471" t="s">
        <v>2890</v>
      </c>
      <c r="J2222" s="34" t="s">
        <v>7757</v>
      </c>
      <c r="K2222" s="34" t="s">
        <v>294</v>
      </c>
      <c r="L2222" s="12" t="s">
        <v>4195</v>
      </c>
      <c r="M2222" s="19"/>
      <c r="N2222" s="19"/>
      <c r="O2222" s="34" t="s">
        <v>6423</v>
      </c>
      <c r="P2222" s="587" t="s">
        <v>1432</v>
      </c>
    </row>
    <row r="2223" hidden="1">
      <c r="A2223" s="471">
        <v>13.0</v>
      </c>
      <c r="B2223" s="470" t="s">
        <v>7764</v>
      </c>
      <c r="C2223" s="471" t="s">
        <v>938</v>
      </c>
      <c r="D2223" s="471" t="s">
        <v>7765</v>
      </c>
      <c r="E2223" s="550" t="s">
        <v>7766</v>
      </c>
      <c r="F2223" s="471" t="s">
        <v>243</v>
      </c>
      <c r="G2223" s="525">
        <v>46268.0</v>
      </c>
      <c r="H2223" s="471">
        <v>17.0</v>
      </c>
      <c r="I2223" s="471" t="s">
        <v>2890</v>
      </c>
      <c r="J2223" s="34" t="s">
        <v>7757</v>
      </c>
      <c r="K2223" s="34" t="s">
        <v>294</v>
      </c>
      <c r="L2223" s="12" t="s">
        <v>4195</v>
      </c>
      <c r="M2223" s="19"/>
      <c r="N2223" s="19"/>
      <c r="O2223" s="34" t="s">
        <v>6423</v>
      </c>
      <c r="P2223" s="587" t="s">
        <v>1432</v>
      </c>
    </row>
    <row r="2224" hidden="1">
      <c r="A2224" s="471">
        <v>14.0</v>
      </c>
      <c r="B2224" s="470" t="s">
        <v>7767</v>
      </c>
      <c r="C2224" s="471" t="s">
        <v>80</v>
      </c>
      <c r="D2224" s="471" t="s">
        <v>7768</v>
      </c>
      <c r="E2224" s="471" t="s">
        <v>7769</v>
      </c>
      <c r="F2224" s="471" t="s">
        <v>1563</v>
      </c>
      <c r="G2224" s="525">
        <v>46298.0</v>
      </c>
      <c r="H2224" s="471">
        <v>18.0</v>
      </c>
      <c r="I2224" s="531" t="s">
        <v>3231</v>
      </c>
      <c r="J2224" s="34" t="s">
        <v>7770</v>
      </c>
      <c r="K2224" s="34" t="s">
        <v>7771</v>
      </c>
      <c r="L2224" s="12" t="s">
        <v>374</v>
      </c>
      <c r="M2224" s="19"/>
      <c r="N2224" s="19"/>
      <c r="O2224" s="34" t="s">
        <v>7772</v>
      </c>
      <c r="P2224" s="587" t="s">
        <v>1432</v>
      </c>
    </row>
    <row r="2225" hidden="1">
      <c r="A2225" s="471">
        <v>15.0</v>
      </c>
      <c r="B2225" s="470" t="s">
        <v>7773</v>
      </c>
      <c r="C2225" s="471" t="s">
        <v>1185</v>
      </c>
      <c r="D2225" s="471" t="s">
        <v>7774</v>
      </c>
      <c r="E2225" s="471" t="s">
        <v>7775</v>
      </c>
      <c r="F2225" s="471" t="s">
        <v>25</v>
      </c>
      <c r="G2225" s="525">
        <v>46298.0</v>
      </c>
      <c r="H2225" s="471">
        <v>18.0</v>
      </c>
      <c r="I2225" s="471" t="s">
        <v>2890</v>
      </c>
      <c r="J2225" s="34" t="s">
        <v>7757</v>
      </c>
      <c r="K2225" s="34" t="s">
        <v>294</v>
      </c>
      <c r="L2225" s="12" t="s">
        <v>51</v>
      </c>
      <c r="M2225" s="19"/>
      <c r="N2225" s="19"/>
      <c r="O2225" s="34" t="s">
        <v>7698</v>
      </c>
      <c r="P2225" s="587" t="s">
        <v>1432</v>
      </c>
    </row>
    <row r="2226" hidden="1">
      <c r="A2226" s="471">
        <v>16.0</v>
      </c>
      <c r="B2226" s="470" t="s">
        <v>7776</v>
      </c>
      <c r="C2226" s="471" t="s">
        <v>1185</v>
      </c>
      <c r="D2226" s="471" t="s">
        <v>7777</v>
      </c>
      <c r="E2226" s="471" t="s">
        <v>7778</v>
      </c>
      <c r="F2226" s="471" t="s">
        <v>25</v>
      </c>
      <c r="G2226" s="525">
        <v>46298.0</v>
      </c>
      <c r="H2226" s="471">
        <v>18.0</v>
      </c>
      <c r="I2226" s="471" t="s">
        <v>2890</v>
      </c>
      <c r="J2226" s="34" t="s">
        <v>7757</v>
      </c>
      <c r="K2226" s="34" t="s">
        <v>294</v>
      </c>
      <c r="L2226" s="12" t="s">
        <v>4195</v>
      </c>
      <c r="M2226" s="19"/>
      <c r="N2226" s="19"/>
      <c r="O2226" s="34" t="s">
        <v>7588</v>
      </c>
      <c r="P2226" s="587" t="s">
        <v>1432</v>
      </c>
    </row>
    <row r="2227" ht="15.0" hidden="1" customHeight="1">
      <c r="A2227" s="471">
        <v>17.0</v>
      </c>
      <c r="B2227" s="470" t="s">
        <v>7779</v>
      </c>
      <c r="C2227" s="471" t="s">
        <v>1185</v>
      </c>
      <c r="D2227" s="471" t="s">
        <v>7780</v>
      </c>
      <c r="E2227" s="471" t="s">
        <v>7781</v>
      </c>
      <c r="F2227" s="471" t="s">
        <v>25</v>
      </c>
      <c r="G2227" s="525">
        <v>46298.0</v>
      </c>
      <c r="H2227" s="471">
        <v>18.0</v>
      </c>
      <c r="I2227" s="471" t="s">
        <v>2890</v>
      </c>
      <c r="J2227" s="34" t="s">
        <v>7782</v>
      </c>
      <c r="K2227" s="34" t="s">
        <v>7506</v>
      </c>
      <c r="L2227" s="12" t="s">
        <v>51</v>
      </c>
      <c r="M2227" s="19"/>
      <c r="N2227" s="19"/>
      <c r="O2227" s="34" t="s">
        <v>7517</v>
      </c>
      <c r="P2227" s="587" t="s">
        <v>1432</v>
      </c>
    </row>
    <row r="2228" hidden="1">
      <c r="A2228" s="471">
        <v>18.0</v>
      </c>
      <c r="B2228" s="470" t="s">
        <v>7783</v>
      </c>
      <c r="C2228" s="471" t="s">
        <v>651</v>
      </c>
      <c r="D2228" s="471" t="s">
        <v>7784</v>
      </c>
      <c r="E2228" s="471" t="s">
        <v>7785</v>
      </c>
      <c r="F2228" s="471" t="s">
        <v>5436</v>
      </c>
      <c r="G2228" s="525">
        <v>46298.0</v>
      </c>
      <c r="H2228" s="471">
        <v>18.0</v>
      </c>
      <c r="I2228" s="471" t="s">
        <v>2890</v>
      </c>
      <c r="J2228" s="34" t="s">
        <v>7757</v>
      </c>
      <c r="K2228" s="34" t="s">
        <v>294</v>
      </c>
      <c r="L2228" s="12" t="s">
        <v>374</v>
      </c>
      <c r="M2228" s="19"/>
      <c r="N2228" s="19"/>
      <c r="O2228" s="34" t="s">
        <v>7786</v>
      </c>
      <c r="P2228" s="634" t="s">
        <v>4937</v>
      </c>
    </row>
    <row r="2229" hidden="1">
      <c r="A2229" s="471">
        <v>19.0</v>
      </c>
      <c r="B2229" s="470" t="s">
        <v>7787</v>
      </c>
      <c r="C2229" s="471" t="s">
        <v>651</v>
      </c>
      <c r="D2229" s="471" t="s">
        <v>7788</v>
      </c>
      <c r="E2229" s="471" t="s">
        <v>7789</v>
      </c>
      <c r="F2229" s="471" t="s">
        <v>7790</v>
      </c>
      <c r="G2229" s="525">
        <v>46329.0</v>
      </c>
      <c r="H2229" s="471">
        <v>19.0</v>
      </c>
      <c r="I2229" s="471" t="s">
        <v>2890</v>
      </c>
      <c r="J2229" s="19"/>
      <c r="L2229" s="12" t="s">
        <v>4195</v>
      </c>
      <c r="M2229" s="19"/>
      <c r="N2229" s="19"/>
      <c r="O2229" s="34" t="s">
        <v>7791</v>
      </c>
      <c r="P2229" s="19"/>
    </row>
    <row r="2230" hidden="1">
      <c r="A2230" s="471">
        <v>20.0</v>
      </c>
      <c r="B2230" s="470" t="s">
        <v>7792</v>
      </c>
      <c r="C2230" s="471" t="s">
        <v>80</v>
      </c>
      <c r="D2230" s="471" t="s">
        <v>7793</v>
      </c>
      <c r="E2230" s="471" t="s">
        <v>676</v>
      </c>
      <c r="F2230" s="471" t="s">
        <v>356</v>
      </c>
      <c r="G2230" s="525">
        <v>46329.0</v>
      </c>
      <c r="H2230" s="471">
        <v>19.0</v>
      </c>
      <c r="I2230" s="531" t="s">
        <v>3231</v>
      </c>
      <c r="J2230" s="34" t="s">
        <v>7782</v>
      </c>
      <c r="K2230" s="34" t="s">
        <v>7506</v>
      </c>
      <c r="L2230" s="12" t="s">
        <v>51</v>
      </c>
      <c r="M2230" s="19"/>
      <c r="N2230" s="19"/>
      <c r="O2230" s="34" t="s">
        <v>7517</v>
      </c>
      <c r="P2230" s="587" t="s">
        <v>1432</v>
      </c>
    </row>
    <row r="2231" hidden="1">
      <c r="A2231" s="471">
        <v>21.0</v>
      </c>
      <c r="B2231" s="470" t="s">
        <v>7794</v>
      </c>
      <c r="C2231" s="471" t="s">
        <v>1185</v>
      </c>
      <c r="D2231" s="471" t="s">
        <v>7795</v>
      </c>
      <c r="E2231" s="471" t="s">
        <v>7796</v>
      </c>
      <c r="F2231" s="471" t="s">
        <v>25</v>
      </c>
      <c r="G2231" s="525">
        <v>46329.0</v>
      </c>
      <c r="H2231" s="471">
        <v>19.0</v>
      </c>
      <c r="I2231" s="471" t="s">
        <v>2890</v>
      </c>
      <c r="J2231" s="34" t="s">
        <v>7757</v>
      </c>
      <c r="K2231" s="34" t="s">
        <v>7283</v>
      </c>
      <c r="L2231" s="12" t="s">
        <v>374</v>
      </c>
      <c r="M2231" s="19"/>
      <c r="N2231" s="19"/>
      <c r="O2231" s="34" t="s">
        <v>7517</v>
      </c>
      <c r="P2231" s="587" t="s">
        <v>1432</v>
      </c>
    </row>
    <row r="2232" hidden="1">
      <c r="A2232" s="471">
        <v>22.0</v>
      </c>
      <c r="B2232" s="470" t="s">
        <v>7797</v>
      </c>
      <c r="C2232" s="471" t="s">
        <v>80</v>
      </c>
      <c r="D2232" s="471" t="s">
        <v>7798</v>
      </c>
      <c r="E2232" s="593" t="s">
        <v>7799</v>
      </c>
      <c r="F2232" s="471" t="s">
        <v>3583</v>
      </c>
      <c r="G2232" s="525">
        <v>46359.0</v>
      </c>
      <c r="H2232" s="471">
        <v>20.0</v>
      </c>
      <c r="I2232" s="471" t="s">
        <v>2890</v>
      </c>
      <c r="J2232" s="34" t="s">
        <v>2541</v>
      </c>
      <c r="K2232" s="19"/>
      <c r="L2232" s="14"/>
      <c r="M2232" s="19"/>
      <c r="N2232" s="19"/>
      <c r="O2232" s="148">
        <v>46298.0</v>
      </c>
      <c r="P2232" s="19"/>
    </row>
    <row r="2233" hidden="1">
      <c r="A2233" s="471">
        <v>23.0</v>
      </c>
      <c r="B2233" s="470" t="s">
        <v>7800</v>
      </c>
      <c r="C2233" s="471" t="s">
        <v>80</v>
      </c>
      <c r="D2233" s="471" t="s">
        <v>7801</v>
      </c>
      <c r="E2233" s="593" t="s">
        <v>7802</v>
      </c>
      <c r="F2233" s="471" t="s">
        <v>3583</v>
      </c>
      <c r="G2233" s="525">
        <v>46359.0</v>
      </c>
      <c r="H2233" s="471">
        <v>20.0</v>
      </c>
      <c r="I2233" s="486" t="s">
        <v>3465</v>
      </c>
      <c r="J2233" s="34" t="s">
        <v>2541</v>
      </c>
      <c r="K2233" s="19"/>
      <c r="L2233" s="14"/>
      <c r="M2233" s="19"/>
      <c r="N2233" s="19"/>
      <c r="O2233" s="148">
        <v>46298.0</v>
      </c>
      <c r="P2233" s="19"/>
    </row>
    <row r="2234" hidden="1">
      <c r="A2234" s="471">
        <v>24.0</v>
      </c>
      <c r="B2234" s="470" t="s">
        <v>7803</v>
      </c>
      <c r="C2234" s="471" t="s">
        <v>80</v>
      </c>
      <c r="D2234" s="471" t="s">
        <v>7804</v>
      </c>
      <c r="E2234" s="471" t="s">
        <v>6944</v>
      </c>
      <c r="F2234" s="471" t="s">
        <v>6944</v>
      </c>
      <c r="G2234" s="647"/>
      <c r="H2234" s="14"/>
      <c r="I2234" s="471" t="s">
        <v>2890</v>
      </c>
      <c r="J2234" s="34" t="s">
        <v>7805</v>
      </c>
      <c r="K2234" s="34" t="s">
        <v>7806</v>
      </c>
      <c r="L2234" s="12" t="s">
        <v>374</v>
      </c>
      <c r="M2234" s="19"/>
      <c r="N2234" s="19"/>
      <c r="O2234" s="34" t="s">
        <v>7807</v>
      </c>
      <c r="P2234" s="19"/>
    </row>
    <row r="2235" hidden="1">
      <c r="A2235" s="471">
        <v>25.0</v>
      </c>
      <c r="B2235" s="470" t="s">
        <v>7808</v>
      </c>
      <c r="C2235" s="471" t="s">
        <v>80</v>
      </c>
      <c r="D2235" s="471" t="s">
        <v>7809</v>
      </c>
      <c r="E2235" s="471" t="s">
        <v>6944</v>
      </c>
      <c r="F2235" s="471" t="s">
        <v>6944</v>
      </c>
      <c r="G2235" s="647"/>
      <c r="H2235" s="14"/>
      <c r="I2235" s="471" t="s">
        <v>2890</v>
      </c>
      <c r="J2235" s="34" t="s">
        <v>7805</v>
      </c>
      <c r="K2235" s="34" t="s">
        <v>7806</v>
      </c>
      <c r="L2235" s="12" t="s">
        <v>374</v>
      </c>
      <c r="M2235" s="19"/>
      <c r="N2235" s="19"/>
      <c r="O2235" s="34" t="s">
        <v>7807</v>
      </c>
      <c r="P2235" s="19"/>
    </row>
    <row r="2236" hidden="1">
      <c r="A2236" s="471">
        <v>26.0</v>
      </c>
      <c r="B2236" s="470" t="s">
        <v>7810</v>
      </c>
      <c r="C2236" s="471" t="s">
        <v>80</v>
      </c>
      <c r="D2236" s="471" t="s">
        <v>7811</v>
      </c>
      <c r="E2236" s="471" t="s">
        <v>7812</v>
      </c>
      <c r="F2236" s="471" t="s">
        <v>7790</v>
      </c>
      <c r="G2236" s="525">
        <v>46329.0</v>
      </c>
      <c r="H2236" s="471">
        <v>19.0</v>
      </c>
      <c r="I2236" s="471" t="s">
        <v>2890</v>
      </c>
      <c r="J2236" s="34" t="s">
        <v>7805</v>
      </c>
      <c r="K2236" s="661">
        <v>46359.0</v>
      </c>
      <c r="L2236" s="12" t="s">
        <v>4195</v>
      </c>
      <c r="M2236" s="19"/>
      <c r="N2236" s="19"/>
      <c r="O2236" s="34" t="s">
        <v>7517</v>
      </c>
      <c r="P2236" s="587" t="s">
        <v>1432</v>
      </c>
    </row>
    <row r="2237" hidden="1">
      <c r="A2237" s="471">
        <v>27.0</v>
      </c>
      <c r="B2237" s="470" t="s">
        <v>7813</v>
      </c>
      <c r="C2237" s="471" t="s">
        <v>80</v>
      </c>
      <c r="D2237" s="471" t="s">
        <v>7814</v>
      </c>
      <c r="E2237" s="550" t="s">
        <v>7815</v>
      </c>
      <c r="F2237" s="471" t="s">
        <v>4405</v>
      </c>
      <c r="G2237" s="525">
        <v>46359.0</v>
      </c>
      <c r="H2237" s="471">
        <v>20.0</v>
      </c>
      <c r="I2237" s="471" t="s">
        <v>2890</v>
      </c>
      <c r="J2237" s="34" t="s">
        <v>7782</v>
      </c>
      <c r="K2237" s="34" t="s">
        <v>7506</v>
      </c>
      <c r="L2237" s="12" t="s">
        <v>51</v>
      </c>
      <c r="M2237" s="19"/>
      <c r="N2237" s="19"/>
      <c r="O2237" s="34" t="s">
        <v>7517</v>
      </c>
      <c r="P2237" s="587" t="s">
        <v>1432</v>
      </c>
    </row>
    <row r="2238" hidden="1">
      <c r="A2238" s="471">
        <v>28.0</v>
      </c>
      <c r="B2238" s="470" t="s">
        <v>7816</v>
      </c>
      <c r="C2238" s="471" t="s">
        <v>80</v>
      </c>
      <c r="D2238" s="471" t="s">
        <v>7817</v>
      </c>
      <c r="E2238" s="550" t="s">
        <v>7818</v>
      </c>
      <c r="F2238" s="471" t="s">
        <v>4405</v>
      </c>
      <c r="G2238" s="525">
        <v>46359.0</v>
      </c>
      <c r="H2238" s="471">
        <v>20.0</v>
      </c>
      <c r="I2238" s="471" t="s">
        <v>2890</v>
      </c>
      <c r="J2238" s="34" t="s">
        <v>7782</v>
      </c>
      <c r="K2238" s="34" t="s">
        <v>7506</v>
      </c>
      <c r="L2238" s="12" t="s">
        <v>51</v>
      </c>
      <c r="M2238" s="19"/>
      <c r="N2238" s="19"/>
      <c r="O2238" s="34" t="s">
        <v>7517</v>
      </c>
      <c r="P2238" s="587" t="s">
        <v>1432</v>
      </c>
    </row>
    <row r="2239" hidden="1">
      <c r="A2239" s="471">
        <v>29.0</v>
      </c>
      <c r="B2239" s="470" t="s">
        <v>7819</v>
      </c>
      <c r="C2239" s="471" t="s">
        <v>651</v>
      </c>
      <c r="D2239" s="471" t="s">
        <v>7820</v>
      </c>
      <c r="E2239" s="471" t="s">
        <v>7821</v>
      </c>
      <c r="F2239" s="471" t="s">
        <v>4367</v>
      </c>
      <c r="G2239" s="525">
        <v>46359.0</v>
      </c>
      <c r="H2239" s="471">
        <v>20.0</v>
      </c>
      <c r="I2239" s="471" t="s">
        <v>2890</v>
      </c>
      <c r="J2239" s="34" t="s">
        <v>7782</v>
      </c>
      <c r="K2239" s="34" t="s">
        <v>7283</v>
      </c>
      <c r="L2239" s="12" t="s">
        <v>374</v>
      </c>
      <c r="M2239" s="19"/>
      <c r="N2239" s="19"/>
      <c r="O2239" s="34" t="s">
        <v>7588</v>
      </c>
      <c r="P2239" s="587" t="s">
        <v>1432</v>
      </c>
    </row>
    <row r="2240" hidden="1">
      <c r="A2240" s="471">
        <v>30.0</v>
      </c>
      <c r="B2240" s="470" t="s">
        <v>7822</v>
      </c>
      <c r="C2240" s="471" t="s">
        <v>651</v>
      </c>
      <c r="D2240" s="471" t="s">
        <v>7823</v>
      </c>
      <c r="E2240" s="471" t="s">
        <v>7824</v>
      </c>
      <c r="F2240" s="471" t="s">
        <v>4779</v>
      </c>
      <c r="G2240" s="525">
        <v>46206.0</v>
      </c>
      <c r="H2240" s="471">
        <v>15.0</v>
      </c>
      <c r="I2240" s="471" t="s">
        <v>2890</v>
      </c>
      <c r="J2240" s="34" t="s">
        <v>2541</v>
      </c>
      <c r="K2240" s="34" t="s">
        <v>7727</v>
      </c>
      <c r="L2240" s="12" t="s">
        <v>51</v>
      </c>
      <c r="M2240" s="19"/>
      <c r="N2240" s="19"/>
      <c r="O2240" s="34" t="s">
        <v>7236</v>
      </c>
      <c r="P2240" s="587" t="s">
        <v>1432</v>
      </c>
    </row>
    <row r="2241" hidden="1">
      <c r="A2241" s="471">
        <v>31.0</v>
      </c>
      <c r="B2241" s="470" t="s">
        <v>7825</v>
      </c>
      <c r="C2241" s="471" t="s">
        <v>80</v>
      </c>
      <c r="D2241" s="471" t="s">
        <v>7826</v>
      </c>
      <c r="E2241" s="550" t="s">
        <v>7827</v>
      </c>
      <c r="F2241" s="471" t="s">
        <v>1362</v>
      </c>
      <c r="G2241" s="471" t="s">
        <v>7383</v>
      </c>
      <c r="H2241" s="471">
        <v>21.0</v>
      </c>
      <c r="I2241" s="471" t="s">
        <v>2890</v>
      </c>
      <c r="J2241" s="34" t="s">
        <v>7757</v>
      </c>
      <c r="K2241" s="34" t="s">
        <v>7283</v>
      </c>
      <c r="L2241" s="12" t="s">
        <v>4195</v>
      </c>
      <c r="M2241" s="19"/>
      <c r="N2241" s="19"/>
      <c r="O2241" s="34" t="s">
        <v>7791</v>
      </c>
      <c r="P2241" s="587" t="s">
        <v>1432</v>
      </c>
    </row>
    <row r="2242" hidden="1">
      <c r="A2242" s="471">
        <v>32.0</v>
      </c>
      <c r="B2242" s="470" t="s">
        <v>7828</v>
      </c>
      <c r="C2242" s="471" t="s">
        <v>80</v>
      </c>
      <c r="D2242" s="471" t="s">
        <v>7829</v>
      </c>
      <c r="E2242" s="550" t="s">
        <v>7830</v>
      </c>
      <c r="F2242" s="471" t="s">
        <v>1362</v>
      </c>
      <c r="G2242" s="471" t="s">
        <v>7383</v>
      </c>
      <c r="H2242" s="471">
        <v>21.0</v>
      </c>
      <c r="I2242" s="471" t="s">
        <v>2890</v>
      </c>
      <c r="J2242" s="34" t="s">
        <v>7757</v>
      </c>
      <c r="K2242" s="34" t="s">
        <v>7283</v>
      </c>
      <c r="L2242" s="12" t="s">
        <v>4195</v>
      </c>
      <c r="M2242" s="19"/>
      <c r="N2242" s="19"/>
      <c r="O2242" s="34" t="s">
        <v>7791</v>
      </c>
      <c r="P2242" s="587" t="s">
        <v>1432</v>
      </c>
    </row>
    <row r="2243" hidden="1">
      <c r="A2243" s="339" t="s">
        <v>7831</v>
      </c>
    </row>
    <row r="2244" hidden="1">
      <c r="A2244" s="670" t="s">
        <v>47</v>
      </c>
      <c r="B2244" s="670" t="s">
        <v>7</v>
      </c>
      <c r="C2244" s="670" t="s">
        <v>9</v>
      </c>
      <c r="D2244" s="670" t="s">
        <v>10</v>
      </c>
      <c r="E2244" s="670" t="s">
        <v>11</v>
      </c>
      <c r="F2244" s="670" t="s">
        <v>12</v>
      </c>
      <c r="G2244" s="670" t="s">
        <v>2378</v>
      </c>
      <c r="H2244" s="670" t="s">
        <v>2681</v>
      </c>
      <c r="I2244" s="4" t="s">
        <v>2847</v>
      </c>
      <c r="J2244" s="8" t="s">
        <v>14</v>
      </c>
      <c r="K2244" s="9" t="s">
        <v>16</v>
      </c>
      <c r="L2244" s="9" t="s">
        <v>4330</v>
      </c>
      <c r="M2244" s="9" t="s">
        <v>18</v>
      </c>
      <c r="N2244" s="9" t="s">
        <v>19</v>
      </c>
      <c r="O2244" s="9" t="s">
        <v>20</v>
      </c>
      <c r="P2244" s="9" t="s">
        <v>21</v>
      </c>
      <c r="Q2244" s="35"/>
      <c r="R2244" s="35"/>
      <c r="S2244" s="35"/>
      <c r="T2244" s="35"/>
      <c r="U2244" s="35"/>
      <c r="V2244" s="35"/>
      <c r="W2244" s="35"/>
      <c r="X2244" s="35"/>
      <c r="Y2244" s="35"/>
      <c r="Z2244" s="35"/>
      <c r="AA2244" s="35"/>
      <c r="AB2244" s="35"/>
      <c r="AC2244" s="35"/>
      <c r="AD2244" s="35"/>
      <c r="AE2244" s="35"/>
      <c r="AF2244" s="35"/>
    </row>
    <row r="2245" hidden="1">
      <c r="A2245" s="619">
        <v>1.0</v>
      </c>
      <c r="B2245" s="715" t="s">
        <v>7832</v>
      </c>
      <c r="C2245" s="619" t="s">
        <v>80</v>
      </c>
      <c r="D2245" s="504" t="s">
        <v>7833</v>
      </c>
      <c r="E2245" s="619" t="s">
        <v>7834</v>
      </c>
      <c r="F2245" s="619" t="s">
        <v>243</v>
      </c>
      <c r="G2245" s="716">
        <v>46206.0</v>
      </c>
      <c r="H2245" s="619">
        <v>12.0</v>
      </c>
      <c r="I2245" s="619" t="s">
        <v>2890</v>
      </c>
      <c r="J2245" s="143" t="s">
        <v>2541</v>
      </c>
      <c r="K2245" s="143" t="s">
        <v>7213</v>
      </c>
      <c r="L2245" s="292" t="s">
        <v>7835</v>
      </c>
      <c r="O2245" s="143" t="s">
        <v>6959</v>
      </c>
      <c r="P2245" s="587" t="s">
        <v>1432</v>
      </c>
    </row>
    <row r="2246" hidden="1">
      <c r="A2246" s="619">
        <v>2.0</v>
      </c>
      <c r="B2246" s="715" t="s">
        <v>7836</v>
      </c>
      <c r="C2246" s="619" t="s">
        <v>80</v>
      </c>
      <c r="D2246" s="504" t="s">
        <v>7837</v>
      </c>
      <c r="E2246" s="717" t="s">
        <v>7838</v>
      </c>
      <c r="F2246" s="619" t="s">
        <v>3583</v>
      </c>
      <c r="G2246" s="716">
        <v>46298.0</v>
      </c>
      <c r="H2246" s="619">
        <v>15.0</v>
      </c>
      <c r="I2246" s="619" t="s">
        <v>2890</v>
      </c>
      <c r="J2246" s="34" t="s">
        <v>2541</v>
      </c>
      <c r="K2246" s="34" t="s">
        <v>7213</v>
      </c>
      <c r="L2246" s="12" t="s">
        <v>455</v>
      </c>
      <c r="M2246" s="19"/>
      <c r="N2246" s="19"/>
      <c r="O2246" s="148">
        <v>46359.0</v>
      </c>
      <c r="P2246" s="19"/>
    </row>
    <row r="2247" hidden="1">
      <c r="A2247" s="306">
        <v>3.0</v>
      </c>
      <c r="B2247" s="718" t="s">
        <v>7839</v>
      </c>
      <c r="C2247" s="653"/>
      <c r="D2247" s="342" t="s">
        <v>7840</v>
      </c>
      <c r="E2247" s="306" t="s">
        <v>7841</v>
      </c>
      <c r="F2247" s="653"/>
      <c r="G2247" s="653"/>
      <c r="H2247" s="653"/>
      <c r="I2247" s="306" t="s">
        <v>2890</v>
      </c>
      <c r="J2247" s="34" t="s">
        <v>2541</v>
      </c>
      <c r="K2247" s="34" t="s">
        <v>7506</v>
      </c>
      <c r="L2247" s="12" t="s">
        <v>455</v>
      </c>
      <c r="M2247" s="19"/>
      <c r="N2247" s="19"/>
      <c r="O2247" s="71">
        <v>46329.0</v>
      </c>
      <c r="P2247" s="19"/>
    </row>
    <row r="2248" hidden="1">
      <c r="A2248" s="306">
        <v>5.0</v>
      </c>
      <c r="B2248" s="719" t="s">
        <v>7842</v>
      </c>
      <c r="C2248" s="306" t="s">
        <v>80</v>
      </c>
      <c r="D2248" s="342" t="s">
        <v>7843</v>
      </c>
      <c r="E2248" s="306" t="s">
        <v>7844</v>
      </c>
      <c r="F2248" s="306" t="s">
        <v>2345</v>
      </c>
      <c r="G2248" s="720">
        <v>46329.0</v>
      </c>
      <c r="H2248" s="306">
        <v>16.0</v>
      </c>
      <c r="I2248" s="306" t="s">
        <v>2890</v>
      </c>
      <c r="J2248" s="34" t="s">
        <v>7845</v>
      </c>
      <c r="K2248" s="34" t="s">
        <v>7283</v>
      </c>
      <c r="L2248" s="12" t="s">
        <v>51</v>
      </c>
      <c r="M2248" s="19"/>
      <c r="N2248" s="19"/>
      <c r="O2248" s="34" t="s">
        <v>7366</v>
      </c>
      <c r="P2248" s="634" t="s">
        <v>4937</v>
      </c>
    </row>
    <row r="2249" hidden="1">
      <c r="A2249" s="306">
        <v>4.0</v>
      </c>
      <c r="B2249" s="718" t="s">
        <v>7846</v>
      </c>
      <c r="C2249" s="306" t="s">
        <v>80</v>
      </c>
      <c r="D2249" s="342" t="s">
        <v>7847</v>
      </c>
      <c r="E2249" s="306" t="s">
        <v>7848</v>
      </c>
      <c r="F2249" s="306" t="s">
        <v>7849</v>
      </c>
      <c r="G2249" s="720">
        <v>46359.0</v>
      </c>
      <c r="H2249" s="306">
        <v>17.0</v>
      </c>
      <c r="I2249" s="306" t="s">
        <v>2890</v>
      </c>
      <c r="J2249" s="34" t="s">
        <v>7850</v>
      </c>
      <c r="K2249" s="34" t="s">
        <v>7851</v>
      </c>
      <c r="L2249" s="12" t="s">
        <v>4195</v>
      </c>
      <c r="M2249" s="19"/>
      <c r="N2249" s="19"/>
      <c r="O2249" s="34" t="s">
        <v>7646</v>
      </c>
      <c r="P2249" s="587" t="s">
        <v>1432</v>
      </c>
    </row>
    <row r="2250" hidden="1">
      <c r="A2250" s="306">
        <v>6.0</v>
      </c>
      <c r="B2250" s="718" t="s">
        <v>7852</v>
      </c>
      <c r="C2250" s="306" t="s">
        <v>1185</v>
      </c>
      <c r="D2250" s="342" t="s">
        <v>7853</v>
      </c>
      <c r="E2250" s="306" t="s">
        <v>7854</v>
      </c>
      <c r="F2250" s="306" t="s">
        <v>25</v>
      </c>
      <c r="G2250" s="306" t="s">
        <v>7383</v>
      </c>
      <c r="H2250" s="306">
        <v>18.0</v>
      </c>
      <c r="I2250" s="306" t="s">
        <v>2890</v>
      </c>
      <c r="J2250" s="34" t="s">
        <v>7855</v>
      </c>
      <c r="K2250" s="34" t="s">
        <v>7283</v>
      </c>
      <c r="L2250" s="12" t="s">
        <v>374</v>
      </c>
      <c r="M2250" s="19"/>
      <c r="N2250" s="19"/>
      <c r="O2250" s="34" t="s">
        <v>7856</v>
      </c>
      <c r="P2250" s="587" t="s">
        <v>1432</v>
      </c>
    </row>
    <row r="2251" hidden="1">
      <c r="A2251" s="306">
        <v>7.0</v>
      </c>
      <c r="B2251" s="718" t="s">
        <v>7857</v>
      </c>
      <c r="C2251" s="306" t="s">
        <v>1185</v>
      </c>
      <c r="D2251" s="342" t="s">
        <v>7858</v>
      </c>
      <c r="E2251" s="306" t="s">
        <v>663</v>
      </c>
      <c r="F2251" s="306" t="s">
        <v>25</v>
      </c>
      <c r="G2251" s="306" t="s">
        <v>7383</v>
      </c>
      <c r="H2251" s="306">
        <v>18.0</v>
      </c>
      <c r="I2251" s="514" t="s">
        <v>3043</v>
      </c>
      <c r="J2251" s="34" t="s">
        <v>7855</v>
      </c>
      <c r="K2251" s="34" t="s">
        <v>7283</v>
      </c>
      <c r="L2251" s="12" t="s">
        <v>51</v>
      </c>
      <c r="M2251" s="19"/>
      <c r="N2251" s="19"/>
      <c r="O2251" s="34" t="s">
        <v>7859</v>
      </c>
      <c r="P2251" s="587" t="s">
        <v>1432</v>
      </c>
    </row>
    <row r="2252" hidden="1">
      <c r="A2252" s="306">
        <v>8.0</v>
      </c>
      <c r="B2252" s="718" t="s">
        <v>7860</v>
      </c>
      <c r="C2252" s="306" t="s">
        <v>80</v>
      </c>
      <c r="D2252" s="342" t="s">
        <v>7861</v>
      </c>
      <c r="E2252" s="306" t="s">
        <v>7862</v>
      </c>
      <c r="F2252" s="306" t="s">
        <v>172</v>
      </c>
      <c r="G2252" s="306" t="s">
        <v>7383</v>
      </c>
      <c r="H2252" s="306">
        <v>18.0</v>
      </c>
      <c r="I2252" s="306" t="s">
        <v>2890</v>
      </c>
      <c r="J2252" s="34" t="s">
        <v>7863</v>
      </c>
      <c r="K2252" s="19"/>
      <c r="L2252" s="12" t="s">
        <v>4195</v>
      </c>
      <c r="M2252" s="19"/>
      <c r="N2252" s="19"/>
      <c r="O2252" s="34" t="s">
        <v>7864</v>
      </c>
      <c r="P2252" s="19"/>
    </row>
    <row r="2253" hidden="1">
      <c r="A2253" s="306">
        <v>9.0</v>
      </c>
      <c r="B2253" s="718" t="s">
        <v>7865</v>
      </c>
      <c r="C2253" s="306" t="s">
        <v>80</v>
      </c>
      <c r="D2253" s="342" t="s">
        <v>7866</v>
      </c>
      <c r="E2253" s="306" t="s">
        <v>7867</v>
      </c>
      <c r="F2253" s="306" t="s">
        <v>172</v>
      </c>
      <c r="G2253" s="306" t="s">
        <v>7383</v>
      </c>
      <c r="H2253" s="306">
        <v>18.0</v>
      </c>
      <c r="I2253" s="485" t="s">
        <v>7868</v>
      </c>
      <c r="J2253" s="34" t="s">
        <v>7869</v>
      </c>
      <c r="K2253" s="34" t="s">
        <v>7870</v>
      </c>
      <c r="L2253" s="12" t="s">
        <v>374</v>
      </c>
      <c r="M2253" s="19"/>
      <c r="N2253" s="19"/>
      <c r="O2253" s="34" t="s">
        <v>6423</v>
      </c>
      <c r="P2253" s="19"/>
    </row>
    <row r="2254" hidden="1">
      <c r="A2254" s="306">
        <v>10.0</v>
      </c>
      <c r="B2254" s="718" t="s">
        <v>7871</v>
      </c>
      <c r="C2254" s="306" t="s">
        <v>80</v>
      </c>
      <c r="D2254" s="342" t="s">
        <v>7872</v>
      </c>
      <c r="E2254" s="306" t="s">
        <v>7873</v>
      </c>
      <c r="F2254" s="306" t="s">
        <v>356</v>
      </c>
      <c r="G2254" s="306" t="s">
        <v>7874</v>
      </c>
      <c r="H2254" s="306">
        <v>19.0</v>
      </c>
      <c r="I2254" s="306" t="s">
        <v>2890</v>
      </c>
      <c r="J2254" s="34" t="s">
        <v>7855</v>
      </c>
      <c r="K2254" s="34" t="s">
        <v>7283</v>
      </c>
      <c r="L2254" s="12" t="s">
        <v>51</v>
      </c>
      <c r="M2254" s="19"/>
      <c r="N2254" s="19"/>
      <c r="O2254" s="34" t="s">
        <v>7859</v>
      </c>
      <c r="P2254" s="587" t="s">
        <v>1432</v>
      </c>
    </row>
    <row r="2255" hidden="1">
      <c r="A2255" s="306">
        <v>11.0</v>
      </c>
      <c r="B2255" s="718" t="s">
        <v>7875</v>
      </c>
      <c r="C2255" s="306" t="s">
        <v>80</v>
      </c>
      <c r="D2255" s="342" t="s">
        <v>7876</v>
      </c>
      <c r="E2255" s="306" t="s">
        <v>7877</v>
      </c>
      <c r="F2255" s="306" t="s">
        <v>356</v>
      </c>
      <c r="G2255" s="306" t="s">
        <v>7874</v>
      </c>
      <c r="H2255" s="306">
        <v>19.0</v>
      </c>
      <c r="I2255" s="306" t="s">
        <v>2890</v>
      </c>
      <c r="J2255" s="34" t="s">
        <v>7845</v>
      </c>
      <c r="K2255" s="34" t="s">
        <v>7283</v>
      </c>
      <c r="L2255" s="12" t="s">
        <v>4195</v>
      </c>
      <c r="M2255" s="19"/>
      <c r="N2255" s="19"/>
      <c r="O2255" s="34" t="s">
        <v>7878</v>
      </c>
      <c r="P2255" s="587" t="s">
        <v>1432</v>
      </c>
    </row>
    <row r="2256" hidden="1">
      <c r="A2256" s="306">
        <v>12.0</v>
      </c>
      <c r="B2256" s="718" t="s">
        <v>7879</v>
      </c>
      <c r="C2256" s="306" t="s">
        <v>80</v>
      </c>
      <c r="D2256" s="342" t="s">
        <v>7880</v>
      </c>
      <c r="E2256" s="306" t="s">
        <v>7881</v>
      </c>
      <c r="F2256" s="306" t="s">
        <v>356</v>
      </c>
      <c r="G2256" s="306" t="s">
        <v>7874</v>
      </c>
      <c r="H2256" s="306">
        <v>19.0</v>
      </c>
      <c r="I2256" s="306" t="s">
        <v>2890</v>
      </c>
      <c r="J2256" s="34" t="s">
        <v>7845</v>
      </c>
      <c r="K2256" s="34" t="s">
        <v>7283</v>
      </c>
      <c r="L2256" s="12" t="s">
        <v>374</v>
      </c>
      <c r="M2256" s="19"/>
      <c r="N2256" s="19"/>
      <c r="O2256" s="34" t="s">
        <v>7479</v>
      </c>
      <c r="P2256" s="587" t="s">
        <v>1432</v>
      </c>
    </row>
    <row r="2257" hidden="1">
      <c r="A2257" s="306">
        <v>13.0</v>
      </c>
      <c r="B2257" s="718" t="s">
        <v>7882</v>
      </c>
      <c r="C2257" s="306" t="s">
        <v>80</v>
      </c>
      <c r="D2257" s="342" t="s">
        <v>7883</v>
      </c>
      <c r="E2257" s="721" t="s">
        <v>7884</v>
      </c>
      <c r="F2257" s="306" t="s">
        <v>4358</v>
      </c>
      <c r="G2257" s="306" t="s">
        <v>7885</v>
      </c>
      <c r="H2257" s="306">
        <v>20.0</v>
      </c>
      <c r="I2257" s="306" t="s">
        <v>2890</v>
      </c>
      <c r="J2257" s="34" t="s">
        <v>7855</v>
      </c>
      <c r="K2257" s="34" t="s">
        <v>6959</v>
      </c>
      <c r="L2257" s="12" t="s">
        <v>51</v>
      </c>
      <c r="M2257" s="19"/>
      <c r="N2257" s="19"/>
      <c r="O2257" s="34" t="s">
        <v>7859</v>
      </c>
      <c r="P2257" s="19"/>
    </row>
    <row r="2258" hidden="1">
      <c r="A2258" s="306">
        <v>14.0</v>
      </c>
      <c r="B2258" s="718" t="s">
        <v>7886</v>
      </c>
      <c r="C2258" s="306" t="s">
        <v>80</v>
      </c>
      <c r="D2258" s="342" t="s">
        <v>7887</v>
      </c>
      <c r="E2258" s="721" t="s">
        <v>7888</v>
      </c>
      <c r="F2258" s="306" t="s">
        <v>4358</v>
      </c>
      <c r="G2258" s="306" t="s">
        <v>7885</v>
      </c>
      <c r="H2258" s="306">
        <v>20.0</v>
      </c>
      <c r="I2258" s="306" t="s">
        <v>2890</v>
      </c>
      <c r="J2258" s="34" t="s">
        <v>7855</v>
      </c>
      <c r="K2258" s="34" t="s">
        <v>6959</v>
      </c>
      <c r="L2258" s="12" t="s">
        <v>51</v>
      </c>
      <c r="M2258" s="19"/>
      <c r="N2258" s="19"/>
      <c r="O2258" s="34" t="s">
        <v>7859</v>
      </c>
      <c r="P2258" s="19"/>
    </row>
    <row r="2259" hidden="1">
      <c r="A2259" s="306">
        <v>15.0</v>
      </c>
      <c r="B2259" s="719" t="s">
        <v>7889</v>
      </c>
      <c r="C2259" s="306" t="s">
        <v>80</v>
      </c>
      <c r="D2259" s="342" t="s">
        <v>7890</v>
      </c>
      <c r="E2259" s="306" t="s">
        <v>7891</v>
      </c>
      <c r="F2259" s="306" t="s">
        <v>4405</v>
      </c>
      <c r="G2259" s="720">
        <v>46298.0</v>
      </c>
      <c r="H2259" s="306">
        <v>15.0</v>
      </c>
      <c r="I2259" s="306" t="s">
        <v>2890</v>
      </c>
      <c r="J2259" s="34" t="s">
        <v>7845</v>
      </c>
      <c r="K2259" s="34" t="s">
        <v>7283</v>
      </c>
      <c r="L2259" s="12" t="s">
        <v>51</v>
      </c>
      <c r="M2259" s="19"/>
      <c r="N2259" s="19"/>
      <c r="O2259" s="34" t="s">
        <v>7366</v>
      </c>
      <c r="P2259" s="587" t="s">
        <v>1432</v>
      </c>
    </row>
    <row r="2260" ht="15.75" hidden="1" customHeight="1">
      <c r="A2260" s="306">
        <v>16.0</v>
      </c>
      <c r="B2260" s="718" t="s">
        <v>7892</v>
      </c>
      <c r="C2260" s="306" t="s">
        <v>651</v>
      </c>
      <c r="D2260" s="342" t="s">
        <v>7893</v>
      </c>
      <c r="E2260" s="306" t="s">
        <v>7894</v>
      </c>
      <c r="F2260" s="306" t="s">
        <v>4779</v>
      </c>
      <c r="G2260" s="306" t="s">
        <v>7885</v>
      </c>
      <c r="H2260" s="306">
        <v>20.0</v>
      </c>
      <c r="I2260" s="306" t="s">
        <v>2890</v>
      </c>
      <c r="J2260" s="34" t="s">
        <v>7895</v>
      </c>
      <c r="K2260" s="34" t="s">
        <v>7283</v>
      </c>
      <c r="L2260" s="12" t="s">
        <v>4195</v>
      </c>
      <c r="M2260" s="19"/>
      <c r="N2260" s="19"/>
      <c r="O2260" s="34" t="s">
        <v>7791</v>
      </c>
      <c r="P2260" s="701" t="s">
        <v>7041</v>
      </c>
    </row>
    <row r="2261" hidden="1">
      <c r="A2261" s="306">
        <v>17.0</v>
      </c>
      <c r="B2261" s="718" t="s">
        <v>7896</v>
      </c>
      <c r="C2261" s="306" t="s">
        <v>80</v>
      </c>
      <c r="D2261" s="342" t="s">
        <v>7897</v>
      </c>
      <c r="E2261" s="306" t="s">
        <v>7898</v>
      </c>
      <c r="F2261" s="306" t="s">
        <v>7899</v>
      </c>
      <c r="G2261" s="306" t="s">
        <v>7646</v>
      </c>
      <c r="H2261" s="306">
        <v>21.0</v>
      </c>
      <c r="I2261" s="306" t="s">
        <v>2890</v>
      </c>
      <c r="J2261" s="34" t="s">
        <v>7900</v>
      </c>
      <c r="K2261" s="34" t="s">
        <v>6959</v>
      </c>
      <c r="L2261" s="12" t="s">
        <v>7901</v>
      </c>
      <c r="M2261" s="19"/>
      <c r="N2261" s="19"/>
      <c r="O2261" s="34" t="s">
        <v>7856</v>
      </c>
      <c r="P2261" s="587" t="s">
        <v>1432</v>
      </c>
    </row>
    <row r="2262" hidden="1">
      <c r="A2262" s="306">
        <v>18.0</v>
      </c>
      <c r="B2262" s="718" t="s">
        <v>7902</v>
      </c>
      <c r="C2262" s="306" t="s">
        <v>80</v>
      </c>
      <c r="D2262" s="342" t="s">
        <v>7903</v>
      </c>
      <c r="E2262" s="306" t="s">
        <v>7904</v>
      </c>
      <c r="F2262" s="306" t="s">
        <v>7905</v>
      </c>
      <c r="G2262" s="306" t="s">
        <v>7646</v>
      </c>
      <c r="H2262" s="306">
        <v>21.0</v>
      </c>
      <c r="I2262" s="306" t="s">
        <v>2890</v>
      </c>
      <c r="J2262" s="34" t="s">
        <v>2541</v>
      </c>
      <c r="K2262" s="34" t="s">
        <v>7906</v>
      </c>
      <c r="L2262" s="12" t="s">
        <v>51</v>
      </c>
      <c r="M2262" s="19"/>
      <c r="N2262" s="19"/>
      <c r="O2262" s="34" t="s">
        <v>7859</v>
      </c>
      <c r="P2262" s="587" t="s">
        <v>1432</v>
      </c>
    </row>
    <row r="2263" hidden="1">
      <c r="A2263" s="306">
        <v>19.0</v>
      </c>
      <c r="B2263" s="718" t="s">
        <v>7907</v>
      </c>
      <c r="C2263" s="306" t="s">
        <v>651</v>
      </c>
      <c r="D2263" s="342" t="s">
        <v>7908</v>
      </c>
      <c r="E2263" s="593" t="s">
        <v>7909</v>
      </c>
      <c r="F2263" s="306" t="s">
        <v>3583</v>
      </c>
      <c r="G2263" s="306" t="s">
        <v>7646</v>
      </c>
      <c r="H2263" s="306">
        <v>21.0</v>
      </c>
      <c r="I2263" s="306" t="s">
        <v>2890</v>
      </c>
      <c r="J2263" s="34" t="s">
        <v>2541</v>
      </c>
      <c r="K2263" s="19"/>
      <c r="L2263" s="12" t="s">
        <v>4195</v>
      </c>
      <c r="M2263" s="19"/>
      <c r="N2263" s="19"/>
      <c r="O2263" s="148">
        <v>46298.0</v>
      </c>
      <c r="P2263" s="19"/>
    </row>
    <row r="2264" hidden="1">
      <c r="A2264" s="306">
        <v>20.0</v>
      </c>
      <c r="B2264" s="718" t="s">
        <v>7910</v>
      </c>
      <c r="C2264" s="306" t="s">
        <v>1185</v>
      </c>
      <c r="D2264" s="342" t="s">
        <v>7911</v>
      </c>
      <c r="E2264" s="593" t="s">
        <v>7912</v>
      </c>
      <c r="F2264" s="306" t="s">
        <v>3583</v>
      </c>
      <c r="G2264" s="306" t="s">
        <v>7646</v>
      </c>
      <c r="H2264" s="306">
        <v>21.0</v>
      </c>
      <c r="I2264" s="306" t="s">
        <v>2890</v>
      </c>
      <c r="J2264" s="34" t="s">
        <v>2541</v>
      </c>
      <c r="K2264" s="19"/>
      <c r="L2264" s="14"/>
      <c r="M2264" s="19"/>
      <c r="N2264" s="19"/>
      <c r="O2264" s="148">
        <v>46298.0</v>
      </c>
      <c r="P2264" s="19"/>
    </row>
    <row r="2265" hidden="1">
      <c r="A2265" s="306">
        <v>21.0</v>
      </c>
      <c r="B2265" s="718" t="s">
        <v>7913</v>
      </c>
      <c r="C2265" s="306" t="s">
        <v>80</v>
      </c>
      <c r="D2265" s="342" t="s">
        <v>7914</v>
      </c>
      <c r="E2265" s="306" t="s">
        <v>7915</v>
      </c>
      <c r="F2265" s="306" t="s">
        <v>4666</v>
      </c>
      <c r="G2265" s="720">
        <v>46298.0</v>
      </c>
      <c r="H2265" s="306">
        <v>15.0</v>
      </c>
      <c r="I2265" s="306" t="s">
        <v>2890</v>
      </c>
      <c r="J2265" s="34" t="s">
        <v>7900</v>
      </c>
      <c r="K2265" s="34" t="s">
        <v>7806</v>
      </c>
      <c r="L2265" s="12" t="s">
        <v>4195</v>
      </c>
      <c r="M2265" s="19"/>
      <c r="N2265" s="19"/>
      <c r="O2265" s="34" t="s">
        <v>7588</v>
      </c>
      <c r="P2265" s="587" t="s">
        <v>1432</v>
      </c>
    </row>
    <row r="2266" hidden="1">
      <c r="A2266" s="306">
        <v>22.0</v>
      </c>
      <c r="B2266" s="718" t="s">
        <v>7916</v>
      </c>
      <c r="C2266" s="306" t="s">
        <v>80</v>
      </c>
      <c r="D2266" s="342" t="s">
        <v>7917</v>
      </c>
      <c r="E2266" s="593" t="s">
        <v>7918</v>
      </c>
      <c r="F2266" s="306" t="s">
        <v>3928</v>
      </c>
      <c r="G2266" s="720">
        <v>46329.0</v>
      </c>
      <c r="H2266" s="306">
        <v>16.0</v>
      </c>
      <c r="I2266" s="306" t="s">
        <v>2890</v>
      </c>
      <c r="J2266" s="34" t="s">
        <v>3099</v>
      </c>
      <c r="K2266" s="19"/>
      <c r="L2266" s="12" t="s">
        <v>778</v>
      </c>
      <c r="M2266" s="19"/>
      <c r="N2266" s="19"/>
      <c r="O2266" s="148">
        <v>46359.0</v>
      </c>
      <c r="P2266" s="19"/>
    </row>
    <row r="2267" hidden="1">
      <c r="A2267" s="306">
        <v>23.0</v>
      </c>
      <c r="B2267" s="718" t="s">
        <v>7919</v>
      </c>
      <c r="C2267" s="306" t="s">
        <v>80</v>
      </c>
      <c r="D2267" s="342" t="s">
        <v>7920</v>
      </c>
      <c r="E2267" s="593" t="s">
        <v>7921</v>
      </c>
      <c r="F2267" s="306" t="s">
        <v>3928</v>
      </c>
      <c r="G2267" s="720">
        <v>46329.0</v>
      </c>
      <c r="H2267" s="306">
        <v>16.0</v>
      </c>
      <c r="I2267" s="306" t="s">
        <v>2890</v>
      </c>
      <c r="J2267" s="34" t="s">
        <v>3099</v>
      </c>
      <c r="K2267" s="19"/>
      <c r="L2267" s="12" t="s">
        <v>778</v>
      </c>
      <c r="M2267" s="19"/>
      <c r="N2267" s="19"/>
      <c r="O2267" s="148">
        <v>46359.0</v>
      </c>
      <c r="P2267" s="19"/>
    </row>
    <row r="2268" hidden="1">
      <c r="A2268" s="306">
        <v>24.0</v>
      </c>
      <c r="B2268" s="718" t="s">
        <v>7922</v>
      </c>
      <c r="C2268" s="306" t="s">
        <v>80</v>
      </c>
      <c r="D2268" s="342" t="s">
        <v>7923</v>
      </c>
      <c r="E2268" s="593" t="s">
        <v>7924</v>
      </c>
      <c r="F2268" s="306" t="s">
        <v>3928</v>
      </c>
      <c r="G2268" s="720">
        <v>46329.0</v>
      </c>
      <c r="H2268" s="306">
        <v>16.0</v>
      </c>
      <c r="I2268" s="514" t="s">
        <v>4002</v>
      </c>
      <c r="J2268" s="34" t="s">
        <v>3099</v>
      </c>
      <c r="K2268" s="19"/>
      <c r="L2268" s="12" t="s">
        <v>778</v>
      </c>
      <c r="M2268" s="19"/>
      <c r="N2268" s="19"/>
      <c r="O2268" s="148">
        <v>46359.0</v>
      </c>
      <c r="P2268" s="19"/>
    </row>
    <row r="2269" hidden="1">
      <c r="A2269" s="306">
        <v>25.0</v>
      </c>
      <c r="B2269" s="718" t="s">
        <v>7925</v>
      </c>
      <c r="C2269" s="306" t="s">
        <v>80</v>
      </c>
      <c r="D2269" s="342" t="s">
        <v>7926</v>
      </c>
      <c r="E2269" s="593" t="s">
        <v>7927</v>
      </c>
      <c r="F2269" s="306" t="s">
        <v>3928</v>
      </c>
      <c r="G2269" s="720">
        <v>46329.0</v>
      </c>
      <c r="H2269" s="306">
        <v>16.0</v>
      </c>
      <c r="I2269" s="306" t="s">
        <v>2890</v>
      </c>
      <c r="J2269" s="34" t="s">
        <v>3099</v>
      </c>
      <c r="K2269" s="19"/>
      <c r="L2269" s="12" t="s">
        <v>778</v>
      </c>
      <c r="M2269" s="19"/>
      <c r="N2269" s="19"/>
      <c r="O2269" s="148">
        <v>46359.0</v>
      </c>
      <c r="P2269" s="19"/>
    </row>
    <row r="2270" hidden="1">
      <c r="A2270" s="306">
        <v>26.0</v>
      </c>
      <c r="B2270" s="718" t="s">
        <v>7928</v>
      </c>
      <c r="C2270" s="306" t="s">
        <v>80</v>
      </c>
      <c r="D2270" s="342" t="s">
        <v>7929</v>
      </c>
      <c r="E2270" s="593" t="s">
        <v>7930</v>
      </c>
      <c r="F2270" s="306" t="s">
        <v>3928</v>
      </c>
      <c r="G2270" s="720">
        <v>46329.0</v>
      </c>
      <c r="H2270" s="306">
        <v>16.0</v>
      </c>
      <c r="I2270" s="306" t="s">
        <v>2890</v>
      </c>
      <c r="J2270" s="34" t="s">
        <v>3099</v>
      </c>
      <c r="K2270" s="19"/>
      <c r="L2270" s="12" t="s">
        <v>778</v>
      </c>
      <c r="M2270" s="19"/>
      <c r="N2270" s="19"/>
      <c r="O2270" s="148">
        <v>46359.0</v>
      </c>
      <c r="P2270" s="19"/>
    </row>
    <row r="2271" hidden="1">
      <c r="A2271" s="306">
        <v>27.0</v>
      </c>
      <c r="B2271" s="718" t="s">
        <v>7931</v>
      </c>
      <c r="C2271" s="306" t="s">
        <v>80</v>
      </c>
      <c r="D2271" s="342" t="s">
        <v>7932</v>
      </c>
      <c r="E2271" s="593" t="s">
        <v>7933</v>
      </c>
      <c r="F2271" s="306" t="s">
        <v>3928</v>
      </c>
      <c r="G2271" s="720">
        <v>46329.0</v>
      </c>
      <c r="H2271" s="306">
        <v>16.0</v>
      </c>
      <c r="I2271" s="306" t="s">
        <v>2890</v>
      </c>
      <c r="J2271" s="34" t="s">
        <v>3099</v>
      </c>
      <c r="K2271" s="19"/>
      <c r="L2271" s="12" t="s">
        <v>778</v>
      </c>
      <c r="M2271" s="19"/>
      <c r="N2271" s="19"/>
      <c r="O2271" s="148">
        <v>46359.0</v>
      </c>
      <c r="P2271" s="19"/>
    </row>
    <row r="2272" hidden="1">
      <c r="A2272" s="306">
        <v>28.0</v>
      </c>
      <c r="B2272" s="718" t="s">
        <v>7934</v>
      </c>
      <c r="C2272" s="306" t="s">
        <v>80</v>
      </c>
      <c r="D2272" s="342" t="s">
        <v>7935</v>
      </c>
      <c r="E2272" s="593" t="s">
        <v>7936</v>
      </c>
      <c r="F2272" s="306" t="s">
        <v>3928</v>
      </c>
      <c r="G2272" s="720">
        <v>46329.0</v>
      </c>
      <c r="H2272" s="306">
        <v>16.0</v>
      </c>
      <c r="I2272" s="306" t="s">
        <v>2890</v>
      </c>
      <c r="J2272" s="34" t="s">
        <v>3099</v>
      </c>
      <c r="K2272" s="19"/>
      <c r="L2272" s="12" t="s">
        <v>778</v>
      </c>
      <c r="M2272" s="19"/>
      <c r="N2272" s="19"/>
      <c r="O2272" s="148">
        <v>46359.0</v>
      </c>
      <c r="P2272" s="19"/>
    </row>
    <row r="2273" hidden="1">
      <c r="A2273" s="306">
        <v>29.0</v>
      </c>
      <c r="B2273" s="718" t="s">
        <v>7937</v>
      </c>
      <c r="C2273" s="306" t="s">
        <v>80</v>
      </c>
      <c r="D2273" s="342" t="s">
        <v>7938</v>
      </c>
      <c r="E2273" s="593" t="s">
        <v>7939</v>
      </c>
      <c r="F2273" s="306" t="s">
        <v>3928</v>
      </c>
      <c r="G2273" s="720">
        <v>46329.0</v>
      </c>
      <c r="H2273" s="306">
        <v>16.0</v>
      </c>
      <c r="I2273" s="306" t="s">
        <v>2890</v>
      </c>
      <c r="J2273" s="34" t="s">
        <v>3099</v>
      </c>
      <c r="K2273" s="19"/>
      <c r="L2273" s="12" t="s">
        <v>778</v>
      </c>
      <c r="M2273" s="19"/>
      <c r="N2273" s="19"/>
      <c r="O2273" s="148">
        <v>46359.0</v>
      </c>
      <c r="P2273" s="19"/>
    </row>
    <row r="2274" hidden="1">
      <c r="A2274" s="306">
        <v>30.0</v>
      </c>
      <c r="B2274" s="718" t="s">
        <v>7940</v>
      </c>
      <c r="C2274" s="306" t="s">
        <v>80</v>
      </c>
      <c r="D2274" s="342" t="s">
        <v>7941</v>
      </c>
      <c r="E2274" s="593" t="s">
        <v>7942</v>
      </c>
      <c r="F2274" s="306" t="s">
        <v>3928</v>
      </c>
      <c r="G2274" s="720">
        <v>46329.0</v>
      </c>
      <c r="H2274" s="306">
        <v>16.0</v>
      </c>
      <c r="I2274" s="306" t="s">
        <v>2890</v>
      </c>
      <c r="J2274" s="34" t="s">
        <v>3099</v>
      </c>
      <c r="K2274" s="19"/>
      <c r="L2274" s="12" t="s">
        <v>778</v>
      </c>
      <c r="M2274" s="19"/>
      <c r="N2274" s="19"/>
      <c r="O2274" s="148">
        <v>46359.0</v>
      </c>
      <c r="P2274" s="19"/>
    </row>
    <row r="2275" hidden="1">
      <c r="A2275" s="306">
        <v>31.0</v>
      </c>
      <c r="B2275" s="718" t="s">
        <v>7943</v>
      </c>
      <c r="C2275" s="306" t="s">
        <v>80</v>
      </c>
      <c r="D2275" s="342" t="s">
        <v>7944</v>
      </c>
      <c r="E2275" s="306" t="s">
        <v>7945</v>
      </c>
      <c r="F2275" s="306" t="s">
        <v>356</v>
      </c>
      <c r="G2275" s="306" t="s">
        <v>7874</v>
      </c>
      <c r="H2275" s="306">
        <v>19.0</v>
      </c>
      <c r="I2275" s="514" t="s">
        <v>3043</v>
      </c>
      <c r="J2275" s="34" t="s">
        <v>7900</v>
      </c>
      <c r="K2275" s="34" t="s">
        <v>6959</v>
      </c>
      <c r="L2275" s="12" t="s">
        <v>374</v>
      </c>
      <c r="M2275" s="19"/>
      <c r="N2275" s="19"/>
      <c r="O2275" s="34" t="s">
        <v>7856</v>
      </c>
      <c r="P2275" s="587" t="s">
        <v>1432</v>
      </c>
    </row>
    <row r="2276" hidden="1">
      <c r="A2276" s="306">
        <v>32.0</v>
      </c>
      <c r="B2276" s="718" t="s">
        <v>7946</v>
      </c>
      <c r="C2276" s="306" t="s">
        <v>1185</v>
      </c>
      <c r="D2276" s="342" t="s">
        <v>7947</v>
      </c>
      <c r="E2276" s="306" t="s">
        <v>7948</v>
      </c>
      <c r="F2276" s="306" t="s">
        <v>25</v>
      </c>
      <c r="G2276" s="306" t="s">
        <v>7885</v>
      </c>
      <c r="H2276" s="306">
        <v>20.0</v>
      </c>
      <c r="I2276" s="306" t="s">
        <v>2890</v>
      </c>
      <c r="J2276" s="34" t="s">
        <v>7900</v>
      </c>
      <c r="K2276" s="34" t="s">
        <v>6959</v>
      </c>
      <c r="L2276" s="12" t="s">
        <v>51</v>
      </c>
      <c r="M2276" s="19"/>
      <c r="N2276" s="19"/>
      <c r="O2276" s="34" t="s">
        <v>7479</v>
      </c>
      <c r="P2276" s="587" t="s">
        <v>1432</v>
      </c>
    </row>
    <row r="2277" hidden="1">
      <c r="A2277" s="339" t="s">
        <v>7949</v>
      </c>
      <c r="Q2277" s="35"/>
      <c r="R2277" s="35"/>
      <c r="S2277" s="35"/>
      <c r="T2277" s="35"/>
      <c r="U2277" s="35"/>
      <c r="V2277" s="35"/>
      <c r="W2277" s="35"/>
      <c r="X2277" s="35"/>
      <c r="Y2277" s="35"/>
      <c r="Z2277" s="35"/>
      <c r="AA2277" s="35"/>
      <c r="AB2277" s="35"/>
      <c r="AC2277" s="35"/>
      <c r="AD2277" s="35"/>
      <c r="AE2277" s="35"/>
      <c r="AF2277" s="35"/>
    </row>
    <row r="2278" hidden="1">
      <c r="A2278" s="670" t="s">
        <v>47</v>
      </c>
      <c r="B2278" s="670" t="s">
        <v>7</v>
      </c>
      <c r="C2278" s="670" t="s">
        <v>9</v>
      </c>
      <c r="D2278" s="670" t="s">
        <v>10</v>
      </c>
      <c r="E2278" s="670" t="s">
        <v>11</v>
      </c>
      <c r="F2278" s="670" t="s">
        <v>12</v>
      </c>
      <c r="G2278" s="670" t="s">
        <v>2378</v>
      </c>
      <c r="H2278" s="670" t="s">
        <v>2681</v>
      </c>
      <c r="I2278" s="4" t="s">
        <v>2847</v>
      </c>
      <c r="J2278" s="8" t="s">
        <v>14</v>
      </c>
      <c r="K2278" s="9" t="s">
        <v>16</v>
      </c>
      <c r="L2278" s="9" t="s">
        <v>4330</v>
      </c>
      <c r="M2278" s="9" t="s">
        <v>18</v>
      </c>
      <c r="N2278" s="9" t="s">
        <v>19</v>
      </c>
      <c r="O2278" s="9" t="s">
        <v>20</v>
      </c>
      <c r="P2278" s="9" t="s">
        <v>21</v>
      </c>
      <c r="Q2278" s="35"/>
      <c r="R2278" s="35"/>
      <c r="S2278" s="35"/>
      <c r="T2278" s="35"/>
      <c r="U2278" s="35"/>
      <c r="V2278" s="35"/>
      <c r="W2278" s="35"/>
      <c r="X2278" s="35"/>
      <c r="Y2278" s="35"/>
      <c r="Z2278" s="35"/>
      <c r="AA2278" s="35"/>
      <c r="AB2278" s="35"/>
      <c r="AC2278" s="35"/>
      <c r="AD2278" s="35"/>
      <c r="AE2278" s="35"/>
      <c r="AF2278" s="35"/>
    </row>
    <row r="2279" hidden="1">
      <c r="A2279" s="526">
        <v>1.0</v>
      </c>
      <c r="B2279" s="527" t="s">
        <v>7950</v>
      </c>
      <c r="C2279" s="722" t="s">
        <v>6606</v>
      </c>
      <c r="D2279" s="526" t="s">
        <v>7951</v>
      </c>
      <c r="E2279" s="526" t="s">
        <v>7952</v>
      </c>
      <c r="F2279" s="722" t="s">
        <v>718</v>
      </c>
      <c r="G2279" s="503">
        <v>46329.0</v>
      </c>
      <c r="H2279" s="574">
        <v>12.0</v>
      </c>
      <c r="I2279" s="495" t="s">
        <v>2890</v>
      </c>
      <c r="J2279" s="143" t="s">
        <v>4783</v>
      </c>
      <c r="K2279" s="665">
        <v>46056.0</v>
      </c>
      <c r="L2279" s="140"/>
      <c r="O2279" s="34" t="s">
        <v>7953</v>
      </c>
      <c r="P2279" s="587" t="s">
        <v>1432</v>
      </c>
    </row>
    <row r="2280" hidden="1">
      <c r="A2280" s="471">
        <v>2.0</v>
      </c>
      <c r="B2280" s="470" t="s">
        <v>7954</v>
      </c>
      <c r="C2280" s="723" t="s">
        <v>688</v>
      </c>
      <c r="D2280" s="471" t="s">
        <v>7955</v>
      </c>
      <c r="E2280" s="471" t="s">
        <v>7956</v>
      </c>
      <c r="F2280" s="723" t="s">
        <v>6544</v>
      </c>
      <c r="G2280" s="164">
        <v>46206.0</v>
      </c>
      <c r="H2280" s="472">
        <v>8.0</v>
      </c>
      <c r="I2280" s="630" t="s">
        <v>5364</v>
      </c>
      <c r="J2280" s="143" t="s">
        <v>699</v>
      </c>
      <c r="K2280" s="665">
        <v>46115.0</v>
      </c>
      <c r="L2280" s="140"/>
      <c r="O2280" s="665">
        <v>46298.0</v>
      </c>
      <c r="P2280" s="587" t="s">
        <v>1432</v>
      </c>
    </row>
    <row r="2281" hidden="1">
      <c r="A2281" s="471">
        <v>3.0</v>
      </c>
      <c r="B2281" s="470" t="s">
        <v>7957</v>
      </c>
      <c r="C2281" s="723" t="s">
        <v>1185</v>
      </c>
      <c r="D2281" s="471" t="s">
        <v>7958</v>
      </c>
      <c r="E2281" s="471" t="s">
        <v>7959</v>
      </c>
      <c r="F2281" s="723" t="s">
        <v>25</v>
      </c>
      <c r="G2281" s="12" t="s">
        <v>7960</v>
      </c>
      <c r="H2281" s="472">
        <v>18.0</v>
      </c>
      <c r="I2281" s="12" t="s">
        <v>2890</v>
      </c>
      <c r="J2281" s="34" t="s">
        <v>2065</v>
      </c>
      <c r="K2281" s="71">
        <v>46115.0</v>
      </c>
      <c r="L2281" s="12" t="s">
        <v>4195</v>
      </c>
      <c r="M2281" s="19"/>
      <c r="N2281" s="19"/>
      <c r="O2281" s="34" t="s">
        <v>7961</v>
      </c>
      <c r="P2281" s="587" t="s">
        <v>1432</v>
      </c>
    </row>
    <row r="2282" hidden="1">
      <c r="A2282" s="471">
        <v>4.0</v>
      </c>
      <c r="B2282" s="470" t="s">
        <v>7962</v>
      </c>
      <c r="C2282" s="723" t="s">
        <v>6606</v>
      </c>
      <c r="D2282" s="471" t="s">
        <v>7963</v>
      </c>
      <c r="E2282" s="471" t="s">
        <v>7964</v>
      </c>
      <c r="F2282" s="723" t="s">
        <v>356</v>
      </c>
      <c r="G2282" s="12" t="s">
        <v>6423</v>
      </c>
      <c r="H2282" s="472">
        <v>20.0</v>
      </c>
      <c r="I2282" s="12" t="s">
        <v>2890</v>
      </c>
      <c r="J2282" s="34" t="s">
        <v>7965</v>
      </c>
      <c r="K2282" s="148">
        <v>46145.0</v>
      </c>
      <c r="L2282" s="12" t="s">
        <v>5035</v>
      </c>
      <c r="M2282" s="19"/>
      <c r="N2282" s="19"/>
      <c r="O2282" s="34" t="s">
        <v>7791</v>
      </c>
      <c r="P2282" s="587" t="s">
        <v>1432</v>
      </c>
    </row>
    <row r="2283" hidden="1">
      <c r="A2283" s="471">
        <v>5.0</v>
      </c>
      <c r="B2283" s="470" t="s">
        <v>7966</v>
      </c>
      <c r="C2283" s="723" t="s">
        <v>1185</v>
      </c>
      <c r="D2283" s="471" t="s">
        <v>7967</v>
      </c>
      <c r="E2283" s="471" t="s">
        <v>7968</v>
      </c>
      <c r="F2283" s="723" t="s">
        <v>25</v>
      </c>
      <c r="G2283" s="12" t="s">
        <v>7646</v>
      </c>
      <c r="H2283" s="472">
        <v>17.0</v>
      </c>
      <c r="I2283" s="12" t="s">
        <v>2890</v>
      </c>
      <c r="J2283" s="34" t="s">
        <v>7965</v>
      </c>
      <c r="K2283" s="148">
        <v>46176.0</v>
      </c>
      <c r="L2283" s="12" t="s">
        <v>51</v>
      </c>
      <c r="M2283" s="19"/>
      <c r="N2283" s="19"/>
      <c r="O2283" s="34" t="s">
        <v>6423</v>
      </c>
      <c r="P2283" s="587" t="s">
        <v>1432</v>
      </c>
    </row>
    <row r="2284" hidden="1">
      <c r="A2284" s="471">
        <v>6.0</v>
      </c>
      <c r="B2284" s="470" t="s">
        <v>7969</v>
      </c>
      <c r="C2284" s="723" t="s">
        <v>1185</v>
      </c>
      <c r="D2284" s="471" t="s">
        <v>7970</v>
      </c>
      <c r="E2284" s="471" t="s">
        <v>7971</v>
      </c>
      <c r="F2284" s="723" t="s">
        <v>25</v>
      </c>
      <c r="G2284" s="12" t="s">
        <v>7646</v>
      </c>
      <c r="H2284" s="472">
        <v>17.0</v>
      </c>
      <c r="I2284" s="12" t="s">
        <v>2890</v>
      </c>
      <c r="J2284" s="34" t="s">
        <v>7965</v>
      </c>
      <c r="K2284" s="148">
        <v>46176.0</v>
      </c>
      <c r="L2284" s="12" t="s">
        <v>4195</v>
      </c>
      <c r="M2284" s="19"/>
      <c r="N2284" s="19"/>
      <c r="O2284" s="34" t="s">
        <v>7972</v>
      </c>
      <c r="P2284" s="587" t="s">
        <v>1432</v>
      </c>
    </row>
    <row r="2285" hidden="1">
      <c r="A2285" s="471">
        <v>7.0</v>
      </c>
      <c r="B2285" s="470" t="s">
        <v>7973</v>
      </c>
      <c r="C2285" s="723" t="s">
        <v>6606</v>
      </c>
      <c r="D2285" s="471" t="s">
        <v>7974</v>
      </c>
      <c r="E2285" s="471" t="s">
        <v>7975</v>
      </c>
      <c r="F2285" s="723" t="s">
        <v>356</v>
      </c>
      <c r="G2285" s="12" t="s">
        <v>7874</v>
      </c>
      <c r="H2285" s="472">
        <v>15.0</v>
      </c>
      <c r="I2285" s="12" t="s">
        <v>2890</v>
      </c>
      <c r="J2285" s="34" t="s">
        <v>7965</v>
      </c>
      <c r="K2285" s="148">
        <v>46176.0</v>
      </c>
      <c r="L2285" s="12" t="s">
        <v>5035</v>
      </c>
      <c r="M2285" s="19"/>
      <c r="N2285" s="19"/>
      <c r="O2285" s="34" t="s">
        <v>7878</v>
      </c>
      <c r="P2285" s="587" t="s">
        <v>1432</v>
      </c>
    </row>
    <row r="2286" hidden="1">
      <c r="A2286" s="471">
        <v>8.0</v>
      </c>
      <c r="B2286" s="621" t="s">
        <v>7976</v>
      </c>
      <c r="C2286" s="723" t="s">
        <v>6606</v>
      </c>
      <c r="D2286" s="471" t="s">
        <v>7977</v>
      </c>
      <c r="E2286" s="471" t="s">
        <v>7978</v>
      </c>
      <c r="F2286" s="723" t="s">
        <v>7979</v>
      </c>
      <c r="G2286" s="12" t="s">
        <v>7885</v>
      </c>
      <c r="H2286" s="472">
        <v>16.0</v>
      </c>
      <c r="I2286" s="12" t="s">
        <v>2890</v>
      </c>
      <c r="J2286" s="34" t="s">
        <v>7980</v>
      </c>
      <c r="K2286" s="148">
        <v>46268.0</v>
      </c>
      <c r="L2286" s="12" t="s">
        <v>51</v>
      </c>
      <c r="M2286" s="19"/>
      <c r="N2286" s="19"/>
      <c r="O2286" s="34" t="s">
        <v>7588</v>
      </c>
      <c r="P2286" s="701" t="s">
        <v>7041</v>
      </c>
    </row>
    <row r="2287" hidden="1">
      <c r="A2287" s="471">
        <v>9.0</v>
      </c>
      <c r="B2287" s="470" t="s">
        <v>7981</v>
      </c>
      <c r="C2287" s="723" t="s">
        <v>1318</v>
      </c>
      <c r="D2287" s="471" t="s">
        <v>7982</v>
      </c>
      <c r="E2287" s="471" t="s">
        <v>7983</v>
      </c>
      <c r="F2287" s="723" t="s">
        <v>5436</v>
      </c>
      <c r="G2287" s="12" t="s">
        <v>7646</v>
      </c>
      <c r="H2287" s="472">
        <v>17.0</v>
      </c>
      <c r="I2287" s="12" t="s">
        <v>2890</v>
      </c>
      <c r="J2287" s="34" t="s">
        <v>7980</v>
      </c>
      <c r="K2287" s="148">
        <v>46268.0</v>
      </c>
      <c r="L2287" s="12" t="s">
        <v>4195</v>
      </c>
      <c r="M2287" s="19"/>
      <c r="N2287" s="19"/>
      <c r="O2287" s="34" t="s">
        <v>7040</v>
      </c>
      <c r="P2287" s="701" t="s">
        <v>7041</v>
      </c>
    </row>
    <row r="2288" hidden="1">
      <c r="A2288" s="471">
        <v>10.0</v>
      </c>
      <c r="B2288" s="470" t="s">
        <v>7984</v>
      </c>
      <c r="C2288" s="723" t="s">
        <v>6606</v>
      </c>
      <c r="D2288" s="471" t="s">
        <v>7985</v>
      </c>
      <c r="E2288" s="471" t="s">
        <v>7986</v>
      </c>
      <c r="F2288" s="723" t="s">
        <v>7987</v>
      </c>
      <c r="G2288" s="12" t="s">
        <v>7646</v>
      </c>
      <c r="H2288" s="472">
        <v>17.0</v>
      </c>
      <c r="I2288" s="12" t="s">
        <v>2890</v>
      </c>
      <c r="J2288" s="34" t="s">
        <v>7988</v>
      </c>
      <c r="K2288" s="19"/>
      <c r="L2288" s="12" t="s">
        <v>5035</v>
      </c>
      <c r="M2288" s="19"/>
      <c r="N2288" s="19"/>
      <c r="O2288" s="71">
        <v>46057.0</v>
      </c>
      <c r="P2288" s="587" t="s">
        <v>1432</v>
      </c>
    </row>
    <row r="2289" hidden="1">
      <c r="A2289" s="471">
        <v>11.0</v>
      </c>
      <c r="B2289" s="470" t="s">
        <v>7989</v>
      </c>
      <c r="C2289" s="723" t="s">
        <v>6606</v>
      </c>
      <c r="D2289" s="471" t="s">
        <v>7990</v>
      </c>
      <c r="E2289" s="471" t="s">
        <v>7991</v>
      </c>
      <c r="F2289" s="723" t="s">
        <v>7992</v>
      </c>
      <c r="G2289" s="12" t="s">
        <v>7646</v>
      </c>
      <c r="H2289" s="472">
        <v>17.0</v>
      </c>
      <c r="I2289" s="12" t="s">
        <v>2890</v>
      </c>
      <c r="J2289" s="34" t="s">
        <v>7993</v>
      </c>
      <c r="K2289" s="34" t="s">
        <v>7994</v>
      </c>
      <c r="L2289" s="12" t="s">
        <v>51</v>
      </c>
      <c r="M2289" s="19"/>
      <c r="N2289" s="19"/>
      <c r="O2289" s="148">
        <v>46177.0</v>
      </c>
      <c r="P2289" s="587" t="s">
        <v>1432</v>
      </c>
    </row>
    <row r="2290" hidden="1">
      <c r="A2290" s="471">
        <v>12.0</v>
      </c>
      <c r="B2290" s="470" t="s">
        <v>7995</v>
      </c>
      <c r="C2290" s="723" t="s">
        <v>938</v>
      </c>
      <c r="D2290" s="471" t="s">
        <v>7996</v>
      </c>
      <c r="E2290" s="550" t="s">
        <v>7997</v>
      </c>
      <c r="F2290" s="723" t="s">
        <v>243</v>
      </c>
      <c r="G2290" s="12" t="s">
        <v>7646</v>
      </c>
      <c r="H2290" s="472">
        <v>17.0</v>
      </c>
      <c r="I2290" s="12" t="s">
        <v>2890</v>
      </c>
      <c r="J2290" s="34" t="s">
        <v>2065</v>
      </c>
      <c r="K2290" s="148">
        <v>46145.0</v>
      </c>
      <c r="L2290" s="12" t="s">
        <v>374</v>
      </c>
      <c r="M2290" s="19"/>
      <c r="N2290" s="19"/>
      <c r="O2290" s="34" t="s">
        <v>7998</v>
      </c>
      <c r="P2290" s="587" t="s">
        <v>1432</v>
      </c>
    </row>
    <row r="2291" hidden="1">
      <c r="A2291" s="471">
        <v>13.0</v>
      </c>
      <c r="B2291" s="470" t="s">
        <v>7999</v>
      </c>
      <c r="C2291" s="723" t="s">
        <v>938</v>
      </c>
      <c r="D2291" s="471" t="s">
        <v>8000</v>
      </c>
      <c r="E2291" s="550" t="s">
        <v>8001</v>
      </c>
      <c r="F2291" s="723" t="s">
        <v>243</v>
      </c>
      <c r="G2291" s="12" t="s">
        <v>7646</v>
      </c>
      <c r="H2291" s="472">
        <v>17.0</v>
      </c>
      <c r="I2291" s="630" t="s">
        <v>5364</v>
      </c>
      <c r="J2291" s="34" t="s">
        <v>2065</v>
      </c>
      <c r="K2291" s="148">
        <v>46145.0</v>
      </c>
      <c r="L2291" s="12" t="s">
        <v>374</v>
      </c>
      <c r="M2291" s="19"/>
      <c r="N2291" s="19"/>
      <c r="O2291" s="34" t="s">
        <v>6423</v>
      </c>
      <c r="P2291" s="587" t="s">
        <v>1432</v>
      </c>
    </row>
    <row r="2292" hidden="1">
      <c r="A2292" s="471">
        <v>14.0</v>
      </c>
      <c r="B2292" s="470" t="s">
        <v>8002</v>
      </c>
      <c r="C2292" s="723" t="s">
        <v>6606</v>
      </c>
      <c r="D2292" s="471" t="s">
        <v>8003</v>
      </c>
      <c r="E2292" s="550" t="s">
        <v>8004</v>
      </c>
      <c r="F2292" s="723" t="s">
        <v>207</v>
      </c>
      <c r="G2292" s="12" t="s">
        <v>7646</v>
      </c>
      <c r="H2292" s="472">
        <v>17.0</v>
      </c>
      <c r="I2292" s="630" t="s">
        <v>5895</v>
      </c>
      <c r="J2292" s="34" t="s">
        <v>8005</v>
      </c>
      <c r="K2292" s="148">
        <v>46206.0</v>
      </c>
      <c r="L2292" s="12" t="s">
        <v>4195</v>
      </c>
      <c r="M2292" s="19"/>
      <c r="N2292" s="19"/>
      <c r="O2292" s="34" t="s">
        <v>7479</v>
      </c>
      <c r="P2292" s="587" t="s">
        <v>1432</v>
      </c>
    </row>
    <row r="2293" hidden="1">
      <c r="A2293" s="471">
        <v>15.0</v>
      </c>
      <c r="B2293" s="470" t="s">
        <v>8006</v>
      </c>
      <c r="C2293" s="723" t="s">
        <v>6606</v>
      </c>
      <c r="D2293" s="471" t="s">
        <v>8007</v>
      </c>
      <c r="E2293" s="550" t="s">
        <v>8008</v>
      </c>
      <c r="F2293" s="723" t="s">
        <v>207</v>
      </c>
      <c r="G2293" s="12" t="s">
        <v>7646</v>
      </c>
      <c r="H2293" s="472">
        <v>17.0</v>
      </c>
      <c r="I2293" s="630" t="s">
        <v>5895</v>
      </c>
      <c r="J2293" s="34" t="s">
        <v>8005</v>
      </c>
      <c r="K2293" s="148">
        <v>46206.0</v>
      </c>
      <c r="L2293" s="12" t="s">
        <v>4195</v>
      </c>
      <c r="M2293" s="19"/>
      <c r="N2293" s="19"/>
      <c r="O2293" s="34" t="s">
        <v>7479</v>
      </c>
      <c r="P2293" s="587" t="s">
        <v>1432</v>
      </c>
    </row>
    <row r="2294" hidden="1">
      <c r="A2294" s="471">
        <v>16.0</v>
      </c>
      <c r="B2294" s="470" t="s">
        <v>8009</v>
      </c>
      <c r="C2294" s="724" t="s">
        <v>1185</v>
      </c>
      <c r="D2294" s="471" t="s">
        <v>8010</v>
      </c>
      <c r="E2294" s="471" t="s">
        <v>8011</v>
      </c>
      <c r="F2294" s="724" t="s">
        <v>6031</v>
      </c>
      <c r="G2294" s="12" t="s">
        <v>7960</v>
      </c>
      <c r="H2294" s="472">
        <v>18.0</v>
      </c>
      <c r="I2294" s="12" t="s">
        <v>2890</v>
      </c>
      <c r="J2294" s="34" t="s">
        <v>2065</v>
      </c>
      <c r="K2294" s="661">
        <v>46328.0</v>
      </c>
      <c r="L2294" s="12" t="s">
        <v>4195</v>
      </c>
      <c r="M2294" s="19"/>
      <c r="N2294" s="19"/>
      <c r="O2294" s="143" t="s">
        <v>8012</v>
      </c>
      <c r="P2294" s="701" t="s">
        <v>7041</v>
      </c>
    </row>
    <row r="2295" hidden="1">
      <c r="A2295" s="471">
        <v>17.0</v>
      </c>
      <c r="B2295" s="470" t="s">
        <v>8013</v>
      </c>
      <c r="C2295" s="723" t="s">
        <v>6606</v>
      </c>
      <c r="D2295" s="471" t="s">
        <v>8014</v>
      </c>
      <c r="E2295" s="471" t="s">
        <v>8015</v>
      </c>
      <c r="F2295" s="723" t="s">
        <v>160</v>
      </c>
      <c r="G2295" s="12" t="s">
        <v>7960</v>
      </c>
      <c r="H2295" s="472">
        <v>18.0</v>
      </c>
      <c r="I2295" s="12" t="s">
        <v>2890</v>
      </c>
      <c r="J2295" s="34" t="s">
        <v>8016</v>
      </c>
      <c r="K2295" s="34" t="s">
        <v>7906</v>
      </c>
      <c r="L2295" s="12" t="s">
        <v>374</v>
      </c>
      <c r="M2295" s="19"/>
      <c r="N2295" s="19"/>
      <c r="O2295" s="34" t="s">
        <v>7040</v>
      </c>
      <c r="P2295" s="587" t="s">
        <v>1432</v>
      </c>
    </row>
    <row r="2296" hidden="1">
      <c r="A2296" s="471">
        <v>18.0</v>
      </c>
      <c r="B2296" s="470" t="s">
        <v>8017</v>
      </c>
      <c r="C2296" s="723" t="s">
        <v>6606</v>
      </c>
      <c r="D2296" s="471" t="s">
        <v>8018</v>
      </c>
      <c r="E2296" s="550" t="s">
        <v>8019</v>
      </c>
      <c r="F2296" s="723" t="s">
        <v>1316</v>
      </c>
      <c r="G2296" s="12" t="s">
        <v>7960</v>
      </c>
      <c r="H2296" s="472">
        <v>18.0</v>
      </c>
      <c r="I2296" s="12" t="s">
        <v>2890</v>
      </c>
      <c r="J2296" s="34" t="s">
        <v>8005</v>
      </c>
      <c r="K2296" s="148">
        <v>46206.0</v>
      </c>
      <c r="L2296" s="12" t="s">
        <v>51</v>
      </c>
      <c r="M2296" s="19"/>
      <c r="N2296" s="19"/>
      <c r="O2296" s="34" t="s">
        <v>7791</v>
      </c>
      <c r="P2296" s="587" t="s">
        <v>1432</v>
      </c>
    </row>
    <row r="2297" hidden="1">
      <c r="A2297" s="471">
        <v>19.0</v>
      </c>
      <c r="B2297" s="470" t="s">
        <v>8020</v>
      </c>
      <c r="C2297" s="723" t="s">
        <v>6606</v>
      </c>
      <c r="D2297" s="471" t="s">
        <v>8021</v>
      </c>
      <c r="E2297" s="550" t="s">
        <v>8022</v>
      </c>
      <c r="F2297" s="723" t="s">
        <v>1316</v>
      </c>
      <c r="G2297" s="12" t="s">
        <v>7960</v>
      </c>
      <c r="H2297" s="472">
        <v>18.0</v>
      </c>
      <c r="I2297" s="12" t="s">
        <v>2890</v>
      </c>
      <c r="J2297" s="34" t="s">
        <v>8005</v>
      </c>
      <c r="K2297" s="148">
        <v>46206.0</v>
      </c>
      <c r="L2297" s="12" t="s">
        <v>51</v>
      </c>
      <c r="M2297" s="19"/>
      <c r="N2297" s="19"/>
      <c r="O2297" s="34" t="s">
        <v>7791</v>
      </c>
      <c r="P2297" s="587" t="s">
        <v>1432</v>
      </c>
    </row>
    <row r="2298" hidden="1">
      <c r="A2298" s="471">
        <v>20.0</v>
      </c>
      <c r="B2298" s="470" t="s">
        <v>8023</v>
      </c>
      <c r="C2298" s="725" t="s">
        <v>6606</v>
      </c>
      <c r="D2298" s="471" t="s">
        <v>8024</v>
      </c>
      <c r="E2298" s="550" t="s">
        <v>8025</v>
      </c>
      <c r="F2298" s="723" t="s">
        <v>5712</v>
      </c>
      <c r="G2298" s="12" t="s">
        <v>7960</v>
      </c>
      <c r="H2298" s="472">
        <v>18.0</v>
      </c>
      <c r="I2298" s="12" t="s">
        <v>2890</v>
      </c>
      <c r="J2298" s="34" t="s">
        <v>8026</v>
      </c>
      <c r="K2298" s="19"/>
      <c r="L2298" s="12" t="s">
        <v>374</v>
      </c>
      <c r="M2298" s="19"/>
      <c r="N2298" s="19"/>
      <c r="O2298" s="34" t="s">
        <v>8027</v>
      </c>
      <c r="P2298" s="587" t="s">
        <v>1432</v>
      </c>
    </row>
    <row r="2299" hidden="1">
      <c r="A2299" s="471">
        <v>21.0</v>
      </c>
      <c r="B2299" s="470" t="s">
        <v>8028</v>
      </c>
      <c r="C2299" s="723" t="s">
        <v>6606</v>
      </c>
      <c r="D2299" s="471" t="s">
        <v>8029</v>
      </c>
      <c r="E2299" s="550" t="s">
        <v>8030</v>
      </c>
      <c r="F2299" s="723" t="s">
        <v>5712</v>
      </c>
      <c r="G2299" s="12" t="s">
        <v>7960</v>
      </c>
      <c r="H2299" s="472">
        <v>18.0</v>
      </c>
      <c r="I2299" s="12" t="s">
        <v>2890</v>
      </c>
      <c r="J2299" s="34" t="s">
        <v>8026</v>
      </c>
      <c r="K2299" s="19"/>
      <c r="L2299" s="12" t="s">
        <v>374</v>
      </c>
      <c r="M2299" s="19"/>
      <c r="N2299" s="19"/>
      <c r="O2299" s="34" t="s">
        <v>8027</v>
      </c>
      <c r="P2299" s="587" t="s">
        <v>1432</v>
      </c>
    </row>
    <row r="2300" hidden="1">
      <c r="A2300" s="471">
        <v>22.0</v>
      </c>
      <c r="B2300" s="470" t="s">
        <v>8031</v>
      </c>
      <c r="C2300" s="724" t="s">
        <v>1185</v>
      </c>
      <c r="D2300" s="471" t="s">
        <v>8032</v>
      </c>
      <c r="E2300" s="471" t="s">
        <v>8033</v>
      </c>
      <c r="F2300" s="723" t="s">
        <v>2040</v>
      </c>
      <c r="G2300" s="12" t="s">
        <v>7960</v>
      </c>
      <c r="H2300" s="472">
        <v>18.0</v>
      </c>
      <c r="I2300" s="12" t="s">
        <v>2890</v>
      </c>
      <c r="J2300" s="19"/>
      <c r="K2300" s="19"/>
      <c r="L2300" s="12" t="s">
        <v>374</v>
      </c>
      <c r="M2300" s="19"/>
      <c r="N2300" s="19"/>
      <c r="O2300" s="34" t="s">
        <v>8034</v>
      </c>
      <c r="P2300" s="19"/>
    </row>
    <row r="2301" ht="17.25" hidden="1" customHeight="1">
      <c r="A2301" s="471">
        <v>23.0</v>
      </c>
      <c r="B2301" s="470" t="s">
        <v>8035</v>
      </c>
      <c r="C2301" s="723" t="s">
        <v>6606</v>
      </c>
      <c r="D2301" s="471" t="s">
        <v>8036</v>
      </c>
      <c r="E2301" s="471" t="s">
        <v>8037</v>
      </c>
      <c r="F2301" s="723" t="s">
        <v>7992</v>
      </c>
      <c r="G2301" s="12" t="s">
        <v>7960</v>
      </c>
      <c r="H2301" s="472">
        <v>18.0</v>
      </c>
      <c r="I2301" s="12" t="s">
        <v>2890</v>
      </c>
      <c r="J2301" s="34" t="s">
        <v>4783</v>
      </c>
      <c r="K2301" s="661">
        <v>46328.0</v>
      </c>
      <c r="L2301" s="12" t="s">
        <v>4195</v>
      </c>
      <c r="M2301" s="19"/>
      <c r="N2301" s="19"/>
      <c r="O2301" s="34" t="s">
        <v>7698</v>
      </c>
      <c r="P2301" s="587" t="s">
        <v>1432</v>
      </c>
    </row>
    <row r="2302" hidden="1">
      <c r="A2302" s="471">
        <v>24.0</v>
      </c>
      <c r="B2302" s="470" t="s">
        <v>8038</v>
      </c>
      <c r="C2302" s="723" t="s">
        <v>6606</v>
      </c>
      <c r="D2302" s="471" t="s">
        <v>8039</v>
      </c>
      <c r="E2302" s="471" t="s">
        <v>8040</v>
      </c>
      <c r="F2302" s="723" t="s">
        <v>5436</v>
      </c>
      <c r="G2302" s="12" t="s">
        <v>7479</v>
      </c>
      <c r="H2302" s="472">
        <v>19.0</v>
      </c>
      <c r="I2302" s="12" t="s">
        <v>2890</v>
      </c>
      <c r="J2302" s="34" t="s">
        <v>2995</v>
      </c>
      <c r="K2302" s="148">
        <v>46238.0</v>
      </c>
      <c r="L2302" s="12" t="s">
        <v>374</v>
      </c>
      <c r="M2302" s="19"/>
      <c r="N2302" s="34" t="s">
        <v>8041</v>
      </c>
      <c r="O2302" s="34" t="s">
        <v>8042</v>
      </c>
      <c r="P2302" s="587" t="s">
        <v>1432</v>
      </c>
    </row>
    <row r="2303" hidden="1">
      <c r="A2303" s="471">
        <v>25.0</v>
      </c>
      <c r="B2303" s="470" t="s">
        <v>8043</v>
      </c>
      <c r="C2303" s="723" t="s">
        <v>6606</v>
      </c>
      <c r="D2303" s="471" t="s">
        <v>8044</v>
      </c>
      <c r="E2303" s="593" t="s">
        <v>8045</v>
      </c>
      <c r="F2303" s="723" t="s">
        <v>3928</v>
      </c>
      <c r="G2303" s="12" t="s">
        <v>7383</v>
      </c>
      <c r="H2303" s="472">
        <v>14.0</v>
      </c>
      <c r="I2303" s="12" t="s">
        <v>2890</v>
      </c>
      <c r="J2303" s="34" t="s">
        <v>3099</v>
      </c>
      <c r="K2303" s="19"/>
      <c r="L2303" s="12" t="s">
        <v>778</v>
      </c>
      <c r="M2303" s="19"/>
      <c r="N2303" s="19"/>
      <c r="O2303" s="34" t="s">
        <v>7870</v>
      </c>
      <c r="P2303" s="19"/>
    </row>
    <row r="2304" hidden="1">
      <c r="A2304" s="471">
        <v>26.0</v>
      </c>
      <c r="B2304" s="470" t="s">
        <v>8046</v>
      </c>
      <c r="C2304" s="723" t="s">
        <v>6606</v>
      </c>
      <c r="D2304" s="471" t="s">
        <v>8047</v>
      </c>
      <c r="E2304" s="593" t="s">
        <v>8048</v>
      </c>
      <c r="F2304" s="723" t="s">
        <v>3928</v>
      </c>
      <c r="G2304" s="12" t="s">
        <v>7383</v>
      </c>
      <c r="H2304" s="472">
        <v>14.0</v>
      </c>
      <c r="I2304" s="12"/>
      <c r="J2304" s="34" t="s">
        <v>3099</v>
      </c>
      <c r="K2304" s="19"/>
      <c r="L2304" s="12" t="s">
        <v>778</v>
      </c>
      <c r="M2304" s="19"/>
      <c r="N2304" s="19"/>
      <c r="O2304" s="34" t="s">
        <v>7870</v>
      </c>
      <c r="P2304" s="19"/>
    </row>
    <row r="2305" hidden="1">
      <c r="A2305" s="471">
        <v>27.0</v>
      </c>
      <c r="B2305" s="470" t="s">
        <v>8049</v>
      </c>
      <c r="C2305" s="723" t="s">
        <v>6606</v>
      </c>
      <c r="D2305" s="471" t="s">
        <v>8050</v>
      </c>
      <c r="E2305" s="593" t="s">
        <v>8051</v>
      </c>
      <c r="F2305" s="723" t="s">
        <v>3928</v>
      </c>
      <c r="G2305" s="12" t="s">
        <v>7383</v>
      </c>
      <c r="H2305" s="472">
        <v>14.0</v>
      </c>
      <c r="I2305" s="12" t="s">
        <v>2890</v>
      </c>
      <c r="J2305" s="34" t="s">
        <v>3099</v>
      </c>
      <c r="K2305" s="19"/>
      <c r="L2305" s="12" t="s">
        <v>778</v>
      </c>
      <c r="M2305" s="19"/>
      <c r="N2305" s="19"/>
      <c r="O2305" s="34" t="s">
        <v>7870</v>
      </c>
      <c r="P2305" s="19"/>
    </row>
    <row r="2306" hidden="1">
      <c r="A2306" s="471">
        <v>28.0</v>
      </c>
      <c r="B2306" s="470" t="s">
        <v>8052</v>
      </c>
      <c r="C2306" s="723" t="s">
        <v>6606</v>
      </c>
      <c r="D2306" s="471" t="s">
        <v>8053</v>
      </c>
      <c r="E2306" s="593" t="s">
        <v>8054</v>
      </c>
      <c r="F2306" s="723" t="s">
        <v>3928</v>
      </c>
      <c r="G2306" s="12" t="s">
        <v>7383</v>
      </c>
      <c r="H2306" s="472">
        <v>14.0</v>
      </c>
      <c r="I2306" s="12" t="s">
        <v>2890</v>
      </c>
      <c r="J2306" s="34" t="s">
        <v>3099</v>
      </c>
      <c r="K2306" s="19"/>
      <c r="L2306" s="12" t="s">
        <v>778</v>
      </c>
      <c r="M2306" s="19"/>
      <c r="N2306" s="19"/>
      <c r="O2306" s="34" t="s">
        <v>7870</v>
      </c>
      <c r="P2306" s="19"/>
    </row>
    <row r="2307" hidden="1">
      <c r="A2307" s="471">
        <v>29.0</v>
      </c>
      <c r="B2307" s="470" t="s">
        <v>8055</v>
      </c>
      <c r="C2307" s="723" t="s">
        <v>6606</v>
      </c>
      <c r="D2307" s="471" t="s">
        <v>8056</v>
      </c>
      <c r="E2307" s="593" t="s">
        <v>8057</v>
      </c>
      <c r="F2307" s="723" t="s">
        <v>3928</v>
      </c>
      <c r="G2307" s="12" t="s">
        <v>7383</v>
      </c>
      <c r="H2307" s="472">
        <v>14.0</v>
      </c>
      <c r="I2307" s="12" t="s">
        <v>2890</v>
      </c>
      <c r="J2307" s="34" t="s">
        <v>3099</v>
      </c>
      <c r="K2307" s="19"/>
      <c r="L2307" s="12" t="s">
        <v>778</v>
      </c>
      <c r="M2307" s="19"/>
      <c r="N2307" s="19"/>
      <c r="O2307" s="34" t="s">
        <v>7870</v>
      </c>
      <c r="P2307" s="19"/>
    </row>
    <row r="2308" hidden="1">
      <c r="A2308" s="471">
        <v>30.0</v>
      </c>
      <c r="B2308" s="470" t="s">
        <v>8058</v>
      </c>
      <c r="C2308" s="723" t="s">
        <v>6606</v>
      </c>
      <c r="D2308" s="471" t="s">
        <v>8059</v>
      </c>
      <c r="E2308" s="593" t="s">
        <v>8060</v>
      </c>
      <c r="F2308" s="723" t="s">
        <v>3928</v>
      </c>
      <c r="G2308" s="12" t="s">
        <v>7383</v>
      </c>
      <c r="H2308" s="472">
        <v>14.0</v>
      </c>
      <c r="I2308" s="12" t="s">
        <v>2890</v>
      </c>
      <c r="J2308" s="34" t="s">
        <v>3099</v>
      </c>
      <c r="K2308" s="19"/>
      <c r="L2308" s="12" t="s">
        <v>778</v>
      </c>
      <c r="M2308" s="19"/>
      <c r="N2308" s="19"/>
      <c r="O2308" s="34" t="s">
        <v>7870</v>
      </c>
      <c r="P2308" s="19"/>
    </row>
    <row r="2309" hidden="1">
      <c r="A2309" s="471">
        <v>31.0</v>
      </c>
      <c r="B2309" s="470" t="s">
        <v>8061</v>
      </c>
      <c r="C2309" s="723" t="s">
        <v>6606</v>
      </c>
      <c r="D2309" s="471" t="s">
        <v>8062</v>
      </c>
      <c r="E2309" s="593" t="s">
        <v>8063</v>
      </c>
      <c r="F2309" s="723" t="s">
        <v>3928</v>
      </c>
      <c r="G2309" s="12" t="s">
        <v>7383</v>
      </c>
      <c r="H2309" s="472">
        <v>14.0</v>
      </c>
      <c r="I2309" s="12" t="s">
        <v>2890</v>
      </c>
      <c r="J2309" s="34" t="s">
        <v>3099</v>
      </c>
      <c r="K2309" s="19"/>
      <c r="L2309" s="12" t="s">
        <v>778</v>
      </c>
      <c r="M2309" s="19"/>
      <c r="N2309" s="19"/>
      <c r="O2309" s="34" t="s">
        <v>7870</v>
      </c>
      <c r="P2309" s="19"/>
    </row>
    <row r="2310" hidden="1">
      <c r="A2310" s="471">
        <v>32.0</v>
      </c>
      <c r="B2310" s="470" t="s">
        <v>8064</v>
      </c>
      <c r="C2310" s="723" t="s">
        <v>6606</v>
      </c>
      <c r="D2310" s="471" t="s">
        <v>8065</v>
      </c>
      <c r="E2310" s="593" t="s">
        <v>8066</v>
      </c>
      <c r="F2310" s="723" t="s">
        <v>3583</v>
      </c>
      <c r="G2310" s="12" t="s">
        <v>7383</v>
      </c>
      <c r="H2310" s="472">
        <v>14.0</v>
      </c>
      <c r="I2310" s="12" t="s">
        <v>2890</v>
      </c>
      <c r="J2310" s="34" t="s">
        <v>2541</v>
      </c>
      <c r="K2310" s="19"/>
      <c r="L2310" s="12" t="s">
        <v>778</v>
      </c>
      <c r="M2310" s="19"/>
      <c r="N2310" s="19"/>
      <c r="O2310" s="648">
        <v>46098.0</v>
      </c>
      <c r="P2310" s="19"/>
    </row>
    <row r="2311" hidden="1">
      <c r="A2311" s="471">
        <v>33.0</v>
      </c>
      <c r="B2311" s="470" t="s">
        <v>8067</v>
      </c>
      <c r="C2311" s="723" t="s">
        <v>6606</v>
      </c>
      <c r="D2311" s="471" t="s">
        <v>8068</v>
      </c>
      <c r="E2311" s="471" t="s">
        <v>8069</v>
      </c>
      <c r="F2311" s="723" t="s">
        <v>356</v>
      </c>
      <c r="G2311" s="12" t="s">
        <v>6423</v>
      </c>
      <c r="H2311" s="472">
        <v>20.0</v>
      </c>
      <c r="I2311" s="630" t="s">
        <v>3231</v>
      </c>
      <c r="J2311" s="34" t="s">
        <v>8005</v>
      </c>
      <c r="K2311" s="148">
        <v>46206.0</v>
      </c>
      <c r="L2311" s="12" t="s">
        <v>51</v>
      </c>
      <c r="M2311" s="19"/>
      <c r="N2311" s="19"/>
      <c r="O2311" s="34" t="s">
        <v>7961</v>
      </c>
      <c r="P2311" s="587" t="s">
        <v>1432</v>
      </c>
    </row>
    <row r="2312" hidden="1">
      <c r="A2312" s="471">
        <v>34.0</v>
      </c>
      <c r="B2312" s="470" t="s">
        <v>8070</v>
      </c>
      <c r="C2312" s="725" t="s">
        <v>6606</v>
      </c>
      <c r="D2312" s="471" t="s">
        <v>8071</v>
      </c>
      <c r="E2312" s="471" t="s">
        <v>8072</v>
      </c>
      <c r="F2312" s="723" t="s">
        <v>356</v>
      </c>
      <c r="G2312" s="12" t="s">
        <v>6423</v>
      </c>
      <c r="H2312" s="472">
        <v>20.0</v>
      </c>
      <c r="I2312" s="12" t="s">
        <v>2890</v>
      </c>
      <c r="J2312" s="34" t="s">
        <v>7980</v>
      </c>
      <c r="K2312" s="148">
        <v>46268.0</v>
      </c>
      <c r="L2312" s="12" t="s">
        <v>4195</v>
      </c>
      <c r="M2312" s="19"/>
      <c r="N2312" s="19"/>
      <c r="O2312" s="34" t="s">
        <v>7859</v>
      </c>
      <c r="P2312" s="587" t="s">
        <v>1432</v>
      </c>
    </row>
    <row r="2313" hidden="1">
      <c r="A2313" s="471">
        <v>35.0</v>
      </c>
      <c r="B2313" s="470" t="s">
        <v>8073</v>
      </c>
      <c r="C2313" s="723" t="s">
        <v>6606</v>
      </c>
      <c r="D2313" s="471" t="s">
        <v>8074</v>
      </c>
      <c r="E2313" s="471" t="s">
        <v>334</v>
      </c>
      <c r="F2313" s="723" t="s">
        <v>356</v>
      </c>
      <c r="G2313" s="12" t="s">
        <v>6423</v>
      </c>
      <c r="H2313" s="472">
        <v>20.0</v>
      </c>
      <c r="I2313" s="12" t="s">
        <v>2890</v>
      </c>
      <c r="J2313" s="34" t="s">
        <v>5454</v>
      </c>
      <c r="K2313" s="148">
        <v>46298.0</v>
      </c>
      <c r="L2313" s="12" t="s">
        <v>374</v>
      </c>
      <c r="M2313" s="19"/>
      <c r="N2313" s="19"/>
      <c r="O2313" s="34" t="s">
        <v>7856</v>
      </c>
      <c r="P2313" s="587" t="s">
        <v>1432</v>
      </c>
    </row>
    <row r="2314" hidden="1">
      <c r="A2314" s="471">
        <v>36.0</v>
      </c>
      <c r="B2314" s="470" t="s">
        <v>8075</v>
      </c>
      <c r="C2314" s="723" t="s">
        <v>6606</v>
      </c>
      <c r="D2314" s="471" t="s">
        <v>8076</v>
      </c>
      <c r="E2314" s="471" t="s">
        <v>8077</v>
      </c>
      <c r="F2314" s="723" t="s">
        <v>356</v>
      </c>
      <c r="G2314" s="12" t="s">
        <v>6423</v>
      </c>
      <c r="H2314" s="472">
        <v>20.0</v>
      </c>
      <c r="I2314" s="12" t="s">
        <v>2890</v>
      </c>
      <c r="J2314" s="34" t="s">
        <v>7980</v>
      </c>
      <c r="K2314" s="148">
        <v>46298.0</v>
      </c>
      <c r="L2314" s="12" t="s">
        <v>51</v>
      </c>
      <c r="M2314" s="19"/>
      <c r="N2314" s="19"/>
      <c r="O2314" s="34" t="s">
        <v>7864</v>
      </c>
      <c r="P2314" s="587" t="s">
        <v>1432</v>
      </c>
    </row>
    <row r="2315" hidden="1">
      <c r="A2315" s="471">
        <v>37.0</v>
      </c>
      <c r="B2315" s="470" t="s">
        <v>8078</v>
      </c>
      <c r="C2315" s="723" t="s">
        <v>6606</v>
      </c>
      <c r="D2315" s="481" t="s">
        <v>8079</v>
      </c>
      <c r="E2315" s="709" t="s">
        <v>8080</v>
      </c>
      <c r="F2315" s="723" t="s">
        <v>356</v>
      </c>
      <c r="G2315" s="12" t="s">
        <v>6423</v>
      </c>
      <c r="H2315" s="472">
        <v>20.0</v>
      </c>
      <c r="I2315" s="12" t="s">
        <v>2890</v>
      </c>
      <c r="J2315" s="143" t="s">
        <v>2065</v>
      </c>
      <c r="K2315" s="726">
        <v>46328.0</v>
      </c>
      <c r="L2315" s="12" t="s">
        <v>4195</v>
      </c>
      <c r="M2315" s="19"/>
      <c r="N2315" s="19"/>
      <c r="O2315" s="34" t="s">
        <v>7864</v>
      </c>
      <c r="P2315" s="587" t="s">
        <v>1432</v>
      </c>
    </row>
    <row r="2316" hidden="1">
      <c r="A2316" s="471">
        <v>38.0</v>
      </c>
      <c r="B2316" s="470" t="s">
        <v>8081</v>
      </c>
      <c r="C2316" s="724" t="s">
        <v>6606</v>
      </c>
      <c r="D2316" s="481" t="s">
        <v>8082</v>
      </c>
      <c r="E2316" s="473" t="s">
        <v>8083</v>
      </c>
      <c r="F2316" s="724" t="s">
        <v>4358</v>
      </c>
      <c r="G2316" s="12" t="s">
        <v>6423</v>
      </c>
      <c r="H2316" s="472">
        <v>20.0</v>
      </c>
      <c r="I2316" s="12" t="s">
        <v>2890</v>
      </c>
      <c r="J2316" s="34" t="s">
        <v>8084</v>
      </c>
      <c r="K2316" s="34" t="s">
        <v>7851</v>
      </c>
      <c r="L2316" s="12" t="s">
        <v>51</v>
      </c>
      <c r="M2316" s="19"/>
      <c r="N2316" s="19"/>
      <c r="O2316" s="34" t="s">
        <v>7961</v>
      </c>
      <c r="P2316" s="701" t="s">
        <v>8085</v>
      </c>
    </row>
    <row r="2317" hidden="1">
      <c r="A2317" s="471">
        <v>39.0</v>
      </c>
      <c r="B2317" s="470" t="s">
        <v>8086</v>
      </c>
      <c r="C2317" s="724" t="s">
        <v>6606</v>
      </c>
      <c r="D2317" s="481" t="s">
        <v>8087</v>
      </c>
      <c r="E2317" s="473" t="s">
        <v>8088</v>
      </c>
      <c r="F2317" s="724" t="s">
        <v>4358</v>
      </c>
      <c r="G2317" s="12" t="s">
        <v>6423</v>
      </c>
      <c r="H2317" s="472">
        <v>20.0</v>
      </c>
      <c r="I2317" s="12" t="s">
        <v>2890</v>
      </c>
      <c r="J2317" s="34" t="s">
        <v>8084</v>
      </c>
      <c r="K2317" s="34" t="s">
        <v>7851</v>
      </c>
      <c r="L2317" s="12" t="s">
        <v>51</v>
      </c>
      <c r="M2317" s="19"/>
      <c r="N2317" s="19"/>
      <c r="O2317" s="34" t="s">
        <v>7961</v>
      </c>
      <c r="P2317" s="701" t="s">
        <v>8085</v>
      </c>
    </row>
    <row r="2318" hidden="1">
      <c r="A2318" s="471">
        <v>40.0</v>
      </c>
      <c r="B2318" s="470" t="s">
        <v>8089</v>
      </c>
      <c r="C2318" s="723" t="s">
        <v>1185</v>
      </c>
      <c r="D2318" s="481" t="s">
        <v>8090</v>
      </c>
      <c r="E2318" s="709" t="s">
        <v>8091</v>
      </c>
      <c r="F2318" s="723" t="s">
        <v>25</v>
      </c>
      <c r="G2318" s="12" t="s">
        <v>7960</v>
      </c>
      <c r="H2318" s="472">
        <v>18.0</v>
      </c>
      <c r="I2318" s="12" t="s">
        <v>2890</v>
      </c>
      <c r="J2318" s="143" t="s">
        <v>2065</v>
      </c>
      <c r="K2318" s="726">
        <v>46328.0</v>
      </c>
      <c r="L2318" s="12" t="s">
        <v>4195</v>
      </c>
      <c r="M2318" s="19"/>
      <c r="N2318" s="19"/>
      <c r="O2318" s="34" t="s">
        <v>7864</v>
      </c>
      <c r="P2318" s="587" t="s">
        <v>1432</v>
      </c>
    </row>
    <row r="2319" hidden="1">
      <c r="A2319" s="471">
        <v>41.0</v>
      </c>
      <c r="B2319" s="470" t="s">
        <v>8092</v>
      </c>
      <c r="C2319" s="723" t="s">
        <v>6606</v>
      </c>
      <c r="D2319" s="471" t="s">
        <v>8093</v>
      </c>
      <c r="E2319" s="593" t="s">
        <v>8094</v>
      </c>
      <c r="F2319" s="723" t="s">
        <v>5809</v>
      </c>
      <c r="G2319" s="12" t="s">
        <v>7383</v>
      </c>
      <c r="H2319" s="472">
        <v>14.0</v>
      </c>
      <c r="I2319" s="12" t="s">
        <v>2890</v>
      </c>
      <c r="J2319" s="34" t="s">
        <v>2541</v>
      </c>
      <c r="K2319" s="19"/>
      <c r="L2319" s="12" t="s">
        <v>778</v>
      </c>
      <c r="M2319" s="19"/>
      <c r="N2319" s="19"/>
      <c r="O2319" s="148">
        <v>46359.0</v>
      </c>
      <c r="P2319" s="19"/>
    </row>
    <row r="2320" hidden="1">
      <c r="A2320" s="471">
        <v>42.0</v>
      </c>
      <c r="B2320" s="470" t="s">
        <v>8095</v>
      </c>
      <c r="C2320" s="723" t="s">
        <v>6606</v>
      </c>
      <c r="D2320" s="471" t="s">
        <v>8096</v>
      </c>
      <c r="E2320" s="593" t="s">
        <v>8097</v>
      </c>
      <c r="F2320" s="723" t="s">
        <v>5809</v>
      </c>
      <c r="G2320" s="12" t="s">
        <v>7383</v>
      </c>
      <c r="H2320" s="472">
        <v>14.0</v>
      </c>
      <c r="I2320" s="727" t="s">
        <v>3465</v>
      </c>
      <c r="J2320" s="34" t="s">
        <v>2541</v>
      </c>
      <c r="K2320" s="19"/>
      <c r="L2320" s="12" t="s">
        <v>778</v>
      </c>
      <c r="M2320" s="19"/>
      <c r="N2320" s="19"/>
      <c r="O2320" s="148">
        <v>46359.0</v>
      </c>
      <c r="P2320" s="19"/>
    </row>
    <row r="2321" hidden="1">
      <c r="A2321" s="471">
        <v>43.0</v>
      </c>
      <c r="B2321" s="470" t="s">
        <v>8098</v>
      </c>
      <c r="C2321" s="723" t="s">
        <v>6606</v>
      </c>
      <c r="D2321" s="471" t="s">
        <v>8099</v>
      </c>
      <c r="E2321" s="593" t="s">
        <v>8100</v>
      </c>
      <c r="F2321" s="723" t="s">
        <v>5809</v>
      </c>
      <c r="G2321" s="12" t="s">
        <v>7383</v>
      </c>
      <c r="H2321" s="472">
        <v>14.0</v>
      </c>
      <c r="I2321" s="12" t="s">
        <v>2890</v>
      </c>
      <c r="J2321" s="34" t="s">
        <v>2541</v>
      </c>
      <c r="K2321" s="19"/>
      <c r="L2321" s="12" t="s">
        <v>778</v>
      </c>
      <c r="M2321" s="19"/>
      <c r="N2321" s="19"/>
      <c r="O2321" s="148">
        <v>46359.0</v>
      </c>
      <c r="P2321" s="19"/>
    </row>
    <row r="2322" hidden="1">
      <c r="A2322" s="471">
        <v>44.0</v>
      </c>
      <c r="B2322" s="470" t="s">
        <v>8101</v>
      </c>
      <c r="C2322" s="723" t="s">
        <v>6606</v>
      </c>
      <c r="D2322" s="471" t="s">
        <v>8102</v>
      </c>
      <c r="E2322" s="593" t="s">
        <v>8103</v>
      </c>
      <c r="F2322" s="723" t="s">
        <v>5809</v>
      </c>
      <c r="G2322" s="12" t="s">
        <v>7383</v>
      </c>
      <c r="H2322" s="472">
        <v>14.0</v>
      </c>
      <c r="I2322" s="12" t="s">
        <v>2890</v>
      </c>
      <c r="J2322" s="34" t="s">
        <v>2541</v>
      </c>
      <c r="K2322" s="19"/>
      <c r="L2322" s="12" t="s">
        <v>778</v>
      </c>
      <c r="M2322" s="19"/>
      <c r="N2322" s="19"/>
      <c r="O2322" s="148">
        <v>46359.0</v>
      </c>
      <c r="P2322" s="19"/>
    </row>
    <row r="2323" hidden="1">
      <c r="A2323" s="471">
        <v>45.0</v>
      </c>
      <c r="B2323" s="470" t="s">
        <v>8104</v>
      </c>
      <c r="C2323" s="723" t="s">
        <v>6606</v>
      </c>
      <c r="D2323" s="471" t="s">
        <v>8105</v>
      </c>
      <c r="E2323" s="593" t="s">
        <v>8106</v>
      </c>
      <c r="F2323" s="723" t="s">
        <v>5809</v>
      </c>
      <c r="G2323" s="12" t="s">
        <v>7383</v>
      </c>
      <c r="H2323" s="472">
        <v>14.0</v>
      </c>
      <c r="I2323" s="12" t="s">
        <v>2890</v>
      </c>
      <c r="J2323" s="34" t="s">
        <v>2541</v>
      </c>
      <c r="K2323" s="19"/>
      <c r="L2323" s="12" t="s">
        <v>778</v>
      </c>
      <c r="M2323" s="19"/>
      <c r="N2323" s="19"/>
      <c r="O2323" s="148">
        <v>46359.0</v>
      </c>
      <c r="P2323" s="19"/>
    </row>
    <row r="2324" hidden="1">
      <c r="A2324" s="471">
        <v>46.0</v>
      </c>
      <c r="B2324" s="470" t="s">
        <v>8107</v>
      </c>
      <c r="C2324" s="723" t="s">
        <v>6606</v>
      </c>
      <c r="D2324" s="471" t="s">
        <v>8108</v>
      </c>
      <c r="E2324" s="593" t="s">
        <v>8109</v>
      </c>
      <c r="F2324" s="723" t="s">
        <v>5809</v>
      </c>
      <c r="G2324" s="12" t="s">
        <v>7383</v>
      </c>
      <c r="H2324" s="472">
        <v>14.0</v>
      </c>
      <c r="I2324" s="12" t="s">
        <v>2890</v>
      </c>
      <c r="J2324" s="34" t="s">
        <v>3099</v>
      </c>
      <c r="K2324" s="19"/>
      <c r="L2324" s="12" t="s">
        <v>778</v>
      </c>
      <c r="M2324" s="19"/>
      <c r="N2324" s="19"/>
      <c r="O2324" s="148">
        <v>46359.0</v>
      </c>
      <c r="P2324" s="19"/>
    </row>
    <row r="2325" hidden="1">
      <c r="A2325" s="471">
        <v>47.0</v>
      </c>
      <c r="B2325" s="470" t="s">
        <v>8110</v>
      </c>
      <c r="C2325" s="723" t="s">
        <v>6606</v>
      </c>
      <c r="D2325" s="471" t="s">
        <v>8111</v>
      </c>
      <c r="E2325" s="593" t="s">
        <v>8112</v>
      </c>
      <c r="F2325" s="723" t="s">
        <v>5809</v>
      </c>
      <c r="G2325" s="12" t="s">
        <v>7383</v>
      </c>
      <c r="H2325" s="472">
        <v>14.0</v>
      </c>
      <c r="I2325" s="12" t="s">
        <v>2890</v>
      </c>
      <c r="J2325" s="34" t="s">
        <v>2541</v>
      </c>
      <c r="K2325" s="19"/>
      <c r="L2325" s="12" t="s">
        <v>778</v>
      </c>
      <c r="M2325" s="19"/>
      <c r="N2325" s="19"/>
      <c r="O2325" s="148">
        <v>46359.0</v>
      </c>
      <c r="P2325" s="19"/>
    </row>
    <row r="2326" hidden="1">
      <c r="A2326" s="471">
        <v>48.0</v>
      </c>
      <c r="B2326" s="470" t="s">
        <v>8113</v>
      </c>
      <c r="C2326" s="723" t="s">
        <v>6606</v>
      </c>
      <c r="D2326" s="471" t="s">
        <v>8114</v>
      </c>
      <c r="E2326" s="593" t="s">
        <v>8115</v>
      </c>
      <c r="F2326" s="723" t="s">
        <v>5809</v>
      </c>
      <c r="G2326" s="12" t="s">
        <v>7383</v>
      </c>
      <c r="H2326" s="472">
        <v>14.0</v>
      </c>
      <c r="I2326" s="12" t="s">
        <v>2890</v>
      </c>
      <c r="J2326" s="34" t="s">
        <v>3099</v>
      </c>
      <c r="K2326" s="19"/>
      <c r="L2326" s="12" t="s">
        <v>778</v>
      </c>
      <c r="M2326" s="19"/>
      <c r="N2326" s="19"/>
      <c r="O2326" s="148">
        <v>46359.0</v>
      </c>
      <c r="P2326" s="19"/>
    </row>
    <row r="2327" hidden="1">
      <c r="A2327" s="339" t="s">
        <v>8116</v>
      </c>
    </row>
    <row r="2328" hidden="1">
      <c r="A2328" s="670" t="s">
        <v>47</v>
      </c>
      <c r="B2328" s="670" t="s">
        <v>7</v>
      </c>
      <c r="C2328" s="670" t="s">
        <v>9</v>
      </c>
      <c r="D2328" s="670" t="s">
        <v>10</v>
      </c>
      <c r="E2328" s="670" t="s">
        <v>11</v>
      </c>
      <c r="F2328" s="670" t="s">
        <v>12</v>
      </c>
      <c r="G2328" s="670" t="s">
        <v>2378</v>
      </c>
      <c r="H2328" s="670" t="s">
        <v>2681</v>
      </c>
      <c r="I2328" s="4" t="s">
        <v>2847</v>
      </c>
      <c r="J2328" s="8" t="s">
        <v>14</v>
      </c>
      <c r="K2328" s="9" t="s">
        <v>16</v>
      </c>
      <c r="L2328" s="9" t="s">
        <v>4330</v>
      </c>
      <c r="M2328" s="9" t="s">
        <v>18</v>
      </c>
      <c r="N2328" s="9" t="s">
        <v>19</v>
      </c>
      <c r="O2328" s="9" t="s">
        <v>20</v>
      </c>
      <c r="P2328" s="9" t="s">
        <v>21</v>
      </c>
      <c r="Q2328" s="35"/>
      <c r="R2328" s="35"/>
      <c r="S2328" s="35"/>
      <c r="T2328" s="35"/>
      <c r="U2328" s="35"/>
      <c r="V2328" s="35"/>
      <c r="W2328" s="35"/>
      <c r="X2328" s="35"/>
      <c r="Y2328" s="35"/>
      <c r="Z2328" s="35"/>
      <c r="AA2328" s="35"/>
      <c r="AB2328" s="35"/>
      <c r="AC2328" s="35"/>
      <c r="AD2328" s="35"/>
      <c r="AE2328" s="35"/>
      <c r="AF2328" s="35"/>
    </row>
    <row r="2329" hidden="1">
      <c r="A2329" s="526">
        <v>1.0</v>
      </c>
      <c r="B2329" s="527" t="s">
        <v>8117</v>
      </c>
      <c r="C2329" s="526" t="s">
        <v>80</v>
      </c>
      <c r="D2329" s="526" t="s">
        <v>8118</v>
      </c>
      <c r="E2329" s="526" t="s">
        <v>8119</v>
      </c>
      <c r="F2329" s="526" t="s">
        <v>207</v>
      </c>
      <c r="G2329" s="574" t="s">
        <v>7960</v>
      </c>
      <c r="H2329" s="495">
        <v>15.0</v>
      </c>
      <c r="I2329" s="728" t="s">
        <v>2890</v>
      </c>
      <c r="L2329" s="140"/>
      <c r="O2329" s="397" t="s">
        <v>7346</v>
      </c>
      <c r="P2329" s="587" t="s">
        <v>1432</v>
      </c>
    </row>
    <row r="2330" hidden="1">
      <c r="A2330" s="471">
        <v>2.0</v>
      </c>
      <c r="B2330" s="470" t="s">
        <v>8120</v>
      </c>
      <c r="C2330" s="471" t="s">
        <v>688</v>
      </c>
      <c r="D2330" s="471" t="s">
        <v>8121</v>
      </c>
      <c r="E2330" s="471" t="s">
        <v>8122</v>
      </c>
      <c r="F2330" s="471" t="s">
        <v>8123</v>
      </c>
      <c r="G2330" s="729">
        <v>46268.0</v>
      </c>
      <c r="H2330" s="12">
        <v>8.0</v>
      </c>
      <c r="I2330" s="730" t="s">
        <v>2890</v>
      </c>
      <c r="L2330" s="140"/>
      <c r="O2330" s="665">
        <v>46298.0</v>
      </c>
      <c r="P2330" s="587" t="s">
        <v>1432</v>
      </c>
    </row>
    <row r="2331" hidden="1">
      <c r="A2331" s="471">
        <v>3.0</v>
      </c>
      <c r="B2331" s="470" t="s">
        <v>8124</v>
      </c>
      <c r="C2331" s="471" t="s">
        <v>397</v>
      </c>
      <c r="D2331" s="471" t="s">
        <v>8125</v>
      </c>
      <c r="E2331" s="471" t="s">
        <v>8126</v>
      </c>
      <c r="F2331" s="471" t="s">
        <v>8123</v>
      </c>
      <c r="G2331" s="729">
        <v>46268.0</v>
      </c>
      <c r="H2331" s="12">
        <v>8.0</v>
      </c>
      <c r="I2331" s="730" t="s">
        <v>2890</v>
      </c>
      <c r="L2331" s="140"/>
      <c r="O2331" s="665">
        <v>46298.0</v>
      </c>
      <c r="P2331" s="587" t="s">
        <v>1432</v>
      </c>
    </row>
    <row r="2332" hidden="1">
      <c r="A2332" s="471">
        <v>4.0</v>
      </c>
      <c r="B2332" s="470" t="s">
        <v>8127</v>
      </c>
      <c r="C2332" s="471" t="s">
        <v>1185</v>
      </c>
      <c r="D2332" s="471" t="s">
        <v>8128</v>
      </c>
      <c r="E2332" s="471" t="s">
        <v>8129</v>
      </c>
      <c r="F2332" s="471" t="s">
        <v>25</v>
      </c>
      <c r="G2332" s="472" t="s">
        <v>7960</v>
      </c>
      <c r="H2332" s="12">
        <v>15.0</v>
      </c>
      <c r="I2332" s="730" t="s">
        <v>2890</v>
      </c>
      <c r="J2332" s="731" t="s">
        <v>8130</v>
      </c>
      <c r="K2332" s="143" t="s">
        <v>8131</v>
      </c>
      <c r="L2332" s="12" t="s">
        <v>4195</v>
      </c>
      <c r="M2332" s="19"/>
      <c r="N2332" s="19"/>
      <c r="O2332" s="34" t="s">
        <v>7961</v>
      </c>
      <c r="P2332" s="587" t="s">
        <v>1432</v>
      </c>
    </row>
    <row r="2333" hidden="1">
      <c r="A2333" s="471">
        <v>5.0</v>
      </c>
      <c r="B2333" s="470" t="s">
        <v>8132</v>
      </c>
      <c r="C2333" s="471" t="s">
        <v>651</v>
      </c>
      <c r="D2333" s="471" t="s">
        <v>8133</v>
      </c>
      <c r="E2333" s="471" t="s">
        <v>8134</v>
      </c>
      <c r="F2333" s="471" t="s">
        <v>2040</v>
      </c>
      <c r="G2333" s="472" t="s">
        <v>8135</v>
      </c>
      <c r="H2333" s="12">
        <v>18.0</v>
      </c>
      <c r="I2333" s="730" t="s">
        <v>2890</v>
      </c>
      <c r="J2333" s="34" t="s">
        <v>8136</v>
      </c>
      <c r="K2333" s="19"/>
      <c r="L2333" s="12" t="s">
        <v>374</v>
      </c>
      <c r="M2333" s="19"/>
      <c r="N2333" s="19"/>
      <c r="O2333" s="71">
        <v>46057.0</v>
      </c>
      <c r="P2333" s="587" t="s">
        <v>1432</v>
      </c>
    </row>
    <row r="2334" hidden="1">
      <c r="A2334" s="471">
        <v>6.0</v>
      </c>
      <c r="B2334" s="621" t="s">
        <v>8137</v>
      </c>
      <c r="C2334" s="471" t="s">
        <v>80</v>
      </c>
      <c r="D2334" s="471" t="s">
        <v>8138</v>
      </c>
      <c r="E2334" s="471" t="s">
        <v>8139</v>
      </c>
      <c r="F2334" s="471" t="s">
        <v>8140</v>
      </c>
      <c r="G2334" s="472" t="s">
        <v>6423</v>
      </c>
      <c r="H2334" s="12">
        <v>17.0</v>
      </c>
      <c r="I2334" s="730" t="s">
        <v>2890</v>
      </c>
      <c r="J2334" s="34" t="s">
        <v>8084</v>
      </c>
      <c r="K2334" s="34" t="s">
        <v>7851</v>
      </c>
      <c r="L2334" s="12" t="s">
        <v>51</v>
      </c>
      <c r="M2334" s="19"/>
      <c r="N2334" s="19"/>
      <c r="O2334" s="34" t="s">
        <v>7961</v>
      </c>
      <c r="P2334" s="587" t="s">
        <v>1432</v>
      </c>
    </row>
    <row r="2335" hidden="1">
      <c r="A2335" s="471">
        <v>7.0</v>
      </c>
      <c r="B2335" s="470" t="s">
        <v>8141</v>
      </c>
      <c r="C2335" s="471" t="s">
        <v>80</v>
      </c>
      <c r="D2335" s="471" t="s">
        <v>8142</v>
      </c>
      <c r="E2335" s="471" t="s">
        <v>405</v>
      </c>
      <c r="F2335" s="471" t="s">
        <v>8143</v>
      </c>
      <c r="G2335" s="472" t="s">
        <v>8135</v>
      </c>
      <c r="H2335" s="12">
        <v>18.0</v>
      </c>
      <c r="I2335" s="732" t="s">
        <v>8144</v>
      </c>
      <c r="J2335" s="34" t="s">
        <v>8145</v>
      </c>
      <c r="K2335" s="661">
        <v>13213.0</v>
      </c>
      <c r="L2335" s="12" t="s">
        <v>4195</v>
      </c>
      <c r="M2335" s="19"/>
      <c r="N2335" s="34" t="s">
        <v>8146</v>
      </c>
      <c r="O2335" s="661">
        <v>46330.0</v>
      </c>
      <c r="P2335" s="587" t="s">
        <v>1432</v>
      </c>
    </row>
    <row r="2336" hidden="1">
      <c r="A2336" s="471">
        <v>8.0</v>
      </c>
      <c r="B2336" s="470" t="s">
        <v>8147</v>
      </c>
      <c r="C2336" s="471" t="s">
        <v>80</v>
      </c>
      <c r="D2336" s="471" t="s">
        <v>8148</v>
      </c>
      <c r="E2336" s="473" t="s">
        <v>8149</v>
      </c>
      <c r="F2336" s="471" t="s">
        <v>2976</v>
      </c>
      <c r="G2336" s="472" t="s">
        <v>8135</v>
      </c>
      <c r="H2336" s="12">
        <v>18.0</v>
      </c>
      <c r="I2336" s="730" t="s">
        <v>2890</v>
      </c>
      <c r="J2336" s="34" t="s">
        <v>8150</v>
      </c>
      <c r="K2336" s="34" t="s">
        <v>7864</v>
      </c>
      <c r="L2336" s="12" t="s">
        <v>374</v>
      </c>
      <c r="M2336" s="19"/>
      <c r="N2336" s="19"/>
      <c r="O2336" s="71">
        <v>46026.0</v>
      </c>
      <c r="P2336" s="587" t="s">
        <v>1432</v>
      </c>
    </row>
    <row r="2337" hidden="1">
      <c r="A2337" s="471">
        <v>9.0</v>
      </c>
      <c r="B2337" s="470" t="s">
        <v>8151</v>
      </c>
      <c r="C2337" s="471" t="s">
        <v>80</v>
      </c>
      <c r="D2337" s="471" t="s">
        <v>8152</v>
      </c>
      <c r="E2337" s="473" t="s">
        <v>8153</v>
      </c>
      <c r="F2337" s="471" t="s">
        <v>2976</v>
      </c>
      <c r="G2337" s="472" t="s">
        <v>8135</v>
      </c>
      <c r="H2337" s="12">
        <v>18.0</v>
      </c>
      <c r="I2337" s="730" t="s">
        <v>2890</v>
      </c>
      <c r="J2337" s="34" t="s">
        <v>8150</v>
      </c>
      <c r="K2337" s="34" t="s">
        <v>8154</v>
      </c>
      <c r="L2337" s="12" t="s">
        <v>374</v>
      </c>
      <c r="M2337" s="19"/>
      <c r="N2337" s="19"/>
      <c r="O2337" s="71">
        <v>46026.0</v>
      </c>
      <c r="P2337" s="587" t="s">
        <v>1432</v>
      </c>
    </row>
    <row r="2338" hidden="1">
      <c r="A2338" s="471">
        <v>10.0</v>
      </c>
      <c r="B2338" s="470" t="s">
        <v>8155</v>
      </c>
      <c r="C2338" s="471" t="s">
        <v>80</v>
      </c>
      <c r="D2338" s="471" t="s">
        <v>8156</v>
      </c>
      <c r="E2338" s="471" t="s">
        <v>8157</v>
      </c>
      <c r="F2338" s="471" t="s">
        <v>4405</v>
      </c>
      <c r="G2338" s="472" t="s">
        <v>8158</v>
      </c>
      <c r="H2338" s="12">
        <v>19.0</v>
      </c>
      <c r="I2338" s="733" t="s">
        <v>8159</v>
      </c>
      <c r="J2338" s="34" t="s">
        <v>8160</v>
      </c>
      <c r="K2338" s="34" t="s">
        <v>7856</v>
      </c>
      <c r="L2338" s="12" t="s">
        <v>374</v>
      </c>
      <c r="M2338" s="19"/>
      <c r="N2338" s="19"/>
      <c r="O2338" s="34" t="s">
        <v>8161</v>
      </c>
      <c r="P2338" s="587" t="s">
        <v>1432</v>
      </c>
    </row>
    <row r="2339" hidden="1">
      <c r="A2339" s="471">
        <v>11.0</v>
      </c>
      <c r="B2339" s="470" t="s">
        <v>8162</v>
      </c>
      <c r="C2339" s="471" t="s">
        <v>651</v>
      </c>
      <c r="D2339" s="471" t="s">
        <v>8163</v>
      </c>
      <c r="E2339" s="471" t="s">
        <v>8164</v>
      </c>
      <c r="F2339" s="471" t="s">
        <v>1797</v>
      </c>
      <c r="G2339" s="472" t="s">
        <v>8158</v>
      </c>
      <c r="H2339" s="12">
        <v>19.0</v>
      </c>
      <c r="I2339" s="730" t="s">
        <v>2890</v>
      </c>
      <c r="J2339" s="34" t="s">
        <v>362</v>
      </c>
      <c r="K2339" s="148">
        <v>46116.0</v>
      </c>
      <c r="L2339" s="12" t="s">
        <v>51</v>
      </c>
      <c r="M2339" s="19"/>
      <c r="N2339" s="19"/>
      <c r="O2339" s="148">
        <v>46207.0</v>
      </c>
      <c r="P2339" s="587" t="s">
        <v>1432</v>
      </c>
    </row>
    <row r="2340" hidden="1">
      <c r="A2340" s="471">
        <v>12.0</v>
      </c>
      <c r="B2340" s="470" t="s">
        <v>8165</v>
      </c>
      <c r="C2340" s="471" t="s">
        <v>80</v>
      </c>
      <c r="D2340" s="471" t="s">
        <v>8166</v>
      </c>
      <c r="E2340" s="550" t="s">
        <v>8167</v>
      </c>
      <c r="F2340" s="471" t="s">
        <v>8168</v>
      </c>
      <c r="G2340" s="472" t="s">
        <v>8158</v>
      </c>
      <c r="H2340" s="12">
        <v>19.0</v>
      </c>
      <c r="I2340" s="730" t="s">
        <v>2890</v>
      </c>
      <c r="J2340" s="34" t="s">
        <v>8084</v>
      </c>
      <c r="K2340" s="143" t="s">
        <v>8169</v>
      </c>
      <c r="L2340" s="12" t="s">
        <v>4195</v>
      </c>
      <c r="M2340" s="19"/>
      <c r="N2340" s="19"/>
      <c r="O2340" s="661">
        <v>46085.0</v>
      </c>
      <c r="P2340" s="587" t="s">
        <v>1432</v>
      </c>
    </row>
    <row r="2341" hidden="1">
      <c r="A2341" s="471">
        <v>13.0</v>
      </c>
      <c r="B2341" s="470" t="s">
        <v>8170</v>
      </c>
      <c r="C2341" s="471" t="s">
        <v>80</v>
      </c>
      <c r="D2341" s="471" t="s">
        <v>8171</v>
      </c>
      <c r="E2341" s="550" t="s">
        <v>8172</v>
      </c>
      <c r="F2341" s="471" t="s">
        <v>8168</v>
      </c>
      <c r="G2341" s="472" t="s">
        <v>8158</v>
      </c>
      <c r="H2341" s="12">
        <v>19.0</v>
      </c>
      <c r="I2341" s="730" t="s">
        <v>2890</v>
      </c>
      <c r="J2341" s="34" t="s">
        <v>8084</v>
      </c>
      <c r="K2341" s="143" t="s">
        <v>8169</v>
      </c>
      <c r="L2341" s="12" t="s">
        <v>4195</v>
      </c>
      <c r="M2341" s="19"/>
      <c r="N2341" s="19"/>
      <c r="O2341" s="661">
        <v>46085.0</v>
      </c>
      <c r="P2341" s="587" t="s">
        <v>1432</v>
      </c>
    </row>
    <row r="2342" hidden="1">
      <c r="A2342" s="471">
        <v>14.0</v>
      </c>
      <c r="B2342" s="470" t="s">
        <v>8173</v>
      </c>
      <c r="C2342" s="471" t="s">
        <v>1185</v>
      </c>
      <c r="D2342" s="471" t="s">
        <v>8174</v>
      </c>
      <c r="E2342" s="471" t="s">
        <v>8175</v>
      </c>
      <c r="F2342" s="471" t="s">
        <v>2098</v>
      </c>
      <c r="G2342" s="472" t="s">
        <v>8176</v>
      </c>
      <c r="H2342" s="12">
        <v>20.0</v>
      </c>
      <c r="I2342" s="730" t="s">
        <v>2890</v>
      </c>
      <c r="J2342" s="34" t="s">
        <v>7805</v>
      </c>
      <c r="K2342" s="148">
        <v>46359.0</v>
      </c>
      <c r="L2342" s="12" t="s">
        <v>4195</v>
      </c>
      <c r="M2342" s="19"/>
      <c r="N2342" s="19"/>
      <c r="O2342" s="34" t="s">
        <v>7972</v>
      </c>
      <c r="P2342" s="587" t="s">
        <v>1432</v>
      </c>
    </row>
    <row r="2343" hidden="1">
      <c r="A2343" s="471">
        <v>15.0</v>
      </c>
      <c r="B2343" s="470" t="s">
        <v>8177</v>
      </c>
      <c r="C2343" s="471" t="s">
        <v>1185</v>
      </c>
      <c r="D2343" s="471" t="s">
        <v>8178</v>
      </c>
      <c r="E2343" s="471" t="s">
        <v>8179</v>
      </c>
      <c r="F2343" s="471" t="s">
        <v>2098</v>
      </c>
      <c r="G2343" s="472" t="s">
        <v>8176</v>
      </c>
      <c r="H2343" s="12">
        <v>20.0</v>
      </c>
      <c r="I2343" s="730" t="s">
        <v>2890</v>
      </c>
      <c r="J2343" s="34" t="s">
        <v>8180</v>
      </c>
      <c r="K2343" s="34" t="s">
        <v>8181</v>
      </c>
      <c r="L2343" s="12" t="s">
        <v>374</v>
      </c>
      <c r="M2343" s="19"/>
      <c r="N2343" s="19"/>
      <c r="O2343" s="148">
        <v>46085.0</v>
      </c>
      <c r="P2343" s="587" t="s">
        <v>1432</v>
      </c>
    </row>
    <row r="2344" hidden="1">
      <c r="A2344" s="471">
        <v>16.0</v>
      </c>
      <c r="B2344" s="470" t="s">
        <v>8182</v>
      </c>
      <c r="C2344" s="471" t="s">
        <v>1185</v>
      </c>
      <c r="D2344" s="471" t="s">
        <v>8183</v>
      </c>
      <c r="E2344" s="471" t="s">
        <v>8184</v>
      </c>
      <c r="F2344" s="471" t="s">
        <v>2098</v>
      </c>
      <c r="G2344" s="734" t="s">
        <v>8185</v>
      </c>
      <c r="H2344" s="12">
        <v>1.0</v>
      </c>
      <c r="I2344" s="733" t="s">
        <v>8159</v>
      </c>
      <c r="J2344" s="34" t="s">
        <v>8186</v>
      </c>
      <c r="K2344" s="34" t="s">
        <v>7870</v>
      </c>
      <c r="L2344" s="12" t="s">
        <v>51</v>
      </c>
      <c r="M2344" s="19"/>
      <c r="N2344" s="19"/>
      <c r="O2344" s="34" t="s">
        <v>7972</v>
      </c>
      <c r="P2344" s="587" t="s">
        <v>1432</v>
      </c>
    </row>
    <row r="2345" hidden="1">
      <c r="A2345" s="471">
        <v>17.0</v>
      </c>
      <c r="B2345" s="470" t="s">
        <v>8187</v>
      </c>
      <c r="C2345" s="471" t="s">
        <v>80</v>
      </c>
      <c r="D2345" s="471" t="s">
        <v>8188</v>
      </c>
      <c r="E2345" s="593" t="s">
        <v>8189</v>
      </c>
      <c r="F2345" s="471" t="s">
        <v>8190</v>
      </c>
      <c r="G2345" s="472" t="s">
        <v>7646</v>
      </c>
      <c r="H2345" s="12">
        <v>14.0</v>
      </c>
      <c r="I2345" s="733" t="s">
        <v>8191</v>
      </c>
      <c r="J2345" s="34" t="s">
        <v>2541</v>
      </c>
      <c r="K2345" s="19"/>
      <c r="L2345" s="12" t="s">
        <v>778</v>
      </c>
      <c r="M2345" s="19"/>
      <c r="N2345" s="19"/>
      <c r="O2345" s="34" t="s">
        <v>7864</v>
      </c>
      <c r="P2345" s="19"/>
    </row>
    <row r="2346" hidden="1">
      <c r="A2346" s="471">
        <v>18.0</v>
      </c>
      <c r="B2346" s="470" t="s">
        <v>8192</v>
      </c>
      <c r="C2346" s="471" t="s">
        <v>80</v>
      </c>
      <c r="D2346" s="471" t="s">
        <v>8193</v>
      </c>
      <c r="E2346" s="593" t="s">
        <v>44</v>
      </c>
      <c r="F2346" s="471" t="s">
        <v>8190</v>
      </c>
      <c r="G2346" s="472" t="s">
        <v>7646</v>
      </c>
      <c r="H2346" s="12">
        <v>14.0</v>
      </c>
      <c r="I2346" s="730" t="s">
        <v>2890</v>
      </c>
      <c r="J2346" s="34" t="s">
        <v>2541</v>
      </c>
      <c r="K2346" s="19"/>
      <c r="L2346" s="12" t="s">
        <v>778</v>
      </c>
      <c r="M2346" s="19"/>
      <c r="N2346" s="19"/>
      <c r="O2346" s="34" t="s">
        <v>7864</v>
      </c>
      <c r="P2346" s="19"/>
    </row>
    <row r="2347" hidden="1">
      <c r="A2347" s="471">
        <v>19.0</v>
      </c>
      <c r="B2347" s="470" t="s">
        <v>8194</v>
      </c>
      <c r="C2347" s="471" t="s">
        <v>80</v>
      </c>
      <c r="D2347" s="471" t="s">
        <v>8195</v>
      </c>
      <c r="E2347" s="593" t="s">
        <v>44</v>
      </c>
      <c r="F2347" s="471" t="s">
        <v>8190</v>
      </c>
      <c r="G2347" s="472" t="s">
        <v>7646</v>
      </c>
      <c r="H2347" s="12">
        <v>14.0</v>
      </c>
      <c r="I2347" s="730" t="s">
        <v>2890</v>
      </c>
      <c r="J2347" s="34" t="s">
        <v>2541</v>
      </c>
      <c r="K2347" s="19"/>
      <c r="L2347" s="12" t="s">
        <v>778</v>
      </c>
      <c r="M2347" s="19"/>
      <c r="N2347" s="19"/>
      <c r="O2347" s="34" t="s">
        <v>7864</v>
      </c>
      <c r="P2347" s="19"/>
    </row>
    <row r="2348" hidden="1">
      <c r="A2348" s="471">
        <v>20.0</v>
      </c>
      <c r="B2348" s="470" t="s">
        <v>8196</v>
      </c>
      <c r="C2348" s="471" t="s">
        <v>80</v>
      </c>
      <c r="D2348" s="471" t="s">
        <v>8197</v>
      </c>
      <c r="E2348" s="593" t="s">
        <v>44</v>
      </c>
      <c r="F2348" s="471" t="s">
        <v>8190</v>
      </c>
      <c r="G2348" s="472" t="s">
        <v>7646</v>
      </c>
      <c r="H2348" s="12">
        <v>14.0</v>
      </c>
      <c r="I2348" s="733" t="s">
        <v>8159</v>
      </c>
      <c r="J2348" s="34" t="s">
        <v>2541</v>
      </c>
      <c r="K2348" s="19"/>
      <c r="L2348" s="12" t="s">
        <v>778</v>
      </c>
      <c r="M2348" s="19"/>
      <c r="N2348" s="19"/>
      <c r="O2348" s="34" t="s">
        <v>7864</v>
      </c>
      <c r="P2348" s="19"/>
    </row>
    <row r="2349" hidden="1">
      <c r="A2349" s="471">
        <v>21.0</v>
      </c>
      <c r="B2349" s="470" t="s">
        <v>8198</v>
      </c>
      <c r="C2349" s="471" t="s">
        <v>80</v>
      </c>
      <c r="D2349" s="471" t="s">
        <v>8199</v>
      </c>
      <c r="E2349" s="593" t="s">
        <v>44</v>
      </c>
      <c r="F2349" s="471" t="s">
        <v>8190</v>
      </c>
      <c r="G2349" s="472" t="s">
        <v>7646</v>
      </c>
      <c r="H2349" s="12">
        <v>14.0</v>
      </c>
      <c r="I2349" s="733" t="s">
        <v>8191</v>
      </c>
      <c r="J2349" s="34" t="s">
        <v>8200</v>
      </c>
      <c r="K2349" s="19"/>
      <c r="L2349" s="12" t="s">
        <v>778</v>
      </c>
      <c r="M2349" s="19"/>
      <c r="N2349" s="19"/>
      <c r="O2349" s="34" t="s">
        <v>7864</v>
      </c>
      <c r="P2349" s="19"/>
    </row>
    <row r="2350" hidden="1">
      <c r="A2350" s="471">
        <v>22.0</v>
      </c>
      <c r="B2350" s="470" t="s">
        <v>8201</v>
      </c>
      <c r="C2350" s="471" t="s">
        <v>80</v>
      </c>
      <c r="D2350" s="471" t="s">
        <v>8202</v>
      </c>
      <c r="E2350" s="593" t="s">
        <v>44</v>
      </c>
      <c r="F2350" s="471" t="s">
        <v>8190</v>
      </c>
      <c r="G2350" s="472" t="s">
        <v>7646</v>
      </c>
      <c r="H2350" s="12">
        <v>14.0</v>
      </c>
      <c r="I2350" s="730" t="s">
        <v>2890</v>
      </c>
      <c r="J2350" s="34" t="s">
        <v>2541</v>
      </c>
      <c r="K2350" s="19"/>
      <c r="L2350" s="12" t="s">
        <v>778</v>
      </c>
      <c r="M2350" s="19"/>
      <c r="N2350" s="19"/>
      <c r="O2350" s="34" t="s">
        <v>7864</v>
      </c>
      <c r="P2350" s="19"/>
    </row>
    <row r="2351" hidden="1">
      <c r="A2351" s="471">
        <v>23.0</v>
      </c>
      <c r="B2351" s="470" t="s">
        <v>8203</v>
      </c>
      <c r="C2351" s="471" t="s">
        <v>80</v>
      </c>
      <c r="D2351" s="471" t="s">
        <v>8204</v>
      </c>
      <c r="E2351" s="593" t="s">
        <v>44</v>
      </c>
      <c r="F2351" s="471" t="s">
        <v>8190</v>
      </c>
      <c r="G2351" s="472" t="s">
        <v>7646</v>
      </c>
      <c r="H2351" s="12">
        <v>14.0</v>
      </c>
      <c r="I2351" s="730" t="s">
        <v>2890</v>
      </c>
      <c r="J2351" s="34" t="s">
        <v>2541</v>
      </c>
      <c r="K2351" s="19"/>
      <c r="L2351" s="12" t="s">
        <v>778</v>
      </c>
      <c r="M2351" s="19"/>
      <c r="N2351" s="19"/>
      <c r="O2351" s="34" t="s">
        <v>7864</v>
      </c>
      <c r="P2351" s="19"/>
    </row>
    <row r="2352" hidden="1">
      <c r="A2352" s="471">
        <v>24.0</v>
      </c>
      <c r="B2352" s="470" t="s">
        <v>8205</v>
      </c>
      <c r="C2352" s="471" t="s">
        <v>80</v>
      </c>
      <c r="D2352" s="471" t="s">
        <v>8206</v>
      </c>
      <c r="E2352" s="593" t="s">
        <v>44</v>
      </c>
      <c r="F2352" s="471" t="s">
        <v>8190</v>
      </c>
      <c r="G2352" s="472" t="s">
        <v>7646</v>
      </c>
      <c r="H2352" s="12">
        <v>14.0</v>
      </c>
      <c r="I2352" s="730" t="s">
        <v>2890</v>
      </c>
      <c r="J2352" s="34" t="s">
        <v>3099</v>
      </c>
      <c r="K2352" s="19"/>
      <c r="L2352" s="12" t="s">
        <v>778</v>
      </c>
      <c r="M2352" s="19"/>
      <c r="N2352" s="19"/>
      <c r="O2352" s="34" t="s">
        <v>7864</v>
      </c>
      <c r="P2352" s="19"/>
    </row>
    <row r="2353" hidden="1">
      <c r="A2353" s="471">
        <v>25.0</v>
      </c>
      <c r="B2353" s="470" t="s">
        <v>8207</v>
      </c>
      <c r="C2353" s="471" t="s">
        <v>80</v>
      </c>
      <c r="D2353" s="471" t="s">
        <v>8208</v>
      </c>
      <c r="E2353" s="593" t="s">
        <v>44</v>
      </c>
      <c r="F2353" s="471" t="s">
        <v>8190</v>
      </c>
      <c r="G2353" s="472" t="s">
        <v>7646</v>
      </c>
      <c r="H2353" s="12">
        <v>14.0</v>
      </c>
      <c r="I2353" s="730" t="s">
        <v>2890</v>
      </c>
      <c r="J2353" s="34" t="s">
        <v>3099</v>
      </c>
      <c r="K2353" s="19"/>
      <c r="L2353" s="12" t="s">
        <v>778</v>
      </c>
      <c r="M2353" s="19"/>
      <c r="N2353" s="19"/>
      <c r="O2353" s="34" t="s">
        <v>7864</v>
      </c>
      <c r="P2353" s="19"/>
    </row>
    <row r="2354" hidden="1">
      <c r="A2354" s="471">
        <v>26.0</v>
      </c>
      <c r="B2354" s="470" t="s">
        <v>8209</v>
      </c>
      <c r="C2354" s="471" t="s">
        <v>80</v>
      </c>
      <c r="D2354" s="471" t="s">
        <v>8210</v>
      </c>
      <c r="E2354" s="593" t="s">
        <v>44</v>
      </c>
      <c r="F2354" s="471" t="s">
        <v>8190</v>
      </c>
      <c r="G2354" s="472" t="s">
        <v>7646</v>
      </c>
      <c r="H2354" s="12">
        <v>14.0</v>
      </c>
      <c r="I2354" s="730" t="s">
        <v>2890</v>
      </c>
      <c r="J2354" s="34" t="s">
        <v>2541</v>
      </c>
      <c r="K2354" s="19"/>
      <c r="L2354" s="12" t="s">
        <v>778</v>
      </c>
      <c r="M2354" s="19"/>
      <c r="N2354" s="19"/>
      <c r="O2354" s="34" t="s">
        <v>7864</v>
      </c>
      <c r="P2354" s="19"/>
    </row>
    <row r="2355" hidden="1">
      <c r="A2355" s="471">
        <v>27.0</v>
      </c>
      <c r="B2355" s="470" t="s">
        <v>8211</v>
      </c>
      <c r="C2355" s="471" t="s">
        <v>80</v>
      </c>
      <c r="D2355" s="471" t="s">
        <v>8212</v>
      </c>
      <c r="E2355" s="593" t="s">
        <v>44</v>
      </c>
      <c r="F2355" s="471" t="s">
        <v>8190</v>
      </c>
      <c r="G2355" s="472" t="s">
        <v>7646</v>
      </c>
      <c r="H2355" s="12">
        <v>14.0</v>
      </c>
      <c r="I2355" s="730" t="s">
        <v>2890</v>
      </c>
      <c r="J2355" s="34" t="s">
        <v>2541</v>
      </c>
      <c r="K2355" s="19"/>
      <c r="L2355" s="12" t="s">
        <v>778</v>
      </c>
      <c r="M2355" s="19"/>
      <c r="N2355" s="19"/>
      <c r="O2355" s="34" t="s">
        <v>7864</v>
      </c>
      <c r="P2355" s="19"/>
    </row>
    <row r="2356" hidden="1">
      <c r="A2356" s="471">
        <v>28.0</v>
      </c>
      <c r="B2356" s="470" t="s">
        <v>8213</v>
      </c>
      <c r="C2356" s="471" t="s">
        <v>80</v>
      </c>
      <c r="D2356" s="471" t="s">
        <v>8214</v>
      </c>
      <c r="E2356" s="593" t="s">
        <v>8215</v>
      </c>
      <c r="F2356" s="471" t="s">
        <v>8190</v>
      </c>
      <c r="G2356" s="472" t="s">
        <v>7646</v>
      </c>
      <c r="H2356" s="12">
        <v>14.0</v>
      </c>
      <c r="I2356" s="732" t="s">
        <v>8144</v>
      </c>
      <c r="J2356" s="34" t="s">
        <v>2541</v>
      </c>
      <c r="K2356" s="19"/>
      <c r="L2356" s="12" t="s">
        <v>778</v>
      </c>
      <c r="M2356" s="19"/>
      <c r="N2356" s="19"/>
      <c r="O2356" s="34" t="s">
        <v>7864</v>
      </c>
      <c r="P2356" s="19"/>
    </row>
    <row r="2357" hidden="1">
      <c r="A2357" s="471">
        <v>29.0</v>
      </c>
      <c r="B2357" s="470" t="s">
        <v>8216</v>
      </c>
      <c r="C2357" s="471" t="s">
        <v>80</v>
      </c>
      <c r="D2357" s="471" t="s">
        <v>8217</v>
      </c>
      <c r="E2357" s="593" t="s">
        <v>8218</v>
      </c>
      <c r="F2357" s="471" t="s">
        <v>8190</v>
      </c>
      <c r="G2357" s="472" t="s">
        <v>7646</v>
      </c>
      <c r="H2357" s="12">
        <v>14.0</v>
      </c>
      <c r="I2357" s="730" t="s">
        <v>2890</v>
      </c>
      <c r="J2357" s="34" t="s">
        <v>2541</v>
      </c>
      <c r="K2357" s="19"/>
      <c r="L2357" s="12" t="s">
        <v>778</v>
      </c>
      <c r="M2357" s="19"/>
      <c r="N2357" s="19"/>
      <c r="O2357" s="34" t="s">
        <v>7864</v>
      </c>
      <c r="P2357" s="19"/>
    </row>
    <row r="2358" hidden="1">
      <c r="A2358" s="471">
        <v>30.0</v>
      </c>
      <c r="B2358" s="470" t="s">
        <v>8219</v>
      </c>
      <c r="C2358" s="471" t="s">
        <v>80</v>
      </c>
      <c r="D2358" s="471" t="s">
        <v>8220</v>
      </c>
      <c r="E2358" s="593" t="s">
        <v>8221</v>
      </c>
      <c r="F2358" s="471" t="s">
        <v>8190</v>
      </c>
      <c r="G2358" s="472" t="s">
        <v>7646</v>
      </c>
      <c r="H2358" s="12">
        <v>14.0</v>
      </c>
      <c r="I2358" s="730" t="s">
        <v>2890</v>
      </c>
      <c r="J2358" s="34" t="s">
        <v>2541</v>
      </c>
      <c r="K2358" s="19"/>
      <c r="L2358" s="12" t="s">
        <v>778</v>
      </c>
      <c r="M2358" s="19"/>
      <c r="N2358" s="19"/>
      <c r="O2358" s="34" t="s">
        <v>7864</v>
      </c>
      <c r="P2358" s="19"/>
    </row>
    <row r="2359" hidden="1">
      <c r="A2359" s="471">
        <v>31.0</v>
      </c>
      <c r="B2359" s="470" t="s">
        <v>8222</v>
      </c>
      <c r="C2359" s="471" t="s">
        <v>8223</v>
      </c>
      <c r="D2359" s="471" t="s">
        <v>8224</v>
      </c>
      <c r="E2359" s="471" t="s">
        <v>8225</v>
      </c>
      <c r="F2359" s="471" t="s">
        <v>8226</v>
      </c>
      <c r="G2359" s="472" t="s">
        <v>8176</v>
      </c>
      <c r="H2359" s="12">
        <v>20.0</v>
      </c>
      <c r="I2359" s="730" t="s">
        <v>2890</v>
      </c>
      <c r="J2359" s="34" t="s">
        <v>51</v>
      </c>
      <c r="K2359" s="19"/>
      <c r="L2359" s="12" t="s">
        <v>51</v>
      </c>
      <c r="M2359" s="19"/>
      <c r="N2359" s="19"/>
      <c r="O2359" s="34" t="s">
        <v>7972</v>
      </c>
      <c r="P2359" s="587" t="s">
        <v>1432</v>
      </c>
    </row>
    <row r="2360" hidden="1">
      <c r="A2360" s="471">
        <v>32.0</v>
      </c>
      <c r="B2360" s="470" t="s">
        <v>8227</v>
      </c>
      <c r="C2360" s="471" t="s">
        <v>80</v>
      </c>
      <c r="D2360" s="471" t="s">
        <v>8228</v>
      </c>
      <c r="E2360" s="471" t="s">
        <v>8229</v>
      </c>
      <c r="F2360" s="471" t="s">
        <v>8143</v>
      </c>
      <c r="G2360" s="472" t="s">
        <v>8176</v>
      </c>
      <c r="H2360" s="12">
        <v>20.0</v>
      </c>
      <c r="I2360" s="730" t="s">
        <v>2890</v>
      </c>
      <c r="J2360" s="34" t="s">
        <v>7628</v>
      </c>
      <c r="K2360" s="148">
        <v>46056.0</v>
      </c>
      <c r="L2360" s="12" t="s">
        <v>374</v>
      </c>
      <c r="M2360" s="19"/>
      <c r="N2360" s="19"/>
      <c r="O2360" s="148">
        <v>46116.0</v>
      </c>
      <c r="P2360" s="587" t="s">
        <v>1432</v>
      </c>
    </row>
    <row r="2361" hidden="1">
      <c r="A2361" s="471">
        <v>33.0</v>
      </c>
      <c r="B2361" s="470" t="s">
        <v>8230</v>
      </c>
      <c r="C2361" s="471" t="s">
        <v>80</v>
      </c>
      <c r="D2361" s="471" t="s">
        <v>8231</v>
      </c>
      <c r="E2361" s="593" t="s">
        <v>8232</v>
      </c>
      <c r="F2361" s="471" t="s">
        <v>8233</v>
      </c>
      <c r="G2361" s="735"/>
      <c r="H2361" s="647"/>
      <c r="I2361" s="730" t="s">
        <v>2890</v>
      </c>
      <c r="J2361" s="34" t="s">
        <v>3099</v>
      </c>
      <c r="K2361" s="19"/>
      <c r="L2361" s="12" t="s">
        <v>778</v>
      </c>
      <c r="M2361" s="19"/>
      <c r="N2361" s="19"/>
      <c r="O2361" s="648">
        <v>46101.0</v>
      </c>
      <c r="P2361" s="19"/>
    </row>
    <row r="2362" hidden="1">
      <c r="A2362" s="471">
        <v>34.0</v>
      </c>
      <c r="B2362" s="470" t="s">
        <v>8234</v>
      </c>
      <c r="C2362" s="471" t="s">
        <v>80</v>
      </c>
      <c r="D2362" s="471" t="s">
        <v>8235</v>
      </c>
      <c r="E2362" s="593" t="s">
        <v>8236</v>
      </c>
      <c r="F2362" s="471" t="s">
        <v>8233</v>
      </c>
      <c r="G2362" s="735"/>
      <c r="H2362" s="647"/>
      <c r="I2362" s="730" t="s">
        <v>2890</v>
      </c>
      <c r="J2362" s="34" t="s">
        <v>3099</v>
      </c>
      <c r="K2362" s="19"/>
      <c r="L2362" s="12" t="s">
        <v>778</v>
      </c>
      <c r="M2362" s="19"/>
      <c r="N2362" s="19"/>
      <c r="O2362" s="648">
        <v>46101.0</v>
      </c>
      <c r="P2362" s="19"/>
    </row>
    <row r="2363" hidden="1">
      <c r="A2363" s="471">
        <v>35.0</v>
      </c>
      <c r="B2363" s="470" t="s">
        <v>8237</v>
      </c>
      <c r="C2363" s="471" t="s">
        <v>80</v>
      </c>
      <c r="D2363" s="471" t="s">
        <v>8238</v>
      </c>
      <c r="E2363" s="593" t="s">
        <v>8239</v>
      </c>
      <c r="F2363" s="471" t="s">
        <v>8233</v>
      </c>
      <c r="G2363" s="472" t="s">
        <v>7479</v>
      </c>
      <c r="H2363" s="12">
        <v>16.0</v>
      </c>
      <c r="I2363" s="733" t="s">
        <v>8191</v>
      </c>
      <c r="J2363" s="19"/>
      <c r="K2363" s="19"/>
      <c r="L2363" s="12" t="s">
        <v>778</v>
      </c>
      <c r="M2363" s="19"/>
      <c r="N2363" s="19"/>
      <c r="O2363" s="34" t="s">
        <v>7807</v>
      </c>
      <c r="P2363" s="19"/>
    </row>
    <row r="2364" hidden="1">
      <c r="A2364" s="471">
        <v>36.0</v>
      </c>
      <c r="B2364" s="470" t="s">
        <v>8240</v>
      </c>
      <c r="C2364" s="471" t="s">
        <v>80</v>
      </c>
      <c r="D2364" s="471" t="s">
        <v>8241</v>
      </c>
      <c r="E2364" s="593" t="s">
        <v>8242</v>
      </c>
      <c r="F2364" s="471" t="s">
        <v>8233</v>
      </c>
      <c r="G2364" s="472" t="s">
        <v>7479</v>
      </c>
      <c r="H2364" s="12">
        <v>16.0</v>
      </c>
      <c r="I2364" s="730" t="s">
        <v>2890</v>
      </c>
      <c r="J2364" s="19"/>
      <c r="K2364" s="19"/>
      <c r="L2364" s="12" t="s">
        <v>778</v>
      </c>
      <c r="M2364" s="19"/>
      <c r="N2364" s="19"/>
      <c r="O2364" s="34" t="s">
        <v>7807</v>
      </c>
      <c r="P2364" s="19"/>
    </row>
    <row r="2365" hidden="1">
      <c r="A2365" s="471">
        <v>37.0</v>
      </c>
      <c r="B2365" s="470" t="s">
        <v>8243</v>
      </c>
      <c r="C2365" s="471" t="s">
        <v>80</v>
      </c>
      <c r="D2365" s="471" t="s">
        <v>8244</v>
      </c>
      <c r="E2365" s="593" t="s">
        <v>8245</v>
      </c>
      <c r="F2365" s="471" t="s">
        <v>8233</v>
      </c>
      <c r="G2365" s="472" t="s">
        <v>7479</v>
      </c>
      <c r="H2365" s="12">
        <v>16.0</v>
      </c>
      <c r="I2365" s="730" t="s">
        <v>2890</v>
      </c>
      <c r="J2365" s="19"/>
      <c r="K2365" s="19"/>
      <c r="L2365" s="12" t="s">
        <v>778</v>
      </c>
      <c r="M2365" s="19"/>
      <c r="N2365" s="19"/>
      <c r="O2365" s="34" t="s">
        <v>7807</v>
      </c>
      <c r="P2365" s="19"/>
    </row>
    <row r="2366" hidden="1">
      <c r="A2366" s="471">
        <v>38.0</v>
      </c>
      <c r="B2366" s="470" t="s">
        <v>8246</v>
      </c>
      <c r="C2366" s="471" t="s">
        <v>80</v>
      </c>
      <c r="D2366" s="471" t="s">
        <v>8247</v>
      </c>
      <c r="E2366" s="593" t="s">
        <v>8248</v>
      </c>
      <c r="F2366" s="471" t="s">
        <v>8233</v>
      </c>
      <c r="G2366" s="472" t="s">
        <v>8249</v>
      </c>
      <c r="H2366" s="12">
        <v>22.0</v>
      </c>
      <c r="I2366" s="730" t="s">
        <v>2890</v>
      </c>
      <c r="J2366" s="19"/>
      <c r="K2366" s="19"/>
      <c r="L2366" s="12" t="s">
        <v>778</v>
      </c>
      <c r="M2366" s="19"/>
      <c r="N2366" s="19"/>
      <c r="O2366" s="34" t="s">
        <v>7771</v>
      </c>
      <c r="P2366" s="19"/>
    </row>
    <row r="2367" hidden="1">
      <c r="A2367" s="471">
        <v>39.0</v>
      </c>
      <c r="B2367" s="470" t="s">
        <v>8250</v>
      </c>
      <c r="C2367" s="736" t="s">
        <v>8251</v>
      </c>
      <c r="D2367" s="486" t="s">
        <v>8250</v>
      </c>
      <c r="E2367" s="560" t="s">
        <v>8252</v>
      </c>
      <c r="F2367" s="471" t="s">
        <v>8253</v>
      </c>
      <c r="G2367" s="472" t="s">
        <v>8176</v>
      </c>
      <c r="H2367" s="12">
        <v>20.0</v>
      </c>
      <c r="I2367" s="737" t="s">
        <v>8254</v>
      </c>
      <c r="J2367" s="34" t="s">
        <v>2541</v>
      </c>
      <c r="K2367" s="34" t="s">
        <v>7870</v>
      </c>
      <c r="L2367" s="12" t="s">
        <v>778</v>
      </c>
      <c r="M2367" s="19"/>
      <c r="N2367" s="19"/>
      <c r="O2367" s="34" t="s">
        <v>7807</v>
      </c>
      <c r="P2367" s="19"/>
    </row>
    <row r="2368" hidden="1">
      <c r="A2368" s="471">
        <v>40.0</v>
      </c>
      <c r="B2368" s="470" t="s">
        <v>8255</v>
      </c>
      <c r="C2368" s="736" t="s">
        <v>8251</v>
      </c>
      <c r="D2368" s="486" t="s">
        <v>8255</v>
      </c>
      <c r="E2368" s="560" t="s">
        <v>8256</v>
      </c>
      <c r="F2368" s="471" t="s">
        <v>8253</v>
      </c>
      <c r="G2368" s="472" t="s">
        <v>8176</v>
      </c>
      <c r="H2368" s="12">
        <v>20.0</v>
      </c>
      <c r="I2368" s="737" t="s">
        <v>8257</v>
      </c>
      <c r="J2368" s="34" t="s">
        <v>2541</v>
      </c>
      <c r="K2368" s="34" t="s">
        <v>7870</v>
      </c>
      <c r="L2368" s="12" t="s">
        <v>778</v>
      </c>
      <c r="M2368" s="19"/>
      <c r="N2368" s="19"/>
      <c r="O2368" s="34" t="s">
        <v>7807</v>
      </c>
      <c r="P2368" s="19"/>
    </row>
    <row r="2369" hidden="1">
      <c r="A2369" s="339" t="s">
        <v>8258</v>
      </c>
    </row>
    <row r="2370" hidden="1">
      <c r="A2370" s="738"/>
      <c r="B2370" s="670" t="s">
        <v>7</v>
      </c>
      <c r="C2370" s="670" t="s">
        <v>9</v>
      </c>
      <c r="D2370" s="670" t="s">
        <v>10</v>
      </c>
      <c r="E2370" s="670" t="s">
        <v>11</v>
      </c>
      <c r="F2370" s="670" t="s">
        <v>12</v>
      </c>
      <c r="G2370" s="670" t="s">
        <v>2378</v>
      </c>
      <c r="H2370" s="670" t="s">
        <v>2681</v>
      </c>
      <c r="I2370" s="4" t="s">
        <v>2847</v>
      </c>
      <c r="J2370" s="8" t="s">
        <v>14</v>
      </c>
      <c r="K2370" s="9" t="s">
        <v>16</v>
      </c>
      <c r="L2370" s="9" t="s">
        <v>4330</v>
      </c>
      <c r="M2370" s="9" t="s">
        <v>18</v>
      </c>
      <c r="N2370" s="9" t="s">
        <v>19</v>
      </c>
      <c r="O2370" s="9" t="s">
        <v>20</v>
      </c>
      <c r="P2370" s="9" t="s">
        <v>21</v>
      </c>
      <c r="Q2370" s="35"/>
      <c r="R2370" s="35"/>
      <c r="S2370" s="35"/>
      <c r="T2370" s="35"/>
      <c r="U2370" s="35"/>
      <c r="V2370" s="35"/>
      <c r="W2370" s="35"/>
      <c r="X2370" s="35"/>
      <c r="Y2370" s="35"/>
      <c r="Z2370" s="35"/>
      <c r="AA2370" s="35"/>
      <c r="AB2370" s="35"/>
      <c r="AC2370" s="35"/>
      <c r="AD2370" s="35"/>
      <c r="AE2370" s="35"/>
      <c r="AF2370" s="35"/>
    </row>
    <row r="2371" hidden="1">
      <c r="A2371" s="738" t="s">
        <v>80</v>
      </c>
      <c r="B2371" s="527" t="s">
        <v>8259</v>
      </c>
      <c r="C2371" s="526" t="s">
        <v>80</v>
      </c>
      <c r="D2371" s="526" t="s">
        <v>8260</v>
      </c>
      <c r="E2371" s="526" t="s">
        <v>8261</v>
      </c>
      <c r="F2371" s="526" t="s">
        <v>4666</v>
      </c>
      <c r="G2371" s="574" t="s">
        <v>8135</v>
      </c>
      <c r="H2371" s="728">
        <v>14.0</v>
      </c>
      <c r="I2371" s="739" t="s">
        <v>8144</v>
      </c>
      <c r="L2371" s="140"/>
      <c r="O2371" s="665">
        <v>46298.0</v>
      </c>
      <c r="P2371" s="587" t="s">
        <v>1432</v>
      </c>
    </row>
    <row r="2372" ht="16.5" hidden="1" customHeight="1">
      <c r="A2372" s="738" t="s">
        <v>80</v>
      </c>
      <c r="B2372" s="470" t="s">
        <v>8262</v>
      </c>
      <c r="C2372" s="471" t="s">
        <v>2307</v>
      </c>
      <c r="D2372" s="471" t="s">
        <v>8263</v>
      </c>
      <c r="E2372" s="471" t="s">
        <v>8264</v>
      </c>
      <c r="F2372" s="471" t="s">
        <v>8265</v>
      </c>
      <c r="G2372" s="472" t="s">
        <v>7874</v>
      </c>
      <c r="H2372" s="730">
        <v>8.0</v>
      </c>
      <c r="I2372" s="740" t="s">
        <v>2890</v>
      </c>
      <c r="J2372" s="34" t="s">
        <v>699</v>
      </c>
      <c r="K2372" s="148">
        <v>46298.0</v>
      </c>
      <c r="L2372" s="12" t="s">
        <v>4195</v>
      </c>
      <c r="N2372" s="34" t="s">
        <v>8266</v>
      </c>
      <c r="O2372" s="661">
        <v>46330.0</v>
      </c>
      <c r="P2372" s="587" t="s">
        <v>1432</v>
      </c>
    </row>
    <row r="2373" hidden="1">
      <c r="A2373" s="741" t="s">
        <v>80</v>
      </c>
      <c r="B2373" s="621" t="s">
        <v>8267</v>
      </c>
      <c r="C2373" s="471" t="s">
        <v>80</v>
      </c>
      <c r="D2373" s="471" t="s">
        <v>8268</v>
      </c>
      <c r="E2373" s="471" t="s">
        <v>8269</v>
      </c>
      <c r="F2373" s="471" t="s">
        <v>4405</v>
      </c>
      <c r="G2373" s="472" t="s">
        <v>8176</v>
      </c>
      <c r="H2373" s="730">
        <v>16.0</v>
      </c>
      <c r="I2373" s="742" t="s">
        <v>8270</v>
      </c>
      <c r="J2373" s="34" t="s">
        <v>8186</v>
      </c>
      <c r="K2373" s="34" t="s">
        <v>7870</v>
      </c>
      <c r="L2373" s="12" t="s">
        <v>51</v>
      </c>
      <c r="M2373" s="19"/>
      <c r="N2373" s="19"/>
      <c r="O2373" s="34" t="s">
        <v>7040</v>
      </c>
      <c r="P2373" s="19"/>
    </row>
    <row r="2374" hidden="1">
      <c r="A2374" s="741" t="s">
        <v>80</v>
      </c>
      <c r="B2374" s="470" t="s">
        <v>8271</v>
      </c>
      <c r="C2374" s="471" t="s">
        <v>80</v>
      </c>
      <c r="D2374" s="471" t="s">
        <v>8272</v>
      </c>
      <c r="E2374" s="471" t="s">
        <v>8273</v>
      </c>
      <c r="F2374" s="471" t="s">
        <v>8253</v>
      </c>
      <c r="G2374" s="472" t="s">
        <v>8176</v>
      </c>
      <c r="H2374" s="730">
        <v>16.0</v>
      </c>
      <c r="I2374" s="743" t="s">
        <v>8274</v>
      </c>
      <c r="J2374" s="34" t="s">
        <v>8275</v>
      </c>
      <c r="K2374" s="19"/>
      <c r="L2374" s="12" t="s">
        <v>374</v>
      </c>
      <c r="M2374" s="19"/>
      <c r="N2374" s="19"/>
      <c r="O2374" s="148">
        <v>46116.0</v>
      </c>
      <c r="P2374" s="587" t="s">
        <v>1432</v>
      </c>
    </row>
    <row r="2375" hidden="1">
      <c r="A2375" s="741" t="s">
        <v>80</v>
      </c>
      <c r="B2375" s="470" t="s">
        <v>8276</v>
      </c>
      <c r="C2375" s="471" t="s">
        <v>1185</v>
      </c>
      <c r="D2375" s="471" t="s">
        <v>8277</v>
      </c>
      <c r="E2375" s="471" t="s">
        <v>8278</v>
      </c>
      <c r="F2375" s="471" t="s">
        <v>25</v>
      </c>
      <c r="G2375" s="472" t="s">
        <v>8185</v>
      </c>
      <c r="H2375" s="730">
        <v>17.0</v>
      </c>
      <c r="I2375" s="740" t="s">
        <v>2890</v>
      </c>
      <c r="J2375" s="34" t="s">
        <v>8016</v>
      </c>
      <c r="K2375" s="34" t="s">
        <v>7998</v>
      </c>
      <c r="L2375" s="12" t="s">
        <v>51</v>
      </c>
      <c r="M2375" s="19"/>
      <c r="N2375" s="19"/>
      <c r="O2375" s="34" t="s">
        <v>8279</v>
      </c>
      <c r="P2375" s="587" t="s">
        <v>1432</v>
      </c>
    </row>
    <row r="2376" hidden="1">
      <c r="A2376" s="744" t="s">
        <v>8280</v>
      </c>
      <c r="B2376" s="470" t="s">
        <v>8281</v>
      </c>
      <c r="C2376" s="471" t="s">
        <v>1185</v>
      </c>
      <c r="D2376" s="471" t="s">
        <v>8282</v>
      </c>
      <c r="E2376" s="471" t="s">
        <v>8283</v>
      </c>
      <c r="F2376" s="471" t="s">
        <v>25</v>
      </c>
      <c r="G2376" s="472" t="s">
        <v>8249</v>
      </c>
      <c r="H2376" s="730">
        <v>18.0</v>
      </c>
      <c r="I2376" s="740" t="s">
        <v>2890</v>
      </c>
      <c r="J2376" s="34" t="s">
        <v>8026</v>
      </c>
      <c r="K2376" s="143" t="s">
        <v>8284</v>
      </c>
      <c r="L2376" s="12" t="s">
        <v>4195</v>
      </c>
      <c r="M2376" s="19"/>
      <c r="N2376" s="19"/>
      <c r="O2376" s="34" t="s">
        <v>7747</v>
      </c>
      <c r="P2376" s="587" t="s">
        <v>1432</v>
      </c>
    </row>
    <row r="2377" hidden="1">
      <c r="A2377" s="741" t="s">
        <v>80</v>
      </c>
      <c r="B2377" s="470" t="s">
        <v>8285</v>
      </c>
      <c r="C2377" s="471" t="s">
        <v>80</v>
      </c>
      <c r="D2377" s="471" t="s">
        <v>8286</v>
      </c>
      <c r="E2377" s="471" t="s">
        <v>8287</v>
      </c>
      <c r="F2377" s="471" t="s">
        <v>4367</v>
      </c>
      <c r="G2377" s="472" t="s">
        <v>8185</v>
      </c>
      <c r="H2377" s="730">
        <v>17.0</v>
      </c>
      <c r="I2377" s="740" t="s">
        <v>2890</v>
      </c>
      <c r="J2377" s="34" t="s">
        <v>2541</v>
      </c>
      <c r="K2377" s="34" t="s">
        <v>8288</v>
      </c>
      <c r="L2377" s="12" t="s">
        <v>374</v>
      </c>
      <c r="M2377" s="19"/>
      <c r="N2377" s="19"/>
      <c r="O2377" s="34" t="s">
        <v>7747</v>
      </c>
      <c r="P2377" s="19"/>
    </row>
    <row r="2378" hidden="1">
      <c r="A2378" s="741" t="s">
        <v>80</v>
      </c>
      <c r="B2378" s="470" t="s">
        <v>8289</v>
      </c>
      <c r="C2378" s="471" t="s">
        <v>80</v>
      </c>
      <c r="D2378" s="471" t="s">
        <v>8290</v>
      </c>
      <c r="E2378" s="471" t="s">
        <v>8291</v>
      </c>
      <c r="F2378" s="471" t="s">
        <v>8292</v>
      </c>
      <c r="G2378" s="472" t="s">
        <v>8185</v>
      </c>
      <c r="H2378" s="730">
        <v>17.0</v>
      </c>
      <c r="I2378" s="740" t="s">
        <v>2890</v>
      </c>
      <c r="J2378" s="34" t="s">
        <v>8016</v>
      </c>
      <c r="K2378" s="34" t="s">
        <v>7906</v>
      </c>
      <c r="L2378" s="12" t="s">
        <v>51</v>
      </c>
      <c r="M2378" s="19"/>
      <c r="N2378" s="19"/>
      <c r="O2378" s="34" t="s">
        <v>8027</v>
      </c>
      <c r="P2378" s="587" t="s">
        <v>1432</v>
      </c>
    </row>
    <row r="2379" hidden="1">
      <c r="A2379" s="741" t="s">
        <v>80</v>
      </c>
      <c r="B2379" s="621" t="s">
        <v>8293</v>
      </c>
      <c r="C2379" s="471" t="s">
        <v>80</v>
      </c>
      <c r="D2379" s="471" t="s">
        <v>8294</v>
      </c>
      <c r="E2379" s="471" t="s">
        <v>8295</v>
      </c>
      <c r="F2379" s="471" t="s">
        <v>8226</v>
      </c>
      <c r="G2379" s="472" t="s">
        <v>8185</v>
      </c>
      <c r="H2379" s="730">
        <v>17.0</v>
      </c>
      <c r="I2379" s="740" t="s">
        <v>2890</v>
      </c>
      <c r="J2379" s="34" t="s">
        <v>8026</v>
      </c>
      <c r="K2379" s="143" t="s">
        <v>8296</v>
      </c>
      <c r="L2379" s="12" t="s">
        <v>4195</v>
      </c>
      <c r="M2379" s="19"/>
      <c r="N2379" s="19"/>
      <c r="O2379" s="34" t="s">
        <v>8279</v>
      </c>
      <c r="P2379" s="277" t="s">
        <v>7041</v>
      </c>
    </row>
    <row r="2380" hidden="1">
      <c r="A2380" s="741" t="s">
        <v>80</v>
      </c>
      <c r="B2380" s="470" t="s">
        <v>8297</v>
      </c>
      <c r="C2380" s="471" t="s">
        <v>80</v>
      </c>
      <c r="D2380" s="471" t="s">
        <v>8298</v>
      </c>
      <c r="E2380" s="471" t="s">
        <v>8299</v>
      </c>
      <c r="F2380" s="471" t="s">
        <v>8300</v>
      </c>
      <c r="G2380" s="472" t="s">
        <v>8185</v>
      </c>
      <c r="H2380" s="730">
        <v>17.0</v>
      </c>
      <c r="I2380" s="740" t="s">
        <v>2890</v>
      </c>
      <c r="J2380" s="19"/>
      <c r="K2380" s="19"/>
      <c r="L2380" s="12" t="s">
        <v>51</v>
      </c>
      <c r="M2380" s="19"/>
      <c r="N2380" s="34" t="s">
        <v>8301</v>
      </c>
      <c r="O2380" s="148">
        <v>46298.0</v>
      </c>
      <c r="P2380" s="19"/>
    </row>
    <row r="2381" hidden="1">
      <c r="A2381" s="741" t="s">
        <v>80</v>
      </c>
      <c r="B2381" s="470" t="s">
        <v>8302</v>
      </c>
      <c r="C2381" s="471" t="s">
        <v>1185</v>
      </c>
      <c r="D2381" s="471" t="s">
        <v>8303</v>
      </c>
      <c r="E2381" s="471" t="s">
        <v>8304</v>
      </c>
      <c r="F2381" s="471" t="s">
        <v>25</v>
      </c>
      <c r="G2381" s="472" t="s">
        <v>8305</v>
      </c>
      <c r="H2381" s="730">
        <v>19.0</v>
      </c>
      <c r="I2381" s="743" t="s">
        <v>8191</v>
      </c>
      <c r="J2381" s="34" t="s">
        <v>8306</v>
      </c>
      <c r="K2381" s="19"/>
      <c r="L2381" s="12" t="s">
        <v>374</v>
      </c>
      <c r="M2381" s="19"/>
      <c r="N2381" s="19"/>
      <c r="O2381" s="148">
        <v>46085.0</v>
      </c>
      <c r="P2381" s="587" t="s">
        <v>1432</v>
      </c>
    </row>
    <row r="2382" hidden="1">
      <c r="A2382" s="741" t="s">
        <v>80</v>
      </c>
      <c r="B2382" s="470" t="s">
        <v>8307</v>
      </c>
      <c r="C2382" s="471" t="s">
        <v>80</v>
      </c>
      <c r="D2382" s="471" t="s">
        <v>8308</v>
      </c>
      <c r="E2382" s="550" t="s">
        <v>8309</v>
      </c>
      <c r="F2382" s="471" t="s">
        <v>8310</v>
      </c>
      <c r="G2382" s="472" t="s">
        <v>8249</v>
      </c>
      <c r="H2382" s="730">
        <v>18.0</v>
      </c>
      <c r="I2382" s="740" t="s">
        <v>2890</v>
      </c>
      <c r="J2382" s="34" t="s">
        <v>8311</v>
      </c>
      <c r="K2382" s="34" t="s">
        <v>7906</v>
      </c>
      <c r="L2382" s="12" t="s">
        <v>51</v>
      </c>
      <c r="M2382" s="19"/>
      <c r="N2382" s="19"/>
      <c r="O2382" s="71">
        <v>46057.0</v>
      </c>
      <c r="P2382" s="587" t="s">
        <v>1432</v>
      </c>
    </row>
    <row r="2383" hidden="1">
      <c r="A2383" s="741" t="s">
        <v>80</v>
      </c>
      <c r="B2383" s="470" t="s">
        <v>8312</v>
      </c>
      <c r="C2383" s="471" t="s">
        <v>80</v>
      </c>
      <c r="D2383" s="471" t="s">
        <v>8313</v>
      </c>
      <c r="E2383" s="550" t="s">
        <v>8314</v>
      </c>
      <c r="F2383" s="471" t="s">
        <v>8310</v>
      </c>
      <c r="G2383" s="472" t="s">
        <v>8249</v>
      </c>
      <c r="H2383" s="730">
        <v>18.0</v>
      </c>
      <c r="I2383" s="740" t="s">
        <v>2890</v>
      </c>
      <c r="J2383" s="34" t="s">
        <v>8311</v>
      </c>
      <c r="K2383" s="34" t="s">
        <v>7906</v>
      </c>
      <c r="L2383" s="12" t="s">
        <v>51</v>
      </c>
      <c r="M2383" s="19"/>
      <c r="N2383" s="19"/>
      <c r="O2383" s="71">
        <v>46057.0</v>
      </c>
      <c r="P2383" s="587" t="s">
        <v>1432</v>
      </c>
    </row>
    <row r="2384" hidden="1">
      <c r="A2384" s="741" t="s">
        <v>80</v>
      </c>
      <c r="B2384" s="470" t="s">
        <v>8315</v>
      </c>
      <c r="C2384" s="471" t="s">
        <v>80</v>
      </c>
      <c r="D2384" s="471" t="s">
        <v>8316</v>
      </c>
      <c r="E2384" s="550" t="s">
        <v>8317</v>
      </c>
      <c r="F2384" s="471" t="s">
        <v>8318</v>
      </c>
      <c r="G2384" s="472" t="s">
        <v>8249</v>
      </c>
      <c r="H2384" s="730">
        <v>18.0</v>
      </c>
      <c r="I2384" s="740" t="s">
        <v>2890</v>
      </c>
      <c r="J2384" s="34" t="s">
        <v>8180</v>
      </c>
      <c r="K2384" s="19"/>
      <c r="L2384" s="12" t="s">
        <v>374</v>
      </c>
      <c r="M2384" s="19"/>
      <c r="N2384" s="19"/>
      <c r="O2384" s="71">
        <v>46026.0</v>
      </c>
      <c r="P2384" s="587" t="s">
        <v>1432</v>
      </c>
    </row>
    <row r="2385" hidden="1">
      <c r="A2385" s="12">
        <v>15.0</v>
      </c>
      <c r="B2385" s="470" t="s">
        <v>8319</v>
      </c>
      <c r="C2385" s="471" t="s">
        <v>80</v>
      </c>
      <c r="D2385" s="471" t="s">
        <v>8320</v>
      </c>
      <c r="E2385" s="550" t="s">
        <v>8321</v>
      </c>
      <c r="F2385" s="471" t="s">
        <v>8318</v>
      </c>
      <c r="G2385" s="472" t="s">
        <v>8249</v>
      </c>
      <c r="H2385" s="730">
        <v>18.0</v>
      </c>
      <c r="I2385" s="740" t="s">
        <v>2890</v>
      </c>
      <c r="J2385" s="34" t="s">
        <v>8180</v>
      </c>
      <c r="K2385" s="19"/>
      <c r="L2385" s="12" t="s">
        <v>374</v>
      </c>
      <c r="M2385" s="19"/>
      <c r="N2385" s="19"/>
      <c r="O2385" s="71">
        <v>46026.0</v>
      </c>
      <c r="P2385" s="587" t="s">
        <v>1432</v>
      </c>
    </row>
    <row r="2386" hidden="1">
      <c r="A2386" s="486">
        <v>16.0</v>
      </c>
      <c r="B2386" s="524" t="s">
        <v>8322</v>
      </c>
      <c r="C2386" s="486" t="s">
        <v>80</v>
      </c>
      <c r="D2386" s="486" t="s">
        <v>8323</v>
      </c>
      <c r="E2386" s="486" t="s">
        <v>8324</v>
      </c>
      <c r="F2386" s="486" t="s">
        <v>8325</v>
      </c>
      <c r="G2386" s="486" t="s">
        <v>8305</v>
      </c>
      <c r="H2386" s="486">
        <v>19.0</v>
      </c>
      <c r="I2386" s="486" t="s">
        <v>2890</v>
      </c>
      <c r="J2386" s="524"/>
      <c r="K2386" s="524"/>
      <c r="L2386" s="486"/>
      <c r="M2386" s="524"/>
      <c r="N2386" s="745" t="s">
        <v>8326</v>
      </c>
      <c r="O2386" s="524"/>
      <c r="P2386" s="524"/>
      <c r="Q2386" s="524"/>
      <c r="R2386" s="524"/>
      <c r="S2386" s="524"/>
      <c r="T2386" s="524"/>
      <c r="U2386" s="524"/>
      <c r="V2386" s="524"/>
      <c r="W2386" s="524"/>
      <c r="X2386" s="524"/>
      <c r="Y2386" s="524"/>
      <c r="Z2386" s="524"/>
      <c r="AA2386" s="524"/>
      <c r="AB2386" s="524"/>
      <c r="AC2386" s="524"/>
      <c r="AD2386" s="524"/>
      <c r="AE2386" s="524"/>
      <c r="AF2386" s="746"/>
    </row>
    <row r="2387" hidden="1">
      <c r="A2387" s="37">
        <v>17.0</v>
      </c>
      <c r="B2387" s="524" t="s">
        <v>8327</v>
      </c>
      <c r="C2387" s="486" t="s">
        <v>80</v>
      </c>
      <c r="D2387" s="486" t="s">
        <v>8328</v>
      </c>
      <c r="E2387" s="486" t="s">
        <v>8329</v>
      </c>
      <c r="F2387" s="486" t="s">
        <v>8325</v>
      </c>
      <c r="G2387" s="540" t="s">
        <v>8305</v>
      </c>
      <c r="H2387" s="732">
        <v>19.0</v>
      </c>
      <c r="I2387" s="742" t="s">
        <v>2890</v>
      </c>
      <c r="J2387" s="412"/>
      <c r="K2387" s="412"/>
      <c r="L2387" s="411"/>
      <c r="M2387" s="412"/>
      <c r="N2387" s="745" t="s">
        <v>8326</v>
      </c>
      <c r="O2387" s="277"/>
      <c r="P2387" s="412"/>
      <c r="Q2387" s="405"/>
      <c r="R2387" s="405"/>
      <c r="S2387" s="405"/>
      <c r="T2387" s="405"/>
      <c r="U2387" s="405"/>
      <c r="V2387" s="405"/>
      <c r="W2387" s="405"/>
      <c r="X2387" s="405"/>
      <c r="Y2387" s="405"/>
      <c r="Z2387" s="405"/>
      <c r="AA2387" s="405"/>
      <c r="AB2387" s="405"/>
      <c r="AC2387" s="405"/>
      <c r="AD2387" s="405"/>
      <c r="AE2387" s="405"/>
      <c r="AF2387" s="405"/>
    </row>
    <row r="2388" hidden="1">
      <c r="A2388" s="12">
        <v>18.0</v>
      </c>
      <c r="B2388" s="470" t="s">
        <v>8330</v>
      </c>
      <c r="C2388" s="471" t="s">
        <v>651</v>
      </c>
      <c r="D2388" s="471" t="s">
        <v>8331</v>
      </c>
      <c r="E2388" s="471" t="s">
        <v>8332</v>
      </c>
      <c r="F2388" s="471" t="s">
        <v>4405</v>
      </c>
      <c r="G2388" s="472" t="s">
        <v>8305</v>
      </c>
      <c r="H2388" s="730">
        <v>19.0</v>
      </c>
      <c r="I2388" s="740" t="s">
        <v>2890</v>
      </c>
      <c r="J2388" s="19"/>
      <c r="K2388" s="19"/>
      <c r="L2388" s="12" t="s">
        <v>374</v>
      </c>
      <c r="M2388" s="19"/>
      <c r="N2388" s="19"/>
      <c r="O2388" s="148">
        <v>46085.0</v>
      </c>
      <c r="P2388" s="587" t="s">
        <v>1432</v>
      </c>
    </row>
    <row r="2389" hidden="1">
      <c r="A2389" s="12">
        <v>19.0</v>
      </c>
      <c r="B2389" s="470" t="s">
        <v>8333</v>
      </c>
      <c r="C2389" s="471" t="s">
        <v>80</v>
      </c>
      <c r="D2389" s="471" t="s">
        <v>8334</v>
      </c>
      <c r="E2389" s="593" t="s">
        <v>8335</v>
      </c>
      <c r="F2389" s="471" t="s">
        <v>3928</v>
      </c>
      <c r="G2389" s="472" t="s">
        <v>8135</v>
      </c>
      <c r="H2389" s="730">
        <v>14.0</v>
      </c>
      <c r="I2389" s="743" t="s">
        <v>8336</v>
      </c>
      <c r="J2389" s="19"/>
      <c r="K2389" s="19"/>
      <c r="L2389" s="292" t="s">
        <v>3099</v>
      </c>
      <c r="M2389" s="19"/>
      <c r="N2389" s="19"/>
      <c r="O2389" s="34" t="s">
        <v>8337</v>
      </c>
      <c r="P2389" s="19"/>
    </row>
    <row r="2390" hidden="1">
      <c r="A2390" s="12">
        <v>20.0</v>
      </c>
      <c r="B2390" s="470" t="s">
        <v>8338</v>
      </c>
      <c r="C2390" s="471" t="s">
        <v>80</v>
      </c>
      <c r="D2390" s="471" t="s">
        <v>8339</v>
      </c>
      <c r="E2390" s="593" t="s">
        <v>8340</v>
      </c>
      <c r="F2390" s="471" t="s">
        <v>3928</v>
      </c>
      <c r="G2390" s="472" t="s">
        <v>8135</v>
      </c>
      <c r="H2390" s="730">
        <v>14.0</v>
      </c>
      <c r="I2390" s="740" t="s">
        <v>2890</v>
      </c>
      <c r="J2390" s="19"/>
      <c r="K2390" s="19"/>
      <c r="L2390" s="292" t="s">
        <v>3099</v>
      </c>
      <c r="M2390" s="19"/>
      <c r="N2390" s="19"/>
      <c r="O2390" s="34" t="s">
        <v>8337</v>
      </c>
      <c r="P2390" s="19"/>
    </row>
    <row r="2391" hidden="1">
      <c r="A2391" s="12">
        <v>21.0</v>
      </c>
      <c r="B2391" s="470" t="s">
        <v>8341</v>
      </c>
      <c r="C2391" s="471" t="s">
        <v>80</v>
      </c>
      <c r="D2391" s="471" t="s">
        <v>8342</v>
      </c>
      <c r="E2391" s="593" t="s">
        <v>8343</v>
      </c>
      <c r="F2391" s="471" t="s">
        <v>3928</v>
      </c>
      <c r="G2391" s="472" t="s">
        <v>8135</v>
      </c>
      <c r="H2391" s="730">
        <v>14.0</v>
      </c>
      <c r="I2391" s="740" t="s">
        <v>2890</v>
      </c>
      <c r="J2391" s="19"/>
      <c r="K2391" s="19"/>
      <c r="L2391" s="292" t="s">
        <v>3099</v>
      </c>
      <c r="M2391" s="19"/>
      <c r="N2391" s="19"/>
      <c r="O2391" s="34" t="s">
        <v>8337</v>
      </c>
      <c r="P2391" s="19"/>
    </row>
    <row r="2392" hidden="1">
      <c r="A2392" s="12">
        <v>22.0</v>
      </c>
      <c r="B2392" s="470" t="s">
        <v>8344</v>
      </c>
      <c r="C2392" s="471" t="s">
        <v>80</v>
      </c>
      <c r="D2392" s="471" t="s">
        <v>8345</v>
      </c>
      <c r="E2392" s="593" t="s">
        <v>8346</v>
      </c>
      <c r="F2392" s="471" t="s">
        <v>3928</v>
      </c>
      <c r="G2392" s="472" t="s">
        <v>8135</v>
      </c>
      <c r="H2392" s="730">
        <v>14.0</v>
      </c>
      <c r="I2392" s="740" t="s">
        <v>2890</v>
      </c>
      <c r="J2392" s="19"/>
      <c r="K2392" s="19"/>
      <c r="L2392" s="292" t="s">
        <v>3099</v>
      </c>
      <c r="M2392" s="19"/>
      <c r="N2392" s="19"/>
      <c r="O2392" s="34" t="s">
        <v>8337</v>
      </c>
      <c r="P2392" s="19"/>
    </row>
    <row r="2393" hidden="1">
      <c r="A2393" s="12">
        <v>23.0</v>
      </c>
      <c r="B2393" s="470" t="s">
        <v>8347</v>
      </c>
      <c r="C2393" s="471" t="s">
        <v>80</v>
      </c>
      <c r="D2393" s="471" t="s">
        <v>8348</v>
      </c>
      <c r="E2393" s="593" t="s">
        <v>8349</v>
      </c>
      <c r="F2393" s="471" t="s">
        <v>3928</v>
      </c>
      <c r="G2393" s="472" t="s">
        <v>8135</v>
      </c>
      <c r="H2393" s="730">
        <v>14.0</v>
      </c>
      <c r="I2393" s="740" t="s">
        <v>2890</v>
      </c>
      <c r="J2393" s="19"/>
      <c r="K2393" s="19"/>
      <c r="L2393" s="292" t="s">
        <v>3099</v>
      </c>
      <c r="M2393" s="19"/>
      <c r="N2393" s="19"/>
      <c r="O2393" s="34" t="s">
        <v>8337</v>
      </c>
      <c r="P2393" s="19"/>
    </row>
    <row r="2394" hidden="1">
      <c r="A2394" s="12">
        <v>24.0</v>
      </c>
      <c r="B2394" s="470" t="s">
        <v>8350</v>
      </c>
      <c r="C2394" s="471" t="s">
        <v>80</v>
      </c>
      <c r="D2394" s="471" t="s">
        <v>8351</v>
      </c>
      <c r="E2394" s="593" t="s">
        <v>8352</v>
      </c>
      <c r="F2394" s="471" t="s">
        <v>3928</v>
      </c>
      <c r="G2394" s="472" t="s">
        <v>8135</v>
      </c>
      <c r="H2394" s="730">
        <v>14.0</v>
      </c>
      <c r="I2394" s="740" t="s">
        <v>2890</v>
      </c>
      <c r="J2394" s="19"/>
      <c r="K2394" s="19"/>
      <c r="L2394" s="292" t="s">
        <v>3099</v>
      </c>
      <c r="M2394" s="19"/>
      <c r="N2394" s="19"/>
      <c r="O2394" s="34" t="s">
        <v>8337</v>
      </c>
      <c r="P2394" s="19"/>
    </row>
    <row r="2395" hidden="1">
      <c r="A2395" s="339" t="s">
        <v>8353</v>
      </c>
      <c r="Q2395" s="35"/>
      <c r="R2395" s="35"/>
      <c r="S2395" s="35"/>
      <c r="T2395" s="35"/>
      <c r="U2395" s="35"/>
      <c r="V2395" s="35"/>
      <c r="W2395" s="35"/>
      <c r="X2395" s="35"/>
      <c r="Y2395" s="35"/>
      <c r="Z2395" s="35"/>
      <c r="AA2395" s="35"/>
      <c r="AB2395" s="35"/>
      <c r="AC2395" s="35"/>
      <c r="AD2395" s="35"/>
      <c r="AE2395" s="35"/>
      <c r="AF2395" s="35"/>
    </row>
    <row r="2396" hidden="1">
      <c r="A2396" s="670" t="s">
        <v>47</v>
      </c>
      <c r="B2396" s="670" t="s">
        <v>7</v>
      </c>
      <c r="C2396" s="670" t="s">
        <v>9</v>
      </c>
      <c r="D2396" s="670" t="s">
        <v>10</v>
      </c>
      <c r="E2396" s="670" t="s">
        <v>11</v>
      </c>
      <c r="F2396" s="670" t="s">
        <v>12</v>
      </c>
      <c r="G2396" s="670" t="s">
        <v>2378</v>
      </c>
      <c r="H2396" s="670" t="s">
        <v>2681</v>
      </c>
      <c r="I2396" s="4" t="s">
        <v>2847</v>
      </c>
      <c r="J2396" s="8" t="s">
        <v>14</v>
      </c>
      <c r="K2396" s="9" t="s">
        <v>16</v>
      </c>
      <c r="L2396" s="9" t="s">
        <v>4330</v>
      </c>
      <c r="M2396" s="9" t="s">
        <v>18</v>
      </c>
      <c r="N2396" s="9" t="s">
        <v>19</v>
      </c>
      <c r="O2396" s="9" t="s">
        <v>20</v>
      </c>
      <c r="P2396" s="9" t="s">
        <v>21</v>
      </c>
      <c r="Q2396" s="35"/>
      <c r="R2396" s="35"/>
      <c r="S2396" s="35"/>
      <c r="T2396" s="35"/>
      <c r="U2396" s="35"/>
      <c r="V2396" s="35"/>
      <c r="W2396" s="35"/>
      <c r="X2396" s="35"/>
      <c r="Y2396" s="35"/>
      <c r="Z2396" s="35"/>
      <c r="AA2396" s="35"/>
      <c r="AB2396" s="35"/>
      <c r="AC2396" s="35"/>
      <c r="AD2396" s="35"/>
      <c r="AE2396" s="35"/>
      <c r="AF2396" s="35"/>
    </row>
    <row r="2397" hidden="1">
      <c r="A2397" s="526">
        <v>1.0</v>
      </c>
      <c r="B2397" s="527" t="s">
        <v>8354</v>
      </c>
      <c r="C2397" s="526" t="s">
        <v>80</v>
      </c>
      <c r="D2397" s="526" t="s">
        <v>8355</v>
      </c>
      <c r="E2397" s="526" t="s">
        <v>8356</v>
      </c>
      <c r="F2397" s="526" t="s">
        <v>8357</v>
      </c>
      <c r="G2397" s="645"/>
      <c r="H2397" s="645"/>
      <c r="I2397" s="747" t="s">
        <v>2890</v>
      </c>
      <c r="J2397" s="34" t="s">
        <v>4783</v>
      </c>
      <c r="K2397" s="71" t="s">
        <v>8358</v>
      </c>
      <c r="L2397" s="12" t="s">
        <v>51</v>
      </c>
      <c r="M2397" s="19"/>
      <c r="N2397" s="19"/>
      <c r="O2397" s="34" t="s">
        <v>7270</v>
      </c>
      <c r="P2397" s="19"/>
    </row>
    <row r="2398" hidden="1">
      <c r="A2398" s="526">
        <v>2.0</v>
      </c>
      <c r="B2398" s="527" t="s">
        <v>8359</v>
      </c>
      <c r="C2398" s="526" t="s">
        <v>80</v>
      </c>
      <c r="D2398" s="526" t="s">
        <v>8360</v>
      </c>
      <c r="E2398" s="526" t="s">
        <v>8361</v>
      </c>
      <c r="F2398" s="526" t="s">
        <v>207</v>
      </c>
      <c r="G2398" s="12" t="s">
        <v>8176</v>
      </c>
      <c r="H2398" s="730">
        <v>13.0</v>
      </c>
      <c r="I2398" s="747" t="s">
        <v>2890</v>
      </c>
      <c r="J2398" s="34" t="s">
        <v>4783</v>
      </c>
      <c r="K2398" s="71" t="s">
        <v>8358</v>
      </c>
      <c r="L2398" s="12" t="s">
        <v>4195</v>
      </c>
      <c r="M2398" s="19"/>
      <c r="N2398" s="19"/>
      <c r="O2398" s="34" t="s">
        <v>8362</v>
      </c>
      <c r="P2398" s="587" t="s">
        <v>1432</v>
      </c>
    </row>
    <row r="2399" hidden="1">
      <c r="A2399" s="471">
        <v>3.0</v>
      </c>
      <c r="B2399" s="470" t="s">
        <v>8363</v>
      </c>
      <c r="C2399" s="471" t="s">
        <v>2403</v>
      </c>
      <c r="D2399" s="471" t="s">
        <v>8364</v>
      </c>
      <c r="E2399" s="471" t="s">
        <v>8365</v>
      </c>
      <c r="F2399" s="471" t="s">
        <v>1199</v>
      </c>
      <c r="G2399" s="12" t="s">
        <v>7646</v>
      </c>
      <c r="H2399" s="730">
        <v>7.0</v>
      </c>
      <c r="I2399" s="748" t="s">
        <v>2890</v>
      </c>
      <c r="J2399" s="34" t="s">
        <v>699</v>
      </c>
      <c r="K2399" s="71">
        <v>46329.0</v>
      </c>
      <c r="L2399" s="12" t="s">
        <v>4195</v>
      </c>
      <c r="M2399" s="19"/>
      <c r="N2399" s="19"/>
      <c r="O2399" s="148">
        <v>46085.0</v>
      </c>
      <c r="P2399" s="587" t="s">
        <v>1432</v>
      </c>
    </row>
    <row r="2400" hidden="1">
      <c r="A2400" s="471">
        <v>4.0</v>
      </c>
      <c r="B2400" s="470" t="s">
        <v>8366</v>
      </c>
      <c r="C2400" s="471" t="s">
        <v>80</v>
      </c>
      <c r="D2400" s="471" t="s">
        <v>8367</v>
      </c>
      <c r="E2400" s="471" t="s">
        <v>8368</v>
      </c>
      <c r="F2400" s="471" t="s">
        <v>1793</v>
      </c>
      <c r="G2400" s="12" t="s">
        <v>8305</v>
      </c>
      <c r="H2400" s="730">
        <v>16.0</v>
      </c>
      <c r="I2400" s="748" t="s">
        <v>2890</v>
      </c>
      <c r="J2400" s="34" t="s">
        <v>8311</v>
      </c>
      <c r="K2400" s="34" t="s">
        <v>8369</v>
      </c>
      <c r="L2400" s="12" t="s">
        <v>51</v>
      </c>
      <c r="M2400" s="19"/>
      <c r="N2400" s="19"/>
      <c r="O2400" s="34" t="s">
        <v>7040</v>
      </c>
      <c r="P2400" s="587" t="s">
        <v>1432</v>
      </c>
    </row>
    <row r="2401" hidden="1">
      <c r="A2401" s="471">
        <v>5.0</v>
      </c>
      <c r="B2401" s="470" t="s">
        <v>8370</v>
      </c>
      <c r="C2401" s="471" t="s">
        <v>80</v>
      </c>
      <c r="D2401" s="471" t="s">
        <v>8371</v>
      </c>
      <c r="E2401" s="550" t="s">
        <v>8372</v>
      </c>
      <c r="F2401" s="471" t="s">
        <v>8373</v>
      </c>
      <c r="G2401" s="12" t="s">
        <v>8374</v>
      </c>
      <c r="H2401" s="730">
        <v>17.0</v>
      </c>
      <c r="I2401" s="749" t="s">
        <v>8191</v>
      </c>
      <c r="J2401" s="34" t="s">
        <v>8145</v>
      </c>
      <c r="K2401" s="34" t="s">
        <v>8375</v>
      </c>
      <c r="L2401" s="12" t="s">
        <v>4195</v>
      </c>
      <c r="M2401" s="19"/>
      <c r="N2401" s="19"/>
      <c r="O2401" s="148">
        <v>46207.0</v>
      </c>
      <c r="P2401" s="587" t="s">
        <v>1432</v>
      </c>
    </row>
    <row r="2402" hidden="1">
      <c r="A2402" s="471">
        <v>6.0</v>
      </c>
      <c r="B2402" s="470" t="s">
        <v>8376</v>
      </c>
      <c r="C2402" s="471" t="s">
        <v>80</v>
      </c>
      <c r="D2402" s="471" t="s">
        <v>8377</v>
      </c>
      <c r="E2402" s="550" t="s">
        <v>8378</v>
      </c>
      <c r="F2402" s="471" t="s">
        <v>8373</v>
      </c>
      <c r="G2402" s="12" t="s">
        <v>8374</v>
      </c>
      <c r="H2402" s="730">
        <v>17.0</v>
      </c>
      <c r="I2402" s="749" t="s">
        <v>8379</v>
      </c>
      <c r="J2402" s="34" t="s">
        <v>8145</v>
      </c>
      <c r="K2402" s="34" t="s">
        <v>8375</v>
      </c>
      <c r="L2402" s="12" t="s">
        <v>4195</v>
      </c>
      <c r="M2402" s="19"/>
      <c r="N2402" s="19"/>
      <c r="O2402" s="148">
        <v>46207.0</v>
      </c>
      <c r="P2402" s="587" t="s">
        <v>1432</v>
      </c>
    </row>
    <row r="2403" hidden="1">
      <c r="A2403" s="471">
        <v>7.0</v>
      </c>
      <c r="B2403" s="470" t="s">
        <v>8380</v>
      </c>
      <c r="C2403" s="471" t="s">
        <v>1185</v>
      </c>
      <c r="D2403" s="471" t="s">
        <v>8381</v>
      </c>
      <c r="E2403" s="471" t="s">
        <v>8382</v>
      </c>
      <c r="F2403" s="471" t="s">
        <v>25</v>
      </c>
      <c r="G2403" s="12" t="s">
        <v>8027</v>
      </c>
      <c r="H2403" s="730">
        <v>19.0</v>
      </c>
      <c r="I2403" s="749" t="s">
        <v>8159</v>
      </c>
      <c r="J2403" s="34" t="s">
        <v>8383</v>
      </c>
      <c r="K2403" s="19"/>
      <c r="L2403" s="12" t="s">
        <v>374</v>
      </c>
      <c r="M2403" s="19"/>
      <c r="N2403" s="19"/>
      <c r="O2403" s="148">
        <v>46177.0</v>
      </c>
      <c r="P2403" s="277" t="s">
        <v>7041</v>
      </c>
    </row>
    <row r="2404" hidden="1">
      <c r="A2404" s="471">
        <v>8.0</v>
      </c>
      <c r="B2404" s="470" t="s">
        <v>8384</v>
      </c>
      <c r="C2404" s="471" t="s">
        <v>80</v>
      </c>
      <c r="D2404" s="471" t="s">
        <v>8385</v>
      </c>
      <c r="E2404" s="471" t="s">
        <v>8386</v>
      </c>
      <c r="F2404" s="471" t="s">
        <v>160</v>
      </c>
      <c r="G2404" s="12" t="s">
        <v>8374</v>
      </c>
      <c r="H2404" s="730">
        <v>17.0</v>
      </c>
      <c r="I2404" s="748" t="s">
        <v>2890</v>
      </c>
      <c r="J2404" s="34" t="s">
        <v>3066</v>
      </c>
      <c r="K2404" s="34" t="s">
        <v>8337</v>
      </c>
      <c r="L2404" s="12" t="s">
        <v>374</v>
      </c>
      <c r="M2404" s="19"/>
      <c r="N2404" s="19"/>
      <c r="O2404" s="148">
        <v>46116.0</v>
      </c>
      <c r="P2404" s="587" t="s">
        <v>1432</v>
      </c>
    </row>
    <row r="2405" hidden="1">
      <c r="A2405" s="471">
        <v>9.0</v>
      </c>
      <c r="B2405" s="621" t="s">
        <v>8387</v>
      </c>
      <c r="C2405" s="471" t="s">
        <v>80</v>
      </c>
      <c r="D2405" s="471" t="s">
        <v>8388</v>
      </c>
      <c r="E2405" s="471" t="s">
        <v>8389</v>
      </c>
      <c r="F2405" s="471" t="s">
        <v>838</v>
      </c>
      <c r="G2405" s="12" t="s">
        <v>7972</v>
      </c>
      <c r="H2405" s="730">
        <v>18.0</v>
      </c>
      <c r="I2405" s="748" t="s">
        <v>2890</v>
      </c>
      <c r="J2405" s="34" t="s">
        <v>8390</v>
      </c>
      <c r="K2405" s="34" t="s">
        <v>8181</v>
      </c>
      <c r="L2405" s="12" t="s">
        <v>51</v>
      </c>
      <c r="M2405" s="19"/>
      <c r="N2405" s="19"/>
      <c r="O2405" s="34" t="s">
        <v>7772</v>
      </c>
      <c r="P2405" s="587" t="s">
        <v>1432</v>
      </c>
    </row>
    <row r="2406" hidden="1">
      <c r="A2406" s="471">
        <v>10.0</v>
      </c>
      <c r="B2406" s="470" t="s">
        <v>8391</v>
      </c>
      <c r="C2406" s="471" t="s">
        <v>80</v>
      </c>
      <c r="D2406" s="471" t="s">
        <v>8392</v>
      </c>
      <c r="E2406" s="471" t="s">
        <v>8393</v>
      </c>
      <c r="F2406" s="471" t="s">
        <v>8394</v>
      </c>
      <c r="G2406" s="12" t="s">
        <v>7972</v>
      </c>
      <c r="H2406" s="730">
        <v>18.0</v>
      </c>
      <c r="I2406" s="748" t="s">
        <v>2890</v>
      </c>
      <c r="J2406" s="34" t="s">
        <v>8395</v>
      </c>
      <c r="K2406" s="19"/>
      <c r="L2406" s="12" t="s">
        <v>4195</v>
      </c>
      <c r="M2406" s="19"/>
      <c r="N2406" s="19"/>
      <c r="O2406" s="71">
        <v>46026.0</v>
      </c>
      <c r="P2406" s="587" t="s">
        <v>1432</v>
      </c>
    </row>
    <row r="2407" hidden="1">
      <c r="A2407" s="471">
        <v>11.0</v>
      </c>
      <c r="B2407" s="470" t="s">
        <v>8396</v>
      </c>
      <c r="C2407" s="471" t="s">
        <v>80</v>
      </c>
      <c r="D2407" s="471" t="s">
        <v>8397</v>
      </c>
      <c r="E2407" s="471" t="s">
        <v>8398</v>
      </c>
      <c r="F2407" s="471" t="s">
        <v>556</v>
      </c>
      <c r="G2407" s="12" t="s">
        <v>8399</v>
      </c>
      <c r="H2407" s="730">
        <v>51.0</v>
      </c>
      <c r="I2407" s="748" t="s">
        <v>2890</v>
      </c>
      <c r="J2407" s="34" t="s">
        <v>8383</v>
      </c>
      <c r="K2407" s="19"/>
      <c r="L2407" s="12" t="s">
        <v>374</v>
      </c>
      <c r="M2407" s="19"/>
      <c r="N2407" s="19"/>
      <c r="O2407" s="148">
        <v>46207.0</v>
      </c>
      <c r="P2407" s="587" t="s">
        <v>1432</v>
      </c>
    </row>
    <row r="2408" hidden="1">
      <c r="A2408" s="471">
        <v>12.0</v>
      </c>
      <c r="B2408" s="470" t="s">
        <v>8400</v>
      </c>
      <c r="C2408" s="471" t="s">
        <v>80</v>
      </c>
      <c r="D2408" s="471" t="s">
        <v>8401</v>
      </c>
      <c r="E2408" s="471" t="s">
        <v>8402</v>
      </c>
      <c r="F2408" s="471" t="s">
        <v>556</v>
      </c>
      <c r="G2408" s="12" t="s">
        <v>8399</v>
      </c>
      <c r="H2408" s="730">
        <v>51.0</v>
      </c>
      <c r="I2408" s="748" t="s">
        <v>2890</v>
      </c>
      <c r="J2408" s="34" t="s">
        <v>8403</v>
      </c>
      <c r="K2408" s="34" t="s">
        <v>8181</v>
      </c>
      <c r="L2408" s="12" t="s">
        <v>51</v>
      </c>
      <c r="M2408" s="19"/>
      <c r="N2408" s="19"/>
      <c r="O2408" s="148">
        <v>46057.0</v>
      </c>
      <c r="P2408" s="587" t="s">
        <v>1432</v>
      </c>
    </row>
    <row r="2409" hidden="1">
      <c r="A2409" s="471">
        <v>13.0</v>
      </c>
      <c r="B2409" s="470" t="s">
        <v>8404</v>
      </c>
      <c r="C2409" s="471" t="s">
        <v>80</v>
      </c>
      <c r="D2409" s="471" t="s">
        <v>8405</v>
      </c>
      <c r="E2409" s="471" t="s">
        <v>8406</v>
      </c>
      <c r="F2409" s="471" t="s">
        <v>556</v>
      </c>
      <c r="G2409" s="12" t="s">
        <v>8399</v>
      </c>
      <c r="H2409" s="730">
        <v>51.0</v>
      </c>
      <c r="I2409" s="748" t="s">
        <v>2890</v>
      </c>
      <c r="J2409" s="34"/>
      <c r="K2409" s="19"/>
      <c r="L2409" s="12" t="s">
        <v>4195</v>
      </c>
      <c r="M2409" s="19"/>
      <c r="N2409" s="19"/>
      <c r="O2409" s="750">
        <v>46116.0</v>
      </c>
      <c r="P2409" s="587" t="s">
        <v>1432</v>
      </c>
    </row>
    <row r="2410" hidden="1">
      <c r="A2410" s="471">
        <v>14.0</v>
      </c>
      <c r="B2410" s="470" t="s">
        <v>8407</v>
      </c>
      <c r="C2410" s="471" t="s">
        <v>80</v>
      </c>
      <c r="D2410" s="471" t="s">
        <v>8408</v>
      </c>
      <c r="E2410" s="471" t="s">
        <v>8409</v>
      </c>
      <c r="F2410" s="471" t="s">
        <v>556</v>
      </c>
      <c r="G2410" s="12" t="s">
        <v>8399</v>
      </c>
      <c r="H2410" s="730">
        <v>51.0</v>
      </c>
      <c r="I2410" s="748" t="s">
        <v>2890</v>
      </c>
      <c r="J2410" s="34" t="s">
        <v>8395</v>
      </c>
      <c r="K2410" s="19"/>
      <c r="L2410" s="12" t="s">
        <v>374</v>
      </c>
      <c r="M2410" s="19"/>
      <c r="N2410" s="19"/>
      <c r="O2410" s="71">
        <v>46026.0</v>
      </c>
      <c r="P2410" s="587" t="s">
        <v>1432</v>
      </c>
    </row>
    <row r="2411" hidden="1">
      <c r="A2411" s="471">
        <v>15.0</v>
      </c>
      <c r="B2411" s="470" t="s">
        <v>8410</v>
      </c>
      <c r="C2411" s="471" t="s">
        <v>1185</v>
      </c>
      <c r="D2411" s="471" t="s">
        <v>8411</v>
      </c>
      <c r="E2411" s="471" t="s">
        <v>8412</v>
      </c>
      <c r="F2411" s="471" t="s">
        <v>25</v>
      </c>
      <c r="G2411" s="12" t="s">
        <v>8279</v>
      </c>
      <c r="H2411" s="730">
        <v>21.0</v>
      </c>
      <c r="I2411" s="748" t="s">
        <v>2890</v>
      </c>
      <c r="J2411" s="34" t="s">
        <v>8403</v>
      </c>
      <c r="K2411" s="34" t="s">
        <v>8413</v>
      </c>
      <c r="L2411" s="12" t="s">
        <v>51</v>
      </c>
      <c r="M2411" s="19"/>
      <c r="N2411" s="19"/>
      <c r="O2411" s="148">
        <v>46057.0</v>
      </c>
      <c r="P2411" s="587" t="s">
        <v>1432</v>
      </c>
    </row>
    <row r="2412" hidden="1">
      <c r="A2412" s="471">
        <v>16.0</v>
      </c>
      <c r="B2412" s="621" t="s">
        <v>8414</v>
      </c>
      <c r="C2412" s="471" t="s">
        <v>80</v>
      </c>
      <c r="D2412" s="471" t="s">
        <v>8415</v>
      </c>
      <c r="E2412" s="471" t="s">
        <v>8416</v>
      </c>
      <c r="F2412" s="471" t="s">
        <v>5631</v>
      </c>
      <c r="G2412" s="12" t="s">
        <v>8374</v>
      </c>
      <c r="H2412" s="730">
        <v>17.0</v>
      </c>
      <c r="I2412" s="748" t="s">
        <v>2890</v>
      </c>
      <c r="J2412" s="19"/>
      <c r="K2412" s="19"/>
      <c r="L2412" s="12" t="s">
        <v>4195</v>
      </c>
      <c r="M2412" s="19"/>
      <c r="N2412" s="19"/>
      <c r="O2412" s="34" t="s">
        <v>7772</v>
      </c>
      <c r="P2412" s="277" t="s">
        <v>7041</v>
      </c>
    </row>
    <row r="2413" hidden="1">
      <c r="A2413" s="471">
        <v>17.0</v>
      </c>
      <c r="B2413" s="470" t="s">
        <v>8417</v>
      </c>
      <c r="C2413" s="471" t="s">
        <v>80</v>
      </c>
      <c r="D2413" s="471" t="s">
        <v>8418</v>
      </c>
      <c r="E2413" s="471" t="s">
        <v>8419</v>
      </c>
      <c r="F2413" s="471" t="s">
        <v>8420</v>
      </c>
      <c r="G2413" s="12" t="s">
        <v>8027</v>
      </c>
      <c r="H2413" s="730">
        <v>19.0</v>
      </c>
      <c r="I2413" s="748" t="s">
        <v>2890</v>
      </c>
      <c r="J2413" s="34" t="s">
        <v>8180</v>
      </c>
      <c r="K2413" s="19"/>
      <c r="L2413" s="12" t="s">
        <v>374</v>
      </c>
      <c r="M2413" s="19"/>
      <c r="N2413" s="19"/>
      <c r="O2413" s="34" t="s">
        <v>8421</v>
      </c>
      <c r="P2413" s="587" t="s">
        <v>1432</v>
      </c>
    </row>
    <row r="2414" hidden="1">
      <c r="A2414" s="471">
        <v>18.0</v>
      </c>
      <c r="B2414" s="470" t="s">
        <v>8422</v>
      </c>
      <c r="C2414" s="471" t="s">
        <v>80</v>
      </c>
      <c r="D2414" s="471" t="s">
        <v>8423</v>
      </c>
      <c r="E2414" s="550" t="s">
        <v>8424</v>
      </c>
      <c r="F2414" s="471" t="s">
        <v>8425</v>
      </c>
      <c r="G2414" s="12" t="s">
        <v>8027</v>
      </c>
      <c r="H2414" s="730">
        <v>19.0</v>
      </c>
      <c r="I2414" s="748" t="s">
        <v>2890</v>
      </c>
      <c r="J2414" s="34" t="s">
        <v>8395</v>
      </c>
      <c r="K2414" s="34" t="s">
        <v>7807</v>
      </c>
      <c r="L2414" s="12" t="s">
        <v>51</v>
      </c>
      <c r="M2414" s="19"/>
      <c r="N2414" s="19"/>
      <c r="O2414" s="148">
        <v>46207.0</v>
      </c>
      <c r="P2414" s="587" t="s">
        <v>1432</v>
      </c>
    </row>
    <row r="2415" hidden="1">
      <c r="A2415" s="471">
        <v>19.0</v>
      </c>
      <c r="B2415" s="470" t="s">
        <v>8426</v>
      </c>
      <c r="C2415" s="471" t="s">
        <v>80</v>
      </c>
      <c r="D2415" s="471" t="s">
        <v>8427</v>
      </c>
      <c r="E2415" s="550" t="s">
        <v>8428</v>
      </c>
      <c r="F2415" s="471" t="s">
        <v>8425</v>
      </c>
      <c r="G2415" s="12" t="s">
        <v>8027</v>
      </c>
      <c r="H2415" s="730">
        <v>19.0</v>
      </c>
      <c r="I2415" s="748" t="s">
        <v>2890</v>
      </c>
      <c r="J2415" s="34" t="s">
        <v>8395</v>
      </c>
      <c r="K2415" s="34" t="s">
        <v>7807</v>
      </c>
      <c r="L2415" s="12" t="s">
        <v>51</v>
      </c>
      <c r="M2415" s="19"/>
      <c r="N2415" s="19"/>
      <c r="O2415" s="148">
        <v>46207.0</v>
      </c>
      <c r="P2415" s="587" t="s">
        <v>1432</v>
      </c>
    </row>
    <row r="2416" hidden="1">
      <c r="A2416" s="471">
        <v>20.0</v>
      </c>
      <c r="B2416" s="470" t="s">
        <v>8429</v>
      </c>
      <c r="C2416" s="471" t="s">
        <v>1185</v>
      </c>
      <c r="D2416" s="471" t="s">
        <v>8430</v>
      </c>
      <c r="E2416" s="471" t="s">
        <v>8431</v>
      </c>
      <c r="F2416" s="471" t="s">
        <v>25</v>
      </c>
      <c r="G2416" s="12" t="s">
        <v>8279</v>
      </c>
      <c r="H2416" s="730">
        <v>21.0</v>
      </c>
      <c r="I2416" s="748" t="s">
        <v>2890</v>
      </c>
      <c r="J2416" s="34" t="s">
        <v>8432</v>
      </c>
      <c r="K2416" s="34" t="s">
        <v>7994</v>
      </c>
      <c r="L2416" s="12" t="s">
        <v>51</v>
      </c>
      <c r="M2416" s="19"/>
      <c r="N2416" s="19"/>
      <c r="O2416" s="148">
        <v>46177.0</v>
      </c>
      <c r="P2416" s="277" t="s">
        <v>7041</v>
      </c>
    </row>
    <row r="2417" hidden="1">
      <c r="A2417" s="471">
        <v>21.0</v>
      </c>
      <c r="B2417" s="470" t="s">
        <v>8433</v>
      </c>
      <c r="C2417" s="647"/>
      <c r="D2417" s="471" t="s">
        <v>8434</v>
      </c>
      <c r="E2417" s="471" t="s">
        <v>8435</v>
      </c>
      <c r="F2417" s="647"/>
      <c r="G2417" s="647"/>
      <c r="H2417" s="647"/>
      <c r="I2417" s="748" t="s">
        <v>2890</v>
      </c>
      <c r="J2417" s="19"/>
      <c r="K2417" s="19"/>
      <c r="L2417" s="12" t="s">
        <v>4195</v>
      </c>
      <c r="M2417" s="19"/>
      <c r="N2417" s="12" t="s">
        <v>8436</v>
      </c>
      <c r="O2417" s="19"/>
      <c r="P2417" s="19"/>
    </row>
    <row r="2418" hidden="1">
      <c r="A2418" s="471">
        <v>22.0</v>
      </c>
      <c r="B2418" s="470" t="s">
        <v>8437</v>
      </c>
      <c r="C2418" s="471" t="s">
        <v>1185</v>
      </c>
      <c r="D2418" s="471" t="s">
        <v>8438</v>
      </c>
      <c r="E2418" s="471" t="s">
        <v>8439</v>
      </c>
      <c r="F2418" s="471" t="s">
        <v>25</v>
      </c>
      <c r="G2418" s="12" t="s">
        <v>8279</v>
      </c>
      <c r="H2418" s="730">
        <v>21.0</v>
      </c>
      <c r="I2418" s="748" t="s">
        <v>2890</v>
      </c>
      <c r="J2418" s="19"/>
      <c r="K2418" s="19"/>
      <c r="L2418" s="12" t="s">
        <v>374</v>
      </c>
      <c r="M2418" s="19"/>
      <c r="N2418" s="34" t="s">
        <v>8440</v>
      </c>
      <c r="O2418" s="12" t="s">
        <v>8042</v>
      </c>
      <c r="P2418" s="587" t="s">
        <v>1432</v>
      </c>
    </row>
    <row r="2419" hidden="1">
      <c r="A2419" s="471">
        <v>23.0</v>
      </c>
      <c r="B2419" s="470" t="s">
        <v>8441</v>
      </c>
      <c r="C2419" s="471" t="s">
        <v>80</v>
      </c>
      <c r="D2419" s="471" t="s">
        <v>8442</v>
      </c>
      <c r="E2419" s="550" t="s">
        <v>8443</v>
      </c>
      <c r="F2419" s="471" t="s">
        <v>207</v>
      </c>
      <c r="G2419" s="12" t="s">
        <v>8027</v>
      </c>
      <c r="H2419" s="730">
        <v>19.0</v>
      </c>
      <c r="I2419" s="748" t="s">
        <v>2890</v>
      </c>
      <c r="J2419" s="34" t="s">
        <v>8275</v>
      </c>
      <c r="K2419" s="19"/>
      <c r="L2419" s="12" t="s">
        <v>374</v>
      </c>
      <c r="M2419" s="19"/>
      <c r="N2419" s="19"/>
      <c r="O2419" s="34" t="s">
        <v>7747</v>
      </c>
      <c r="P2419" s="587" t="s">
        <v>1432</v>
      </c>
    </row>
    <row r="2420" hidden="1">
      <c r="A2420" s="471">
        <v>24.0</v>
      </c>
      <c r="B2420" s="470" t="s">
        <v>8444</v>
      </c>
      <c r="C2420" s="471" t="s">
        <v>80</v>
      </c>
      <c r="D2420" s="471" t="s">
        <v>8445</v>
      </c>
      <c r="E2420" s="550" t="s">
        <v>8446</v>
      </c>
      <c r="F2420" s="471" t="s">
        <v>207</v>
      </c>
      <c r="G2420" s="12" t="s">
        <v>8027</v>
      </c>
      <c r="H2420" s="730">
        <v>19.0</v>
      </c>
      <c r="I2420" s="748" t="s">
        <v>2890</v>
      </c>
      <c r="J2420" s="34" t="s">
        <v>8275</v>
      </c>
      <c r="K2420" s="19"/>
      <c r="L2420" s="12" t="s">
        <v>374</v>
      </c>
      <c r="M2420" s="19"/>
      <c r="N2420" s="19"/>
      <c r="O2420" s="34" t="s">
        <v>7747</v>
      </c>
      <c r="P2420" s="587" t="s">
        <v>1432</v>
      </c>
    </row>
    <row r="2421" hidden="1">
      <c r="A2421" s="471">
        <v>25.0</v>
      </c>
      <c r="B2421" s="470" t="s">
        <v>8447</v>
      </c>
      <c r="C2421" s="471" t="s">
        <v>80</v>
      </c>
      <c r="D2421" s="471" t="s">
        <v>8448</v>
      </c>
      <c r="E2421" s="471" t="s">
        <v>8449</v>
      </c>
      <c r="F2421" s="471" t="s">
        <v>310</v>
      </c>
      <c r="G2421" s="12" t="s">
        <v>8450</v>
      </c>
      <c r="H2421" s="730">
        <v>20.0</v>
      </c>
      <c r="I2421" s="749" t="s">
        <v>8379</v>
      </c>
      <c r="J2421" s="34" t="s">
        <v>8451</v>
      </c>
      <c r="K2421" s="148">
        <v>46116.0</v>
      </c>
      <c r="L2421" s="12" t="s">
        <v>51</v>
      </c>
      <c r="M2421" s="19"/>
      <c r="N2421" s="34" t="s">
        <v>8452</v>
      </c>
      <c r="O2421" s="148">
        <v>46330.0</v>
      </c>
      <c r="P2421" s="587" t="s">
        <v>1432</v>
      </c>
    </row>
    <row r="2422" hidden="1">
      <c r="A2422" s="471">
        <v>26.0</v>
      </c>
      <c r="B2422" s="470" t="s">
        <v>8453</v>
      </c>
      <c r="C2422" s="471" t="s">
        <v>80</v>
      </c>
      <c r="D2422" s="471" t="s">
        <v>8454</v>
      </c>
      <c r="E2422" s="471" t="s">
        <v>8455</v>
      </c>
      <c r="F2422" s="471" t="s">
        <v>8456</v>
      </c>
      <c r="G2422" s="12" t="s">
        <v>8450</v>
      </c>
      <c r="H2422" s="730">
        <v>20.0</v>
      </c>
      <c r="I2422" s="748" t="s">
        <v>2890</v>
      </c>
      <c r="J2422" s="19"/>
      <c r="K2422" s="19"/>
      <c r="L2422" s="12" t="s">
        <v>4195</v>
      </c>
      <c r="M2422" s="19"/>
      <c r="N2422" s="19"/>
      <c r="O2422" s="148">
        <v>46085.0</v>
      </c>
      <c r="P2422" s="587" t="s">
        <v>1432</v>
      </c>
    </row>
    <row r="2423" hidden="1">
      <c r="A2423" s="471">
        <v>27.0</v>
      </c>
      <c r="B2423" s="470" t="s">
        <v>8457</v>
      </c>
      <c r="C2423" s="471" t="s">
        <v>80</v>
      </c>
      <c r="D2423" s="471" t="s">
        <v>8458</v>
      </c>
      <c r="E2423" s="471" t="s">
        <v>8459</v>
      </c>
      <c r="F2423" s="471" t="s">
        <v>7790</v>
      </c>
      <c r="G2423" s="12" t="s">
        <v>8450</v>
      </c>
      <c r="H2423" s="730">
        <v>20.0</v>
      </c>
      <c r="I2423" s="748" t="s">
        <v>2890</v>
      </c>
      <c r="J2423" s="19"/>
      <c r="K2423" s="19"/>
      <c r="L2423" s="12" t="s">
        <v>374</v>
      </c>
      <c r="M2423" s="19"/>
      <c r="N2423" s="19"/>
      <c r="O2423" s="148">
        <v>46085.0</v>
      </c>
      <c r="P2423" s="587" t="s">
        <v>1432</v>
      </c>
    </row>
    <row r="2424" hidden="1">
      <c r="A2424" s="471">
        <v>28.0</v>
      </c>
      <c r="B2424" s="470" t="s">
        <v>8460</v>
      </c>
      <c r="C2424" s="471" t="s">
        <v>1185</v>
      </c>
      <c r="D2424" s="471" t="s">
        <v>8461</v>
      </c>
      <c r="E2424" s="471" t="s">
        <v>8462</v>
      </c>
      <c r="F2424" s="471" t="s">
        <v>25</v>
      </c>
      <c r="G2424" s="12" t="s">
        <v>8450</v>
      </c>
      <c r="H2424" s="730">
        <v>20.0</v>
      </c>
      <c r="I2424" s="748" t="s">
        <v>2890</v>
      </c>
      <c r="J2424" s="34" t="s">
        <v>8432</v>
      </c>
      <c r="K2424" s="34" t="s">
        <v>7771</v>
      </c>
      <c r="L2424" s="12" t="s">
        <v>51</v>
      </c>
      <c r="M2424" s="19"/>
      <c r="N2424" s="19"/>
      <c r="O2424" s="148">
        <v>46116.0</v>
      </c>
      <c r="P2424" s="587" t="s">
        <v>1432</v>
      </c>
    </row>
    <row r="2425" hidden="1">
      <c r="A2425" s="471">
        <v>29.0</v>
      </c>
      <c r="B2425" s="470" t="s">
        <v>8463</v>
      </c>
      <c r="C2425" s="471" t="s">
        <v>1185</v>
      </c>
      <c r="D2425" s="471" t="s">
        <v>8464</v>
      </c>
      <c r="E2425" s="471" t="s">
        <v>8465</v>
      </c>
      <c r="F2425" s="471" t="s">
        <v>25</v>
      </c>
      <c r="G2425" s="12" t="s">
        <v>8450</v>
      </c>
      <c r="H2425" s="730">
        <v>20.0</v>
      </c>
      <c r="I2425" s="748" t="s">
        <v>2890</v>
      </c>
      <c r="J2425" s="34" t="s">
        <v>8395</v>
      </c>
      <c r="K2425" s="19"/>
      <c r="L2425" s="12" t="s">
        <v>4195</v>
      </c>
      <c r="M2425" s="19"/>
      <c r="N2425" s="34" t="s">
        <v>8466</v>
      </c>
      <c r="O2425" s="71">
        <v>46238.0</v>
      </c>
      <c r="P2425" s="587" t="s">
        <v>1432</v>
      </c>
    </row>
    <row r="2426" hidden="1">
      <c r="A2426" s="471">
        <v>30.0</v>
      </c>
      <c r="B2426" s="470" t="s">
        <v>8467</v>
      </c>
      <c r="C2426" s="471" t="s">
        <v>80</v>
      </c>
      <c r="D2426" s="471" t="s">
        <v>8468</v>
      </c>
      <c r="E2426" s="471" t="s">
        <v>8469</v>
      </c>
      <c r="F2426" s="471" t="s">
        <v>7790</v>
      </c>
      <c r="G2426" s="12" t="s">
        <v>8450</v>
      </c>
      <c r="H2426" s="730">
        <v>20.0</v>
      </c>
      <c r="I2426" s="748" t="s">
        <v>2890</v>
      </c>
      <c r="J2426" s="19"/>
      <c r="K2426" s="19"/>
      <c r="L2426" s="12" t="s">
        <v>374</v>
      </c>
      <c r="M2426" s="19"/>
      <c r="N2426" s="19"/>
      <c r="O2426" s="23">
        <v>46269.0</v>
      </c>
      <c r="P2426" s="587" t="s">
        <v>1432</v>
      </c>
    </row>
    <row r="2427" hidden="1">
      <c r="A2427" s="471">
        <v>31.0</v>
      </c>
      <c r="B2427" s="470" t="s">
        <v>8470</v>
      </c>
      <c r="C2427" s="471" t="s">
        <v>80</v>
      </c>
      <c r="D2427" s="471" t="s">
        <v>8471</v>
      </c>
      <c r="E2427" s="471" t="s">
        <v>8472</v>
      </c>
      <c r="F2427" s="471" t="s">
        <v>1793</v>
      </c>
      <c r="G2427" s="12" t="s">
        <v>8450</v>
      </c>
      <c r="H2427" s="730">
        <v>20.0</v>
      </c>
      <c r="I2427" s="748" t="s">
        <v>2890</v>
      </c>
      <c r="J2427" s="34" t="s">
        <v>7770</v>
      </c>
      <c r="K2427" s="34" t="s">
        <v>8473</v>
      </c>
      <c r="L2427" s="12" t="s">
        <v>51</v>
      </c>
      <c r="M2427" s="19"/>
      <c r="N2427" s="19"/>
      <c r="O2427" s="148">
        <v>46085.0</v>
      </c>
      <c r="P2427" s="587" t="s">
        <v>1432</v>
      </c>
    </row>
    <row r="2428" hidden="1">
      <c r="A2428" s="471">
        <v>32.0</v>
      </c>
      <c r="B2428" s="470" t="s">
        <v>8474</v>
      </c>
      <c r="C2428" s="471" t="s">
        <v>8475</v>
      </c>
      <c r="D2428" s="471" t="s">
        <v>8476</v>
      </c>
      <c r="E2428" s="471" t="s">
        <v>8477</v>
      </c>
      <c r="F2428" s="471" t="s">
        <v>207</v>
      </c>
      <c r="G2428" s="12" t="s">
        <v>8450</v>
      </c>
      <c r="H2428" s="730">
        <v>20.0</v>
      </c>
      <c r="I2428" s="748" t="s">
        <v>2890</v>
      </c>
      <c r="J2428" s="34" t="s">
        <v>8478</v>
      </c>
      <c r="K2428" s="19"/>
      <c r="L2428" s="12" t="s">
        <v>51</v>
      </c>
      <c r="M2428" s="19"/>
      <c r="N2428" s="19"/>
      <c r="O2428" s="34" t="s">
        <v>8362</v>
      </c>
      <c r="P2428" s="19"/>
    </row>
    <row r="2429" hidden="1">
      <c r="A2429" s="471">
        <v>33.0</v>
      </c>
      <c r="B2429" s="470" t="s">
        <v>8479</v>
      </c>
      <c r="C2429" s="471" t="s">
        <v>80</v>
      </c>
      <c r="D2429" s="471" t="s">
        <v>8480</v>
      </c>
      <c r="E2429" s="593" t="s">
        <v>8481</v>
      </c>
      <c r="F2429" s="471" t="s">
        <v>3928</v>
      </c>
      <c r="G2429" s="12" t="s">
        <v>8249</v>
      </c>
      <c r="H2429" s="730">
        <v>15.0</v>
      </c>
      <c r="I2429" s="748" t="s">
        <v>2890</v>
      </c>
      <c r="J2429" s="19"/>
      <c r="K2429" s="19"/>
      <c r="L2429" s="292" t="s">
        <v>3099</v>
      </c>
      <c r="M2429" s="19"/>
      <c r="N2429" s="19"/>
      <c r="O2429" s="148">
        <v>46057.0</v>
      </c>
      <c r="P2429" s="19"/>
    </row>
    <row r="2430" hidden="1">
      <c r="A2430" s="471">
        <v>34.0</v>
      </c>
      <c r="B2430" s="470" t="s">
        <v>8482</v>
      </c>
      <c r="C2430" s="471" t="s">
        <v>80</v>
      </c>
      <c r="D2430" s="471" t="s">
        <v>8483</v>
      </c>
      <c r="E2430" s="593" t="s">
        <v>8484</v>
      </c>
      <c r="F2430" s="471" t="s">
        <v>3928</v>
      </c>
      <c r="G2430" s="12" t="s">
        <v>8249</v>
      </c>
      <c r="H2430" s="730">
        <v>15.0</v>
      </c>
      <c r="I2430" s="748" t="s">
        <v>2890</v>
      </c>
      <c r="J2430" s="19"/>
      <c r="K2430" s="19"/>
      <c r="L2430" s="292" t="s">
        <v>3099</v>
      </c>
      <c r="M2430" s="19"/>
      <c r="N2430" s="19"/>
      <c r="O2430" s="148">
        <v>46057.0</v>
      </c>
      <c r="P2430" s="19"/>
    </row>
    <row r="2431" hidden="1">
      <c r="A2431" s="471">
        <v>35.0</v>
      </c>
      <c r="B2431" s="470" t="s">
        <v>8485</v>
      </c>
      <c r="C2431" s="471" t="s">
        <v>80</v>
      </c>
      <c r="D2431" s="471" t="s">
        <v>8486</v>
      </c>
      <c r="E2431" s="593" t="s">
        <v>8487</v>
      </c>
      <c r="F2431" s="471" t="s">
        <v>3928</v>
      </c>
      <c r="G2431" s="12" t="s">
        <v>8249</v>
      </c>
      <c r="H2431" s="730">
        <v>15.0</v>
      </c>
      <c r="I2431" s="748" t="s">
        <v>2890</v>
      </c>
      <c r="J2431" s="19"/>
      <c r="K2431" s="19"/>
      <c r="L2431" s="292" t="s">
        <v>3099</v>
      </c>
      <c r="M2431" s="19"/>
      <c r="N2431" s="19"/>
      <c r="O2431" s="148">
        <v>46057.0</v>
      </c>
      <c r="P2431" s="19"/>
    </row>
    <row r="2432" hidden="1">
      <c r="A2432" s="471">
        <v>36.0</v>
      </c>
      <c r="B2432" s="470" t="s">
        <v>8488</v>
      </c>
      <c r="C2432" s="471" t="s">
        <v>80</v>
      </c>
      <c r="D2432" s="471" t="s">
        <v>8489</v>
      </c>
      <c r="E2432" s="593" t="s">
        <v>8490</v>
      </c>
      <c r="F2432" s="471" t="s">
        <v>3928</v>
      </c>
      <c r="G2432" s="12" t="s">
        <v>8249</v>
      </c>
      <c r="H2432" s="730">
        <v>15.0</v>
      </c>
      <c r="I2432" s="748" t="s">
        <v>2890</v>
      </c>
      <c r="J2432" s="19"/>
      <c r="K2432" s="19"/>
      <c r="L2432" s="292" t="s">
        <v>3099</v>
      </c>
      <c r="M2432" s="19"/>
      <c r="N2432" s="19"/>
      <c r="O2432" s="148">
        <v>46057.0</v>
      </c>
      <c r="P2432" s="19"/>
    </row>
    <row r="2433" hidden="1">
      <c r="A2433" s="471">
        <v>37.0</v>
      </c>
      <c r="B2433" s="470" t="s">
        <v>8491</v>
      </c>
      <c r="C2433" s="471" t="s">
        <v>80</v>
      </c>
      <c r="D2433" s="471" t="s">
        <v>8492</v>
      </c>
      <c r="E2433" s="593" t="s">
        <v>8493</v>
      </c>
      <c r="F2433" s="471" t="s">
        <v>3928</v>
      </c>
      <c r="G2433" s="12" t="s">
        <v>8249</v>
      </c>
      <c r="H2433" s="730">
        <v>15.0</v>
      </c>
      <c r="I2433" s="748" t="s">
        <v>2890</v>
      </c>
      <c r="J2433" s="19"/>
      <c r="K2433" s="19"/>
      <c r="L2433" s="292" t="s">
        <v>3099</v>
      </c>
      <c r="M2433" s="19"/>
      <c r="N2433" s="19"/>
      <c r="O2433" s="148">
        <v>46057.0</v>
      </c>
      <c r="P2433" s="19"/>
    </row>
    <row r="2434" hidden="1">
      <c r="A2434" s="471">
        <v>38.0</v>
      </c>
      <c r="B2434" s="470" t="s">
        <v>8494</v>
      </c>
      <c r="C2434" s="471" t="s">
        <v>8495</v>
      </c>
      <c r="D2434" s="471" t="s">
        <v>8496</v>
      </c>
      <c r="E2434" s="471" t="s">
        <v>8497</v>
      </c>
      <c r="F2434" s="471" t="s">
        <v>8498</v>
      </c>
      <c r="G2434" s="12" t="s">
        <v>8185</v>
      </c>
      <c r="H2434" s="730">
        <v>14.0</v>
      </c>
      <c r="I2434" s="749" t="s">
        <v>8191</v>
      </c>
      <c r="J2434" s="19"/>
      <c r="K2434" s="19"/>
      <c r="L2434" s="12" t="s">
        <v>374</v>
      </c>
      <c r="M2434" s="19"/>
      <c r="N2434" s="34" t="s">
        <v>8499</v>
      </c>
      <c r="O2434" s="71">
        <v>46298.0</v>
      </c>
      <c r="P2434" s="19"/>
    </row>
    <row r="2435" hidden="1">
      <c r="A2435" s="471">
        <v>39.0</v>
      </c>
      <c r="B2435" s="470" t="s">
        <v>8500</v>
      </c>
      <c r="C2435" s="471" t="s">
        <v>80</v>
      </c>
      <c r="D2435" s="471" t="s">
        <v>8501</v>
      </c>
      <c r="E2435" s="593" t="s">
        <v>8502</v>
      </c>
      <c r="F2435" s="471" t="s">
        <v>8503</v>
      </c>
      <c r="G2435" s="12" t="s">
        <v>8249</v>
      </c>
      <c r="H2435" s="730">
        <v>15.0</v>
      </c>
      <c r="I2435" s="748" t="s">
        <v>2890</v>
      </c>
      <c r="J2435" s="34" t="s">
        <v>2541</v>
      </c>
      <c r="K2435" s="19"/>
      <c r="L2435" s="12" t="s">
        <v>778</v>
      </c>
      <c r="M2435" s="19"/>
      <c r="N2435" s="19"/>
      <c r="O2435" s="34" t="s">
        <v>8337</v>
      </c>
      <c r="P2435" s="19"/>
    </row>
    <row r="2436" hidden="1">
      <c r="A2436" s="471">
        <v>40.0</v>
      </c>
      <c r="B2436" s="470" t="s">
        <v>8504</v>
      </c>
      <c r="C2436" s="471" t="s">
        <v>80</v>
      </c>
      <c r="D2436" s="471" t="s">
        <v>8505</v>
      </c>
      <c r="E2436" s="593" t="s">
        <v>8502</v>
      </c>
      <c r="F2436" s="471" t="s">
        <v>8503</v>
      </c>
      <c r="G2436" s="12" t="s">
        <v>8249</v>
      </c>
      <c r="H2436" s="730">
        <v>15.0</v>
      </c>
      <c r="I2436" s="748" t="s">
        <v>2890</v>
      </c>
      <c r="J2436" s="34" t="s">
        <v>2541</v>
      </c>
      <c r="K2436" s="19"/>
      <c r="L2436" s="12" t="s">
        <v>778</v>
      </c>
      <c r="M2436" s="19"/>
      <c r="N2436" s="19"/>
      <c r="O2436" s="34" t="s">
        <v>8337</v>
      </c>
      <c r="P2436" s="19"/>
    </row>
    <row r="2437" hidden="1">
      <c r="A2437" s="471">
        <v>41.0</v>
      </c>
      <c r="B2437" s="470" t="s">
        <v>8506</v>
      </c>
      <c r="C2437" s="471" t="s">
        <v>80</v>
      </c>
      <c r="D2437" s="471" t="s">
        <v>8507</v>
      </c>
      <c r="E2437" s="593" t="s">
        <v>8502</v>
      </c>
      <c r="F2437" s="471" t="s">
        <v>8503</v>
      </c>
      <c r="G2437" s="12" t="s">
        <v>8249</v>
      </c>
      <c r="H2437" s="730">
        <v>15.0</v>
      </c>
      <c r="I2437" s="748" t="s">
        <v>2890</v>
      </c>
      <c r="J2437" s="34" t="s">
        <v>2541</v>
      </c>
      <c r="K2437" s="19"/>
      <c r="L2437" s="12" t="s">
        <v>778</v>
      </c>
      <c r="M2437" s="19"/>
      <c r="N2437" s="19"/>
      <c r="O2437" s="34" t="s">
        <v>8337</v>
      </c>
      <c r="P2437" s="19"/>
    </row>
    <row r="2438" hidden="1">
      <c r="A2438" s="471">
        <v>42.0</v>
      </c>
      <c r="B2438" s="470" t="s">
        <v>8508</v>
      </c>
      <c r="C2438" s="471" t="s">
        <v>80</v>
      </c>
      <c r="D2438" s="471" t="s">
        <v>8509</v>
      </c>
      <c r="E2438" s="593" t="s">
        <v>8502</v>
      </c>
      <c r="F2438" s="471" t="s">
        <v>8503</v>
      </c>
      <c r="G2438" s="12" t="s">
        <v>8249</v>
      </c>
      <c r="H2438" s="730">
        <v>15.0</v>
      </c>
      <c r="I2438" s="748" t="s">
        <v>2890</v>
      </c>
      <c r="J2438" s="34" t="s">
        <v>2541</v>
      </c>
      <c r="K2438" s="19"/>
      <c r="L2438" s="12" t="s">
        <v>778</v>
      </c>
      <c r="M2438" s="19"/>
      <c r="N2438" s="19"/>
      <c r="O2438" s="34" t="s">
        <v>8337</v>
      </c>
      <c r="P2438" s="19"/>
    </row>
    <row r="2439" hidden="1">
      <c r="A2439" s="471">
        <v>43.0</v>
      </c>
      <c r="B2439" s="470" t="s">
        <v>8510</v>
      </c>
      <c r="C2439" s="471" t="s">
        <v>80</v>
      </c>
      <c r="D2439" s="471" t="s">
        <v>8511</v>
      </c>
      <c r="E2439" s="593" t="s">
        <v>8502</v>
      </c>
      <c r="F2439" s="471" t="s">
        <v>8503</v>
      </c>
      <c r="G2439" s="12" t="s">
        <v>8249</v>
      </c>
      <c r="H2439" s="730">
        <v>15.0</v>
      </c>
      <c r="I2439" s="748" t="s">
        <v>2890</v>
      </c>
      <c r="J2439" s="34" t="s">
        <v>2541</v>
      </c>
      <c r="K2439" s="19"/>
      <c r="L2439" s="12" t="s">
        <v>778</v>
      </c>
      <c r="M2439" s="19"/>
      <c r="N2439" s="19"/>
      <c r="O2439" s="34" t="s">
        <v>8337</v>
      </c>
      <c r="P2439" s="19"/>
    </row>
    <row r="2440" hidden="1">
      <c r="A2440" s="471">
        <v>44.0</v>
      </c>
      <c r="B2440" s="470" t="s">
        <v>8512</v>
      </c>
      <c r="C2440" s="471" t="s">
        <v>80</v>
      </c>
      <c r="D2440" s="471" t="s">
        <v>8513</v>
      </c>
      <c r="E2440" s="593" t="s">
        <v>8502</v>
      </c>
      <c r="F2440" s="471" t="s">
        <v>8503</v>
      </c>
      <c r="G2440" s="12" t="s">
        <v>8249</v>
      </c>
      <c r="H2440" s="730">
        <v>15.0</v>
      </c>
      <c r="I2440" s="748" t="s">
        <v>2890</v>
      </c>
      <c r="J2440" s="34" t="s">
        <v>2541</v>
      </c>
      <c r="K2440" s="19"/>
      <c r="L2440" s="12" t="s">
        <v>778</v>
      </c>
      <c r="M2440" s="19"/>
      <c r="N2440" s="19"/>
      <c r="O2440" s="34" t="s">
        <v>8337</v>
      </c>
      <c r="P2440" s="19"/>
    </row>
    <row r="2441" hidden="1">
      <c r="A2441" s="471">
        <v>45.0</v>
      </c>
      <c r="B2441" s="470" t="s">
        <v>8514</v>
      </c>
      <c r="C2441" s="471" t="s">
        <v>80</v>
      </c>
      <c r="D2441" s="471" t="s">
        <v>8515</v>
      </c>
      <c r="E2441" s="593" t="s">
        <v>8502</v>
      </c>
      <c r="F2441" s="471" t="s">
        <v>8503</v>
      </c>
      <c r="G2441" s="12" t="s">
        <v>8249</v>
      </c>
      <c r="H2441" s="730">
        <v>15.0</v>
      </c>
      <c r="I2441" s="748" t="s">
        <v>2890</v>
      </c>
      <c r="J2441" s="34" t="s">
        <v>2541</v>
      </c>
      <c r="K2441" s="19"/>
      <c r="L2441" s="12" t="s">
        <v>778</v>
      </c>
      <c r="M2441" s="19"/>
      <c r="N2441" s="19"/>
      <c r="O2441" s="34" t="s">
        <v>8337</v>
      </c>
      <c r="P2441" s="19"/>
    </row>
    <row r="2442" hidden="1">
      <c r="A2442" s="471">
        <v>46.0</v>
      </c>
      <c r="B2442" s="470" t="s">
        <v>8516</v>
      </c>
      <c r="C2442" s="471" t="s">
        <v>80</v>
      </c>
      <c r="D2442" s="471" t="s">
        <v>8517</v>
      </c>
      <c r="E2442" s="593" t="s">
        <v>8502</v>
      </c>
      <c r="F2442" s="471" t="s">
        <v>8503</v>
      </c>
      <c r="G2442" s="12" t="s">
        <v>8249</v>
      </c>
      <c r="H2442" s="730">
        <v>15.0</v>
      </c>
      <c r="I2442" s="748" t="s">
        <v>2890</v>
      </c>
      <c r="J2442" s="34" t="s">
        <v>2541</v>
      </c>
      <c r="K2442" s="19"/>
      <c r="L2442" s="12" t="s">
        <v>778</v>
      </c>
      <c r="M2442" s="19"/>
      <c r="N2442" s="19"/>
      <c r="O2442" s="34" t="s">
        <v>8337</v>
      </c>
      <c r="P2442" s="19"/>
    </row>
    <row r="2443" hidden="1">
      <c r="A2443" s="339" t="s">
        <v>8518</v>
      </c>
      <c r="Q2443" s="35"/>
      <c r="R2443" s="35"/>
      <c r="S2443" s="35"/>
      <c r="T2443" s="35"/>
      <c r="U2443" s="35"/>
      <c r="V2443" s="35"/>
      <c r="W2443" s="35"/>
      <c r="X2443" s="35"/>
      <c r="Y2443" s="35"/>
      <c r="Z2443" s="35"/>
      <c r="AA2443" s="35"/>
      <c r="AB2443" s="35"/>
      <c r="AC2443" s="35"/>
      <c r="AD2443" s="35"/>
      <c r="AE2443" s="35"/>
      <c r="AF2443" s="35"/>
    </row>
    <row r="2444" hidden="1">
      <c r="A2444" s="670" t="s">
        <v>47</v>
      </c>
      <c r="B2444" s="670" t="s">
        <v>7</v>
      </c>
      <c r="C2444" s="670" t="s">
        <v>9</v>
      </c>
      <c r="D2444" s="670" t="s">
        <v>10</v>
      </c>
      <c r="E2444" s="670" t="s">
        <v>11</v>
      </c>
      <c r="F2444" s="670" t="s">
        <v>12</v>
      </c>
      <c r="G2444" s="670" t="s">
        <v>2378</v>
      </c>
      <c r="H2444" s="670" t="s">
        <v>2681</v>
      </c>
      <c r="I2444" s="4" t="s">
        <v>2847</v>
      </c>
      <c r="J2444" s="8" t="s">
        <v>14</v>
      </c>
      <c r="K2444" s="9" t="s">
        <v>16</v>
      </c>
      <c r="L2444" s="9" t="s">
        <v>4330</v>
      </c>
      <c r="M2444" s="9" t="s">
        <v>18</v>
      </c>
      <c r="N2444" s="9" t="s">
        <v>19</v>
      </c>
      <c r="O2444" s="9" t="s">
        <v>20</v>
      </c>
      <c r="P2444" s="9" t="s">
        <v>21</v>
      </c>
      <c r="Q2444" s="35"/>
      <c r="R2444" s="35"/>
      <c r="S2444" s="35"/>
      <c r="T2444" s="35"/>
      <c r="U2444" s="35"/>
      <c r="V2444" s="35"/>
      <c r="W2444" s="35"/>
      <c r="X2444" s="35"/>
      <c r="Y2444" s="35"/>
      <c r="Z2444" s="35"/>
      <c r="AA2444" s="35"/>
      <c r="AB2444" s="35"/>
      <c r="AC2444" s="35"/>
      <c r="AD2444" s="35"/>
      <c r="AE2444" s="35"/>
      <c r="AF2444" s="35"/>
    </row>
    <row r="2445" hidden="1">
      <c r="A2445" s="526">
        <v>1.0</v>
      </c>
      <c r="B2445" s="527" t="s">
        <v>8519</v>
      </c>
      <c r="C2445" s="526" t="s">
        <v>80</v>
      </c>
      <c r="D2445" s="526" t="s">
        <v>8520</v>
      </c>
      <c r="E2445" s="526" t="s">
        <v>8521</v>
      </c>
      <c r="F2445" s="526" t="s">
        <v>3583</v>
      </c>
      <c r="G2445" s="574" t="s">
        <v>8374</v>
      </c>
      <c r="H2445" s="574">
        <v>13.0</v>
      </c>
      <c r="I2445" s="574" t="s">
        <v>2890</v>
      </c>
      <c r="L2445" s="292" t="s">
        <v>374</v>
      </c>
      <c r="O2445" s="751">
        <v>46100.0</v>
      </c>
    </row>
    <row r="2446" hidden="1">
      <c r="A2446" s="526">
        <v>2.0</v>
      </c>
      <c r="B2446" s="527" t="s">
        <v>8522</v>
      </c>
      <c r="C2446" s="526" t="s">
        <v>80</v>
      </c>
      <c r="D2446" s="526" t="s">
        <v>8523</v>
      </c>
      <c r="E2446" s="526" t="s">
        <v>8524</v>
      </c>
      <c r="F2446" s="526" t="s">
        <v>1294</v>
      </c>
      <c r="G2446" s="574" t="s">
        <v>8158</v>
      </c>
      <c r="H2446" s="574">
        <v>8.0</v>
      </c>
      <c r="I2446" s="574" t="s">
        <v>2890</v>
      </c>
      <c r="L2446" s="292" t="s">
        <v>51</v>
      </c>
      <c r="O2446" s="143" t="s">
        <v>7859</v>
      </c>
      <c r="P2446" s="587" t="s">
        <v>1432</v>
      </c>
    </row>
    <row r="2447" hidden="1">
      <c r="A2447" s="471">
        <v>3.0</v>
      </c>
      <c r="B2447" s="470" t="s">
        <v>8525</v>
      </c>
      <c r="C2447" s="471" t="s">
        <v>80</v>
      </c>
      <c r="D2447" s="471" t="s">
        <v>8526</v>
      </c>
      <c r="E2447" s="471" t="s">
        <v>8527</v>
      </c>
      <c r="F2447" s="471" t="s">
        <v>556</v>
      </c>
      <c r="G2447" s="472" t="s">
        <v>8279</v>
      </c>
      <c r="H2447" s="472">
        <v>17.0</v>
      </c>
      <c r="I2447" s="472" t="s">
        <v>2890</v>
      </c>
      <c r="J2447" s="143" t="s">
        <v>8136</v>
      </c>
      <c r="K2447" s="143" t="s">
        <v>8337</v>
      </c>
      <c r="L2447" s="292" t="s">
        <v>51</v>
      </c>
      <c r="O2447" s="571">
        <v>46269.0</v>
      </c>
      <c r="P2447" s="587" t="s">
        <v>1432</v>
      </c>
    </row>
    <row r="2448" hidden="1">
      <c r="A2448" s="471">
        <v>4.0</v>
      </c>
      <c r="B2448" s="470" t="s">
        <v>8528</v>
      </c>
      <c r="C2448" s="471" t="s">
        <v>80</v>
      </c>
      <c r="D2448" s="471" t="s">
        <v>8529</v>
      </c>
      <c r="E2448" s="471" t="s">
        <v>8530</v>
      </c>
      <c r="F2448" s="471" t="s">
        <v>556</v>
      </c>
      <c r="G2448" s="472" t="s">
        <v>8279</v>
      </c>
      <c r="H2448" s="472">
        <v>17.0</v>
      </c>
      <c r="I2448" s="472" t="s">
        <v>2890</v>
      </c>
      <c r="L2448" s="292" t="s">
        <v>4195</v>
      </c>
      <c r="O2448" s="665">
        <v>46085.0</v>
      </c>
      <c r="P2448" s="587" t="s">
        <v>1432</v>
      </c>
    </row>
    <row r="2449" hidden="1">
      <c r="A2449" s="471">
        <v>5.0</v>
      </c>
      <c r="B2449" s="470" t="s">
        <v>8531</v>
      </c>
      <c r="C2449" s="471" t="s">
        <v>1185</v>
      </c>
      <c r="D2449" s="471" t="s">
        <v>8532</v>
      </c>
      <c r="E2449" s="471" t="s">
        <v>8533</v>
      </c>
      <c r="F2449" s="471" t="s">
        <v>25</v>
      </c>
      <c r="G2449" s="474">
        <v>46026.0</v>
      </c>
      <c r="H2449" s="472">
        <v>19.0</v>
      </c>
      <c r="I2449" s="472" t="s">
        <v>2890</v>
      </c>
      <c r="L2449" s="292" t="s">
        <v>374</v>
      </c>
      <c r="O2449" s="571">
        <v>46116.0</v>
      </c>
      <c r="P2449" s="587" t="s">
        <v>1432</v>
      </c>
    </row>
    <row r="2450" hidden="1">
      <c r="A2450" s="471">
        <v>6.0</v>
      </c>
      <c r="B2450" s="470" t="s">
        <v>8534</v>
      </c>
      <c r="C2450" s="471" t="s">
        <v>80</v>
      </c>
      <c r="D2450" s="471" t="s">
        <v>8535</v>
      </c>
      <c r="E2450" s="550" t="s">
        <v>8536</v>
      </c>
      <c r="F2450" s="752" t="s">
        <v>6632</v>
      </c>
      <c r="G2450" s="474">
        <v>46026.0</v>
      </c>
      <c r="H2450" s="472">
        <v>19.0</v>
      </c>
      <c r="I2450" s="472" t="s">
        <v>2890</v>
      </c>
      <c r="J2450" s="143" t="s">
        <v>2541</v>
      </c>
      <c r="L2450" s="292" t="s">
        <v>4195</v>
      </c>
      <c r="N2450" s="753" t="s">
        <v>8537</v>
      </c>
      <c r="O2450" s="665">
        <v>46330.0</v>
      </c>
      <c r="P2450" s="587" t="s">
        <v>1432</v>
      </c>
    </row>
    <row r="2451" hidden="1">
      <c r="A2451" s="471">
        <v>7.0</v>
      </c>
      <c r="B2451" s="470" t="s">
        <v>8538</v>
      </c>
      <c r="C2451" s="471" t="s">
        <v>80</v>
      </c>
      <c r="D2451" s="471" t="s">
        <v>8539</v>
      </c>
      <c r="E2451" s="550" t="s">
        <v>8540</v>
      </c>
      <c r="F2451" s="471" t="s">
        <v>6632</v>
      </c>
      <c r="G2451" s="472" t="s">
        <v>7747</v>
      </c>
      <c r="H2451" s="472">
        <v>18.0</v>
      </c>
      <c r="I2451" s="472" t="s">
        <v>2890</v>
      </c>
      <c r="J2451" s="143" t="s">
        <v>2541</v>
      </c>
      <c r="L2451" s="292" t="s">
        <v>4195</v>
      </c>
      <c r="N2451" s="753" t="s">
        <v>8537</v>
      </c>
      <c r="O2451" s="665">
        <v>46330.0</v>
      </c>
      <c r="P2451" s="587" t="s">
        <v>1432</v>
      </c>
    </row>
    <row r="2452" hidden="1">
      <c r="A2452" s="471">
        <v>8.0</v>
      </c>
      <c r="B2452" s="470" t="s">
        <v>8541</v>
      </c>
      <c r="C2452" s="471" t="s">
        <v>1058</v>
      </c>
      <c r="D2452" s="471" t="s">
        <v>8542</v>
      </c>
      <c r="E2452" s="550" t="s">
        <v>8543</v>
      </c>
      <c r="F2452" s="471" t="s">
        <v>1370</v>
      </c>
      <c r="G2452" s="472" t="s">
        <v>7747</v>
      </c>
      <c r="H2452" s="472">
        <v>18.0</v>
      </c>
      <c r="I2452" s="472" t="s">
        <v>2890</v>
      </c>
      <c r="J2452" s="143" t="s">
        <v>8136</v>
      </c>
      <c r="K2452" s="143" t="s">
        <v>8337</v>
      </c>
      <c r="L2452" s="292" t="s">
        <v>51</v>
      </c>
      <c r="O2452" s="571">
        <v>46207.0</v>
      </c>
    </row>
    <row r="2453" hidden="1">
      <c r="A2453" s="471">
        <v>9.0</v>
      </c>
      <c r="B2453" s="470" t="s">
        <v>8544</v>
      </c>
      <c r="C2453" s="471" t="s">
        <v>1058</v>
      </c>
      <c r="D2453" s="471" t="s">
        <v>8545</v>
      </c>
      <c r="E2453" s="550" t="s">
        <v>8546</v>
      </c>
      <c r="F2453" s="471" t="s">
        <v>1370</v>
      </c>
      <c r="G2453" s="472" t="s">
        <v>7747</v>
      </c>
      <c r="H2453" s="472">
        <v>18.0</v>
      </c>
      <c r="I2453" s="472" t="s">
        <v>2890</v>
      </c>
      <c r="J2453" s="143" t="s">
        <v>8136</v>
      </c>
      <c r="K2453" s="143" t="s">
        <v>8337</v>
      </c>
      <c r="L2453" s="292" t="s">
        <v>51</v>
      </c>
      <c r="O2453" s="571">
        <v>46207.0</v>
      </c>
    </row>
    <row r="2454" hidden="1">
      <c r="A2454" s="471">
        <v>10.0</v>
      </c>
      <c r="B2454" s="470" t="s">
        <v>8547</v>
      </c>
      <c r="C2454" s="471" t="s">
        <v>1185</v>
      </c>
      <c r="D2454" s="471" t="s">
        <v>8548</v>
      </c>
      <c r="E2454" s="471" t="s">
        <v>8549</v>
      </c>
      <c r="F2454" s="471" t="s">
        <v>556</v>
      </c>
      <c r="G2454" s="472" t="s">
        <v>7747</v>
      </c>
      <c r="H2454" s="472">
        <v>18.0</v>
      </c>
      <c r="I2454" s="472" t="s">
        <v>2890</v>
      </c>
      <c r="J2454" s="143" t="s">
        <v>51</v>
      </c>
      <c r="K2454" s="571">
        <v>46207.0</v>
      </c>
      <c r="L2454" s="292" t="s">
        <v>51</v>
      </c>
      <c r="O2454" s="571">
        <v>46207.0</v>
      </c>
      <c r="P2454" s="587" t="s">
        <v>1432</v>
      </c>
    </row>
    <row r="2455" hidden="1">
      <c r="A2455" s="471">
        <v>11.0</v>
      </c>
      <c r="B2455" s="470" t="s">
        <v>8550</v>
      </c>
      <c r="C2455" s="471" t="s">
        <v>80</v>
      </c>
      <c r="D2455" s="471" t="s">
        <v>8551</v>
      </c>
      <c r="E2455" s="471" t="s">
        <v>8552</v>
      </c>
      <c r="F2455" s="471" t="s">
        <v>556</v>
      </c>
      <c r="G2455" s="472" t="s">
        <v>7747</v>
      </c>
      <c r="H2455" s="472">
        <v>18.0</v>
      </c>
      <c r="I2455" s="472" t="s">
        <v>2890</v>
      </c>
      <c r="L2455" s="292" t="s">
        <v>4195</v>
      </c>
      <c r="O2455" s="665">
        <v>46238.0</v>
      </c>
      <c r="P2455" s="587" t="s">
        <v>1432</v>
      </c>
    </row>
    <row r="2456" hidden="1">
      <c r="A2456" s="471">
        <v>12.0</v>
      </c>
      <c r="B2456" s="470" t="s">
        <v>8553</v>
      </c>
      <c r="C2456" s="471" t="s">
        <v>80</v>
      </c>
      <c r="D2456" s="471" t="s">
        <v>8554</v>
      </c>
      <c r="E2456" s="471" t="s">
        <v>8555</v>
      </c>
      <c r="F2456" s="471" t="s">
        <v>556</v>
      </c>
      <c r="G2456" s="472" t="s">
        <v>7747</v>
      </c>
      <c r="H2456" s="472">
        <v>18.0</v>
      </c>
      <c r="I2456" s="472" t="s">
        <v>2890</v>
      </c>
      <c r="L2456" s="292" t="s">
        <v>374</v>
      </c>
      <c r="N2456" s="143" t="s">
        <v>8556</v>
      </c>
      <c r="O2456" s="665">
        <v>46237.0</v>
      </c>
      <c r="P2456" s="587" t="s">
        <v>1432</v>
      </c>
    </row>
    <row r="2457" hidden="1">
      <c r="A2457" s="471">
        <v>13.0</v>
      </c>
      <c r="B2457" s="470" t="s">
        <v>8557</v>
      </c>
      <c r="C2457" s="471" t="s">
        <v>80</v>
      </c>
      <c r="D2457" s="471" t="s">
        <v>8558</v>
      </c>
      <c r="E2457" s="471" t="s">
        <v>8559</v>
      </c>
      <c r="F2457" s="471" t="s">
        <v>556</v>
      </c>
      <c r="G2457" s="472" t="s">
        <v>7747</v>
      </c>
      <c r="H2457" s="472">
        <v>18.0</v>
      </c>
      <c r="I2457" s="472" t="s">
        <v>2890</v>
      </c>
      <c r="J2457" s="143" t="s">
        <v>2541</v>
      </c>
      <c r="K2457" s="571">
        <v>46116.0</v>
      </c>
      <c r="L2457" s="292" t="s">
        <v>51</v>
      </c>
      <c r="O2457" s="571">
        <v>46299.0</v>
      </c>
      <c r="P2457" s="587" t="s">
        <v>1432</v>
      </c>
    </row>
    <row r="2458" hidden="1">
      <c r="A2458" s="471">
        <v>14.0</v>
      </c>
      <c r="B2458" s="470" t="s">
        <v>8560</v>
      </c>
      <c r="C2458" s="471" t="s">
        <v>651</v>
      </c>
      <c r="D2458" s="471" t="s">
        <v>8561</v>
      </c>
      <c r="E2458" s="471" t="s">
        <v>8562</v>
      </c>
      <c r="F2458" s="471" t="s">
        <v>4779</v>
      </c>
      <c r="G2458" s="472" t="s">
        <v>7747</v>
      </c>
      <c r="H2458" s="472">
        <v>18.0</v>
      </c>
      <c r="I2458" s="472" t="s">
        <v>2890</v>
      </c>
      <c r="L2458" s="292" t="s">
        <v>4195</v>
      </c>
      <c r="O2458" s="726">
        <v>46116.0</v>
      </c>
      <c r="P2458" s="587" t="s">
        <v>1432</v>
      </c>
    </row>
    <row r="2459" hidden="1">
      <c r="A2459" s="471">
        <v>15.0</v>
      </c>
      <c r="B2459" s="470" t="s">
        <v>8563</v>
      </c>
      <c r="C2459" s="471" t="s">
        <v>80</v>
      </c>
      <c r="D2459" s="471" t="s">
        <v>8564</v>
      </c>
      <c r="E2459" s="593" t="s">
        <v>8565</v>
      </c>
      <c r="F2459" s="471" t="s">
        <v>3583</v>
      </c>
      <c r="G2459" s="472" t="s">
        <v>8374</v>
      </c>
      <c r="H2459" s="472">
        <v>13.0</v>
      </c>
      <c r="I2459" s="472" t="s">
        <v>2890</v>
      </c>
      <c r="L2459" s="292" t="s">
        <v>778</v>
      </c>
      <c r="O2459" s="571">
        <v>46269.0</v>
      </c>
    </row>
    <row r="2460" hidden="1">
      <c r="A2460" s="471">
        <v>16.0</v>
      </c>
      <c r="B2460" s="470" t="s">
        <v>8566</v>
      </c>
      <c r="C2460" s="471" t="s">
        <v>80</v>
      </c>
      <c r="D2460" s="471" t="s">
        <v>8567</v>
      </c>
      <c r="E2460" s="593" t="s">
        <v>8568</v>
      </c>
      <c r="F2460" s="471" t="s">
        <v>3583</v>
      </c>
      <c r="G2460" s="472" t="s">
        <v>8374</v>
      </c>
      <c r="H2460" s="472">
        <v>13.0</v>
      </c>
      <c r="I2460" s="472" t="s">
        <v>2890</v>
      </c>
      <c r="L2460" s="140"/>
      <c r="O2460" s="571">
        <v>46177.0</v>
      </c>
    </row>
    <row r="2461" hidden="1">
      <c r="A2461" s="471">
        <v>17.0</v>
      </c>
      <c r="B2461" s="470" t="s">
        <v>8569</v>
      </c>
      <c r="C2461" s="471" t="s">
        <v>1185</v>
      </c>
      <c r="D2461" s="471" t="s">
        <v>8570</v>
      </c>
      <c r="E2461" s="593" t="s">
        <v>8571</v>
      </c>
      <c r="F2461" s="471" t="s">
        <v>3583</v>
      </c>
      <c r="G2461" s="472" t="s">
        <v>8374</v>
      </c>
      <c r="H2461" s="472">
        <v>13.0</v>
      </c>
      <c r="I2461" s="472" t="s">
        <v>2890</v>
      </c>
      <c r="J2461" s="472" t="s">
        <v>2890</v>
      </c>
      <c r="L2461" s="140"/>
      <c r="O2461" s="571">
        <v>46177.0</v>
      </c>
    </row>
    <row r="2462" hidden="1">
      <c r="A2462" s="471">
        <v>18.0</v>
      </c>
      <c r="B2462" s="470" t="s">
        <v>8572</v>
      </c>
      <c r="C2462" s="471" t="s">
        <v>80</v>
      </c>
      <c r="D2462" s="471" t="s">
        <v>8573</v>
      </c>
      <c r="E2462" s="593" t="s">
        <v>8574</v>
      </c>
      <c r="F2462" s="471" t="s">
        <v>3583</v>
      </c>
      <c r="G2462" s="472" t="s">
        <v>8374</v>
      </c>
      <c r="H2462" s="472">
        <v>13.0</v>
      </c>
      <c r="I2462" s="472" t="s">
        <v>2890</v>
      </c>
      <c r="L2462" s="140"/>
      <c r="O2462" s="571">
        <v>46177.0</v>
      </c>
    </row>
    <row r="2463" hidden="1">
      <c r="A2463" s="471">
        <v>19.0</v>
      </c>
      <c r="B2463" s="470" t="s">
        <v>8575</v>
      </c>
      <c r="C2463" s="471" t="s">
        <v>80</v>
      </c>
      <c r="D2463" s="471" t="s">
        <v>8576</v>
      </c>
      <c r="E2463" s="593" t="s">
        <v>8577</v>
      </c>
      <c r="F2463" s="471" t="s">
        <v>3583</v>
      </c>
      <c r="G2463" s="472" t="s">
        <v>8374</v>
      </c>
      <c r="H2463" s="472">
        <v>13.0</v>
      </c>
      <c r="I2463" s="472" t="s">
        <v>2890</v>
      </c>
      <c r="L2463" s="140"/>
      <c r="O2463" s="571">
        <v>46177.0</v>
      </c>
    </row>
    <row r="2464" hidden="1">
      <c r="A2464" s="471">
        <v>20.0</v>
      </c>
      <c r="B2464" s="470" t="s">
        <v>8578</v>
      </c>
      <c r="C2464" s="471" t="s">
        <v>80</v>
      </c>
      <c r="D2464" s="471" t="s">
        <v>8579</v>
      </c>
      <c r="E2464" s="593" t="s">
        <v>8580</v>
      </c>
      <c r="F2464" s="471" t="s">
        <v>3583</v>
      </c>
      <c r="G2464" s="472" t="s">
        <v>8374</v>
      </c>
      <c r="H2464" s="472">
        <v>13.0</v>
      </c>
      <c r="I2464" s="472" t="s">
        <v>2890</v>
      </c>
      <c r="L2464" s="140"/>
      <c r="O2464" s="571">
        <v>46177.0</v>
      </c>
    </row>
    <row r="2465" hidden="1">
      <c r="A2465" s="471">
        <v>21.0</v>
      </c>
      <c r="B2465" s="470" t="s">
        <v>8581</v>
      </c>
      <c r="C2465" s="471" t="s">
        <v>80</v>
      </c>
      <c r="D2465" s="471" t="s">
        <v>8582</v>
      </c>
      <c r="E2465" s="593" t="s">
        <v>8583</v>
      </c>
      <c r="F2465" s="471" t="s">
        <v>3928</v>
      </c>
      <c r="G2465" s="472" t="s">
        <v>8374</v>
      </c>
      <c r="H2465" s="472">
        <v>13.0</v>
      </c>
      <c r="I2465" s="472" t="s">
        <v>2890</v>
      </c>
      <c r="L2465" s="292" t="s">
        <v>3099</v>
      </c>
      <c r="O2465" s="530">
        <v>46057.0</v>
      </c>
    </row>
    <row r="2466" hidden="1">
      <c r="A2466" s="471">
        <v>22.0</v>
      </c>
      <c r="B2466" s="470" t="s">
        <v>8584</v>
      </c>
      <c r="C2466" s="471" t="s">
        <v>80</v>
      </c>
      <c r="D2466" s="471" t="s">
        <v>8585</v>
      </c>
      <c r="E2466" s="593" t="s">
        <v>8586</v>
      </c>
      <c r="F2466" s="471" t="s">
        <v>3928</v>
      </c>
      <c r="G2466" s="472" t="s">
        <v>8374</v>
      </c>
      <c r="H2466" s="472">
        <v>13.0</v>
      </c>
      <c r="I2466" s="472" t="s">
        <v>2890</v>
      </c>
      <c r="L2466" s="292" t="s">
        <v>3099</v>
      </c>
      <c r="O2466" s="530">
        <v>46057.0</v>
      </c>
    </row>
    <row r="2467" hidden="1">
      <c r="A2467" s="471">
        <v>23.0</v>
      </c>
      <c r="B2467" s="470" t="s">
        <v>8587</v>
      </c>
      <c r="C2467" s="471" t="s">
        <v>80</v>
      </c>
      <c r="D2467" s="471" t="s">
        <v>8588</v>
      </c>
      <c r="E2467" s="593" t="s">
        <v>8589</v>
      </c>
      <c r="F2467" s="471" t="s">
        <v>3928</v>
      </c>
      <c r="G2467" s="472" t="s">
        <v>8374</v>
      </c>
      <c r="H2467" s="472">
        <v>13.0</v>
      </c>
      <c r="I2467" s="472" t="s">
        <v>2890</v>
      </c>
      <c r="L2467" s="292" t="s">
        <v>3099</v>
      </c>
      <c r="O2467" s="530">
        <v>46057.0</v>
      </c>
    </row>
    <row r="2468" hidden="1">
      <c r="A2468" s="471">
        <v>24.0</v>
      </c>
      <c r="B2468" s="470" t="s">
        <v>8590</v>
      </c>
      <c r="C2468" s="471" t="s">
        <v>80</v>
      </c>
      <c r="D2468" s="471" t="s">
        <v>8591</v>
      </c>
      <c r="E2468" s="593" t="s">
        <v>8592</v>
      </c>
      <c r="F2468" s="471" t="s">
        <v>3928</v>
      </c>
      <c r="G2468" s="472" t="s">
        <v>8374</v>
      </c>
      <c r="H2468" s="472">
        <v>13.0</v>
      </c>
      <c r="I2468" s="472" t="s">
        <v>2890</v>
      </c>
      <c r="L2468" s="292" t="s">
        <v>3099</v>
      </c>
      <c r="O2468" s="530">
        <v>46057.0</v>
      </c>
    </row>
    <row r="2469" hidden="1">
      <c r="A2469" s="471">
        <v>25.0</v>
      </c>
      <c r="B2469" s="470" t="s">
        <v>8593</v>
      </c>
      <c r="C2469" s="471" t="s">
        <v>80</v>
      </c>
      <c r="D2469" s="471" t="s">
        <v>8594</v>
      </c>
      <c r="E2469" s="593" t="s">
        <v>8595</v>
      </c>
      <c r="F2469" s="471" t="s">
        <v>3928</v>
      </c>
      <c r="G2469" s="472" t="s">
        <v>8374</v>
      </c>
      <c r="H2469" s="472">
        <v>13.0</v>
      </c>
      <c r="I2469" s="472" t="s">
        <v>2890</v>
      </c>
      <c r="L2469" s="292" t="s">
        <v>3099</v>
      </c>
      <c r="O2469" s="530">
        <v>46057.0</v>
      </c>
    </row>
    <row r="2470" hidden="1">
      <c r="A2470" s="471">
        <v>26.0</v>
      </c>
      <c r="B2470" s="470" t="s">
        <v>8596</v>
      </c>
      <c r="C2470" s="471" t="s">
        <v>80</v>
      </c>
      <c r="D2470" s="471" t="s">
        <v>8597</v>
      </c>
      <c r="E2470" s="550" t="s">
        <v>8598</v>
      </c>
      <c r="F2470" s="471" t="s">
        <v>8599</v>
      </c>
      <c r="G2470" s="474">
        <v>46026.0</v>
      </c>
      <c r="H2470" s="472">
        <v>19.0</v>
      </c>
      <c r="I2470" s="472" t="s">
        <v>2890</v>
      </c>
      <c r="J2470" s="143" t="s">
        <v>2541</v>
      </c>
      <c r="K2470" s="571">
        <v>46026.0</v>
      </c>
      <c r="L2470" s="292" t="s">
        <v>374</v>
      </c>
      <c r="N2470" s="143" t="s">
        <v>8600</v>
      </c>
      <c r="O2470" s="143" t="s">
        <v>8601</v>
      </c>
      <c r="P2470" s="587" t="s">
        <v>1432</v>
      </c>
    </row>
    <row r="2471" hidden="1">
      <c r="A2471" s="471">
        <v>27.0</v>
      </c>
      <c r="B2471" s="470" t="s">
        <v>8602</v>
      </c>
      <c r="C2471" s="471" t="s">
        <v>80</v>
      </c>
      <c r="D2471" s="471" t="s">
        <v>8603</v>
      </c>
      <c r="E2471" s="550" t="s">
        <v>8604</v>
      </c>
      <c r="F2471" s="471" t="s">
        <v>8599</v>
      </c>
      <c r="G2471" s="474">
        <v>46026.0</v>
      </c>
      <c r="H2471" s="472">
        <v>19.0</v>
      </c>
      <c r="I2471" s="472" t="s">
        <v>2890</v>
      </c>
      <c r="J2471" s="143" t="s">
        <v>2541</v>
      </c>
      <c r="K2471" s="571">
        <v>46027.0</v>
      </c>
      <c r="L2471" s="292" t="s">
        <v>374</v>
      </c>
      <c r="N2471" s="143" t="s">
        <v>8600</v>
      </c>
      <c r="O2471" s="143" t="s">
        <v>8601</v>
      </c>
      <c r="P2471" s="587" t="s">
        <v>1432</v>
      </c>
    </row>
    <row r="2472" hidden="1">
      <c r="A2472" s="471">
        <v>28.0</v>
      </c>
      <c r="B2472" s="470" t="s">
        <v>8605</v>
      </c>
      <c r="C2472" s="471" t="s">
        <v>80</v>
      </c>
      <c r="D2472" s="471" t="s">
        <v>8606</v>
      </c>
      <c r="E2472" s="471" t="s">
        <v>8607</v>
      </c>
      <c r="F2472" s="471" t="s">
        <v>8608</v>
      </c>
      <c r="G2472" s="474">
        <v>46085.0</v>
      </c>
      <c r="H2472" s="472">
        <v>21.0</v>
      </c>
      <c r="I2472" s="540" t="s">
        <v>3465</v>
      </c>
      <c r="J2472" s="143" t="s">
        <v>8609</v>
      </c>
      <c r="L2472" s="292" t="s">
        <v>374</v>
      </c>
      <c r="O2472" s="571">
        <v>46207.0</v>
      </c>
      <c r="P2472" s="587" t="s">
        <v>1432</v>
      </c>
    </row>
    <row r="2473" ht="15.0" hidden="1" customHeight="1">
      <c r="A2473" s="471">
        <v>29.0</v>
      </c>
      <c r="B2473" s="470" t="s">
        <v>8610</v>
      </c>
      <c r="C2473" s="471" t="s">
        <v>80</v>
      </c>
      <c r="D2473" s="471" t="s">
        <v>8611</v>
      </c>
      <c r="E2473" s="550" t="s">
        <v>8612</v>
      </c>
      <c r="F2473" s="471" t="s">
        <v>8613</v>
      </c>
      <c r="G2473" s="474">
        <v>46057.0</v>
      </c>
      <c r="H2473" s="472">
        <v>20.0</v>
      </c>
      <c r="I2473" s="472" t="s">
        <v>2890</v>
      </c>
      <c r="L2473" s="292" t="s">
        <v>4195</v>
      </c>
      <c r="N2473" s="753" t="s">
        <v>8537</v>
      </c>
      <c r="O2473" s="754">
        <v>46330.0</v>
      </c>
      <c r="P2473" s="587" t="s">
        <v>1432</v>
      </c>
    </row>
    <row r="2474" hidden="1">
      <c r="A2474" s="471">
        <v>30.0</v>
      </c>
      <c r="B2474" s="470" t="s">
        <v>8614</v>
      </c>
      <c r="C2474" s="471" t="s">
        <v>80</v>
      </c>
      <c r="D2474" s="471" t="s">
        <v>8615</v>
      </c>
      <c r="E2474" s="550" t="s">
        <v>8616</v>
      </c>
      <c r="F2474" s="471" t="s">
        <v>8613</v>
      </c>
      <c r="G2474" s="474">
        <v>46057.0</v>
      </c>
      <c r="H2474" s="472">
        <v>20.0</v>
      </c>
      <c r="I2474" s="472" t="s">
        <v>2890</v>
      </c>
      <c r="L2474" s="292" t="s">
        <v>4195</v>
      </c>
      <c r="N2474" s="753" t="s">
        <v>8537</v>
      </c>
      <c r="O2474" s="754">
        <v>46330.0</v>
      </c>
      <c r="P2474" s="587" t="s">
        <v>1432</v>
      </c>
    </row>
    <row r="2475" hidden="1">
      <c r="A2475" s="471">
        <v>31.0</v>
      </c>
      <c r="B2475" s="527" t="s">
        <v>8617</v>
      </c>
      <c r="C2475" s="526" t="s">
        <v>8618</v>
      </c>
      <c r="D2475" s="526" t="s">
        <v>8619</v>
      </c>
      <c r="E2475" s="526" t="s">
        <v>8618</v>
      </c>
      <c r="F2475" s="495" t="s">
        <v>8620</v>
      </c>
      <c r="G2475" s="653"/>
      <c r="H2475" s="653"/>
      <c r="I2475" s="472" t="s">
        <v>2890</v>
      </c>
      <c r="J2475" s="292" t="s">
        <v>8621</v>
      </c>
      <c r="L2475" s="292"/>
      <c r="N2475" s="12" t="s">
        <v>8436</v>
      </c>
    </row>
    <row r="2476" hidden="1">
      <c r="A2476" s="471">
        <v>32.0</v>
      </c>
      <c r="B2476" s="470" t="s">
        <v>8622</v>
      </c>
      <c r="C2476" s="471" t="s">
        <v>80</v>
      </c>
      <c r="D2476" s="471" t="s">
        <v>8623</v>
      </c>
      <c r="E2476" s="471" t="s">
        <v>8624</v>
      </c>
      <c r="F2476" s="471" t="s">
        <v>1563</v>
      </c>
      <c r="G2476" s="472" t="s">
        <v>8450</v>
      </c>
      <c r="H2476" s="472">
        <v>16.0</v>
      </c>
      <c r="I2476" s="472" t="s">
        <v>2890</v>
      </c>
      <c r="J2476" s="143" t="s">
        <v>2541</v>
      </c>
      <c r="L2476" s="292" t="s">
        <v>4195</v>
      </c>
      <c r="N2476" s="143" t="s">
        <v>8625</v>
      </c>
      <c r="O2476" s="143" t="s">
        <v>8626</v>
      </c>
      <c r="P2476" s="587" t="s">
        <v>1432</v>
      </c>
    </row>
    <row r="2477" hidden="1">
      <c r="A2477" s="339" t="s">
        <v>8627</v>
      </c>
      <c r="Q2477" s="35"/>
      <c r="R2477" s="35"/>
      <c r="S2477" s="35"/>
      <c r="T2477" s="35"/>
      <c r="U2477" s="35"/>
      <c r="V2477" s="35"/>
      <c r="W2477" s="35"/>
      <c r="X2477" s="35"/>
      <c r="Y2477" s="35"/>
      <c r="Z2477" s="35"/>
      <c r="AA2477" s="35"/>
      <c r="AB2477" s="35"/>
      <c r="AC2477" s="35"/>
      <c r="AD2477" s="35"/>
      <c r="AE2477" s="35"/>
      <c r="AF2477" s="35"/>
    </row>
    <row r="2478" hidden="1">
      <c r="A2478" s="670" t="s">
        <v>47</v>
      </c>
      <c r="B2478" s="670" t="s">
        <v>7</v>
      </c>
      <c r="C2478" s="670" t="s">
        <v>9</v>
      </c>
      <c r="D2478" s="670" t="s">
        <v>10</v>
      </c>
      <c r="E2478" s="670" t="s">
        <v>11</v>
      </c>
      <c r="F2478" s="670" t="s">
        <v>12</v>
      </c>
      <c r="G2478" s="670" t="s">
        <v>2378</v>
      </c>
      <c r="H2478" s="670" t="s">
        <v>2681</v>
      </c>
      <c r="I2478" s="4" t="s">
        <v>2847</v>
      </c>
      <c r="J2478" s="8" t="s">
        <v>14</v>
      </c>
      <c r="K2478" s="9" t="s">
        <v>16</v>
      </c>
      <c r="L2478" s="9" t="s">
        <v>4330</v>
      </c>
      <c r="M2478" s="9" t="s">
        <v>18</v>
      </c>
      <c r="N2478" s="9" t="s">
        <v>19</v>
      </c>
      <c r="O2478" s="9" t="s">
        <v>20</v>
      </c>
      <c r="P2478" s="9" t="s">
        <v>21</v>
      </c>
      <c r="Q2478" s="35"/>
      <c r="R2478" s="35"/>
      <c r="S2478" s="35"/>
      <c r="T2478" s="35"/>
      <c r="U2478" s="35"/>
      <c r="V2478" s="35"/>
      <c r="W2478" s="35"/>
      <c r="X2478" s="35"/>
      <c r="Y2478" s="35"/>
      <c r="Z2478" s="35"/>
      <c r="AA2478" s="35"/>
      <c r="AB2478" s="35"/>
      <c r="AC2478" s="35"/>
      <c r="AD2478" s="35"/>
      <c r="AE2478" s="35"/>
      <c r="AF2478" s="35"/>
    </row>
    <row r="2479" hidden="1">
      <c r="A2479" s="526">
        <v>1.0</v>
      </c>
      <c r="B2479" s="527" t="s">
        <v>8628</v>
      </c>
      <c r="C2479" s="526" t="s">
        <v>80</v>
      </c>
      <c r="D2479" s="526" t="s">
        <v>8629</v>
      </c>
      <c r="E2479" s="526" t="s">
        <v>8630</v>
      </c>
      <c r="F2479" s="526" t="s">
        <v>3583</v>
      </c>
      <c r="G2479" s="528">
        <v>46026.0</v>
      </c>
      <c r="H2479" s="526">
        <v>16.0</v>
      </c>
      <c r="I2479" s="495" t="s">
        <v>2890</v>
      </c>
      <c r="J2479" s="143" t="s">
        <v>8631</v>
      </c>
      <c r="K2479" s="143" t="s">
        <v>8369</v>
      </c>
      <c r="L2479" s="292" t="s">
        <v>4195</v>
      </c>
      <c r="O2479" s="143" t="s">
        <v>8632</v>
      </c>
    </row>
    <row r="2480" hidden="1">
      <c r="A2480" s="526">
        <v>2.0</v>
      </c>
      <c r="B2480" s="527" t="s">
        <v>8633</v>
      </c>
      <c r="C2480" s="526" t="s">
        <v>80</v>
      </c>
      <c r="D2480" s="526" t="s">
        <v>8634</v>
      </c>
      <c r="E2480" s="526" t="s">
        <v>8635</v>
      </c>
      <c r="F2480" s="526" t="s">
        <v>3583</v>
      </c>
      <c r="G2480" s="528">
        <v>46026.0</v>
      </c>
      <c r="H2480" s="526">
        <v>16.0</v>
      </c>
      <c r="I2480" s="495" t="s">
        <v>2890</v>
      </c>
      <c r="J2480" s="143" t="s">
        <v>8631</v>
      </c>
      <c r="K2480" s="143" t="s">
        <v>8369</v>
      </c>
      <c r="L2480" s="292" t="s">
        <v>374</v>
      </c>
      <c r="O2480" s="751">
        <v>46107.0</v>
      </c>
      <c r="P2480" s="701" t="s">
        <v>7041</v>
      </c>
    </row>
    <row r="2481" hidden="1">
      <c r="A2481" s="526">
        <v>3.0</v>
      </c>
      <c r="B2481" s="527" t="s">
        <v>8636</v>
      </c>
      <c r="C2481" s="526" t="s">
        <v>80</v>
      </c>
      <c r="D2481" s="526" t="s">
        <v>8637</v>
      </c>
      <c r="E2481" s="526" t="s">
        <v>8638</v>
      </c>
      <c r="F2481" s="526" t="s">
        <v>349</v>
      </c>
      <c r="G2481" s="526" t="s">
        <v>7747</v>
      </c>
      <c r="H2481" s="526">
        <v>15.0</v>
      </c>
      <c r="I2481" s="495" t="s">
        <v>2890</v>
      </c>
      <c r="J2481" s="143" t="s">
        <v>8631</v>
      </c>
      <c r="K2481" s="143" t="s">
        <v>8369</v>
      </c>
      <c r="L2481" s="292" t="s">
        <v>4195</v>
      </c>
      <c r="O2481" s="34" t="s">
        <v>7961</v>
      </c>
      <c r="P2481" s="587" t="s">
        <v>1432</v>
      </c>
    </row>
    <row r="2482" hidden="1">
      <c r="A2482" s="526">
        <v>4.0</v>
      </c>
      <c r="B2482" s="527" t="s">
        <v>8639</v>
      </c>
      <c r="C2482" s="526" t="s">
        <v>80</v>
      </c>
      <c r="D2482" s="526" t="s">
        <v>8640</v>
      </c>
      <c r="E2482" s="526" t="s">
        <v>8641</v>
      </c>
      <c r="F2482" s="526" t="s">
        <v>207</v>
      </c>
      <c r="G2482" s="526" t="s">
        <v>7972</v>
      </c>
      <c r="H2482" s="526">
        <v>11.0</v>
      </c>
      <c r="I2482" s="495" t="s">
        <v>2890</v>
      </c>
      <c r="J2482" s="143" t="s">
        <v>3066</v>
      </c>
      <c r="K2482" s="143" t="s">
        <v>8369</v>
      </c>
      <c r="L2482" s="292" t="s">
        <v>51</v>
      </c>
      <c r="O2482" s="143" t="s">
        <v>8161</v>
      </c>
      <c r="P2482" s="587" t="s">
        <v>1432</v>
      </c>
    </row>
    <row r="2483" hidden="1">
      <c r="A2483" s="471">
        <v>5.0</v>
      </c>
      <c r="B2483" s="470" t="s">
        <v>8642</v>
      </c>
      <c r="C2483" s="471" t="s">
        <v>1058</v>
      </c>
      <c r="D2483" s="471" t="s">
        <v>8643</v>
      </c>
      <c r="E2483" s="558" t="s">
        <v>8644</v>
      </c>
      <c r="F2483" s="471" t="s">
        <v>8140</v>
      </c>
      <c r="G2483" s="471" t="s">
        <v>8279</v>
      </c>
      <c r="H2483" s="471">
        <v>14.0</v>
      </c>
      <c r="I2483" s="12" t="s">
        <v>2890</v>
      </c>
      <c r="J2483" s="34" t="s">
        <v>8390</v>
      </c>
      <c r="K2483" s="143" t="s">
        <v>8369</v>
      </c>
      <c r="L2483" s="292" t="s">
        <v>374</v>
      </c>
      <c r="O2483" s="143" t="s">
        <v>8421</v>
      </c>
    </row>
    <row r="2484" ht="17.25" hidden="1" customHeight="1">
      <c r="A2484" s="471">
        <v>6.0</v>
      </c>
      <c r="B2484" s="470" t="s">
        <v>8645</v>
      </c>
      <c r="C2484" s="471" t="s">
        <v>651</v>
      </c>
      <c r="D2484" s="471" t="s">
        <v>8646</v>
      </c>
      <c r="E2484" s="558" t="s">
        <v>8647</v>
      </c>
      <c r="F2484" s="471" t="s">
        <v>4779</v>
      </c>
      <c r="G2484" s="471" t="s">
        <v>7747</v>
      </c>
      <c r="H2484" s="471">
        <v>15.0</v>
      </c>
      <c r="I2484" s="12" t="s">
        <v>2890</v>
      </c>
      <c r="J2484" s="34" t="s">
        <v>8390</v>
      </c>
      <c r="K2484" s="143" t="s">
        <v>8369</v>
      </c>
      <c r="L2484" s="292" t="s">
        <v>51</v>
      </c>
      <c r="O2484" s="34" t="s">
        <v>7864</v>
      </c>
      <c r="P2484" s="587" t="s">
        <v>1432</v>
      </c>
    </row>
    <row r="2485" hidden="1">
      <c r="A2485" s="471">
        <v>7.0</v>
      </c>
      <c r="B2485" s="470" t="s">
        <v>8648</v>
      </c>
      <c r="C2485" s="471" t="s">
        <v>2307</v>
      </c>
      <c r="D2485" s="471" t="s">
        <v>8649</v>
      </c>
      <c r="E2485" s="471" t="s">
        <v>8650</v>
      </c>
      <c r="F2485" s="471" t="s">
        <v>7177</v>
      </c>
      <c r="G2485" s="471" t="s">
        <v>8176</v>
      </c>
      <c r="H2485" s="486">
        <v>6.0</v>
      </c>
      <c r="I2485" s="12" t="s">
        <v>2890</v>
      </c>
      <c r="J2485" s="143" t="s">
        <v>699</v>
      </c>
      <c r="K2485" s="143" t="s">
        <v>8651</v>
      </c>
      <c r="L2485" s="292" t="s">
        <v>8652</v>
      </c>
      <c r="N2485" s="143" t="s">
        <v>8625</v>
      </c>
      <c r="O2485" s="143" t="s">
        <v>8653</v>
      </c>
      <c r="P2485" s="587" t="s">
        <v>1432</v>
      </c>
    </row>
    <row r="2486" hidden="1">
      <c r="A2486" s="471">
        <v>8.0</v>
      </c>
      <c r="B2486" s="470" t="s">
        <v>8654</v>
      </c>
      <c r="C2486" s="471" t="s">
        <v>8655</v>
      </c>
      <c r="D2486" s="471" t="s">
        <v>8656</v>
      </c>
      <c r="E2486" s="471" t="s">
        <v>8657</v>
      </c>
      <c r="F2486" s="471" t="s">
        <v>8658</v>
      </c>
      <c r="G2486" s="471" t="s">
        <v>8374</v>
      </c>
      <c r="H2486" s="471">
        <v>10.0</v>
      </c>
      <c r="I2486" s="12" t="s">
        <v>2890</v>
      </c>
      <c r="J2486" s="34" t="s">
        <v>8311</v>
      </c>
      <c r="K2486" s="143" t="s">
        <v>8369</v>
      </c>
      <c r="L2486" s="292" t="s">
        <v>8652</v>
      </c>
      <c r="N2486" s="143" t="s">
        <v>8625</v>
      </c>
      <c r="O2486" s="143" t="s">
        <v>8659</v>
      </c>
      <c r="P2486" s="143" t="s">
        <v>8660</v>
      </c>
    </row>
    <row r="2487" hidden="1">
      <c r="A2487" s="471">
        <v>9.0</v>
      </c>
      <c r="B2487" s="470" t="s">
        <v>8661</v>
      </c>
      <c r="C2487" s="471" t="s">
        <v>8662</v>
      </c>
      <c r="D2487" s="471" t="s">
        <v>8663</v>
      </c>
      <c r="E2487" s="471" t="s">
        <v>8664</v>
      </c>
      <c r="F2487" s="471" t="s">
        <v>8658</v>
      </c>
      <c r="G2487" s="471" t="s">
        <v>8374</v>
      </c>
      <c r="H2487" s="471">
        <v>10.0</v>
      </c>
      <c r="I2487" s="12" t="s">
        <v>2890</v>
      </c>
      <c r="J2487" s="34" t="s">
        <v>8311</v>
      </c>
      <c r="K2487" s="143" t="s">
        <v>8369</v>
      </c>
      <c r="L2487" s="292" t="s">
        <v>8652</v>
      </c>
      <c r="N2487" s="143" t="s">
        <v>8625</v>
      </c>
      <c r="O2487" s="143" t="s">
        <v>8659</v>
      </c>
      <c r="P2487" s="143" t="s">
        <v>8660</v>
      </c>
    </row>
    <row r="2488" hidden="1">
      <c r="A2488" s="471">
        <v>10.0</v>
      </c>
      <c r="B2488" s="470" t="s">
        <v>8665</v>
      </c>
      <c r="C2488" s="471" t="s">
        <v>80</v>
      </c>
      <c r="D2488" s="471" t="s">
        <v>8666</v>
      </c>
      <c r="E2488" s="755" t="s">
        <v>8667</v>
      </c>
      <c r="F2488" s="471" t="s">
        <v>8668</v>
      </c>
      <c r="G2488" s="471" t="s">
        <v>7747</v>
      </c>
      <c r="H2488" s="471">
        <v>15.0</v>
      </c>
      <c r="I2488" s="12" t="s">
        <v>2890</v>
      </c>
      <c r="J2488" s="143" t="s">
        <v>3099</v>
      </c>
      <c r="L2488" s="292" t="s">
        <v>778</v>
      </c>
      <c r="O2488" s="751">
        <v>46106.0</v>
      </c>
    </row>
    <row r="2489" hidden="1">
      <c r="A2489" s="471">
        <v>11.0</v>
      </c>
      <c r="B2489" s="470" t="s">
        <v>8669</v>
      </c>
      <c r="C2489" s="471" t="s">
        <v>80</v>
      </c>
      <c r="D2489" s="471" t="s">
        <v>8670</v>
      </c>
      <c r="E2489" s="755" t="s">
        <v>8671</v>
      </c>
      <c r="F2489" s="471" t="s">
        <v>3928</v>
      </c>
      <c r="G2489" s="471" t="s">
        <v>7747</v>
      </c>
      <c r="H2489" s="471">
        <v>15.0</v>
      </c>
      <c r="I2489" s="12" t="s">
        <v>2890</v>
      </c>
      <c r="J2489" s="143" t="s">
        <v>3099</v>
      </c>
      <c r="L2489" s="292" t="s">
        <v>778</v>
      </c>
      <c r="O2489" s="751">
        <v>46106.0</v>
      </c>
    </row>
    <row r="2490" hidden="1">
      <c r="A2490" s="471">
        <v>12.0</v>
      </c>
      <c r="B2490" s="621" t="s">
        <v>8672</v>
      </c>
      <c r="C2490" s="471" t="s">
        <v>80</v>
      </c>
      <c r="D2490" s="471" t="s">
        <v>8673</v>
      </c>
      <c r="E2490" s="471" t="s">
        <v>8674</v>
      </c>
      <c r="F2490" s="471" t="s">
        <v>2019</v>
      </c>
      <c r="G2490" s="471" t="s">
        <v>7960</v>
      </c>
      <c r="H2490" s="486">
        <v>1.0</v>
      </c>
      <c r="I2490" s="12" t="s">
        <v>2890</v>
      </c>
      <c r="L2490" s="292" t="s">
        <v>51</v>
      </c>
      <c r="N2490" s="143" t="s">
        <v>8675</v>
      </c>
      <c r="O2490" s="143" t="s">
        <v>7998</v>
      </c>
    </row>
    <row r="2491" hidden="1">
      <c r="A2491" s="471">
        <v>13.0</v>
      </c>
      <c r="B2491" s="621" t="s">
        <v>8676</v>
      </c>
      <c r="C2491" s="471" t="s">
        <v>80</v>
      </c>
      <c r="D2491" s="471" t="s">
        <v>8677</v>
      </c>
      <c r="E2491" s="471" t="s">
        <v>8678</v>
      </c>
      <c r="F2491" s="471" t="s">
        <v>8679</v>
      </c>
      <c r="G2491" s="471" t="s">
        <v>7747</v>
      </c>
      <c r="H2491" s="471">
        <v>15.0</v>
      </c>
      <c r="I2491" s="12" t="s">
        <v>2890</v>
      </c>
      <c r="J2491" s="143" t="s">
        <v>8680</v>
      </c>
      <c r="L2491" s="292" t="s">
        <v>374</v>
      </c>
      <c r="N2491" s="143" t="s">
        <v>8681</v>
      </c>
      <c r="O2491" s="571">
        <v>46269.0</v>
      </c>
      <c r="P2491" s="587" t="s">
        <v>1432</v>
      </c>
    </row>
    <row r="2492" hidden="1">
      <c r="A2492" s="471">
        <v>14.0</v>
      </c>
      <c r="B2492" s="470" t="s">
        <v>8682</v>
      </c>
      <c r="C2492" s="471" t="s">
        <v>80</v>
      </c>
      <c r="D2492" s="471" t="s">
        <v>8683</v>
      </c>
      <c r="E2492" s="471" t="s">
        <v>8684</v>
      </c>
      <c r="F2492" s="471" t="s">
        <v>25</v>
      </c>
      <c r="G2492" s="525">
        <v>46207.0</v>
      </c>
      <c r="H2492" s="471">
        <v>22.0</v>
      </c>
      <c r="I2492" s="12" t="s">
        <v>2890</v>
      </c>
      <c r="J2492" s="143" t="s">
        <v>8383</v>
      </c>
      <c r="K2492" s="571">
        <v>46085.0</v>
      </c>
      <c r="L2492" s="292" t="s">
        <v>51</v>
      </c>
      <c r="N2492" s="143" t="s">
        <v>8685</v>
      </c>
      <c r="O2492" s="143" t="s">
        <v>8686</v>
      </c>
      <c r="P2492" s="587" t="s">
        <v>1432</v>
      </c>
    </row>
    <row r="2493" hidden="1">
      <c r="A2493" s="471">
        <v>15.0</v>
      </c>
      <c r="B2493" s="621" t="s">
        <v>8687</v>
      </c>
      <c r="C2493" s="471" t="s">
        <v>80</v>
      </c>
      <c r="D2493" s="471" t="s">
        <v>8688</v>
      </c>
      <c r="E2493" s="471" t="s">
        <v>8689</v>
      </c>
      <c r="F2493" s="471" t="s">
        <v>256</v>
      </c>
      <c r="G2493" s="525">
        <v>46026.0</v>
      </c>
      <c r="H2493" s="471">
        <v>16.0</v>
      </c>
      <c r="I2493" s="12" t="s">
        <v>2890</v>
      </c>
      <c r="J2493" s="756" t="s">
        <v>8690</v>
      </c>
      <c r="K2493" s="757">
        <v>46206.0</v>
      </c>
      <c r="L2493" s="292" t="s">
        <v>4195</v>
      </c>
      <c r="N2493" s="143" t="s">
        <v>8691</v>
      </c>
      <c r="O2493" s="726">
        <v>46330.0</v>
      </c>
      <c r="P2493" s="277" t="s">
        <v>7041</v>
      </c>
    </row>
    <row r="2494" hidden="1">
      <c r="A2494" s="471">
        <v>16.0</v>
      </c>
      <c r="B2494" s="470" t="s">
        <v>8692</v>
      </c>
      <c r="C2494" s="471" t="s">
        <v>1185</v>
      </c>
      <c r="D2494" s="471" t="s">
        <v>8693</v>
      </c>
      <c r="E2494" s="471" t="s">
        <v>8694</v>
      </c>
      <c r="F2494" s="471" t="s">
        <v>25</v>
      </c>
      <c r="G2494" s="525">
        <v>46085.0</v>
      </c>
      <c r="H2494" s="471">
        <v>18.0</v>
      </c>
      <c r="I2494" s="12" t="s">
        <v>2890</v>
      </c>
      <c r="J2494" s="143" t="s">
        <v>8680</v>
      </c>
      <c r="L2494" s="292" t="s">
        <v>374</v>
      </c>
      <c r="N2494" s="143" t="s">
        <v>8695</v>
      </c>
      <c r="O2494" s="292" t="s">
        <v>8696</v>
      </c>
      <c r="P2494" s="587" t="s">
        <v>1432</v>
      </c>
    </row>
    <row r="2495" hidden="1">
      <c r="A2495" s="471">
        <v>17.0</v>
      </c>
      <c r="B2495" s="470" t="s">
        <v>8697</v>
      </c>
      <c r="C2495" s="471" t="s">
        <v>1185</v>
      </c>
      <c r="D2495" s="471" t="s">
        <v>8698</v>
      </c>
      <c r="E2495" s="471" t="s">
        <v>8699</v>
      </c>
      <c r="F2495" s="471" t="s">
        <v>25</v>
      </c>
      <c r="G2495" s="525">
        <v>46116.0</v>
      </c>
      <c r="H2495" s="471">
        <v>19.0</v>
      </c>
      <c r="I2495" s="12" t="s">
        <v>2890</v>
      </c>
      <c r="J2495" s="143" t="s">
        <v>8690</v>
      </c>
      <c r="K2495" s="571">
        <v>46177.0</v>
      </c>
      <c r="L2495" s="292" t="s">
        <v>778</v>
      </c>
      <c r="O2495" s="143" t="s">
        <v>8700</v>
      </c>
      <c r="P2495" s="587" t="s">
        <v>1432</v>
      </c>
    </row>
    <row r="2496" hidden="1">
      <c r="A2496" s="471">
        <v>18.0</v>
      </c>
      <c r="B2496" s="470" t="s">
        <v>8701</v>
      </c>
      <c r="C2496" s="471" t="s">
        <v>80</v>
      </c>
      <c r="D2496" s="471" t="s">
        <v>8702</v>
      </c>
      <c r="E2496" s="471" t="s">
        <v>8703</v>
      </c>
      <c r="F2496" s="471" t="s">
        <v>8704</v>
      </c>
      <c r="G2496" s="525">
        <v>46057.0</v>
      </c>
      <c r="H2496" s="471"/>
      <c r="I2496" s="12" t="s">
        <v>2890</v>
      </c>
      <c r="J2496" s="756" t="s">
        <v>8690</v>
      </c>
      <c r="K2496" s="757">
        <v>46206.0</v>
      </c>
      <c r="L2496" s="292" t="s">
        <v>4195</v>
      </c>
      <c r="N2496" s="143" t="s">
        <v>8705</v>
      </c>
      <c r="O2496" s="143" t="s">
        <v>8706</v>
      </c>
      <c r="P2496" s="587" t="s">
        <v>1432</v>
      </c>
    </row>
    <row r="2497" hidden="1">
      <c r="A2497" s="471">
        <v>19.0</v>
      </c>
      <c r="B2497" s="470" t="s">
        <v>8707</v>
      </c>
      <c r="C2497" s="471" t="s">
        <v>5937</v>
      </c>
      <c r="D2497" s="471" t="s">
        <v>8708</v>
      </c>
      <c r="E2497" s="550" t="s">
        <v>8709</v>
      </c>
      <c r="F2497" s="471" t="s">
        <v>243</v>
      </c>
      <c r="G2497" s="525">
        <v>46057.0</v>
      </c>
      <c r="H2497" s="471">
        <v>17.0</v>
      </c>
      <c r="I2497" s="12" t="s">
        <v>2890</v>
      </c>
      <c r="J2497" s="143" t="s">
        <v>8710</v>
      </c>
      <c r="K2497" s="571">
        <v>46057.0</v>
      </c>
      <c r="L2497" s="292" t="s">
        <v>51</v>
      </c>
      <c r="O2497" s="143" t="s">
        <v>8042</v>
      </c>
      <c r="P2497" s="587" t="s">
        <v>1432</v>
      </c>
    </row>
    <row r="2498" hidden="1">
      <c r="A2498" s="471">
        <v>20.0</v>
      </c>
      <c r="B2498" s="470" t="s">
        <v>8711</v>
      </c>
      <c r="C2498" s="471" t="s">
        <v>5937</v>
      </c>
      <c r="D2498" s="471" t="s">
        <v>8712</v>
      </c>
      <c r="E2498" s="550" t="s">
        <v>8713</v>
      </c>
      <c r="F2498" s="471" t="s">
        <v>243</v>
      </c>
      <c r="G2498" s="525">
        <v>46057.0</v>
      </c>
      <c r="H2498" s="471">
        <v>17.0</v>
      </c>
      <c r="I2498" s="12" t="s">
        <v>2890</v>
      </c>
      <c r="J2498" s="143" t="s">
        <v>8710</v>
      </c>
      <c r="K2498" s="571">
        <v>46057.0</v>
      </c>
      <c r="L2498" s="292" t="s">
        <v>51</v>
      </c>
      <c r="O2498" s="143" t="s">
        <v>8042</v>
      </c>
      <c r="P2498" s="587" t="s">
        <v>1432</v>
      </c>
    </row>
    <row r="2499" hidden="1">
      <c r="A2499" s="471">
        <v>21.0</v>
      </c>
      <c r="B2499" s="470" t="s">
        <v>8714</v>
      </c>
      <c r="C2499" s="471" t="s">
        <v>80</v>
      </c>
      <c r="D2499" s="471" t="s">
        <v>8715</v>
      </c>
      <c r="E2499" s="755" t="s">
        <v>8716</v>
      </c>
      <c r="F2499" s="471" t="s">
        <v>3583</v>
      </c>
      <c r="G2499" s="471" t="s">
        <v>8450</v>
      </c>
      <c r="H2499" s="471">
        <v>13.0</v>
      </c>
      <c r="I2499" s="12" t="s">
        <v>2890</v>
      </c>
      <c r="J2499" s="143" t="s">
        <v>2541</v>
      </c>
      <c r="L2499" s="292" t="s">
        <v>778</v>
      </c>
      <c r="O2499" s="571">
        <v>46269.0</v>
      </c>
    </row>
    <row r="2500" hidden="1">
      <c r="A2500" s="471">
        <v>22.0</v>
      </c>
      <c r="B2500" s="470" t="s">
        <v>8717</v>
      </c>
      <c r="C2500" s="471" t="s">
        <v>80</v>
      </c>
      <c r="D2500" s="471" t="s">
        <v>8718</v>
      </c>
      <c r="E2500" s="550" t="s">
        <v>8719</v>
      </c>
      <c r="F2500" s="471" t="s">
        <v>6257</v>
      </c>
      <c r="G2500" s="525">
        <v>46116.0</v>
      </c>
      <c r="H2500" s="471">
        <v>19.0</v>
      </c>
      <c r="I2500" s="12" t="s">
        <v>2890</v>
      </c>
      <c r="J2500" s="143" t="s">
        <v>8720</v>
      </c>
      <c r="L2500" s="292" t="s">
        <v>374</v>
      </c>
      <c r="N2500" s="143" t="s">
        <v>8721</v>
      </c>
      <c r="O2500" s="292" t="s">
        <v>8042</v>
      </c>
      <c r="P2500" s="587" t="s">
        <v>1432</v>
      </c>
    </row>
    <row r="2501" hidden="1">
      <c r="A2501" s="471">
        <v>23.0</v>
      </c>
      <c r="B2501" s="470" t="s">
        <v>8722</v>
      </c>
      <c r="C2501" s="471" t="s">
        <v>80</v>
      </c>
      <c r="D2501" s="471" t="s">
        <v>8723</v>
      </c>
      <c r="E2501" s="550" t="s">
        <v>8724</v>
      </c>
      <c r="F2501" s="471" t="s">
        <v>6257</v>
      </c>
      <c r="G2501" s="525">
        <v>46116.0</v>
      </c>
      <c r="H2501" s="471">
        <v>19.0</v>
      </c>
      <c r="I2501" s="12" t="s">
        <v>2890</v>
      </c>
      <c r="J2501" s="143" t="s">
        <v>8720</v>
      </c>
      <c r="L2501" s="292" t="s">
        <v>374</v>
      </c>
      <c r="N2501" s="143" t="s">
        <v>8725</v>
      </c>
      <c r="O2501" s="292" t="s">
        <v>8696</v>
      </c>
      <c r="P2501" s="587" t="s">
        <v>1432</v>
      </c>
    </row>
    <row r="2502" hidden="1">
      <c r="A2502" s="471">
        <v>24.0</v>
      </c>
      <c r="B2502" s="470" t="s">
        <v>8726</v>
      </c>
      <c r="C2502" s="471" t="s">
        <v>80</v>
      </c>
      <c r="D2502" s="471" t="s">
        <v>8727</v>
      </c>
      <c r="E2502" s="471" t="s">
        <v>8728</v>
      </c>
      <c r="F2502" s="471" t="s">
        <v>8729</v>
      </c>
      <c r="G2502" s="525">
        <v>46146.0</v>
      </c>
      <c r="H2502" s="471">
        <v>20.0</v>
      </c>
      <c r="I2502" s="37" t="s">
        <v>8144</v>
      </c>
      <c r="L2502" s="492" t="s">
        <v>374</v>
      </c>
      <c r="N2502" s="143" t="s">
        <v>8730</v>
      </c>
      <c r="O2502" s="571">
        <v>46330.0</v>
      </c>
      <c r="P2502" s="587" t="s">
        <v>1432</v>
      </c>
    </row>
    <row r="2503" hidden="1">
      <c r="A2503" s="471">
        <v>25.0</v>
      </c>
      <c r="B2503" s="470" t="s">
        <v>8731</v>
      </c>
      <c r="C2503" s="471" t="s">
        <v>80</v>
      </c>
      <c r="D2503" s="471" t="s">
        <v>8732</v>
      </c>
      <c r="E2503" s="471" t="s">
        <v>8733</v>
      </c>
      <c r="F2503" s="471" t="s">
        <v>8734</v>
      </c>
      <c r="G2503" s="525">
        <v>46146.0</v>
      </c>
      <c r="H2503" s="471">
        <v>20.0</v>
      </c>
      <c r="I2503" s="12" t="s">
        <v>2890</v>
      </c>
      <c r="J2503" s="143" t="s">
        <v>8735</v>
      </c>
      <c r="K2503" s="571">
        <v>46207.0</v>
      </c>
      <c r="L2503" s="492" t="s">
        <v>51</v>
      </c>
      <c r="O2503" s="571">
        <v>46330.0</v>
      </c>
      <c r="P2503" s="587" t="s">
        <v>1432</v>
      </c>
    </row>
    <row r="2504" hidden="1">
      <c r="A2504" s="471">
        <v>26.0</v>
      </c>
      <c r="B2504" s="470" t="s">
        <v>8736</v>
      </c>
      <c r="C2504" s="471" t="s">
        <v>6368</v>
      </c>
      <c r="D2504" s="471" t="s">
        <v>8737</v>
      </c>
      <c r="E2504" s="471" t="s">
        <v>8738</v>
      </c>
      <c r="F2504" s="471" t="s">
        <v>6257</v>
      </c>
      <c r="G2504" s="525">
        <v>46085.0</v>
      </c>
      <c r="H2504" s="471">
        <v>18.0</v>
      </c>
      <c r="I2504" s="37" t="s">
        <v>8144</v>
      </c>
      <c r="J2504" s="143" t="s">
        <v>8652</v>
      </c>
      <c r="K2504" s="754">
        <v>46026.0</v>
      </c>
      <c r="L2504" s="492" t="s">
        <v>4195</v>
      </c>
      <c r="O2504" s="754">
        <v>46116.0</v>
      </c>
    </row>
    <row r="2505" hidden="1">
      <c r="A2505" s="471">
        <v>27.0</v>
      </c>
      <c r="B2505" s="470" t="s">
        <v>8739</v>
      </c>
      <c r="C2505" s="471" t="s">
        <v>80</v>
      </c>
      <c r="D2505" s="471" t="s">
        <v>8740</v>
      </c>
      <c r="E2505" s="755" t="s">
        <v>8741</v>
      </c>
      <c r="F2505" s="471" t="s">
        <v>3928</v>
      </c>
      <c r="G2505" s="471" t="s">
        <v>7747</v>
      </c>
      <c r="H2505" s="471">
        <v>15.0</v>
      </c>
      <c r="I2505" s="12" t="s">
        <v>2890</v>
      </c>
      <c r="L2505" s="292" t="s">
        <v>3099</v>
      </c>
      <c r="N2505" s="143" t="s">
        <v>8742</v>
      </c>
      <c r="O2505" s="571">
        <v>46269.0</v>
      </c>
    </row>
    <row r="2506" hidden="1">
      <c r="A2506" s="471">
        <v>28.0</v>
      </c>
      <c r="B2506" s="470" t="s">
        <v>8743</v>
      </c>
      <c r="C2506" s="471" t="s">
        <v>80</v>
      </c>
      <c r="D2506" s="471" t="s">
        <v>8744</v>
      </c>
      <c r="E2506" s="755" t="s">
        <v>8745</v>
      </c>
      <c r="F2506" s="471" t="s">
        <v>3928</v>
      </c>
      <c r="G2506" s="471" t="s">
        <v>7747</v>
      </c>
      <c r="H2506" s="471">
        <v>15.0</v>
      </c>
      <c r="I2506" s="12" t="s">
        <v>2890</v>
      </c>
      <c r="L2506" s="292" t="s">
        <v>3099</v>
      </c>
      <c r="N2506" s="143" t="s">
        <v>8742</v>
      </c>
      <c r="O2506" s="571">
        <v>46269.0</v>
      </c>
    </row>
    <row r="2507" hidden="1">
      <c r="A2507" s="471">
        <v>29.0</v>
      </c>
      <c r="B2507" s="470" t="s">
        <v>8746</v>
      </c>
      <c r="C2507" s="471" t="s">
        <v>80</v>
      </c>
      <c r="D2507" s="471" t="s">
        <v>8747</v>
      </c>
      <c r="E2507" s="755" t="s">
        <v>8748</v>
      </c>
      <c r="F2507" s="471" t="s">
        <v>3928</v>
      </c>
      <c r="G2507" s="471" t="s">
        <v>7747</v>
      </c>
      <c r="H2507" s="471">
        <v>15.0</v>
      </c>
      <c r="I2507" s="12" t="s">
        <v>2890</v>
      </c>
      <c r="L2507" s="292" t="s">
        <v>3099</v>
      </c>
      <c r="N2507" s="143" t="s">
        <v>8742</v>
      </c>
      <c r="O2507" s="571">
        <v>46269.0</v>
      </c>
    </row>
    <row r="2508" hidden="1">
      <c r="A2508" s="471">
        <v>30.0</v>
      </c>
      <c r="B2508" s="470" t="s">
        <v>8749</v>
      </c>
      <c r="C2508" s="471" t="s">
        <v>80</v>
      </c>
      <c r="D2508" s="471" t="s">
        <v>8750</v>
      </c>
      <c r="E2508" s="755" t="s">
        <v>8751</v>
      </c>
      <c r="F2508" s="471" t="s">
        <v>3928</v>
      </c>
      <c r="G2508" s="471" t="s">
        <v>7747</v>
      </c>
      <c r="H2508" s="471">
        <v>15.0</v>
      </c>
      <c r="I2508" s="12" t="s">
        <v>2890</v>
      </c>
      <c r="L2508" s="292" t="s">
        <v>3099</v>
      </c>
      <c r="N2508" s="143" t="s">
        <v>8742</v>
      </c>
      <c r="O2508" s="571">
        <v>46269.0</v>
      </c>
    </row>
    <row r="2509" hidden="1">
      <c r="A2509" s="471">
        <v>31.0</v>
      </c>
      <c r="B2509" s="470" t="s">
        <v>8752</v>
      </c>
      <c r="C2509" s="471" t="s">
        <v>80</v>
      </c>
      <c r="D2509" s="471" t="s">
        <v>8753</v>
      </c>
      <c r="E2509" s="755" t="s">
        <v>8754</v>
      </c>
      <c r="F2509" s="471" t="s">
        <v>3928</v>
      </c>
      <c r="G2509" s="471" t="s">
        <v>7747</v>
      </c>
      <c r="H2509" s="471">
        <v>15.0</v>
      </c>
      <c r="I2509" s="12" t="s">
        <v>2890</v>
      </c>
      <c r="L2509" s="292" t="s">
        <v>3099</v>
      </c>
      <c r="N2509" s="143" t="s">
        <v>8742</v>
      </c>
      <c r="O2509" s="571">
        <v>46269.0</v>
      </c>
    </row>
    <row r="2510" hidden="1">
      <c r="A2510" s="471">
        <v>32.0</v>
      </c>
      <c r="B2510" s="470" t="s">
        <v>8755</v>
      </c>
      <c r="C2510" s="471" t="s">
        <v>80</v>
      </c>
      <c r="D2510" s="471" t="s">
        <v>8756</v>
      </c>
      <c r="E2510" s="755" t="s">
        <v>8757</v>
      </c>
      <c r="F2510" s="471" t="s">
        <v>3928</v>
      </c>
      <c r="G2510" s="471" t="s">
        <v>7747</v>
      </c>
      <c r="H2510" s="471">
        <v>15.0</v>
      </c>
      <c r="I2510" s="12" t="s">
        <v>2890</v>
      </c>
      <c r="L2510" s="292" t="s">
        <v>3099</v>
      </c>
      <c r="N2510" s="143" t="s">
        <v>8742</v>
      </c>
      <c r="O2510" s="571">
        <v>46269.0</v>
      </c>
    </row>
    <row r="2511" hidden="1">
      <c r="A2511" s="471">
        <v>33.0</v>
      </c>
      <c r="B2511" s="470" t="s">
        <v>8758</v>
      </c>
      <c r="C2511" s="471" t="s">
        <v>80</v>
      </c>
      <c r="D2511" s="471" t="s">
        <v>8759</v>
      </c>
      <c r="E2511" s="755" t="s">
        <v>8760</v>
      </c>
      <c r="F2511" s="471" t="s">
        <v>3928</v>
      </c>
      <c r="G2511" s="471" t="s">
        <v>7747</v>
      </c>
      <c r="H2511" s="471">
        <v>15.0</v>
      </c>
      <c r="I2511" s="12" t="s">
        <v>2890</v>
      </c>
      <c r="L2511" s="292" t="s">
        <v>3099</v>
      </c>
      <c r="N2511" s="143" t="s">
        <v>8742</v>
      </c>
      <c r="O2511" s="571">
        <v>46269.0</v>
      </c>
    </row>
    <row r="2512" ht="15.75" hidden="1" customHeight="1">
      <c r="A2512" s="471">
        <v>34.0</v>
      </c>
      <c r="B2512" s="470" t="s">
        <v>8761</v>
      </c>
      <c r="C2512" s="471" t="s">
        <v>80</v>
      </c>
      <c r="D2512" s="471" t="s">
        <v>8762</v>
      </c>
      <c r="E2512" s="471" t="s">
        <v>8763</v>
      </c>
      <c r="F2512" s="471" t="s">
        <v>535</v>
      </c>
      <c r="G2512" s="525">
        <v>46146.0</v>
      </c>
      <c r="H2512" s="471">
        <v>20.0</v>
      </c>
      <c r="I2512" s="12" t="s">
        <v>2890</v>
      </c>
      <c r="J2512" s="143" t="s">
        <v>8764</v>
      </c>
      <c r="L2512" s="492" t="s">
        <v>374</v>
      </c>
      <c r="N2512" s="143" t="s">
        <v>8765</v>
      </c>
      <c r="O2512" s="143" t="s">
        <v>8042</v>
      </c>
      <c r="P2512" s="587" t="s">
        <v>1432</v>
      </c>
    </row>
    <row r="2513" hidden="1">
      <c r="A2513" s="471">
        <v>35.0</v>
      </c>
      <c r="B2513" s="470" t="s">
        <v>8766</v>
      </c>
      <c r="C2513" s="471" t="s">
        <v>1185</v>
      </c>
      <c r="D2513" s="471" t="s">
        <v>8767</v>
      </c>
      <c r="E2513" s="471" t="s">
        <v>8768</v>
      </c>
      <c r="F2513" s="471" t="s">
        <v>25</v>
      </c>
      <c r="G2513" s="471" t="s">
        <v>7747</v>
      </c>
      <c r="H2513" s="471">
        <v>15.0</v>
      </c>
      <c r="I2513" s="12" t="s">
        <v>2890</v>
      </c>
      <c r="J2513" s="143" t="s">
        <v>51</v>
      </c>
      <c r="K2513" s="571">
        <v>46057.0</v>
      </c>
      <c r="L2513" s="492" t="s">
        <v>51</v>
      </c>
      <c r="O2513" s="571">
        <v>46330.0</v>
      </c>
      <c r="P2513" s="587" t="s">
        <v>1432</v>
      </c>
    </row>
    <row r="2514" hidden="1">
      <c r="A2514" s="471">
        <v>36.0</v>
      </c>
      <c r="B2514" s="470" t="s">
        <v>8769</v>
      </c>
      <c r="C2514" s="471" t="s">
        <v>80</v>
      </c>
      <c r="D2514" s="471" t="s">
        <v>8770</v>
      </c>
      <c r="E2514" s="471" t="s">
        <v>8771</v>
      </c>
      <c r="F2514" s="471" t="s">
        <v>4603</v>
      </c>
      <c r="G2514" s="525">
        <v>46146.0</v>
      </c>
      <c r="H2514" s="471">
        <v>20.0</v>
      </c>
      <c r="I2514" s="12" t="s">
        <v>2890</v>
      </c>
      <c r="J2514" s="35" t="s">
        <v>8680</v>
      </c>
      <c r="K2514" s="758">
        <v>46206.0</v>
      </c>
      <c r="L2514" s="292" t="s">
        <v>4195</v>
      </c>
      <c r="O2514" s="143" t="s">
        <v>8772</v>
      </c>
      <c r="P2514" s="587" t="s">
        <v>1432</v>
      </c>
    </row>
    <row r="2515" hidden="1">
      <c r="A2515" s="471">
        <v>37.0</v>
      </c>
      <c r="B2515" s="470" t="s">
        <v>8773</v>
      </c>
      <c r="C2515" s="471" t="s">
        <v>8773</v>
      </c>
      <c r="D2515" s="471" t="s">
        <v>8774</v>
      </c>
      <c r="E2515" s="550" t="s">
        <v>8775</v>
      </c>
      <c r="F2515" s="471" t="s">
        <v>8776</v>
      </c>
      <c r="G2515" s="525">
        <v>46177.0</v>
      </c>
      <c r="H2515" s="471">
        <v>21.0</v>
      </c>
      <c r="I2515" s="12" t="s">
        <v>2890</v>
      </c>
      <c r="J2515" s="759" t="s">
        <v>8777</v>
      </c>
      <c r="K2515" s="758">
        <v>46206.0</v>
      </c>
      <c r="L2515" s="292" t="s">
        <v>4195</v>
      </c>
      <c r="N2515" s="143" t="s">
        <v>8625</v>
      </c>
      <c r="O2515" s="143" t="s">
        <v>8778</v>
      </c>
      <c r="P2515" s="587" t="s">
        <v>1432</v>
      </c>
    </row>
    <row r="2516" hidden="1">
      <c r="A2516" s="471">
        <v>38.0</v>
      </c>
      <c r="B2516" s="470" t="s">
        <v>8779</v>
      </c>
      <c r="C2516" s="471" t="s">
        <v>80</v>
      </c>
      <c r="D2516" s="471" t="s">
        <v>8780</v>
      </c>
      <c r="E2516" s="550" t="s">
        <v>8781</v>
      </c>
      <c r="F2516" s="471" t="s">
        <v>8776</v>
      </c>
      <c r="G2516" s="525">
        <v>46177.0</v>
      </c>
      <c r="H2516" s="471">
        <v>21.0</v>
      </c>
      <c r="I2516" s="12" t="s">
        <v>2890</v>
      </c>
      <c r="J2516" s="759" t="s">
        <v>8777</v>
      </c>
      <c r="K2516" s="758">
        <v>46206.0</v>
      </c>
      <c r="L2516" s="292" t="s">
        <v>4195</v>
      </c>
      <c r="N2516" s="143" t="s">
        <v>8625</v>
      </c>
      <c r="O2516" s="143" t="s">
        <v>8778</v>
      </c>
      <c r="P2516" s="587" t="s">
        <v>1432</v>
      </c>
    </row>
    <row r="2517" hidden="1">
      <c r="A2517" s="471">
        <v>39.0</v>
      </c>
      <c r="B2517" s="470" t="s">
        <v>8782</v>
      </c>
      <c r="C2517" s="471" t="s">
        <v>80</v>
      </c>
      <c r="D2517" s="471" t="s">
        <v>8783</v>
      </c>
      <c r="E2517" s="471" t="s">
        <v>8784</v>
      </c>
      <c r="F2517" s="471" t="s">
        <v>8785</v>
      </c>
      <c r="G2517" s="525">
        <v>46207.0</v>
      </c>
      <c r="H2517" s="471">
        <v>22.0</v>
      </c>
      <c r="I2517" s="12" t="s">
        <v>2890</v>
      </c>
      <c r="L2517" s="292" t="s">
        <v>374</v>
      </c>
      <c r="N2517" s="143" t="s">
        <v>8786</v>
      </c>
      <c r="O2517" s="571">
        <v>46269.0</v>
      </c>
    </row>
    <row r="2518" hidden="1">
      <c r="A2518" s="645"/>
      <c r="B2518" s="339" t="s">
        <v>8787</v>
      </c>
    </row>
    <row r="2519" hidden="1">
      <c r="A2519" s="670" t="s">
        <v>47</v>
      </c>
      <c r="B2519" s="670" t="s">
        <v>7</v>
      </c>
      <c r="C2519" s="670" t="s">
        <v>9</v>
      </c>
      <c r="D2519" s="670" t="s">
        <v>10</v>
      </c>
      <c r="E2519" s="670" t="s">
        <v>11</v>
      </c>
      <c r="F2519" s="670" t="s">
        <v>12</v>
      </c>
      <c r="G2519" s="670" t="s">
        <v>2378</v>
      </c>
      <c r="H2519" s="670" t="s">
        <v>2681</v>
      </c>
      <c r="I2519" s="4" t="s">
        <v>2847</v>
      </c>
      <c r="J2519" s="8" t="s">
        <v>14</v>
      </c>
      <c r="K2519" s="9" t="s">
        <v>16</v>
      </c>
      <c r="L2519" s="9" t="s">
        <v>4330</v>
      </c>
      <c r="M2519" s="9" t="s">
        <v>18</v>
      </c>
      <c r="N2519" s="9" t="s">
        <v>19</v>
      </c>
      <c r="O2519" s="9" t="s">
        <v>20</v>
      </c>
      <c r="P2519" s="9" t="s">
        <v>21</v>
      </c>
    </row>
    <row r="2520" hidden="1">
      <c r="A2520" s="760">
        <v>1.0</v>
      </c>
      <c r="B2520" s="601" t="s">
        <v>8788</v>
      </c>
      <c r="C2520" s="495" t="s">
        <v>80</v>
      </c>
      <c r="D2520" s="574" t="s">
        <v>8789</v>
      </c>
      <c r="E2520" s="574" t="s">
        <v>8790</v>
      </c>
      <c r="F2520" s="495" t="s">
        <v>207</v>
      </c>
      <c r="G2520" s="574" t="s">
        <v>7747</v>
      </c>
      <c r="H2520" s="574">
        <v>11.0</v>
      </c>
      <c r="I2520" s="495" t="s">
        <v>2890</v>
      </c>
      <c r="L2520" s="292" t="s">
        <v>374</v>
      </c>
      <c r="O2520" s="143" t="s">
        <v>8027</v>
      </c>
    </row>
    <row r="2521" hidden="1">
      <c r="A2521" s="760">
        <v>2.0</v>
      </c>
      <c r="B2521" s="601" t="s">
        <v>8791</v>
      </c>
      <c r="C2521" s="495" t="s">
        <v>80</v>
      </c>
      <c r="D2521" s="574" t="s">
        <v>8792</v>
      </c>
      <c r="E2521" s="574" t="s">
        <v>8793</v>
      </c>
      <c r="F2521" s="495" t="s">
        <v>928</v>
      </c>
      <c r="G2521" s="702">
        <v>46057.0</v>
      </c>
      <c r="H2521" s="574">
        <v>13.0</v>
      </c>
      <c r="I2521" s="495" t="s">
        <v>2890</v>
      </c>
      <c r="L2521" s="292" t="s">
        <v>51</v>
      </c>
      <c r="O2521" s="143" t="s">
        <v>8012</v>
      </c>
      <c r="P2521" s="587" t="s">
        <v>1432</v>
      </c>
    </row>
    <row r="2522" hidden="1">
      <c r="A2522" s="118">
        <v>3.0</v>
      </c>
      <c r="B2522" s="595" t="s">
        <v>8794</v>
      </c>
      <c r="C2522" s="12" t="s">
        <v>2307</v>
      </c>
      <c r="D2522" s="472" t="s">
        <v>8795</v>
      </c>
      <c r="E2522" s="472" t="s">
        <v>8796</v>
      </c>
      <c r="F2522" s="12" t="s">
        <v>8797</v>
      </c>
      <c r="G2522" s="472" t="s">
        <v>8249</v>
      </c>
      <c r="H2522" s="472">
        <v>4.0</v>
      </c>
      <c r="I2522" s="12" t="s">
        <v>2890</v>
      </c>
      <c r="J2522" s="143" t="s">
        <v>699</v>
      </c>
      <c r="K2522" s="143" t="s">
        <v>8798</v>
      </c>
      <c r="L2522" s="292" t="s">
        <v>8652</v>
      </c>
      <c r="O2522" s="571">
        <v>45508.0</v>
      </c>
      <c r="P2522" s="587" t="s">
        <v>1432</v>
      </c>
    </row>
    <row r="2523" hidden="1">
      <c r="A2523" s="118">
        <v>4.0</v>
      </c>
      <c r="B2523" s="595" t="s">
        <v>8799</v>
      </c>
      <c r="C2523" s="12" t="s">
        <v>2403</v>
      </c>
      <c r="D2523" s="472" t="s">
        <v>8800</v>
      </c>
      <c r="E2523" s="472" t="s">
        <v>8801</v>
      </c>
      <c r="F2523" s="12" t="s">
        <v>8802</v>
      </c>
      <c r="G2523" s="472" t="s">
        <v>7972</v>
      </c>
      <c r="H2523" s="472">
        <v>7.0</v>
      </c>
      <c r="I2523" s="12" t="s">
        <v>2890</v>
      </c>
      <c r="J2523" s="143" t="s">
        <v>4783</v>
      </c>
      <c r="K2523" s="143" t="s">
        <v>8798</v>
      </c>
      <c r="L2523" s="292" t="s">
        <v>8652</v>
      </c>
      <c r="O2523" s="571">
        <v>45508.0</v>
      </c>
      <c r="P2523" s="587" t="s">
        <v>1432</v>
      </c>
    </row>
    <row r="2524" hidden="1">
      <c r="A2524" s="118">
        <v>5.0</v>
      </c>
      <c r="B2524" s="595" t="s">
        <v>8803</v>
      </c>
      <c r="C2524" s="12" t="s">
        <v>2307</v>
      </c>
      <c r="D2524" s="472" t="s">
        <v>8804</v>
      </c>
      <c r="E2524" s="472" t="s">
        <v>8805</v>
      </c>
      <c r="F2524" s="12" t="s">
        <v>8802</v>
      </c>
      <c r="G2524" s="472" t="s">
        <v>7972</v>
      </c>
      <c r="H2524" s="472">
        <v>7.0</v>
      </c>
      <c r="I2524" s="12" t="s">
        <v>2890</v>
      </c>
      <c r="J2524" s="143" t="s">
        <v>4783</v>
      </c>
      <c r="K2524" s="143" t="s">
        <v>8798</v>
      </c>
      <c r="L2524" s="292" t="s">
        <v>8652</v>
      </c>
      <c r="O2524" s="571">
        <v>45508.0</v>
      </c>
      <c r="P2524" s="587" t="s">
        <v>1432</v>
      </c>
    </row>
    <row r="2525" hidden="1">
      <c r="A2525" s="118">
        <v>6.0</v>
      </c>
      <c r="B2525" s="595" t="s">
        <v>8806</v>
      </c>
      <c r="C2525" s="12" t="s">
        <v>5937</v>
      </c>
      <c r="D2525" s="472" t="s">
        <v>8807</v>
      </c>
      <c r="E2525" s="734" t="s">
        <v>8808</v>
      </c>
      <c r="F2525" s="12" t="s">
        <v>243</v>
      </c>
      <c r="G2525" s="474">
        <v>46057.0</v>
      </c>
      <c r="H2525" s="472">
        <v>13.0</v>
      </c>
      <c r="I2525" s="12" t="s">
        <v>2890</v>
      </c>
      <c r="L2525" s="292" t="s">
        <v>8652</v>
      </c>
      <c r="O2525" s="34" t="s">
        <v>7961</v>
      </c>
    </row>
    <row r="2526" hidden="1">
      <c r="A2526" s="118">
        <v>7.0</v>
      </c>
      <c r="B2526" s="595" t="s">
        <v>8809</v>
      </c>
      <c r="C2526" s="12" t="s">
        <v>5937</v>
      </c>
      <c r="D2526" s="472" t="s">
        <v>8810</v>
      </c>
      <c r="E2526" s="734" t="s">
        <v>8811</v>
      </c>
      <c r="F2526" s="12" t="s">
        <v>243</v>
      </c>
      <c r="G2526" s="474">
        <v>46057.0</v>
      </c>
      <c r="H2526" s="472">
        <v>13.0</v>
      </c>
      <c r="I2526" s="12" t="s">
        <v>2890</v>
      </c>
      <c r="L2526" s="292" t="s">
        <v>8652</v>
      </c>
      <c r="O2526" s="143" t="s">
        <v>7972</v>
      </c>
    </row>
    <row r="2527" hidden="1">
      <c r="A2527" s="118">
        <v>8.0</v>
      </c>
      <c r="B2527" s="595" t="s">
        <v>8812</v>
      </c>
      <c r="C2527" s="12" t="s">
        <v>2403</v>
      </c>
      <c r="D2527" s="472" t="s">
        <v>8813</v>
      </c>
      <c r="E2527" s="472" t="s">
        <v>8814</v>
      </c>
      <c r="F2527" s="12" t="s">
        <v>148</v>
      </c>
      <c r="G2527" s="472" t="s">
        <v>8450</v>
      </c>
      <c r="H2527" s="472">
        <v>9.0</v>
      </c>
      <c r="I2527" s="630" t="s">
        <v>3231</v>
      </c>
      <c r="J2527" s="35" t="s">
        <v>699</v>
      </c>
      <c r="K2527" s="758">
        <v>46238.0</v>
      </c>
      <c r="L2527" s="292" t="s">
        <v>8652</v>
      </c>
      <c r="N2527" s="143" t="s">
        <v>8815</v>
      </c>
      <c r="O2527" s="754">
        <v>46330.0</v>
      </c>
      <c r="P2527" s="587" t="s">
        <v>1432</v>
      </c>
    </row>
    <row r="2528" hidden="1">
      <c r="A2528" s="118">
        <v>9.0</v>
      </c>
      <c r="B2528" s="595" t="s">
        <v>8816</v>
      </c>
      <c r="C2528" s="12" t="s">
        <v>2307</v>
      </c>
      <c r="D2528" s="472" t="s">
        <v>8817</v>
      </c>
      <c r="E2528" s="472" t="s">
        <v>8818</v>
      </c>
      <c r="F2528" s="12" t="s">
        <v>8819</v>
      </c>
      <c r="G2528" s="472" t="s">
        <v>8450</v>
      </c>
      <c r="H2528" s="472">
        <v>9.0</v>
      </c>
      <c r="I2528" s="12" t="s">
        <v>2890</v>
      </c>
      <c r="J2528" s="143" t="s">
        <v>699</v>
      </c>
      <c r="K2528" s="143" t="s">
        <v>8798</v>
      </c>
      <c r="L2528" s="292" t="s">
        <v>8652</v>
      </c>
      <c r="N2528" s="143" t="s">
        <v>8815</v>
      </c>
      <c r="O2528" s="571">
        <v>46207.0</v>
      </c>
      <c r="P2528" s="587" t="s">
        <v>1432</v>
      </c>
    </row>
    <row r="2529" hidden="1">
      <c r="A2529" s="118">
        <v>10.0</v>
      </c>
      <c r="B2529" s="595" t="s">
        <v>8820</v>
      </c>
      <c r="C2529" s="12" t="s">
        <v>80</v>
      </c>
      <c r="D2529" s="472" t="s">
        <v>8821</v>
      </c>
      <c r="E2529" s="472" t="s">
        <v>8822</v>
      </c>
      <c r="F2529" s="12" t="s">
        <v>8823</v>
      </c>
      <c r="G2529" s="474">
        <v>46085.0</v>
      </c>
      <c r="H2529" s="472">
        <v>14.0</v>
      </c>
      <c r="I2529" s="12" t="s">
        <v>2890</v>
      </c>
      <c r="J2529" s="143" t="s">
        <v>8690</v>
      </c>
      <c r="K2529" s="571">
        <v>46177.0</v>
      </c>
      <c r="L2529" s="292" t="s">
        <v>51</v>
      </c>
      <c r="O2529" s="571">
        <v>46330.0</v>
      </c>
    </row>
    <row r="2530" hidden="1">
      <c r="A2530" s="118">
        <v>11.0</v>
      </c>
      <c r="B2530" s="595" t="s">
        <v>8824</v>
      </c>
      <c r="C2530" s="12" t="s">
        <v>80</v>
      </c>
      <c r="D2530" s="472" t="s">
        <v>8825</v>
      </c>
      <c r="E2530" s="472" t="s">
        <v>8826</v>
      </c>
      <c r="F2530" s="12" t="s">
        <v>4771</v>
      </c>
      <c r="G2530" s="474">
        <v>46177.0</v>
      </c>
      <c r="H2530" s="472">
        <v>17.0</v>
      </c>
      <c r="I2530" s="12" t="s">
        <v>2890</v>
      </c>
      <c r="J2530" s="35" t="s">
        <v>8680</v>
      </c>
      <c r="K2530" s="758">
        <v>46206.0</v>
      </c>
      <c r="L2530" s="292" t="s">
        <v>4195</v>
      </c>
      <c r="O2530" s="143" t="s">
        <v>8827</v>
      </c>
      <c r="P2530" s="587" t="s">
        <v>1432</v>
      </c>
    </row>
    <row r="2531" hidden="1">
      <c r="A2531" s="118">
        <v>12.0</v>
      </c>
      <c r="B2531" s="595" t="s">
        <v>8828</v>
      </c>
      <c r="C2531" s="12" t="s">
        <v>80</v>
      </c>
      <c r="D2531" s="472" t="s">
        <v>8829</v>
      </c>
      <c r="E2531" s="472" t="s">
        <v>8830</v>
      </c>
      <c r="F2531" s="12" t="s">
        <v>8831</v>
      </c>
      <c r="G2531" s="474">
        <v>46177.0</v>
      </c>
      <c r="H2531" s="472">
        <v>17.0</v>
      </c>
      <c r="I2531" s="12" t="s">
        <v>2890</v>
      </c>
      <c r="J2531" s="143" t="s">
        <v>8764</v>
      </c>
      <c r="L2531" s="492" t="s">
        <v>374</v>
      </c>
      <c r="N2531" s="143" t="s">
        <v>8660</v>
      </c>
      <c r="O2531" s="292" t="s">
        <v>8601</v>
      </c>
    </row>
    <row r="2532" hidden="1">
      <c r="A2532" s="118">
        <v>13.0</v>
      </c>
      <c r="B2532" s="595" t="s">
        <v>8832</v>
      </c>
      <c r="C2532" s="12" t="s">
        <v>80</v>
      </c>
      <c r="D2532" s="472" t="s">
        <v>8833</v>
      </c>
      <c r="E2532" s="472" t="s">
        <v>8834</v>
      </c>
      <c r="F2532" s="12" t="s">
        <v>2459</v>
      </c>
      <c r="G2532" s="474">
        <v>46207.0</v>
      </c>
      <c r="H2532" s="472">
        <v>18.0</v>
      </c>
      <c r="I2532" s="12" t="s">
        <v>2890</v>
      </c>
      <c r="J2532" s="143" t="s">
        <v>8680</v>
      </c>
      <c r="L2532" s="492" t="s">
        <v>51</v>
      </c>
      <c r="O2532" s="143" t="s">
        <v>8696</v>
      </c>
      <c r="P2532" s="587" t="s">
        <v>1432</v>
      </c>
    </row>
    <row r="2533" hidden="1">
      <c r="A2533" s="118">
        <v>14.0</v>
      </c>
      <c r="B2533" s="595" t="s">
        <v>8835</v>
      </c>
      <c r="C2533" s="12" t="s">
        <v>1185</v>
      </c>
      <c r="D2533" s="472" t="s">
        <v>8836</v>
      </c>
      <c r="E2533" s="472" t="s">
        <v>8837</v>
      </c>
      <c r="F2533" s="12" t="s">
        <v>2459</v>
      </c>
      <c r="G2533" s="474">
        <v>46207.0</v>
      </c>
      <c r="H2533" s="472">
        <v>18.0</v>
      </c>
      <c r="I2533" s="12" t="s">
        <v>2890</v>
      </c>
      <c r="J2533" s="759" t="s">
        <v>8838</v>
      </c>
      <c r="K2533" s="761">
        <v>46177.0</v>
      </c>
      <c r="L2533" s="492" t="s">
        <v>4195</v>
      </c>
      <c r="O2533" s="726">
        <v>46299.0</v>
      </c>
      <c r="P2533" s="587" t="s">
        <v>1432</v>
      </c>
    </row>
    <row r="2534" hidden="1">
      <c r="A2534" s="118">
        <v>15.0</v>
      </c>
      <c r="B2534" s="595" t="s">
        <v>8839</v>
      </c>
      <c r="C2534" s="12" t="s">
        <v>80</v>
      </c>
      <c r="D2534" s="472" t="s">
        <v>8840</v>
      </c>
      <c r="E2534" s="713" t="s">
        <v>8841</v>
      </c>
      <c r="F2534" s="12" t="s">
        <v>556</v>
      </c>
      <c r="G2534" s="474">
        <v>46207.0</v>
      </c>
      <c r="H2534" s="472">
        <v>18.0</v>
      </c>
      <c r="I2534" s="12" t="s">
        <v>2890</v>
      </c>
      <c r="L2534" s="492" t="s">
        <v>374</v>
      </c>
      <c r="N2534" s="143" t="s">
        <v>8842</v>
      </c>
      <c r="O2534" s="571">
        <v>46330.0</v>
      </c>
      <c r="P2534" s="587" t="s">
        <v>1432</v>
      </c>
    </row>
    <row r="2535" hidden="1">
      <c r="A2535" s="118">
        <v>16.0</v>
      </c>
      <c r="B2535" s="595" t="s">
        <v>8843</v>
      </c>
      <c r="C2535" s="12" t="s">
        <v>80</v>
      </c>
      <c r="D2535" s="472" t="s">
        <v>8844</v>
      </c>
      <c r="E2535" s="472" t="s">
        <v>8845</v>
      </c>
      <c r="F2535" s="12" t="s">
        <v>556</v>
      </c>
      <c r="G2535" s="474">
        <v>46207.0</v>
      </c>
      <c r="H2535" s="472">
        <v>18.0</v>
      </c>
      <c r="I2535" s="12" t="s">
        <v>2890</v>
      </c>
      <c r="J2535" s="143" t="s">
        <v>8846</v>
      </c>
      <c r="K2535" s="571">
        <v>46177.0</v>
      </c>
      <c r="L2535" s="492" t="s">
        <v>51</v>
      </c>
      <c r="O2535" s="143" t="s">
        <v>8042</v>
      </c>
      <c r="P2535" s="587" t="s">
        <v>1432</v>
      </c>
    </row>
    <row r="2536" hidden="1">
      <c r="A2536" s="118">
        <v>17.0</v>
      </c>
      <c r="B2536" s="595" t="s">
        <v>8847</v>
      </c>
      <c r="C2536" s="12" t="s">
        <v>80</v>
      </c>
      <c r="D2536" s="472" t="s">
        <v>8848</v>
      </c>
      <c r="E2536" s="713" t="s">
        <v>8849</v>
      </c>
      <c r="F2536" s="12" t="s">
        <v>556</v>
      </c>
      <c r="G2536" s="474">
        <v>46207.0</v>
      </c>
      <c r="H2536" s="472">
        <v>18.0</v>
      </c>
      <c r="I2536" s="12" t="s">
        <v>2890</v>
      </c>
      <c r="L2536" s="492" t="s">
        <v>374</v>
      </c>
      <c r="N2536" s="143" t="s">
        <v>8842</v>
      </c>
      <c r="O2536" s="571">
        <v>46330.0</v>
      </c>
      <c r="P2536" s="587" t="s">
        <v>1432</v>
      </c>
    </row>
    <row r="2537" hidden="1">
      <c r="A2537" s="118">
        <v>18.0</v>
      </c>
      <c r="B2537" s="595" t="s">
        <v>8850</v>
      </c>
      <c r="C2537" s="12" t="s">
        <v>1185</v>
      </c>
      <c r="D2537" s="472" t="s">
        <v>8851</v>
      </c>
      <c r="E2537" s="472" t="s">
        <v>8852</v>
      </c>
      <c r="F2537" s="12" t="s">
        <v>556</v>
      </c>
      <c r="G2537" s="474">
        <v>46207.0</v>
      </c>
      <c r="H2537" s="472">
        <v>18.0</v>
      </c>
      <c r="I2537" s="12" t="s">
        <v>2890</v>
      </c>
      <c r="J2537" s="759" t="s">
        <v>8853</v>
      </c>
      <c r="K2537" s="758">
        <v>46269.0</v>
      </c>
      <c r="L2537" s="492" t="s">
        <v>778</v>
      </c>
      <c r="O2537" s="143" t="s">
        <v>8854</v>
      </c>
      <c r="P2537" s="587" t="s">
        <v>1432</v>
      </c>
    </row>
    <row r="2538" hidden="1">
      <c r="A2538" s="118">
        <v>19.0</v>
      </c>
      <c r="B2538" s="595" t="s">
        <v>8855</v>
      </c>
      <c r="C2538" s="12" t="s">
        <v>80</v>
      </c>
      <c r="D2538" s="472" t="s">
        <v>8856</v>
      </c>
      <c r="E2538" s="713" t="s">
        <v>8857</v>
      </c>
      <c r="F2538" s="12" t="s">
        <v>510</v>
      </c>
      <c r="G2538" s="474">
        <v>46330.0</v>
      </c>
      <c r="H2538" s="596">
        <v>-9.0</v>
      </c>
      <c r="I2538" s="12" t="s">
        <v>2890</v>
      </c>
      <c r="J2538" s="143" t="s">
        <v>8735</v>
      </c>
      <c r="L2538" s="292" t="s">
        <v>51</v>
      </c>
      <c r="O2538" s="143" t="s">
        <v>8042</v>
      </c>
      <c r="P2538" s="587" t="s">
        <v>1432</v>
      </c>
    </row>
    <row r="2539" hidden="1">
      <c r="A2539" s="118">
        <v>20.0</v>
      </c>
      <c r="B2539" s="595" t="s">
        <v>8858</v>
      </c>
      <c r="C2539" s="12" t="s">
        <v>80</v>
      </c>
      <c r="D2539" s="472" t="s">
        <v>8859</v>
      </c>
      <c r="E2539" s="713" t="s">
        <v>8860</v>
      </c>
      <c r="F2539" s="12" t="s">
        <v>510</v>
      </c>
      <c r="G2539" s="474">
        <v>46330.0</v>
      </c>
      <c r="H2539" s="596">
        <v>-9.0</v>
      </c>
      <c r="I2539" s="12" t="s">
        <v>2890</v>
      </c>
      <c r="J2539" s="143" t="s">
        <v>8735</v>
      </c>
      <c r="L2539" s="292" t="s">
        <v>51</v>
      </c>
      <c r="O2539" s="143" t="s">
        <v>8042</v>
      </c>
      <c r="P2539" s="587" t="s">
        <v>1432</v>
      </c>
    </row>
    <row r="2540" hidden="1">
      <c r="A2540" s="118">
        <v>21.0</v>
      </c>
      <c r="B2540" s="595" t="s">
        <v>8861</v>
      </c>
      <c r="C2540" s="12" t="s">
        <v>80</v>
      </c>
      <c r="D2540" s="472" t="s">
        <v>8862</v>
      </c>
      <c r="E2540" s="762" t="s">
        <v>8863</v>
      </c>
      <c r="F2540" s="12" t="s">
        <v>4771</v>
      </c>
      <c r="G2540" s="474">
        <v>46207.0</v>
      </c>
      <c r="H2540" s="472">
        <v>18.0</v>
      </c>
      <c r="I2540" s="630" t="s">
        <v>5895</v>
      </c>
      <c r="J2540" s="143" t="s">
        <v>8864</v>
      </c>
      <c r="L2540" s="292" t="s">
        <v>374</v>
      </c>
      <c r="O2540" s="292" t="s">
        <v>8854</v>
      </c>
      <c r="P2540" s="587" t="s">
        <v>1432</v>
      </c>
    </row>
    <row r="2541" hidden="1">
      <c r="A2541" s="118">
        <v>22.0</v>
      </c>
      <c r="B2541" s="595" t="s">
        <v>8865</v>
      </c>
      <c r="C2541" s="12" t="s">
        <v>651</v>
      </c>
      <c r="D2541" s="472" t="s">
        <v>8866</v>
      </c>
      <c r="E2541" s="472" t="s">
        <v>8867</v>
      </c>
      <c r="F2541" s="12" t="s">
        <v>5436</v>
      </c>
      <c r="G2541" s="474">
        <v>46207.0</v>
      </c>
      <c r="H2541" s="472">
        <v>18.0</v>
      </c>
      <c r="I2541" s="12" t="s">
        <v>2890</v>
      </c>
      <c r="J2541" s="143" t="s">
        <v>8868</v>
      </c>
      <c r="K2541" s="571">
        <v>46237.0</v>
      </c>
      <c r="L2541" s="292" t="s">
        <v>51</v>
      </c>
      <c r="N2541" s="143" t="s">
        <v>8869</v>
      </c>
      <c r="O2541" s="143" t="s">
        <v>8870</v>
      </c>
    </row>
    <row r="2542" ht="16.5" hidden="1" customHeight="1">
      <c r="A2542" s="118">
        <v>23.0</v>
      </c>
      <c r="B2542" s="595" t="s">
        <v>8871</v>
      </c>
      <c r="C2542" s="12" t="s">
        <v>80</v>
      </c>
      <c r="D2542" s="472" t="s">
        <v>8872</v>
      </c>
      <c r="E2542" s="472" t="s">
        <v>8873</v>
      </c>
      <c r="F2542" s="12" t="s">
        <v>928</v>
      </c>
      <c r="G2542" s="474">
        <v>46207.0</v>
      </c>
      <c r="H2542" s="472">
        <v>18.0</v>
      </c>
      <c r="I2542" s="12" t="s">
        <v>2890</v>
      </c>
      <c r="J2542" s="143" t="s">
        <v>8868</v>
      </c>
      <c r="K2542" s="726">
        <v>46269.0</v>
      </c>
      <c r="L2542" s="292" t="s">
        <v>4195</v>
      </c>
      <c r="O2542" s="143" t="s">
        <v>8874</v>
      </c>
      <c r="P2542" s="587" t="s">
        <v>1432</v>
      </c>
    </row>
    <row r="2543" hidden="1">
      <c r="A2543" s="118">
        <v>24.0</v>
      </c>
      <c r="B2543" s="595" t="s">
        <v>8875</v>
      </c>
      <c r="C2543" s="12" t="s">
        <v>80</v>
      </c>
      <c r="D2543" s="472" t="s">
        <v>8876</v>
      </c>
      <c r="E2543" s="472" t="s">
        <v>8877</v>
      </c>
      <c r="F2543" s="12" t="s">
        <v>2599</v>
      </c>
      <c r="G2543" s="474">
        <v>46238.0</v>
      </c>
      <c r="H2543" s="472">
        <v>19.0</v>
      </c>
      <c r="I2543" s="12" t="s">
        <v>2890</v>
      </c>
      <c r="L2543" s="292" t="s">
        <v>374</v>
      </c>
      <c r="O2543" s="292" t="s">
        <v>8601</v>
      </c>
    </row>
    <row r="2544" hidden="1">
      <c r="A2544" s="118">
        <v>25.0</v>
      </c>
      <c r="B2544" s="595" t="s">
        <v>8878</v>
      </c>
      <c r="C2544" s="12" t="s">
        <v>80</v>
      </c>
      <c r="D2544" s="472" t="s">
        <v>8879</v>
      </c>
      <c r="E2544" s="472" t="s">
        <v>8880</v>
      </c>
      <c r="F2544" s="12" t="s">
        <v>8881</v>
      </c>
      <c r="G2544" s="474">
        <v>46238.0</v>
      </c>
      <c r="H2544" s="472">
        <v>19.0</v>
      </c>
      <c r="I2544" s="12" t="s">
        <v>2890</v>
      </c>
      <c r="J2544" s="143" t="s">
        <v>362</v>
      </c>
      <c r="K2544" s="571">
        <v>46207.0</v>
      </c>
      <c r="L2544" s="292" t="s">
        <v>51</v>
      </c>
      <c r="O2544" s="571">
        <v>46269.0</v>
      </c>
      <c r="P2544" s="587" t="s">
        <v>1432</v>
      </c>
    </row>
    <row r="2545" hidden="1">
      <c r="A2545" s="118">
        <v>26.0</v>
      </c>
      <c r="B2545" s="595" t="s">
        <v>8882</v>
      </c>
      <c r="C2545" s="12" t="s">
        <v>80</v>
      </c>
      <c r="D2545" s="472" t="s">
        <v>8883</v>
      </c>
      <c r="E2545" s="762" t="s">
        <v>8884</v>
      </c>
      <c r="F2545" s="12" t="s">
        <v>4771</v>
      </c>
      <c r="G2545" s="474">
        <v>46207.0</v>
      </c>
      <c r="H2545" s="472">
        <v>18.0</v>
      </c>
      <c r="I2545" s="12" t="s">
        <v>2890</v>
      </c>
      <c r="J2545" s="143" t="s">
        <v>8864</v>
      </c>
      <c r="L2545" s="292" t="s">
        <v>374</v>
      </c>
      <c r="O2545" s="292" t="s">
        <v>8854</v>
      </c>
      <c r="P2545" s="587" t="s">
        <v>1432</v>
      </c>
    </row>
    <row r="2546" hidden="1">
      <c r="A2546" s="118">
        <v>27.0</v>
      </c>
      <c r="B2546" s="597" t="s">
        <v>8885</v>
      </c>
      <c r="C2546" s="12" t="s">
        <v>80</v>
      </c>
      <c r="D2546" s="472" t="s">
        <v>8886</v>
      </c>
      <c r="E2546" s="472" t="s">
        <v>8887</v>
      </c>
      <c r="F2546" s="12" t="s">
        <v>8888</v>
      </c>
      <c r="G2546" s="474">
        <v>46085.0</v>
      </c>
      <c r="H2546" s="472">
        <v>14.0</v>
      </c>
      <c r="I2546" s="12" t="s">
        <v>2890</v>
      </c>
      <c r="J2546" s="35" t="s">
        <v>4195</v>
      </c>
      <c r="K2546" s="758">
        <v>46237.0</v>
      </c>
      <c r="L2546" s="492" t="s">
        <v>778</v>
      </c>
      <c r="N2546" s="143" t="s">
        <v>8146</v>
      </c>
      <c r="O2546" s="143" t="s">
        <v>8601</v>
      </c>
      <c r="P2546" s="587" t="s">
        <v>1432</v>
      </c>
    </row>
    <row r="2547" hidden="1">
      <c r="A2547" s="118">
        <v>28.0</v>
      </c>
      <c r="B2547" s="597" t="s">
        <v>8889</v>
      </c>
      <c r="C2547" s="12" t="s">
        <v>80</v>
      </c>
      <c r="D2547" s="472" t="s">
        <v>8890</v>
      </c>
      <c r="E2547" s="472" t="s">
        <v>8891</v>
      </c>
      <c r="F2547" s="12" t="s">
        <v>8888</v>
      </c>
      <c r="G2547" s="474">
        <v>46177.0</v>
      </c>
      <c r="H2547" s="472">
        <v>17.0</v>
      </c>
      <c r="I2547" s="12" t="s">
        <v>2890</v>
      </c>
      <c r="L2547" s="292" t="s">
        <v>374</v>
      </c>
      <c r="O2547" s="763">
        <v>46299.0</v>
      </c>
      <c r="P2547" s="587" t="s">
        <v>1432</v>
      </c>
    </row>
    <row r="2548" hidden="1">
      <c r="A2548" s="118">
        <v>29.0</v>
      </c>
      <c r="B2548" s="595" t="s">
        <v>8892</v>
      </c>
      <c r="C2548" s="12" t="s">
        <v>80</v>
      </c>
      <c r="D2548" s="472" t="s">
        <v>8893</v>
      </c>
      <c r="E2548" s="713" t="s">
        <v>8894</v>
      </c>
      <c r="F2548" s="12" t="s">
        <v>556</v>
      </c>
      <c r="G2548" s="474">
        <v>46238.0</v>
      </c>
      <c r="H2548" s="472">
        <v>19.0</v>
      </c>
      <c r="I2548" s="12" t="s">
        <v>2890</v>
      </c>
      <c r="J2548" s="143" t="s">
        <v>8895</v>
      </c>
      <c r="K2548" s="726">
        <v>46299.0</v>
      </c>
      <c r="L2548" s="292" t="s">
        <v>4195</v>
      </c>
      <c r="N2548" s="143" t="s">
        <v>8146</v>
      </c>
      <c r="O2548" s="143" t="s">
        <v>8896</v>
      </c>
      <c r="P2548" s="587" t="s">
        <v>1432</v>
      </c>
    </row>
    <row r="2549" hidden="1">
      <c r="A2549" s="118">
        <v>30.0</v>
      </c>
      <c r="B2549" s="595" t="s">
        <v>8897</v>
      </c>
      <c r="C2549" s="12" t="s">
        <v>80</v>
      </c>
      <c r="D2549" s="472" t="s">
        <v>8898</v>
      </c>
      <c r="E2549" s="713" t="s">
        <v>8899</v>
      </c>
      <c r="F2549" s="12" t="s">
        <v>556</v>
      </c>
      <c r="G2549" s="474">
        <v>46238.0</v>
      </c>
      <c r="H2549" s="472">
        <v>19.0</v>
      </c>
      <c r="I2549" s="12" t="s">
        <v>2890</v>
      </c>
      <c r="J2549" s="143" t="s">
        <v>8895</v>
      </c>
      <c r="K2549" s="726">
        <v>46299.0</v>
      </c>
      <c r="L2549" s="292" t="s">
        <v>4195</v>
      </c>
      <c r="O2549" s="143" t="s">
        <v>8896</v>
      </c>
      <c r="P2549" s="587" t="s">
        <v>1432</v>
      </c>
    </row>
    <row r="2550" hidden="1">
      <c r="A2550" s="118">
        <v>31.0</v>
      </c>
      <c r="B2550" s="595" t="s">
        <v>8900</v>
      </c>
      <c r="C2550" s="12" t="s">
        <v>80</v>
      </c>
      <c r="D2550" s="472" t="s">
        <v>8901</v>
      </c>
      <c r="E2550" s="472" t="s">
        <v>8902</v>
      </c>
      <c r="F2550" s="12" t="s">
        <v>8903</v>
      </c>
      <c r="G2550" s="474">
        <v>46269.0</v>
      </c>
      <c r="H2550" s="472">
        <v>20.0</v>
      </c>
      <c r="I2550" s="12" t="s">
        <v>2890</v>
      </c>
      <c r="J2550" s="143" t="s">
        <v>362</v>
      </c>
      <c r="K2550" s="571">
        <v>46299.0</v>
      </c>
      <c r="L2550" s="292" t="s">
        <v>51</v>
      </c>
      <c r="O2550" s="571">
        <v>46330.0</v>
      </c>
    </row>
    <row r="2551" hidden="1">
      <c r="A2551" s="118">
        <v>32.0</v>
      </c>
      <c r="B2551" s="595" t="s">
        <v>8904</v>
      </c>
      <c r="C2551" s="12" t="s">
        <v>80</v>
      </c>
      <c r="D2551" s="472" t="s">
        <v>8905</v>
      </c>
      <c r="E2551" s="764" t="s">
        <v>8906</v>
      </c>
      <c r="F2551" s="12" t="s">
        <v>5809</v>
      </c>
      <c r="G2551" s="474">
        <v>46085.0</v>
      </c>
      <c r="H2551" s="472">
        <v>14.0</v>
      </c>
      <c r="I2551" s="12" t="s">
        <v>2890</v>
      </c>
      <c r="L2551" s="292" t="s">
        <v>3099</v>
      </c>
      <c r="O2551" s="571">
        <v>46238.0</v>
      </c>
    </row>
    <row r="2552" hidden="1">
      <c r="A2552" s="118">
        <v>33.0</v>
      </c>
      <c r="B2552" s="595" t="s">
        <v>8907</v>
      </c>
      <c r="C2552" s="12" t="s">
        <v>80</v>
      </c>
      <c r="D2552" s="472" t="s">
        <v>8908</v>
      </c>
      <c r="E2552" s="764" t="s">
        <v>8909</v>
      </c>
      <c r="F2552" s="12" t="s">
        <v>5809</v>
      </c>
      <c r="G2552" s="474">
        <v>46085.0</v>
      </c>
      <c r="H2552" s="472">
        <v>14.0</v>
      </c>
      <c r="I2552" s="12" t="s">
        <v>2890</v>
      </c>
      <c r="L2552" s="292" t="s">
        <v>3099</v>
      </c>
      <c r="O2552" s="571">
        <v>46238.0</v>
      </c>
    </row>
    <row r="2553" hidden="1">
      <c r="A2553" s="118">
        <v>34.0</v>
      </c>
      <c r="B2553" s="595" t="s">
        <v>8910</v>
      </c>
      <c r="C2553" s="12" t="s">
        <v>80</v>
      </c>
      <c r="D2553" s="472" t="s">
        <v>8911</v>
      </c>
      <c r="E2553" s="764" t="s">
        <v>8912</v>
      </c>
      <c r="F2553" s="12" t="s">
        <v>5809</v>
      </c>
      <c r="G2553" s="474">
        <v>46085.0</v>
      </c>
      <c r="H2553" s="472">
        <v>14.0</v>
      </c>
      <c r="I2553" s="37" t="s">
        <v>3465</v>
      </c>
      <c r="L2553" s="292" t="s">
        <v>3099</v>
      </c>
      <c r="O2553" s="571">
        <v>46238.0</v>
      </c>
    </row>
    <row r="2554" hidden="1">
      <c r="A2554" s="118">
        <v>35.0</v>
      </c>
      <c r="B2554" s="595" t="s">
        <v>8913</v>
      </c>
      <c r="C2554" s="12" t="s">
        <v>80</v>
      </c>
      <c r="D2554" s="472" t="s">
        <v>8914</v>
      </c>
      <c r="E2554" s="764" t="s">
        <v>8915</v>
      </c>
      <c r="F2554" s="12" t="s">
        <v>5809</v>
      </c>
      <c r="G2554" s="474">
        <v>46085.0</v>
      </c>
      <c r="H2554" s="472">
        <v>14.0</v>
      </c>
      <c r="I2554" s="12" t="s">
        <v>2890</v>
      </c>
      <c r="L2554" s="292" t="s">
        <v>3099</v>
      </c>
      <c r="O2554" s="571">
        <v>46238.0</v>
      </c>
    </row>
    <row r="2555" hidden="1">
      <c r="A2555" s="118">
        <v>36.0</v>
      </c>
      <c r="B2555" s="595" t="s">
        <v>8916</v>
      </c>
      <c r="C2555" s="12" t="s">
        <v>80</v>
      </c>
      <c r="D2555" s="472" t="s">
        <v>8917</v>
      </c>
      <c r="E2555" s="764" t="s">
        <v>8918</v>
      </c>
      <c r="F2555" s="12" t="s">
        <v>5809</v>
      </c>
      <c r="G2555" s="474">
        <v>46085.0</v>
      </c>
      <c r="H2555" s="472">
        <v>14.0</v>
      </c>
      <c r="I2555" s="630" t="s">
        <v>3231</v>
      </c>
      <c r="L2555" s="292" t="s">
        <v>3099</v>
      </c>
      <c r="O2555" s="571">
        <v>46238.0</v>
      </c>
    </row>
    <row r="2556" hidden="1">
      <c r="A2556" s="118">
        <v>37.0</v>
      </c>
      <c r="B2556" s="595" t="s">
        <v>8919</v>
      </c>
      <c r="C2556" s="12" t="s">
        <v>1185</v>
      </c>
      <c r="D2556" s="472" t="s">
        <v>8920</v>
      </c>
      <c r="E2556" s="764" t="s">
        <v>8921</v>
      </c>
      <c r="F2556" s="12" t="s">
        <v>3583</v>
      </c>
      <c r="G2556" s="474">
        <v>46145.0</v>
      </c>
      <c r="H2556" s="596">
        <v>-15.0</v>
      </c>
      <c r="I2556" s="12" t="s">
        <v>2890</v>
      </c>
      <c r="J2556" s="143" t="s">
        <v>2541</v>
      </c>
      <c r="L2556" s="292" t="s">
        <v>778</v>
      </c>
      <c r="O2556" s="571">
        <v>46269.0</v>
      </c>
    </row>
    <row r="2557" hidden="1">
      <c r="A2557" s="118">
        <v>38.0</v>
      </c>
      <c r="B2557" s="595" t="s">
        <v>8922</v>
      </c>
      <c r="C2557" s="12" t="s">
        <v>80</v>
      </c>
      <c r="D2557" s="472" t="s">
        <v>8923</v>
      </c>
      <c r="E2557" s="764" t="s">
        <v>8924</v>
      </c>
      <c r="F2557" s="12" t="s">
        <v>3583</v>
      </c>
      <c r="G2557" s="474">
        <v>46145.0</v>
      </c>
      <c r="H2557" s="596">
        <v>-15.0</v>
      </c>
      <c r="I2557" s="630" t="s">
        <v>5141</v>
      </c>
      <c r="J2557" s="143" t="s">
        <v>2541</v>
      </c>
      <c r="L2557" s="292" t="s">
        <v>778</v>
      </c>
      <c r="O2557" s="571">
        <v>46269.0</v>
      </c>
    </row>
    <row r="2558" hidden="1">
      <c r="A2558" s="118">
        <v>39.0</v>
      </c>
      <c r="B2558" s="595" t="s">
        <v>8925</v>
      </c>
      <c r="C2558" s="12" t="s">
        <v>1185</v>
      </c>
      <c r="D2558" s="472" t="s">
        <v>8926</v>
      </c>
      <c r="E2558" s="764" t="s">
        <v>8927</v>
      </c>
      <c r="F2558" s="12" t="s">
        <v>3583</v>
      </c>
      <c r="G2558" s="474">
        <v>46116.0</v>
      </c>
      <c r="H2558" s="472">
        <v>15.0</v>
      </c>
      <c r="I2558" s="12" t="s">
        <v>2890</v>
      </c>
      <c r="J2558" s="143" t="s">
        <v>2541</v>
      </c>
      <c r="L2558" s="292" t="s">
        <v>778</v>
      </c>
      <c r="O2558" s="571">
        <v>46269.0</v>
      </c>
    </row>
    <row r="2559" hidden="1">
      <c r="A2559" s="118">
        <v>40.0</v>
      </c>
      <c r="B2559" s="595" t="s">
        <v>8928</v>
      </c>
      <c r="C2559" s="12" t="s">
        <v>1185</v>
      </c>
      <c r="D2559" s="472" t="s">
        <v>8929</v>
      </c>
      <c r="E2559" s="764" t="s">
        <v>8930</v>
      </c>
      <c r="F2559" s="12" t="s">
        <v>3583</v>
      </c>
      <c r="G2559" s="474">
        <v>46116.0</v>
      </c>
      <c r="H2559" s="472">
        <v>15.0</v>
      </c>
      <c r="I2559" s="37" t="s">
        <v>3465</v>
      </c>
      <c r="J2559" s="143" t="s">
        <v>2541</v>
      </c>
      <c r="L2559" s="292" t="s">
        <v>778</v>
      </c>
      <c r="O2559" s="143" t="s">
        <v>8042</v>
      </c>
    </row>
    <row r="2560" hidden="1">
      <c r="A2560" s="645"/>
      <c r="B2560" s="339" t="s">
        <v>8931</v>
      </c>
    </row>
    <row r="2561" hidden="1">
      <c r="A2561" s="471">
        <v>13.0</v>
      </c>
      <c r="L2561" s="140"/>
    </row>
    <row r="2562" hidden="1">
      <c r="A2562" s="670" t="s">
        <v>47</v>
      </c>
      <c r="B2562" s="670" t="s">
        <v>7</v>
      </c>
      <c r="C2562" s="670" t="s">
        <v>9</v>
      </c>
      <c r="D2562" s="670" t="s">
        <v>10</v>
      </c>
      <c r="E2562" s="670" t="s">
        <v>11</v>
      </c>
      <c r="F2562" s="670" t="s">
        <v>12</v>
      </c>
      <c r="G2562" s="670" t="s">
        <v>2378</v>
      </c>
      <c r="H2562" s="670" t="s">
        <v>2681</v>
      </c>
      <c r="I2562" s="4" t="s">
        <v>2847</v>
      </c>
      <c r="J2562" s="8" t="s">
        <v>14</v>
      </c>
      <c r="K2562" s="9" t="s">
        <v>16</v>
      </c>
      <c r="L2562" s="9" t="s">
        <v>4330</v>
      </c>
      <c r="M2562" s="9" t="s">
        <v>18</v>
      </c>
      <c r="N2562" s="9" t="s">
        <v>19</v>
      </c>
      <c r="O2562" s="9" t="s">
        <v>20</v>
      </c>
      <c r="P2562" s="9" t="s">
        <v>21</v>
      </c>
    </row>
    <row r="2563" hidden="1">
      <c r="A2563" s="526">
        <v>1.0</v>
      </c>
      <c r="B2563" s="527" t="s">
        <v>8932</v>
      </c>
      <c r="C2563" s="526" t="s">
        <v>80</v>
      </c>
      <c r="D2563" s="526" t="s">
        <v>8933</v>
      </c>
      <c r="E2563" s="526" t="s">
        <v>8934</v>
      </c>
      <c r="F2563" s="526" t="s">
        <v>8935</v>
      </c>
      <c r="G2563" s="528">
        <v>46026.0</v>
      </c>
      <c r="H2563" s="526">
        <v>9.0</v>
      </c>
      <c r="I2563" s="355"/>
      <c r="L2563" s="292" t="s">
        <v>4195</v>
      </c>
      <c r="O2563" s="143" t="s">
        <v>8012</v>
      </c>
      <c r="P2563" s="587" t="s">
        <v>1432</v>
      </c>
    </row>
    <row r="2564" hidden="1">
      <c r="A2564" s="471">
        <v>2.0</v>
      </c>
      <c r="B2564" s="470" t="s">
        <v>8936</v>
      </c>
      <c r="C2564" s="647"/>
      <c r="D2564" s="471" t="s">
        <v>8937</v>
      </c>
      <c r="E2564" s="471" t="s">
        <v>8938</v>
      </c>
      <c r="F2564" s="647"/>
      <c r="G2564" s="647"/>
      <c r="H2564" s="647"/>
      <c r="I2564" s="355"/>
      <c r="L2564" s="292" t="s">
        <v>374</v>
      </c>
      <c r="N2564" s="143" t="s">
        <v>8939</v>
      </c>
      <c r="O2564" s="143" t="s">
        <v>7864</v>
      </c>
    </row>
    <row r="2565" hidden="1">
      <c r="A2565" s="471">
        <v>3.0</v>
      </c>
      <c r="B2565" s="470" t="s">
        <v>8940</v>
      </c>
      <c r="C2565" s="471" t="s">
        <v>80</v>
      </c>
      <c r="D2565" s="471" t="s">
        <v>8941</v>
      </c>
      <c r="E2565" s="471" t="s">
        <v>8942</v>
      </c>
      <c r="F2565" s="471" t="s">
        <v>3184</v>
      </c>
      <c r="G2565" s="525">
        <v>46330.0</v>
      </c>
      <c r="H2565" s="471">
        <v>19.0</v>
      </c>
      <c r="I2565" s="355"/>
      <c r="J2565" s="143" t="s">
        <v>8943</v>
      </c>
      <c r="K2565" s="726">
        <v>46299.0</v>
      </c>
      <c r="L2565" s="292" t="s">
        <v>4195</v>
      </c>
      <c r="O2565" s="143" t="s">
        <v>8944</v>
      </c>
      <c r="P2565" s="587" t="s">
        <v>1432</v>
      </c>
    </row>
    <row r="2566" hidden="1">
      <c r="A2566" s="471">
        <v>4.0</v>
      </c>
      <c r="B2566" s="470" t="s">
        <v>8945</v>
      </c>
      <c r="C2566" s="471" t="s">
        <v>1185</v>
      </c>
      <c r="D2566" s="471" t="s">
        <v>8946</v>
      </c>
      <c r="E2566" s="471" t="s">
        <v>8947</v>
      </c>
      <c r="F2566" s="471" t="s">
        <v>8948</v>
      </c>
      <c r="G2566" s="525">
        <v>46330.0</v>
      </c>
      <c r="H2566" s="471">
        <v>19.0</v>
      </c>
      <c r="I2566" s="355"/>
      <c r="L2566" s="292" t="s">
        <v>374</v>
      </c>
      <c r="O2566" s="292" t="s">
        <v>8949</v>
      </c>
      <c r="P2566" s="587" t="s">
        <v>1432</v>
      </c>
    </row>
    <row r="2567" hidden="1">
      <c r="A2567" s="471">
        <v>5.0</v>
      </c>
      <c r="B2567" s="470" t="s">
        <v>8950</v>
      </c>
      <c r="C2567" s="471" t="s">
        <v>1058</v>
      </c>
      <c r="D2567" s="471" t="s">
        <v>8951</v>
      </c>
      <c r="E2567" s="550" t="s">
        <v>8952</v>
      </c>
      <c r="F2567" s="471" t="s">
        <v>8953</v>
      </c>
      <c r="G2567" s="525">
        <v>46269.0</v>
      </c>
      <c r="H2567" s="471">
        <v>17.0</v>
      </c>
      <c r="I2567" s="355"/>
      <c r="J2567" s="143" t="s">
        <v>8868</v>
      </c>
      <c r="K2567" s="571">
        <v>46238.0</v>
      </c>
      <c r="L2567" s="292" t="s">
        <v>51</v>
      </c>
      <c r="N2567" s="143" t="s">
        <v>8954</v>
      </c>
      <c r="O2567" s="143" t="s">
        <v>8686</v>
      </c>
    </row>
    <row r="2568" hidden="1">
      <c r="A2568" s="471">
        <v>6.0</v>
      </c>
      <c r="B2568" s="470" t="s">
        <v>8955</v>
      </c>
      <c r="C2568" s="471" t="s">
        <v>1058</v>
      </c>
      <c r="D2568" s="471" t="s">
        <v>8956</v>
      </c>
      <c r="E2568" s="550" t="s">
        <v>8957</v>
      </c>
      <c r="F2568" s="471" t="s">
        <v>8953</v>
      </c>
      <c r="G2568" s="525">
        <v>46269.0</v>
      </c>
      <c r="H2568" s="471">
        <v>17.0</v>
      </c>
      <c r="I2568" s="355"/>
      <c r="J2568" s="143" t="s">
        <v>8868</v>
      </c>
      <c r="K2568" s="571">
        <v>46238.0</v>
      </c>
      <c r="L2568" s="292" t="s">
        <v>51</v>
      </c>
      <c r="N2568" s="143" t="s">
        <v>8954</v>
      </c>
      <c r="O2568" s="143" t="s">
        <v>8686</v>
      </c>
    </row>
    <row r="2569" hidden="1">
      <c r="A2569" s="471">
        <v>7.0</v>
      </c>
      <c r="B2569" s="470" t="s">
        <v>8958</v>
      </c>
      <c r="C2569" s="471" t="s">
        <v>1185</v>
      </c>
      <c r="D2569" s="471" t="s">
        <v>8959</v>
      </c>
      <c r="E2569" s="471" t="s">
        <v>8960</v>
      </c>
      <c r="F2569" s="471" t="s">
        <v>25</v>
      </c>
      <c r="G2569" s="525">
        <v>46360.0</v>
      </c>
      <c r="H2569" s="471">
        <v>20.0</v>
      </c>
      <c r="I2569" s="355"/>
      <c r="J2569" s="143" t="s">
        <v>8764</v>
      </c>
      <c r="K2569" s="143" t="s">
        <v>8042</v>
      </c>
      <c r="L2569" s="292" t="s">
        <v>51</v>
      </c>
      <c r="O2569" s="143" t="s">
        <v>8686</v>
      </c>
      <c r="P2569" s="587" t="s">
        <v>1432</v>
      </c>
    </row>
    <row r="2570" hidden="1">
      <c r="A2570" s="471">
        <v>8.0</v>
      </c>
      <c r="B2570" s="470" t="s">
        <v>8961</v>
      </c>
      <c r="C2570" s="471" t="s">
        <v>80</v>
      </c>
      <c r="D2570" s="471" t="s">
        <v>8962</v>
      </c>
      <c r="E2570" s="471" t="s">
        <v>8963</v>
      </c>
      <c r="F2570" s="471" t="s">
        <v>8964</v>
      </c>
      <c r="G2570" s="525">
        <v>46299.0</v>
      </c>
      <c r="H2570" s="471">
        <v>18.0</v>
      </c>
      <c r="I2570" s="355"/>
      <c r="J2570" s="143" t="s">
        <v>8965</v>
      </c>
      <c r="K2570" s="700" t="s">
        <v>8966</v>
      </c>
      <c r="L2570" s="292" t="s">
        <v>4195</v>
      </c>
      <c r="O2570" s="143" t="s">
        <v>8944</v>
      </c>
    </row>
    <row r="2571" hidden="1">
      <c r="A2571" s="471">
        <v>9.0</v>
      </c>
      <c r="B2571" s="621" t="s">
        <v>8967</v>
      </c>
      <c r="C2571" s="471" t="s">
        <v>80</v>
      </c>
      <c r="D2571" s="471" t="s">
        <v>8968</v>
      </c>
      <c r="E2571" s="471" t="s">
        <v>8969</v>
      </c>
      <c r="F2571" s="471" t="s">
        <v>8970</v>
      </c>
      <c r="G2571" s="525">
        <v>46299.0</v>
      </c>
      <c r="H2571" s="471">
        <v>18.0</v>
      </c>
      <c r="I2571" s="355"/>
      <c r="L2571" s="492" t="s">
        <v>778</v>
      </c>
      <c r="O2571" s="143" t="s">
        <v>8949</v>
      </c>
      <c r="P2571" s="765" t="s">
        <v>8971</v>
      </c>
    </row>
    <row r="2572" hidden="1">
      <c r="A2572" s="471">
        <v>10.0</v>
      </c>
      <c r="B2572" s="470" t="s">
        <v>8972</v>
      </c>
      <c r="C2572" s="471" t="s">
        <v>651</v>
      </c>
      <c r="D2572" s="471" t="s">
        <v>8973</v>
      </c>
      <c r="E2572" s="471" t="s">
        <v>8974</v>
      </c>
      <c r="F2572" s="471" t="s">
        <v>8975</v>
      </c>
      <c r="G2572" s="525">
        <v>46299.0</v>
      </c>
      <c r="H2572" s="471">
        <v>18.0</v>
      </c>
      <c r="I2572" s="355"/>
      <c r="J2572" s="143" t="s">
        <v>8864</v>
      </c>
      <c r="K2572" s="571">
        <v>46269.0</v>
      </c>
      <c r="L2572" s="492" t="s">
        <v>778</v>
      </c>
      <c r="O2572" s="143" t="s">
        <v>8686</v>
      </c>
      <c r="P2572" s="587" t="s">
        <v>1432</v>
      </c>
    </row>
    <row r="2573" hidden="1">
      <c r="A2573" s="471">
        <v>11.0</v>
      </c>
      <c r="B2573" s="621" t="s">
        <v>8976</v>
      </c>
      <c r="C2573" s="471" t="s">
        <v>80</v>
      </c>
      <c r="D2573" s="471" t="s">
        <v>8977</v>
      </c>
      <c r="E2573" s="471" t="s">
        <v>8978</v>
      </c>
      <c r="F2573" s="471" t="s">
        <v>8325</v>
      </c>
      <c r="G2573" s="525">
        <v>46269.0</v>
      </c>
      <c r="H2573" s="471">
        <v>17.0</v>
      </c>
      <c r="I2573" s="355"/>
      <c r="J2573" s="143" t="s">
        <v>8943</v>
      </c>
      <c r="K2573" s="726">
        <v>46330.0</v>
      </c>
      <c r="L2573" s="492" t="s">
        <v>4195</v>
      </c>
      <c r="O2573" s="143" t="s">
        <v>8979</v>
      </c>
      <c r="P2573" s="587" t="s">
        <v>1432</v>
      </c>
    </row>
    <row r="2574" hidden="1">
      <c r="A2574" s="471">
        <v>12.0</v>
      </c>
      <c r="B2574" s="470" t="s">
        <v>8980</v>
      </c>
      <c r="C2574" s="471" t="s">
        <v>80</v>
      </c>
      <c r="D2574" s="471" t="s">
        <v>8981</v>
      </c>
      <c r="E2574" s="471" t="s">
        <v>8982</v>
      </c>
      <c r="F2574" s="471" t="s">
        <v>556</v>
      </c>
      <c r="G2574" s="525">
        <v>46360.0</v>
      </c>
      <c r="H2574" s="471">
        <v>20.0</v>
      </c>
      <c r="I2574" s="355"/>
      <c r="L2574" s="292" t="s">
        <v>778</v>
      </c>
      <c r="O2574" s="143" t="s">
        <v>8686</v>
      </c>
      <c r="P2574" s="587" t="s">
        <v>1432</v>
      </c>
    </row>
    <row r="2575" ht="15.0" hidden="1" customHeight="1">
      <c r="A2575" s="471">
        <v>14.0</v>
      </c>
      <c r="B2575" s="470" t="s">
        <v>8983</v>
      </c>
      <c r="C2575" s="471" t="s">
        <v>80</v>
      </c>
      <c r="D2575" s="471" t="s">
        <v>8984</v>
      </c>
      <c r="E2575" s="550" t="s">
        <v>8985</v>
      </c>
      <c r="F2575" s="471" t="s">
        <v>8986</v>
      </c>
      <c r="G2575" s="525">
        <v>46360.0</v>
      </c>
      <c r="H2575" s="471">
        <v>20.0</v>
      </c>
      <c r="I2575" s="355"/>
      <c r="J2575" s="143" t="s">
        <v>8987</v>
      </c>
      <c r="L2575" s="292" t="s">
        <v>374</v>
      </c>
      <c r="O2575" s="571">
        <v>46084.0</v>
      </c>
      <c r="P2575" s="587" t="s">
        <v>1432</v>
      </c>
    </row>
    <row r="2576" ht="15.0" hidden="1" customHeight="1">
      <c r="A2576" s="471">
        <v>15.0</v>
      </c>
      <c r="B2576" s="470" t="s">
        <v>8988</v>
      </c>
      <c r="C2576" s="471" t="s">
        <v>80</v>
      </c>
      <c r="D2576" s="471" t="s">
        <v>8989</v>
      </c>
      <c r="E2576" s="550" t="s">
        <v>8990</v>
      </c>
      <c r="F2576" s="471" t="s">
        <v>8986</v>
      </c>
      <c r="G2576" s="525">
        <v>46360.0</v>
      </c>
      <c r="H2576" s="471">
        <v>20.0</v>
      </c>
      <c r="I2576" s="355"/>
      <c r="J2576" s="143" t="s">
        <v>8987</v>
      </c>
      <c r="L2576" s="292" t="s">
        <v>374</v>
      </c>
      <c r="O2576" s="571">
        <v>46084.0</v>
      </c>
      <c r="P2576" s="587" t="s">
        <v>1432</v>
      </c>
    </row>
    <row r="2577" hidden="1">
      <c r="A2577" s="471">
        <v>16.0</v>
      </c>
      <c r="B2577" s="470" t="s">
        <v>8991</v>
      </c>
      <c r="C2577" s="471" t="s">
        <v>80</v>
      </c>
      <c r="D2577" s="471" t="s">
        <v>8992</v>
      </c>
      <c r="E2577" s="615" t="s">
        <v>8993</v>
      </c>
      <c r="F2577" s="471" t="s">
        <v>3928</v>
      </c>
      <c r="G2577" s="525">
        <v>46207.0</v>
      </c>
      <c r="H2577" s="471">
        <v>15.0</v>
      </c>
      <c r="I2577" s="355"/>
      <c r="L2577" s="292" t="s">
        <v>3099</v>
      </c>
      <c r="O2577" s="143" t="s">
        <v>8994</v>
      </c>
    </row>
    <row r="2578" hidden="1">
      <c r="A2578" s="471">
        <v>17.0</v>
      </c>
      <c r="B2578" s="470" t="s">
        <v>8995</v>
      </c>
      <c r="C2578" s="471" t="s">
        <v>80</v>
      </c>
      <c r="D2578" s="471" t="s">
        <v>8996</v>
      </c>
      <c r="E2578" s="615" t="s">
        <v>8997</v>
      </c>
      <c r="F2578" s="471" t="s">
        <v>3928</v>
      </c>
      <c r="G2578" s="525">
        <v>46207.0</v>
      </c>
      <c r="H2578" s="471">
        <v>15.0</v>
      </c>
      <c r="I2578" s="355"/>
      <c r="L2578" s="292" t="s">
        <v>3099</v>
      </c>
      <c r="O2578" s="143" t="s">
        <v>8994</v>
      </c>
    </row>
    <row r="2579" hidden="1">
      <c r="A2579" s="471">
        <v>18.0</v>
      </c>
      <c r="B2579" s="470" t="s">
        <v>8998</v>
      </c>
      <c r="C2579" s="471" t="s">
        <v>80</v>
      </c>
      <c r="D2579" s="471" t="s">
        <v>8999</v>
      </c>
      <c r="E2579" s="615" t="s">
        <v>9000</v>
      </c>
      <c r="F2579" s="471" t="s">
        <v>3928</v>
      </c>
      <c r="G2579" s="525">
        <v>46207.0</v>
      </c>
      <c r="H2579" s="471">
        <v>15.0</v>
      </c>
      <c r="I2579" s="355"/>
      <c r="L2579" s="292" t="s">
        <v>3099</v>
      </c>
      <c r="O2579" s="143" t="s">
        <v>8994</v>
      </c>
    </row>
    <row r="2580" hidden="1">
      <c r="A2580" s="471">
        <v>19.0</v>
      </c>
      <c r="B2580" s="470" t="s">
        <v>9001</v>
      </c>
      <c r="C2580" s="471" t="s">
        <v>80</v>
      </c>
      <c r="D2580" s="471" t="s">
        <v>9002</v>
      </c>
      <c r="E2580" s="615" t="s">
        <v>9003</v>
      </c>
      <c r="F2580" s="471" t="s">
        <v>3928</v>
      </c>
      <c r="G2580" s="525">
        <v>46207.0</v>
      </c>
      <c r="H2580" s="471">
        <v>15.0</v>
      </c>
      <c r="I2580" s="355"/>
      <c r="L2580" s="292" t="s">
        <v>3099</v>
      </c>
      <c r="O2580" s="143" t="s">
        <v>8994</v>
      </c>
    </row>
    <row r="2581" hidden="1">
      <c r="A2581" s="471">
        <v>20.0</v>
      </c>
      <c r="B2581" s="470" t="s">
        <v>9004</v>
      </c>
      <c r="C2581" s="471" t="s">
        <v>80</v>
      </c>
      <c r="D2581" s="471" t="s">
        <v>9005</v>
      </c>
      <c r="E2581" s="615" t="s">
        <v>9006</v>
      </c>
      <c r="F2581" s="471" t="s">
        <v>3928</v>
      </c>
      <c r="G2581" s="525">
        <v>46207.0</v>
      </c>
      <c r="H2581" s="471">
        <v>15.0</v>
      </c>
      <c r="I2581" s="355"/>
      <c r="L2581" s="292" t="s">
        <v>3099</v>
      </c>
      <c r="O2581" s="143" t="s">
        <v>8994</v>
      </c>
    </row>
    <row r="2582" hidden="1">
      <c r="A2582" s="471">
        <v>21.0</v>
      </c>
      <c r="B2582" s="470" t="s">
        <v>9007</v>
      </c>
      <c r="C2582" s="471" t="s">
        <v>80</v>
      </c>
      <c r="D2582" s="471" t="s">
        <v>9008</v>
      </c>
      <c r="E2582" s="615" t="s">
        <v>9009</v>
      </c>
      <c r="F2582" s="471" t="s">
        <v>3928</v>
      </c>
      <c r="G2582" s="525">
        <v>46207.0</v>
      </c>
      <c r="H2582" s="471">
        <v>15.0</v>
      </c>
      <c r="I2582" s="355"/>
      <c r="L2582" s="292" t="s">
        <v>3099</v>
      </c>
      <c r="O2582" s="143" t="s">
        <v>8994</v>
      </c>
    </row>
    <row r="2583" hidden="1">
      <c r="A2583" s="471">
        <v>22.0</v>
      </c>
      <c r="B2583" s="470" t="s">
        <v>9010</v>
      </c>
      <c r="C2583" s="471" t="s">
        <v>80</v>
      </c>
      <c r="D2583" s="471" t="s">
        <v>9011</v>
      </c>
      <c r="E2583" s="615" t="s">
        <v>9012</v>
      </c>
      <c r="F2583" s="471" t="s">
        <v>3928</v>
      </c>
      <c r="G2583" s="525">
        <v>46207.0</v>
      </c>
      <c r="H2583" s="471">
        <v>15.0</v>
      </c>
      <c r="I2583" s="355"/>
      <c r="L2583" s="292" t="s">
        <v>3099</v>
      </c>
      <c r="O2583" s="143" t="s">
        <v>8994</v>
      </c>
    </row>
    <row r="2584" hidden="1">
      <c r="A2584" s="471">
        <v>23.0</v>
      </c>
      <c r="B2584" s="470" t="s">
        <v>9013</v>
      </c>
      <c r="C2584" s="471" t="s">
        <v>80</v>
      </c>
      <c r="D2584" s="471" t="s">
        <v>9014</v>
      </c>
      <c r="E2584" s="615" t="s">
        <v>9015</v>
      </c>
      <c r="F2584" s="471" t="s">
        <v>3928</v>
      </c>
      <c r="G2584" s="525">
        <v>46207.0</v>
      </c>
      <c r="H2584" s="471">
        <v>15.0</v>
      </c>
      <c r="I2584" s="355"/>
      <c r="L2584" s="292" t="s">
        <v>3099</v>
      </c>
      <c r="O2584" s="143" t="s">
        <v>8994</v>
      </c>
    </row>
    <row r="2585" hidden="1">
      <c r="A2585" s="471">
        <v>24.0</v>
      </c>
      <c r="B2585" s="470" t="s">
        <v>9016</v>
      </c>
      <c r="C2585" s="471" t="s">
        <v>80</v>
      </c>
      <c r="D2585" s="471" t="s">
        <v>9017</v>
      </c>
      <c r="E2585" s="615" t="s">
        <v>9018</v>
      </c>
      <c r="F2585" s="471" t="s">
        <v>3928</v>
      </c>
      <c r="G2585" s="525">
        <v>46207.0</v>
      </c>
      <c r="H2585" s="471">
        <v>15.0</v>
      </c>
      <c r="I2585" s="355"/>
      <c r="L2585" s="292" t="s">
        <v>3099</v>
      </c>
      <c r="O2585" s="143" t="s">
        <v>8994</v>
      </c>
    </row>
    <row r="2586" hidden="1">
      <c r="A2586" s="471">
        <v>25.0</v>
      </c>
      <c r="B2586" s="470" t="s">
        <v>9019</v>
      </c>
      <c r="C2586" s="471" t="s">
        <v>80</v>
      </c>
      <c r="D2586" s="471" t="s">
        <v>9020</v>
      </c>
      <c r="E2586" s="615" t="s">
        <v>9021</v>
      </c>
      <c r="F2586" s="471" t="s">
        <v>3928</v>
      </c>
      <c r="G2586" s="525">
        <v>46207.0</v>
      </c>
      <c r="H2586" s="471">
        <v>15.0</v>
      </c>
      <c r="I2586" s="355"/>
      <c r="L2586" s="292" t="s">
        <v>3099</v>
      </c>
      <c r="O2586" s="143" t="s">
        <v>8994</v>
      </c>
    </row>
    <row r="2587" hidden="1">
      <c r="A2587" s="471">
        <v>26.0</v>
      </c>
      <c r="B2587" s="470" t="s">
        <v>9022</v>
      </c>
      <c r="C2587" s="471" t="s">
        <v>80</v>
      </c>
      <c r="D2587" s="471" t="s">
        <v>9023</v>
      </c>
      <c r="E2587" s="615" t="s">
        <v>9024</v>
      </c>
      <c r="F2587" s="471" t="s">
        <v>3928</v>
      </c>
      <c r="G2587" s="525">
        <v>46207.0</v>
      </c>
      <c r="H2587" s="471">
        <v>15.0</v>
      </c>
      <c r="I2587" s="355"/>
      <c r="L2587" s="292" t="s">
        <v>3099</v>
      </c>
      <c r="O2587" s="143" t="s">
        <v>8994</v>
      </c>
    </row>
    <row r="2588" hidden="1">
      <c r="A2588" s="471">
        <v>27.0</v>
      </c>
      <c r="B2588" s="470" t="s">
        <v>9025</v>
      </c>
      <c r="C2588" s="471" t="s">
        <v>80</v>
      </c>
      <c r="D2588" s="471" t="s">
        <v>9026</v>
      </c>
      <c r="E2588" s="615" t="s">
        <v>9027</v>
      </c>
      <c r="F2588" s="471" t="s">
        <v>3928</v>
      </c>
      <c r="G2588" s="525">
        <v>46207.0</v>
      </c>
      <c r="H2588" s="471">
        <v>15.0</v>
      </c>
      <c r="I2588" s="355"/>
      <c r="L2588" s="292" t="s">
        <v>3099</v>
      </c>
      <c r="O2588" s="143" t="s">
        <v>8994</v>
      </c>
    </row>
    <row r="2589" hidden="1">
      <c r="A2589" s="471">
        <v>28.0</v>
      </c>
      <c r="B2589" s="470" t="s">
        <v>9028</v>
      </c>
      <c r="C2589" s="471" t="s">
        <v>80</v>
      </c>
      <c r="D2589" s="471" t="s">
        <v>9029</v>
      </c>
      <c r="E2589" s="615" t="s">
        <v>9030</v>
      </c>
      <c r="F2589" s="471" t="s">
        <v>8668</v>
      </c>
      <c r="G2589" s="525">
        <v>46207.0</v>
      </c>
      <c r="H2589" s="471">
        <v>15.0</v>
      </c>
      <c r="I2589" s="355"/>
      <c r="L2589" s="292" t="s">
        <v>3099</v>
      </c>
      <c r="O2589" s="143" t="s">
        <v>8994</v>
      </c>
    </row>
    <row r="2590" hidden="1">
      <c r="A2590" s="471">
        <v>29.0</v>
      </c>
      <c r="B2590" s="470" t="s">
        <v>9031</v>
      </c>
      <c r="C2590" s="471" t="s">
        <v>80</v>
      </c>
      <c r="D2590" s="471" t="s">
        <v>9032</v>
      </c>
      <c r="E2590" s="471" t="s">
        <v>9033</v>
      </c>
      <c r="F2590" s="471" t="s">
        <v>1487</v>
      </c>
      <c r="G2590" s="471" t="s">
        <v>8772</v>
      </c>
      <c r="H2590" s="471">
        <v>21.0</v>
      </c>
      <c r="I2590" s="355"/>
      <c r="J2590" s="143" t="s">
        <v>1696</v>
      </c>
      <c r="K2590" s="143" t="s">
        <v>8854</v>
      </c>
      <c r="L2590" s="292" t="s">
        <v>51</v>
      </c>
      <c r="O2590" s="12" t="s">
        <v>9034</v>
      </c>
      <c r="P2590" s="587" t="s">
        <v>1432</v>
      </c>
    </row>
    <row r="2591" hidden="1">
      <c r="A2591" s="471">
        <v>30.0</v>
      </c>
      <c r="B2591" s="470" t="s">
        <v>9035</v>
      </c>
      <c r="C2591" s="471" t="s">
        <v>80</v>
      </c>
      <c r="D2591" s="471" t="s">
        <v>9036</v>
      </c>
      <c r="E2591" s="550" t="s">
        <v>9037</v>
      </c>
      <c r="F2591" s="471" t="s">
        <v>708</v>
      </c>
      <c r="G2591" s="471" t="s">
        <v>8772</v>
      </c>
      <c r="H2591" s="471">
        <v>21.0</v>
      </c>
      <c r="I2591" s="355"/>
      <c r="J2591" s="143" t="s">
        <v>9038</v>
      </c>
      <c r="L2591" s="292" t="s">
        <v>4195</v>
      </c>
      <c r="O2591" s="143" t="s">
        <v>8778</v>
      </c>
      <c r="P2591" s="587" t="s">
        <v>1432</v>
      </c>
    </row>
    <row r="2592" hidden="1">
      <c r="A2592" s="471">
        <v>31.0</v>
      </c>
      <c r="B2592" s="470" t="s">
        <v>9039</v>
      </c>
      <c r="C2592" s="471" t="s">
        <v>80</v>
      </c>
      <c r="D2592" s="471" t="s">
        <v>9040</v>
      </c>
      <c r="E2592" s="550" t="s">
        <v>9041</v>
      </c>
      <c r="F2592" s="471" t="s">
        <v>708</v>
      </c>
      <c r="G2592" s="471" t="s">
        <v>8772</v>
      </c>
      <c r="H2592" s="471">
        <v>21.0</v>
      </c>
      <c r="I2592" s="355"/>
      <c r="J2592" s="143" t="s">
        <v>9038</v>
      </c>
      <c r="L2592" s="292" t="s">
        <v>4195</v>
      </c>
      <c r="O2592" s="143" t="s">
        <v>8778</v>
      </c>
      <c r="P2592" s="587" t="s">
        <v>1432</v>
      </c>
    </row>
    <row r="2593" hidden="1">
      <c r="A2593" s="471">
        <v>32.0</v>
      </c>
      <c r="B2593" s="470" t="s">
        <v>9042</v>
      </c>
      <c r="C2593" s="471" t="s">
        <v>80</v>
      </c>
      <c r="D2593" s="471" t="s">
        <v>9043</v>
      </c>
      <c r="E2593" s="471" t="s">
        <v>9044</v>
      </c>
      <c r="F2593" s="471" t="s">
        <v>838</v>
      </c>
      <c r="G2593" s="471" t="s">
        <v>8772</v>
      </c>
      <c r="H2593" s="471">
        <v>21.0</v>
      </c>
      <c r="I2593" s="355"/>
      <c r="J2593" s="143" t="s">
        <v>9038</v>
      </c>
      <c r="L2593" s="292" t="s">
        <v>4195</v>
      </c>
      <c r="O2593" s="143" t="s">
        <v>9045</v>
      </c>
      <c r="P2593" s="587" t="s">
        <v>1432</v>
      </c>
    </row>
    <row r="2594" hidden="1">
      <c r="A2594" s="759"/>
      <c r="B2594" s="470" t="s">
        <v>9046</v>
      </c>
      <c r="C2594" s="471" t="s">
        <v>80</v>
      </c>
      <c r="D2594" s="471" t="s">
        <v>9047</v>
      </c>
      <c r="E2594" s="471" t="s">
        <v>9048</v>
      </c>
      <c r="F2594" s="680" t="s">
        <v>8300</v>
      </c>
      <c r="G2594" s="471" t="s">
        <v>8772</v>
      </c>
      <c r="H2594" s="471">
        <v>21.0</v>
      </c>
      <c r="I2594" s="355"/>
      <c r="J2594" s="143" t="s">
        <v>8987</v>
      </c>
      <c r="L2594" s="292" t="s">
        <v>374</v>
      </c>
      <c r="O2594" s="292" t="s">
        <v>9049</v>
      </c>
      <c r="P2594" s="587" t="s">
        <v>1432</v>
      </c>
      <c r="R2594" s="35"/>
      <c r="S2594" s="35"/>
      <c r="T2594" s="35"/>
      <c r="U2594" s="35"/>
      <c r="V2594" s="35"/>
      <c r="W2594" s="35"/>
      <c r="X2594" s="35"/>
      <c r="Y2594" s="35"/>
      <c r="Z2594" s="35"/>
      <c r="AA2594" s="35"/>
      <c r="AB2594" s="35"/>
      <c r="AC2594" s="35"/>
      <c r="AD2594" s="35"/>
      <c r="AE2594" s="35"/>
      <c r="AF2594" s="35"/>
    </row>
    <row r="2595" hidden="1">
      <c r="A2595" s="670" t="s">
        <v>47</v>
      </c>
      <c r="B2595" s="339" t="s">
        <v>9050</v>
      </c>
      <c r="R2595" s="35"/>
      <c r="S2595" s="35"/>
      <c r="T2595" s="35"/>
      <c r="U2595" s="35"/>
      <c r="V2595" s="35"/>
      <c r="W2595" s="35"/>
      <c r="X2595" s="35"/>
      <c r="Y2595" s="35"/>
      <c r="Z2595" s="35"/>
      <c r="AA2595" s="35"/>
      <c r="AB2595" s="35"/>
      <c r="AC2595" s="35"/>
      <c r="AD2595" s="35"/>
      <c r="AE2595" s="35"/>
      <c r="AF2595" s="35"/>
    </row>
    <row r="2596" hidden="1">
      <c r="A2596" s="526">
        <v>1.0</v>
      </c>
      <c r="B2596" s="670" t="s">
        <v>7</v>
      </c>
      <c r="C2596" s="670" t="s">
        <v>9</v>
      </c>
      <c r="D2596" s="670" t="s">
        <v>10</v>
      </c>
      <c r="E2596" s="670" t="s">
        <v>11</v>
      </c>
      <c r="F2596" s="670" t="s">
        <v>12</v>
      </c>
      <c r="G2596" s="670" t="s">
        <v>2378</v>
      </c>
      <c r="H2596" s="670" t="s">
        <v>2681</v>
      </c>
      <c r="I2596" s="4" t="s">
        <v>2847</v>
      </c>
      <c r="J2596" s="8" t="s">
        <v>14</v>
      </c>
      <c r="K2596" s="9" t="s">
        <v>16</v>
      </c>
      <c r="L2596" s="9" t="s">
        <v>4330</v>
      </c>
      <c r="M2596" s="9" t="s">
        <v>18</v>
      </c>
      <c r="N2596" s="9" t="s">
        <v>19</v>
      </c>
      <c r="O2596" s="9" t="s">
        <v>20</v>
      </c>
      <c r="P2596" s="9" t="s">
        <v>21</v>
      </c>
      <c r="Q2596" s="35"/>
    </row>
    <row r="2597" hidden="1">
      <c r="A2597" s="471">
        <v>2.0</v>
      </c>
      <c r="B2597" s="527" t="s">
        <v>9051</v>
      </c>
      <c r="C2597" s="526" t="s">
        <v>80</v>
      </c>
      <c r="D2597" s="526" t="s">
        <v>9052</v>
      </c>
      <c r="E2597" s="664" t="s">
        <v>9053</v>
      </c>
      <c r="F2597" s="526" t="s">
        <v>9054</v>
      </c>
      <c r="G2597" s="503">
        <v>46299.0</v>
      </c>
      <c r="H2597" s="495">
        <v>13.0</v>
      </c>
      <c r="I2597" s="766" t="s">
        <v>3465</v>
      </c>
      <c r="L2597" s="292" t="s">
        <v>374</v>
      </c>
      <c r="N2597" s="571"/>
      <c r="O2597" s="571">
        <v>46207.0</v>
      </c>
      <c r="P2597" s="587" t="s">
        <v>1432</v>
      </c>
    </row>
    <row r="2598" hidden="1">
      <c r="A2598" s="471">
        <v>3.0</v>
      </c>
      <c r="B2598" s="470" t="s">
        <v>9055</v>
      </c>
      <c r="C2598" s="471" t="s">
        <v>80</v>
      </c>
      <c r="D2598" s="471" t="s">
        <v>9056</v>
      </c>
      <c r="E2598" s="664" t="s">
        <v>9057</v>
      </c>
      <c r="F2598" s="471" t="s">
        <v>9054</v>
      </c>
      <c r="G2598" s="164">
        <v>46299.0</v>
      </c>
      <c r="H2598" s="12">
        <v>13.0</v>
      </c>
      <c r="I2598" s="37" t="s">
        <v>3465</v>
      </c>
      <c r="L2598" s="292" t="s">
        <v>374</v>
      </c>
      <c r="N2598" s="571"/>
      <c r="O2598" s="571">
        <v>46207.0</v>
      </c>
      <c r="P2598" s="587" t="s">
        <v>1432</v>
      </c>
    </row>
    <row r="2599" hidden="1">
      <c r="A2599" s="471">
        <v>4.0</v>
      </c>
      <c r="B2599" s="470" t="s">
        <v>9058</v>
      </c>
      <c r="C2599" s="471" t="s">
        <v>80</v>
      </c>
      <c r="D2599" s="471" t="s">
        <v>9059</v>
      </c>
      <c r="E2599" s="664" t="s">
        <v>9060</v>
      </c>
      <c r="F2599" s="471" t="s">
        <v>9054</v>
      </c>
      <c r="G2599" s="164">
        <v>46299.0</v>
      </c>
      <c r="H2599" s="12">
        <v>13.0</v>
      </c>
      <c r="I2599" s="12" t="s">
        <v>2890</v>
      </c>
      <c r="L2599" s="292" t="s">
        <v>374</v>
      </c>
      <c r="N2599" s="571"/>
      <c r="O2599" s="571">
        <v>46207.0</v>
      </c>
      <c r="P2599" s="587" t="s">
        <v>1432</v>
      </c>
    </row>
    <row r="2600" hidden="1">
      <c r="A2600" s="471">
        <v>5.0</v>
      </c>
      <c r="B2600" s="470" t="s">
        <v>9061</v>
      </c>
      <c r="C2600" s="471" t="s">
        <v>2307</v>
      </c>
      <c r="D2600" s="471" t="s">
        <v>9062</v>
      </c>
      <c r="E2600" s="471" t="s">
        <v>9063</v>
      </c>
      <c r="F2600" s="471" t="s">
        <v>9064</v>
      </c>
      <c r="G2600" s="12" t="s">
        <v>7747</v>
      </c>
      <c r="H2600" s="37">
        <v>3.0</v>
      </c>
      <c r="I2600" s="12" t="s">
        <v>2890</v>
      </c>
      <c r="L2600" s="292" t="s">
        <v>4195</v>
      </c>
      <c r="O2600" s="571">
        <v>46207.0</v>
      </c>
      <c r="P2600" s="587" t="s">
        <v>1432</v>
      </c>
    </row>
    <row r="2601" hidden="1">
      <c r="A2601" s="471">
        <v>6.0</v>
      </c>
      <c r="B2601" s="470" t="s">
        <v>9065</v>
      </c>
      <c r="C2601" s="471" t="s">
        <v>2307</v>
      </c>
      <c r="D2601" s="471" t="s">
        <v>9066</v>
      </c>
      <c r="E2601" s="550" t="s">
        <v>9067</v>
      </c>
      <c r="F2601" s="471" t="s">
        <v>9068</v>
      </c>
      <c r="G2601" s="164">
        <v>46085.0</v>
      </c>
      <c r="H2601" s="37">
        <v>6.0</v>
      </c>
      <c r="I2601" s="37" t="s">
        <v>3465</v>
      </c>
      <c r="J2601" s="143" t="s">
        <v>4783</v>
      </c>
      <c r="K2601" s="726">
        <v>46085.0</v>
      </c>
      <c r="L2601" s="292" t="s">
        <v>4195</v>
      </c>
      <c r="N2601" s="143" t="s">
        <v>9069</v>
      </c>
      <c r="O2601" s="143" t="s">
        <v>9070</v>
      </c>
      <c r="P2601" s="587" t="s">
        <v>1432</v>
      </c>
    </row>
    <row r="2602" hidden="1">
      <c r="A2602" s="471">
        <v>7.0</v>
      </c>
      <c r="B2602" s="470" t="s">
        <v>9071</v>
      </c>
      <c r="C2602" s="471" t="s">
        <v>2403</v>
      </c>
      <c r="D2602" s="471" t="s">
        <v>9072</v>
      </c>
      <c r="E2602" s="550" t="s">
        <v>9073</v>
      </c>
      <c r="F2602" s="471" t="s">
        <v>9068</v>
      </c>
      <c r="G2602" s="164">
        <v>46085.0</v>
      </c>
      <c r="H2602" s="37">
        <v>6.0</v>
      </c>
      <c r="I2602" s="12" t="s">
        <v>2890</v>
      </c>
      <c r="J2602" s="143" t="s">
        <v>4783</v>
      </c>
      <c r="K2602" s="726">
        <v>46085.0</v>
      </c>
      <c r="L2602" s="292" t="s">
        <v>4195</v>
      </c>
      <c r="N2602" s="143" t="s">
        <v>9069</v>
      </c>
      <c r="O2602" s="143" t="s">
        <v>9070</v>
      </c>
      <c r="P2602" s="587" t="s">
        <v>1432</v>
      </c>
    </row>
    <row r="2603" hidden="1">
      <c r="A2603" s="471">
        <v>8.0</v>
      </c>
      <c r="B2603" s="470" t="s">
        <v>9074</v>
      </c>
      <c r="C2603" s="471" t="s">
        <v>80</v>
      </c>
      <c r="D2603" s="471" t="s">
        <v>9075</v>
      </c>
      <c r="E2603" s="471" t="s">
        <v>9076</v>
      </c>
      <c r="F2603" s="471" t="s">
        <v>9077</v>
      </c>
      <c r="G2603" s="164">
        <v>46360.0</v>
      </c>
      <c r="H2603" s="12">
        <v>15.0</v>
      </c>
      <c r="I2603" s="12" t="s">
        <v>2890</v>
      </c>
      <c r="J2603" s="143" t="s">
        <v>9078</v>
      </c>
      <c r="K2603" s="700" t="s">
        <v>8854</v>
      </c>
      <c r="L2603" s="292" t="s">
        <v>51</v>
      </c>
      <c r="O2603" s="143" t="s">
        <v>9079</v>
      </c>
      <c r="P2603" s="587" t="s">
        <v>1432</v>
      </c>
    </row>
    <row r="2604" hidden="1">
      <c r="A2604" s="471">
        <v>9.0</v>
      </c>
      <c r="B2604" s="470" t="s">
        <v>9080</v>
      </c>
      <c r="C2604" s="471" t="s">
        <v>80</v>
      </c>
      <c r="D2604" s="471" t="s">
        <v>9081</v>
      </c>
      <c r="E2604" s="471" t="s">
        <v>9082</v>
      </c>
      <c r="F2604" s="471" t="s">
        <v>9083</v>
      </c>
      <c r="G2604" s="164">
        <v>46360.0</v>
      </c>
      <c r="H2604" s="12">
        <v>15.0</v>
      </c>
      <c r="I2604" s="767" t="s">
        <v>3231</v>
      </c>
      <c r="J2604" s="143" t="s">
        <v>4195</v>
      </c>
      <c r="K2604" s="143" t="s">
        <v>9084</v>
      </c>
      <c r="L2604" s="292" t="s">
        <v>8652</v>
      </c>
      <c r="O2604" s="143" t="s">
        <v>9085</v>
      </c>
      <c r="P2604" s="587" t="s">
        <v>1432</v>
      </c>
    </row>
    <row r="2605" hidden="1">
      <c r="A2605" s="471">
        <v>10.0</v>
      </c>
      <c r="B2605" s="470" t="s">
        <v>9086</v>
      </c>
      <c r="C2605" s="292" t="s">
        <v>80</v>
      </c>
      <c r="D2605" s="53" t="s">
        <v>9087</v>
      </c>
      <c r="E2605" s="471" t="s">
        <v>9088</v>
      </c>
      <c r="F2605" s="143" t="s">
        <v>535</v>
      </c>
      <c r="G2605" s="143" t="s">
        <v>8772</v>
      </c>
      <c r="H2605" s="12"/>
      <c r="I2605" s="767"/>
      <c r="J2605" s="143" t="s">
        <v>2065</v>
      </c>
      <c r="K2605" s="143"/>
      <c r="L2605" s="292" t="s">
        <v>374</v>
      </c>
      <c r="N2605" s="143" t="s">
        <v>9089</v>
      </c>
      <c r="O2605" s="143" t="s">
        <v>9090</v>
      </c>
      <c r="P2605" s="768"/>
    </row>
    <row r="2606" hidden="1">
      <c r="A2606" s="471">
        <v>10.0</v>
      </c>
      <c r="B2606" s="470" t="s">
        <v>9091</v>
      </c>
      <c r="C2606" s="471" t="s">
        <v>80</v>
      </c>
      <c r="D2606" s="471" t="s">
        <v>9092</v>
      </c>
      <c r="E2606" s="471" t="s">
        <v>9093</v>
      </c>
      <c r="F2606" s="471" t="s">
        <v>9077</v>
      </c>
      <c r="G2606" s="12" t="s">
        <v>8896</v>
      </c>
      <c r="H2606" s="12">
        <v>17.0</v>
      </c>
      <c r="I2606" s="12" t="s">
        <v>2890</v>
      </c>
      <c r="L2606" s="292" t="s">
        <v>51</v>
      </c>
      <c r="O2606" s="143" t="s">
        <v>9049</v>
      </c>
    </row>
    <row r="2607" hidden="1">
      <c r="A2607" s="471">
        <v>11.0</v>
      </c>
      <c r="B2607" s="470" t="s">
        <v>9094</v>
      </c>
      <c r="C2607" s="471" t="s">
        <v>80</v>
      </c>
      <c r="D2607" s="471" t="s">
        <v>9095</v>
      </c>
      <c r="E2607" s="471" t="s">
        <v>9096</v>
      </c>
      <c r="F2607" s="471" t="s">
        <v>2315</v>
      </c>
      <c r="G2607" s="12" t="s">
        <v>8896</v>
      </c>
      <c r="H2607" s="12">
        <v>17.0</v>
      </c>
      <c r="I2607" s="37" t="s">
        <v>3465</v>
      </c>
      <c r="L2607" s="292" t="s">
        <v>8652</v>
      </c>
      <c r="N2607" s="143" t="s">
        <v>9069</v>
      </c>
      <c r="O2607" s="143" t="s">
        <v>9097</v>
      </c>
      <c r="P2607" s="587" t="s">
        <v>1432</v>
      </c>
    </row>
    <row r="2608" hidden="1">
      <c r="A2608" s="471">
        <v>12.0</v>
      </c>
      <c r="B2608" s="470" t="s">
        <v>9098</v>
      </c>
      <c r="C2608" s="471" t="s">
        <v>1185</v>
      </c>
      <c r="D2608" s="471" t="s">
        <v>9099</v>
      </c>
      <c r="E2608" s="471" t="s">
        <v>9100</v>
      </c>
      <c r="F2608" s="471" t="s">
        <v>25</v>
      </c>
      <c r="G2608" s="12" t="s">
        <v>8772</v>
      </c>
      <c r="H2608" s="12">
        <v>16.0</v>
      </c>
      <c r="I2608" s="12" t="s">
        <v>2890</v>
      </c>
      <c r="J2608" s="143" t="s">
        <v>9101</v>
      </c>
      <c r="L2608" s="292" t="s">
        <v>374</v>
      </c>
      <c r="O2608" s="143" t="s">
        <v>9049</v>
      </c>
      <c r="P2608" s="587" t="s">
        <v>1432</v>
      </c>
    </row>
    <row r="2609" hidden="1">
      <c r="A2609" s="471">
        <v>13.0</v>
      </c>
      <c r="B2609" s="470" t="s">
        <v>9102</v>
      </c>
      <c r="C2609" s="471" t="s">
        <v>1185</v>
      </c>
      <c r="D2609" s="471" t="s">
        <v>9103</v>
      </c>
      <c r="E2609" s="471" t="s">
        <v>9104</v>
      </c>
      <c r="F2609" s="471" t="s">
        <v>25</v>
      </c>
      <c r="G2609" s="12" t="s">
        <v>8896</v>
      </c>
      <c r="H2609" s="12">
        <v>17.0</v>
      </c>
      <c r="I2609" s="12" t="s">
        <v>2890</v>
      </c>
      <c r="J2609" s="143" t="s">
        <v>9105</v>
      </c>
      <c r="K2609" s="143" t="s">
        <v>8042</v>
      </c>
      <c r="L2609" s="292" t="s">
        <v>51</v>
      </c>
      <c r="O2609" s="143" t="s">
        <v>8686</v>
      </c>
      <c r="P2609" s="587" t="s">
        <v>1432</v>
      </c>
    </row>
    <row r="2610" hidden="1">
      <c r="A2610" s="471">
        <v>14.0</v>
      </c>
      <c r="B2610" s="470" t="s">
        <v>9106</v>
      </c>
      <c r="C2610" s="471" t="s">
        <v>1185</v>
      </c>
      <c r="D2610" s="471" t="s">
        <v>9107</v>
      </c>
      <c r="E2610" s="471" t="s">
        <v>9108</v>
      </c>
      <c r="F2610" s="471" t="s">
        <v>25</v>
      </c>
      <c r="G2610" s="12" t="s">
        <v>8896</v>
      </c>
      <c r="H2610" s="12">
        <v>17.0</v>
      </c>
      <c r="I2610" s="12" t="s">
        <v>2890</v>
      </c>
      <c r="J2610" s="143" t="s">
        <v>9109</v>
      </c>
      <c r="L2610" s="292" t="s">
        <v>8652</v>
      </c>
      <c r="O2610" s="143" t="s">
        <v>8659</v>
      </c>
      <c r="P2610" s="587" t="s">
        <v>1432</v>
      </c>
    </row>
    <row r="2611" hidden="1">
      <c r="A2611" s="471">
        <v>15.0</v>
      </c>
      <c r="B2611" s="470" t="s">
        <v>9110</v>
      </c>
      <c r="C2611" s="471" t="s">
        <v>80</v>
      </c>
      <c r="D2611" s="471" t="s">
        <v>9111</v>
      </c>
      <c r="E2611" s="550" t="s">
        <v>9112</v>
      </c>
      <c r="F2611" s="471" t="s">
        <v>6336</v>
      </c>
      <c r="G2611" s="12" t="s">
        <v>8772</v>
      </c>
      <c r="H2611" s="12">
        <v>16.0</v>
      </c>
      <c r="I2611" s="12" t="s">
        <v>2890</v>
      </c>
      <c r="J2611" s="143" t="s">
        <v>8764</v>
      </c>
      <c r="K2611" s="571">
        <v>46330.0</v>
      </c>
      <c r="L2611" s="292" t="s">
        <v>51</v>
      </c>
      <c r="O2611" s="143" t="s">
        <v>375</v>
      </c>
      <c r="P2611" s="587" t="s">
        <v>1432</v>
      </c>
    </row>
    <row r="2612" hidden="1">
      <c r="A2612" s="471">
        <v>16.0</v>
      </c>
      <c r="B2612" s="470" t="s">
        <v>9113</v>
      </c>
      <c r="C2612" s="471" t="s">
        <v>80</v>
      </c>
      <c r="D2612" s="471" t="s">
        <v>9114</v>
      </c>
      <c r="E2612" s="550" t="s">
        <v>9115</v>
      </c>
      <c r="F2612" s="471" t="s">
        <v>6336</v>
      </c>
      <c r="G2612" s="12" t="s">
        <v>8772</v>
      </c>
      <c r="H2612" s="12">
        <v>16.0</v>
      </c>
      <c r="I2612" s="12" t="s">
        <v>2890</v>
      </c>
      <c r="J2612" s="143" t="s">
        <v>8764</v>
      </c>
      <c r="K2612" s="571">
        <v>46330.0</v>
      </c>
      <c r="L2612" s="292" t="s">
        <v>51</v>
      </c>
      <c r="O2612" s="143" t="s">
        <v>375</v>
      </c>
      <c r="P2612" s="587" t="s">
        <v>1432</v>
      </c>
    </row>
    <row r="2613" hidden="1">
      <c r="A2613" s="471">
        <v>17.0</v>
      </c>
      <c r="B2613" s="470" t="s">
        <v>9116</v>
      </c>
      <c r="C2613" s="471" t="s">
        <v>80</v>
      </c>
      <c r="D2613" s="471" t="s">
        <v>9117</v>
      </c>
      <c r="E2613" s="550" t="s">
        <v>9118</v>
      </c>
      <c r="F2613" s="471" t="s">
        <v>3656</v>
      </c>
      <c r="G2613" s="12" t="s">
        <v>8896</v>
      </c>
      <c r="H2613" s="12">
        <v>17.0</v>
      </c>
      <c r="I2613" s="12" t="s">
        <v>2890</v>
      </c>
      <c r="J2613" s="143" t="s">
        <v>9101</v>
      </c>
      <c r="L2613" s="292" t="s">
        <v>374</v>
      </c>
      <c r="O2613" s="143" t="s">
        <v>371</v>
      </c>
      <c r="P2613" s="587" t="s">
        <v>1432</v>
      </c>
    </row>
    <row r="2614" hidden="1">
      <c r="A2614" s="471">
        <v>18.0</v>
      </c>
      <c r="B2614" s="470" t="s">
        <v>9119</v>
      </c>
      <c r="C2614" s="471" t="s">
        <v>80</v>
      </c>
      <c r="D2614" s="471" t="s">
        <v>9120</v>
      </c>
      <c r="E2614" s="550" t="s">
        <v>9121</v>
      </c>
      <c r="F2614" s="471" t="s">
        <v>3656</v>
      </c>
      <c r="G2614" s="12" t="s">
        <v>8896</v>
      </c>
      <c r="H2614" s="12">
        <v>17.0</v>
      </c>
      <c r="I2614" s="12" t="s">
        <v>2890</v>
      </c>
      <c r="J2614" s="143" t="s">
        <v>9101</v>
      </c>
      <c r="L2614" s="292" t="s">
        <v>374</v>
      </c>
      <c r="O2614" s="143" t="s">
        <v>371</v>
      </c>
      <c r="P2614" s="587" t="s">
        <v>1432</v>
      </c>
    </row>
    <row r="2615" hidden="1">
      <c r="A2615" s="471">
        <v>19.0</v>
      </c>
      <c r="B2615" s="470" t="s">
        <v>9122</v>
      </c>
      <c r="C2615" s="471" t="s">
        <v>80</v>
      </c>
      <c r="D2615" s="471" t="s">
        <v>9123</v>
      </c>
      <c r="E2615" s="471" t="s">
        <v>9124</v>
      </c>
      <c r="F2615" s="471" t="s">
        <v>2315</v>
      </c>
      <c r="G2615" s="12" t="s">
        <v>9125</v>
      </c>
      <c r="H2615" s="12">
        <v>18.0</v>
      </c>
      <c r="I2615" s="12" t="s">
        <v>2890</v>
      </c>
      <c r="J2615" s="143" t="s">
        <v>9126</v>
      </c>
      <c r="L2615" s="292" t="s">
        <v>374</v>
      </c>
      <c r="O2615" s="292" t="s">
        <v>9049</v>
      </c>
      <c r="P2615" s="587" t="s">
        <v>1432</v>
      </c>
    </row>
    <row r="2616" hidden="1">
      <c r="A2616" s="471">
        <v>20.0</v>
      </c>
      <c r="B2616" s="470" t="s">
        <v>9127</v>
      </c>
      <c r="C2616" s="471" t="s">
        <v>9128</v>
      </c>
      <c r="D2616" s="471" t="s">
        <v>9129</v>
      </c>
      <c r="E2616" s="471" t="s">
        <v>9130</v>
      </c>
      <c r="F2616" s="471" t="s">
        <v>2040</v>
      </c>
      <c r="G2616" s="12" t="s">
        <v>8896</v>
      </c>
      <c r="H2616" s="12">
        <v>17.0</v>
      </c>
      <c r="I2616" s="12" t="s">
        <v>2890</v>
      </c>
      <c r="J2616" s="143" t="s">
        <v>9131</v>
      </c>
      <c r="K2616" s="143" t="s">
        <v>8042</v>
      </c>
      <c r="L2616" s="492" t="s">
        <v>51</v>
      </c>
      <c r="N2616" s="143" t="s">
        <v>9132</v>
      </c>
      <c r="O2616" s="143" t="s">
        <v>8870</v>
      </c>
      <c r="P2616" s="587" t="s">
        <v>1432</v>
      </c>
    </row>
    <row r="2617" hidden="1">
      <c r="A2617" s="471">
        <v>21.0</v>
      </c>
      <c r="B2617" s="470" t="s">
        <v>9133</v>
      </c>
      <c r="C2617" s="471" t="s">
        <v>80</v>
      </c>
      <c r="D2617" s="471" t="s">
        <v>1025</v>
      </c>
      <c r="E2617" s="471" t="s">
        <v>9134</v>
      </c>
      <c r="F2617" s="471" t="s">
        <v>556</v>
      </c>
      <c r="G2617" s="12" t="s">
        <v>8896</v>
      </c>
      <c r="H2617" s="12">
        <v>17.0</v>
      </c>
      <c r="I2617" s="12" t="s">
        <v>2890</v>
      </c>
      <c r="J2617" s="492" t="s">
        <v>4195</v>
      </c>
      <c r="K2617" s="143" t="s">
        <v>9135</v>
      </c>
      <c r="L2617" s="492" t="s">
        <v>4195</v>
      </c>
      <c r="O2617" s="143" t="s">
        <v>9136</v>
      </c>
      <c r="P2617" s="587" t="s">
        <v>1432</v>
      </c>
    </row>
    <row r="2618" hidden="1">
      <c r="A2618" s="471">
        <v>22.0</v>
      </c>
      <c r="B2618" s="470" t="s">
        <v>9137</v>
      </c>
      <c r="C2618" s="471" t="s">
        <v>80</v>
      </c>
      <c r="D2618" s="471" t="s">
        <v>9138</v>
      </c>
      <c r="E2618" s="471" t="s">
        <v>9139</v>
      </c>
      <c r="F2618" s="471" t="s">
        <v>9140</v>
      </c>
      <c r="G2618" s="12" t="s">
        <v>8896</v>
      </c>
      <c r="H2618" s="12">
        <v>17.0</v>
      </c>
      <c r="I2618" s="12" t="s">
        <v>2890</v>
      </c>
      <c r="L2618" s="492" t="s">
        <v>374</v>
      </c>
      <c r="O2618" s="143" t="s">
        <v>8949</v>
      </c>
      <c r="P2618" s="587" t="s">
        <v>1432</v>
      </c>
    </row>
    <row r="2619" hidden="1">
      <c r="A2619" s="471">
        <v>23.0</v>
      </c>
      <c r="B2619" s="470" t="s">
        <v>568</v>
      </c>
      <c r="C2619" s="471" t="s">
        <v>80</v>
      </c>
      <c r="D2619" s="471" t="s">
        <v>9141</v>
      </c>
      <c r="E2619" s="471" t="s">
        <v>573</v>
      </c>
      <c r="F2619" s="471" t="s">
        <v>556</v>
      </c>
      <c r="G2619" s="12" t="s">
        <v>8896</v>
      </c>
      <c r="H2619" s="12">
        <v>17.0</v>
      </c>
      <c r="I2619" s="12" t="s">
        <v>2890</v>
      </c>
      <c r="J2619" s="143" t="s">
        <v>51</v>
      </c>
      <c r="K2619" s="143" t="s">
        <v>8601</v>
      </c>
      <c r="L2619" s="492" t="s">
        <v>51</v>
      </c>
      <c r="O2619" s="143" t="s">
        <v>9070</v>
      </c>
      <c r="P2619" s="587" t="s">
        <v>1432</v>
      </c>
    </row>
    <row r="2620" hidden="1">
      <c r="A2620" s="471">
        <v>24.0</v>
      </c>
      <c r="B2620" s="470" t="s">
        <v>9142</v>
      </c>
      <c r="C2620" s="471" t="s">
        <v>80</v>
      </c>
      <c r="D2620" s="471" t="s">
        <v>9143</v>
      </c>
      <c r="E2620" s="615" t="s">
        <v>9144</v>
      </c>
      <c r="F2620" s="471" t="s">
        <v>3928</v>
      </c>
      <c r="G2620" s="164">
        <v>46269.0</v>
      </c>
      <c r="H2620" s="12">
        <v>12.0</v>
      </c>
      <c r="I2620" s="12" t="s">
        <v>2890</v>
      </c>
      <c r="L2620" s="292" t="s">
        <v>3099</v>
      </c>
      <c r="O2620" s="143" t="s">
        <v>9145</v>
      </c>
    </row>
    <row r="2621" hidden="1">
      <c r="A2621" s="471">
        <v>25.0</v>
      </c>
      <c r="B2621" s="470" t="s">
        <v>9146</v>
      </c>
      <c r="C2621" s="471" t="s">
        <v>80</v>
      </c>
      <c r="D2621" s="471" t="s">
        <v>9147</v>
      </c>
      <c r="E2621" s="615" t="s">
        <v>9148</v>
      </c>
      <c r="F2621" s="471" t="s">
        <v>3928</v>
      </c>
      <c r="G2621" s="164">
        <v>46269.0</v>
      </c>
      <c r="H2621" s="12">
        <v>12.0</v>
      </c>
      <c r="I2621" s="12" t="s">
        <v>2890</v>
      </c>
      <c r="L2621" s="292" t="s">
        <v>3099</v>
      </c>
      <c r="O2621" s="143" t="s">
        <v>9145</v>
      </c>
    </row>
    <row r="2622" hidden="1">
      <c r="A2622" s="471">
        <v>26.0</v>
      </c>
      <c r="B2622" s="470" t="s">
        <v>9149</v>
      </c>
      <c r="C2622" s="471" t="s">
        <v>80</v>
      </c>
      <c r="D2622" s="471" t="s">
        <v>9150</v>
      </c>
      <c r="E2622" s="615" t="s">
        <v>9151</v>
      </c>
      <c r="F2622" s="471" t="s">
        <v>3928</v>
      </c>
      <c r="G2622" s="164">
        <v>46269.0</v>
      </c>
      <c r="H2622" s="12">
        <v>12.0</v>
      </c>
      <c r="I2622" s="12" t="s">
        <v>2890</v>
      </c>
      <c r="L2622" s="292" t="s">
        <v>3099</v>
      </c>
      <c r="O2622" s="143" t="s">
        <v>9145</v>
      </c>
    </row>
    <row r="2623" hidden="1">
      <c r="A2623" s="471">
        <v>27.0</v>
      </c>
      <c r="B2623" s="470" t="s">
        <v>9152</v>
      </c>
      <c r="C2623" s="471" t="s">
        <v>80</v>
      </c>
      <c r="D2623" s="471" t="s">
        <v>9153</v>
      </c>
      <c r="E2623" s="615" t="s">
        <v>9154</v>
      </c>
      <c r="F2623" s="471" t="s">
        <v>3928</v>
      </c>
      <c r="G2623" s="164">
        <v>46269.0</v>
      </c>
      <c r="H2623" s="12">
        <v>12.0</v>
      </c>
      <c r="I2623" s="12" t="s">
        <v>2890</v>
      </c>
      <c r="L2623" s="292" t="s">
        <v>3099</v>
      </c>
      <c r="O2623" s="143" t="s">
        <v>9145</v>
      </c>
    </row>
    <row r="2624" hidden="1">
      <c r="A2624" s="471">
        <v>28.0</v>
      </c>
      <c r="B2624" s="470" t="s">
        <v>9155</v>
      </c>
      <c r="C2624" s="471" t="s">
        <v>80</v>
      </c>
      <c r="D2624" s="471" t="s">
        <v>9156</v>
      </c>
      <c r="E2624" s="615" t="s">
        <v>9157</v>
      </c>
      <c r="F2624" s="471" t="s">
        <v>3928</v>
      </c>
      <c r="G2624" s="164">
        <v>46269.0</v>
      </c>
      <c r="H2624" s="12">
        <v>12.0</v>
      </c>
      <c r="I2624" s="37" t="s">
        <v>9158</v>
      </c>
      <c r="L2624" s="292" t="s">
        <v>3099</v>
      </c>
      <c r="O2624" s="143" t="s">
        <v>9145</v>
      </c>
    </row>
    <row r="2625" hidden="1">
      <c r="A2625" s="471">
        <v>29.0</v>
      </c>
      <c r="B2625" s="470" t="s">
        <v>9159</v>
      </c>
      <c r="C2625" s="471" t="s">
        <v>80</v>
      </c>
      <c r="D2625" s="471" t="s">
        <v>9160</v>
      </c>
      <c r="E2625" s="615" t="s">
        <v>9161</v>
      </c>
      <c r="F2625" s="471" t="s">
        <v>3928</v>
      </c>
      <c r="G2625" s="164">
        <v>46269.0</v>
      </c>
      <c r="H2625" s="12">
        <v>12.0</v>
      </c>
      <c r="I2625" s="12" t="s">
        <v>2890</v>
      </c>
      <c r="L2625" s="292" t="s">
        <v>3099</v>
      </c>
      <c r="O2625" s="143" t="s">
        <v>9145</v>
      </c>
    </row>
    <row r="2626" hidden="1">
      <c r="A2626" s="471">
        <v>30.0</v>
      </c>
      <c r="B2626" s="470" t="s">
        <v>9162</v>
      </c>
      <c r="C2626" s="471" t="s">
        <v>80</v>
      </c>
      <c r="D2626" s="471" t="s">
        <v>9163</v>
      </c>
      <c r="E2626" s="615" t="s">
        <v>9164</v>
      </c>
      <c r="F2626" s="471" t="s">
        <v>3928</v>
      </c>
      <c r="G2626" s="164">
        <v>46269.0</v>
      </c>
      <c r="H2626" s="12">
        <v>12.0</v>
      </c>
      <c r="I2626" s="12" t="s">
        <v>2890</v>
      </c>
      <c r="L2626" s="292" t="s">
        <v>3099</v>
      </c>
      <c r="O2626" s="143" t="s">
        <v>9145</v>
      </c>
    </row>
    <row r="2627" hidden="1">
      <c r="A2627" s="471">
        <v>31.0</v>
      </c>
      <c r="B2627" s="470" t="s">
        <v>9165</v>
      </c>
      <c r="C2627" s="471" t="s">
        <v>80</v>
      </c>
      <c r="D2627" s="471" t="s">
        <v>9166</v>
      </c>
      <c r="E2627" s="615" t="s">
        <v>9167</v>
      </c>
      <c r="F2627" s="471" t="s">
        <v>3928</v>
      </c>
      <c r="G2627" s="164">
        <v>46269.0</v>
      </c>
      <c r="H2627" s="12">
        <v>12.0</v>
      </c>
      <c r="I2627" s="12" t="s">
        <v>2890</v>
      </c>
      <c r="L2627" s="292" t="s">
        <v>3099</v>
      </c>
      <c r="O2627" s="143" t="s">
        <v>9145</v>
      </c>
    </row>
    <row r="2628" hidden="1">
      <c r="A2628" s="471">
        <v>32.0</v>
      </c>
      <c r="B2628" s="470" t="s">
        <v>9168</v>
      </c>
      <c r="C2628" s="471" t="s">
        <v>80</v>
      </c>
      <c r="D2628" s="471" t="s">
        <v>9169</v>
      </c>
      <c r="E2628" s="615" t="s">
        <v>9170</v>
      </c>
      <c r="F2628" s="471" t="s">
        <v>3928</v>
      </c>
      <c r="G2628" s="164">
        <v>46269.0</v>
      </c>
      <c r="H2628" s="12">
        <v>12.0</v>
      </c>
      <c r="I2628" s="12" t="s">
        <v>2890</v>
      </c>
      <c r="L2628" s="292" t="s">
        <v>3099</v>
      </c>
      <c r="O2628" s="143" t="s">
        <v>9145</v>
      </c>
    </row>
    <row r="2629" hidden="1">
      <c r="A2629" s="471">
        <v>33.0</v>
      </c>
      <c r="B2629" s="470" t="s">
        <v>9171</v>
      </c>
      <c r="C2629" s="471" t="s">
        <v>80</v>
      </c>
      <c r="D2629" s="471" t="s">
        <v>9172</v>
      </c>
      <c r="E2629" s="615" t="s">
        <v>9173</v>
      </c>
      <c r="F2629" s="471" t="s">
        <v>3928</v>
      </c>
      <c r="G2629" s="164">
        <v>46269.0</v>
      </c>
      <c r="H2629" s="12">
        <v>12.0</v>
      </c>
      <c r="I2629" s="12" t="s">
        <v>2890</v>
      </c>
      <c r="L2629" s="292" t="s">
        <v>3099</v>
      </c>
      <c r="O2629" s="143" t="s">
        <v>9145</v>
      </c>
    </row>
    <row r="2630" hidden="1">
      <c r="A2630" s="471">
        <v>34.0</v>
      </c>
      <c r="B2630" s="470" t="s">
        <v>9174</v>
      </c>
      <c r="C2630" s="471" t="s">
        <v>80</v>
      </c>
      <c r="D2630" s="471" t="s">
        <v>9175</v>
      </c>
      <c r="E2630" s="615" t="s">
        <v>9176</v>
      </c>
      <c r="F2630" s="471" t="s">
        <v>3583</v>
      </c>
      <c r="G2630" s="164">
        <v>46269.0</v>
      </c>
      <c r="H2630" s="12">
        <v>12.0</v>
      </c>
      <c r="I2630" s="12" t="s">
        <v>2890</v>
      </c>
      <c r="L2630" s="292" t="s">
        <v>778</v>
      </c>
      <c r="O2630" s="143" t="s">
        <v>8601</v>
      </c>
    </row>
    <row r="2631" hidden="1">
      <c r="A2631" s="471">
        <v>35.0</v>
      </c>
      <c r="B2631" s="470" t="s">
        <v>9177</v>
      </c>
      <c r="C2631" s="471" t="s">
        <v>80</v>
      </c>
      <c r="D2631" s="471" t="s">
        <v>9178</v>
      </c>
      <c r="E2631" s="615" t="s">
        <v>9179</v>
      </c>
      <c r="F2631" s="471" t="s">
        <v>3583</v>
      </c>
      <c r="G2631" s="164">
        <v>46269.0</v>
      </c>
      <c r="H2631" s="12">
        <v>12.0</v>
      </c>
      <c r="I2631" s="767" t="s">
        <v>9180</v>
      </c>
      <c r="L2631" s="292" t="s">
        <v>778</v>
      </c>
      <c r="O2631" s="143" t="s">
        <v>8686</v>
      </c>
    </row>
    <row r="2632" hidden="1">
      <c r="A2632" s="471">
        <v>36.0</v>
      </c>
      <c r="B2632" s="470" t="s">
        <v>9181</v>
      </c>
      <c r="C2632" s="471" t="s">
        <v>80</v>
      </c>
      <c r="D2632" s="471" t="s">
        <v>9182</v>
      </c>
      <c r="E2632" s="550" t="s">
        <v>9183</v>
      </c>
      <c r="F2632" s="471" t="s">
        <v>9184</v>
      </c>
      <c r="G2632" s="12" t="s">
        <v>9125</v>
      </c>
      <c r="H2632" s="12">
        <v>18.0</v>
      </c>
      <c r="I2632" s="12" t="s">
        <v>2890</v>
      </c>
      <c r="J2632" s="143" t="s">
        <v>9185</v>
      </c>
      <c r="L2632" s="292" t="s">
        <v>4195</v>
      </c>
      <c r="O2632" s="143" t="s">
        <v>8778</v>
      </c>
    </row>
    <row r="2633" hidden="1">
      <c r="A2633" s="471">
        <v>37.0</v>
      </c>
      <c r="B2633" s="470" t="s">
        <v>9186</v>
      </c>
      <c r="C2633" s="471" t="s">
        <v>80</v>
      </c>
      <c r="D2633" s="471" t="s">
        <v>9187</v>
      </c>
      <c r="E2633" s="550" t="s">
        <v>9188</v>
      </c>
      <c r="F2633" s="471" t="s">
        <v>9184</v>
      </c>
      <c r="G2633" s="12" t="s">
        <v>9125</v>
      </c>
      <c r="H2633" s="12">
        <v>18.0</v>
      </c>
      <c r="I2633" s="12" t="s">
        <v>2890</v>
      </c>
      <c r="J2633" s="143" t="s">
        <v>9185</v>
      </c>
      <c r="L2633" s="292" t="s">
        <v>4195</v>
      </c>
      <c r="O2633" s="143" t="s">
        <v>8778</v>
      </c>
    </row>
    <row r="2634" hidden="1">
      <c r="A2634" s="471">
        <v>38.0</v>
      </c>
      <c r="B2634" s="470" t="s">
        <v>9189</v>
      </c>
      <c r="C2634" s="471" t="s">
        <v>80</v>
      </c>
      <c r="D2634" s="471" t="s">
        <v>9190</v>
      </c>
      <c r="E2634" s="471" t="s">
        <v>9191</v>
      </c>
      <c r="F2634" s="471" t="s">
        <v>9192</v>
      </c>
      <c r="G2634" s="12" t="s">
        <v>9193</v>
      </c>
      <c r="H2634" s="12">
        <v>19.0</v>
      </c>
      <c r="I2634" s="767" t="s">
        <v>9194</v>
      </c>
      <c r="J2634" s="143" t="s">
        <v>362</v>
      </c>
      <c r="K2634" s="143" t="s">
        <v>8696</v>
      </c>
      <c r="L2634" s="292" t="s">
        <v>51</v>
      </c>
      <c r="N2634" s="143"/>
      <c r="O2634" s="143" t="s">
        <v>371</v>
      </c>
      <c r="P2634" s="587" t="s">
        <v>1432</v>
      </c>
    </row>
    <row r="2635" hidden="1">
      <c r="A2635" s="471">
        <v>39.0</v>
      </c>
      <c r="B2635" s="470" t="s">
        <v>9195</v>
      </c>
      <c r="C2635" s="471" t="s">
        <v>80</v>
      </c>
      <c r="D2635" s="471" t="s">
        <v>9196</v>
      </c>
      <c r="E2635" s="615" t="s">
        <v>9197</v>
      </c>
      <c r="F2635" s="471" t="s">
        <v>3583</v>
      </c>
      <c r="G2635" s="164">
        <v>46085.0</v>
      </c>
      <c r="H2635" s="37">
        <v>6.0</v>
      </c>
      <c r="I2635" s="12" t="s">
        <v>2890</v>
      </c>
      <c r="L2635" s="292" t="s">
        <v>778</v>
      </c>
      <c r="O2635" s="143" t="s">
        <v>8686</v>
      </c>
    </row>
    <row r="2636" hidden="1">
      <c r="A2636" s="759"/>
      <c r="B2636" s="339" t="s">
        <v>9198</v>
      </c>
      <c r="R2636" s="35"/>
      <c r="S2636" s="35"/>
      <c r="T2636" s="35"/>
      <c r="U2636" s="35"/>
      <c r="V2636" s="35"/>
      <c r="W2636" s="35"/>
      <c r="X2636" s="35"/>
      <c r="Y2636" s="35"/>
      <c r="Z2636" s="35"/>
      <c r="AA2636" s="35"/>
      <c r="AB2636" s="35"/>
      <c r="AC2636" s="35"/>
      <c r="AD2636" s="35"/>
      <c r="AE2636" s="35"/>
      <c r="AF2636" s="35"/>
    </row>
    <row r="2637" hidden="1">
      <c r="A2637" s="670" t="s">
        <v>47</v>
      </c>
      <c r="B2637" s="670" t="s">
        <v>7</v>
      </c>
      <c r="C2637" s="670" t="s">
        <v>9</v>
      </c>
      <c r="D2637" s="670" t="s">
        <v>10</v>
      </c>
      <c r="E2637" s="670" t="s">
        <v>11</v>
      </c>
      <c r="F2637" s="670" t="s">
        <v>12</v>
      </c>
      <c r="G2637" s="670" t="s">
        <v>2378</v>
      </c>
      <c r="H2637" s="670" t="s">
        <v>2681</v>
      </c>
      <c r="I2637" s="4" t="s">
        <v>2847</v>
      </c>
      <c r="J2637" s="8" t="s">
        <v>14</v>
      </c>
      <c r="K2637" s="9" t="s">
        <v>16</v>
      </c>
      <c r="L2637" s="9" t="s">
        <v>4330</v>
      </c>
      <c r="M2637" s="9" t="s">
        <v>18</v>
      </c>
      <c r="N2637" s="9" t="s">
        <v>19</v>
      </c>
      <c r="O2637" s="9" t="s">
        <v>20</v>
      </c>
      <c r="P2637" s="9" t="s">
        <v>21</v>
      </c>
      <c r="Q2637" s="35"/>
      <c r="R2637" s="35"/>
      <c r="S2637" s="35"/>
      <c r="T2637" s="35"/>
      <c r="U2637" s="35"/>
      <c r="V2637" s="35"/>
      <c r="W2637" s="35"/>
      <c r="X2637" s="35"/>
      <c r="Y2637" s="35"/>
      <c r="Z2637" s="35"/>
      <c r="AA2637" s="35"/>
      <c r="AB2637" s="35"/>
      <c r="AC2637" s="35"/>
      <c r="AD2637" s="35"/>
      <c r="AE2637" s="35"/>
      <c r="AF2637" s="35"/>
    </row>
    <row r="2638" hidden="1">
      <c r="A2638" s="526">
        <v>1.0</v>
      </c>
      <c r="B2638" s="527" t="s">
        <v>9199</v>
      </c>
      <c r="C2638" s="526" t="s">
        <v>80</v>
      </c>
      <c r="D2638" s="526" t="s">
        <v>9200</v>
      </c>
      <c r="E2638" s="526" t="s">
        <v>9201</v>
      </c>
      <c r="F2638" s="526" t="s">
        <v>1294</v>
      </c>
      <c r="G2638" s="769">
        <v>46269.0</v>
      </c>
      <c r="H2638" s="738">
        <v>10.0</v>
      </c>
      <c r="I2638" s="738" t="s">
        <v>2890</v>
      </c>
      <c r="L2638" s="292" t="s">
        <v>51</v>
      </c>
      <c r="O2638" s="571">
        <v>46238.0</v>
      </c>
      <c r="P2638" s="587" t="s">
        <v>1432</v>
      </c>
    </row>
    <row r="2639" hidden="1">
      <c r="A2639" s="526">
        <v>2.0</v>
      </c>
      <c r="B2639" s="527" t="s">
        <v>9202</v>
      </c>
      <c r="C2639" s="526" t="s">
        <v>80</v>
      </c>
      <c r="D2639" s="526" t="s">
        <v>9203</v>
      </c>
      <c r="E2639" s="526" t="s">
        <v>9204</v>
      </c>
      <c r="F2639" s="526" t="s">
        <v>9205</v>
      </c>
      <c r="G2639" s="769">
        <v>46360.0</v>
      </c>
      <c r="H2639" s="738">
        <v>13.0</v>
      </c>
      <c r="I2639" s="738" t="s">
        <v>2890</v>
      </c>
      <c r="L2639" s="292" t="s">
        <v>51</v>
      </c>
      <c r="O2639" s="571">
        <v>46269.0</v>
      </c>
      <c r="P2639" s="587" t="s">
        <v>1432</v>
      </c>
    </row>
    <row r="2640" hidden="1">
      <c r="A2640" s="526">
        <v>3.0</v>
      </c>
      <c r="B2640" s="527" t="s">
        <v>9206</v>
      </c>
      <c r="C2640" s="526" t="s">
        <v>80</v>
      </c>
      <c r="D2640" s="526" t="s">
        <v>9207</v>
      </c>
      <c r="E2640" s="526" t="s">
        <v>9208</v>
      </c>
      <c r="F2640" s="526" t="s">
        <v>207</v>
      </c>
      <c r="G2640" s="769">
        <v>46360.0</v>
      </c>
      <c r="H2640" s="738">
        <v>13.0</v>
      </c>
      <c r="I2640" s="770" t="s">
        <v>9209</v>
      </c>
      <c r="L2640" s="292" t="s">
        <v>4195</v>
      </c>
      <c r="O2640" s="726">
        <v>46177.0</v>
      </c>
      <c r="P2640" s="587" t="s">
        <v>1432</v>
      </c>
    </row>
    <row r="2641" hidden="1">
      <c r="A2641" s="471">
        <v>4.0</v>
      </c>
      <c r="B2641" s="470" t="s">
        <v>9210</v>
      </c>
      <c r="C2641" s="471" t="s">
        <v>2307</v>
      </c>
      <c r="D2641" s="471" t="s">
        <v>9211</v>
      </c>
      <c r="E2641" s="471" t="s">
        <v>9212</v>
      </c>
      <c r="F2641" s="471" t="s">
        <v>7177</v>
      </c>
      <c r="G2641" s="771">
        <v>46177.0</v>
      </c>
      <c r="H2641" s="772">
        <v>7.0</v>
      </c>
      <c r="I2641" s="772" t="s">
        <v>2890</v>
      </c>
      <c r="J2641" s="143" t="s">
        <v>9213</v>
      </c>
      <c r="K2641" s="754">
        <v>46238.0</v>
      </c>
      <c r="L2641" s="292" t="s">
        <v>4195</v>
      </c>
      <c r="N2641" s="143" t="s">
        <v>9069</v>
      </c>
      <c r="O2641" s="726">
        <v>46208.0</v>
      </c>
      <c r="P2641" s="587" t="s">
        <v>1432</v>
      </c>
    </row>
    <row r="2642" hidden="1">
      <c r="A2642" s="471">
        <v>5.0</v>
      </c>
      <c r="B2642" s="470" t="s">
        <v>9214</v>
      </c>
      <c r="C2642" s="471" t="s">
        <v>2307</v>
      </c>
      <c r="D2642" s="471" t="s">
        <v>9215</v>
      </c>
      <c r="E2642" s="550" t="s">
        <v>9216</v>
      </c>
      <c r="F2642" s="471" t="s">
        <v>9068</v>
      </c>
      <c r="G2642" s="771">
        <v>46177.0</v>
      </c>
      <c r="H2642" s="772">
        <v>7.0</v>
      </c>
      <c r="I2642" s="772" t="s">
        <v>2890</v>
      </c>
      <c r="J2642" s="143" t="s">
        <v>4783</v>
      </c>
      <c r="K2642" s="726">
        <v>46085.0</v>
      </c>
      <c r="L2642" s="292" t="s">
        <v>4195</v>
      </c>
      <c r="N2642" s="143" t="s">
        <v>9069</v>
      </c>
      <c r="O2642" s="143" t="s">
        <v>8659</v>
      </c>
      <c r="P2642" s="587" t="s">
        <v>1432</v>
      </c>
    </row>
    <row r="2643" hidden="1">
      <c r="A2643" s="471">
        <v>6.0</v>
      </c>
      <c r="B2643" s="470" t="s">
        <v>9217</v>
      </c>
      <c r="C2643" s="471" t="s">
        <v>2403</v>
      </c>
      <c r="D2643" s="471" t="s">
        <v>9218</v>
      </c>
      <c r="E2643" s="550" t="s">
        <v>9219</v>
      </c>
      <c r="F2643" s="471" t="s">
        <v>9068</v>
      </c>
      <c r="G2643" s="771">
        <v>46177.0</v>
      </c>
      <c r="H2643" s="772">
        <v>7.0</v>
      </c>
      <c r="I2643" s="772" t="s">
        <v>2890</v>
      </c>
      <c r="J2643" s="143" t="s">
        <v>4783</v>
      </c>
      <c r="K2643" s="726">
        <v>46085.0</v>
      </c>
      <c r="L2643" s="292" t="s">
        <v>4195</v>
      </c>
      <c r="N2643" s="143" t="s">
        <v>9069</v>
      </c>
      <c r="O2643" s="143" t="s">
        <v>8659</v>
      </c>
      <c r="P2643" s="587" t="s">
        <v>1432</v>
      </c>
    </row>
    <row r="2644" hidden="1">
      <c r="A2644" s="471">
        <v>7.0</v>
      </c>
      <c r="B2644" s="470" t="s">
        <v>9220</v>
      </c>
      <c r="C2644" s="471" t="s">
        <v>80</v>
      </c>
      <c r="D2644" s="471" t="s">
        <v>9221</v>
      </c>
      <c r="E2644" s="471" t="s">
        <v>9222</v>
      </c>
      <c r="F2644" s="647"/>
      <c r="G2644" s="771">
        <v>46177.0</v>
      </c>
      <c r="H2644" s="772">
        <v>7.0</v>
      </c>
      <c r="I2644" s="772" t="s">
        <v>2890</v>
      </c>
      <c r="L2644" s="292" t="s">
        <v>374</v>
      </c>
      <c r="N2644" s="143" t="s">
        <v>9223</v>
      </c>
      <c r="O2644" s="571">
        <v>46207.0</v>
      </c>
    </row>
    <row r="2645" hidden="1">
      <c r="A2645" s="471">
        <v>8.0</v>
      </c>
      <c r="B2645" s="470" t="s">
        <v>9224</v>
      </c>
      <c r="C2645" s="471" t="s">
        <v>80</v>
      </c>
      <c r="D2645" s="471" t="s">
        <v>9225</v>
      </c>
      <c r="E2645" s="471" t="s">
        <v>9222</v>
      </c>
      <c r="F2645" s="647"/>
      <c r="G2645" s="771">
        <v>46177.0</v>
      </c>
      <c r="H2645" s="772">
        <v>7.0</v>
      </c>
      <c r="I2645" s="772" t="s">
        <v>2890</v>
      </c>
      <c r="L2645" s="292" t="s">
        <v>374</v>
      </c>
      <c r="N2645" s="143" t="s">
        <v>9223</v>
      </c>
      <c r="O2645" s="571">
        <v>46207.0</v>
      </c>
    </row>
    <row r="2646" hidden="1">
      <c r="A2646" s="471">
        <v>9.0</v>
      </c>
      <c r="B2646" s="470" t="s">
        <v>9226</v>
      </c>
      <c r="C2646" s="471" t="s">
        <v>2307</v>
      </c>
      <c r="D2646" s="471" t="s">
        <v>9227</v>
      </c>
      <c r="E2646" s="471" t="s">
        <v>9228</v>
      </c>
      <c r="F2646" s="471" t="s">
        <v>148</v>
      </c>
      <c r="G2646" s="771">
        <v>46269.0</v>
      </c>
      <c r="H2646" s="772">
        <v>10.0</v>
      </c>
      <c r="I2646" s="772" t="s">
        <v>2890</v>
      </c>
      <c r="J2646" s="756" t="s">
        <v>699</v>
      </c>
      <c r="K2646" s="773">
        <v>46238.0</v>
      </c>
      <c r="L2646" s="292" t="s">
        <v>4195</v>
      </c>
      <c r="O2646" s="143" t="s">
        <v>9135</v>
      </c>
    </row>
    <row r="2647" hidden="1">
      <c r="A2647" s="471">
        <v>10.0</v>
      </c>
      <c r="B2647" s="470" t="s">
        <v>9229</v>
      </c>
      <c r="C2647" s="471" t="s">
        <v>80</v>
      </c>
      <c r="D2647" s="471" t="s">
        <v>9230</v>
      </c>
      <c r="E2647" s="664" t="s">
        <v>9231</v>
      </c>
      <c r="F2647" s="471" t="s">
        <v>1628</v>
      </c>
      <c r="G2647" s="771">
        <v>46238.0</v>
      </c>
      <c r="H2647" s="772">
        <v>9.0</v>
      </c>
      <c r="I2647" s="772" t="s">
        <v>2890</v>
      </c>
      <c r="J2647" s="143" t="s">
        <v>4783</v>
      </c>
      <c r="K2647" s="754">
        <v>46116.0</v>
      </c>
      <c r="L2647" s="292" t="s">
        <v>4195</v>
      </c>
      <c r="O2647" s="143" t="s">
        <v>9135</v>
      </c>
      <c r="P2647" s="587" t="s">
        <v>1432</v>
      </c>
    </row>
    <row r="2648" hidden="1">
      <c r="A2648" s="471">
        <v>11.0</v>
      </c>
      <c r="B2648" s="470" t="s">
        <v>9232</v>
      </c>
      <c r="C2648" s="471" t="s">
        <v>80</v>
      </c>
      <c r="D2648" s="471" t="s">
        <v>9233</v>
      </c>
      <c r="E2648" s="664" t="s">
        <v>9234</v>
      </c>
      <c r="F2648" s="471" t="s">
        <v>1628</v>
      </c>
      <c r="G2648" s="771">
        <v>46238.0</v>
      </c>
      <c r="H2648" s="772">
        <v>9.0</v>
      </c>
      <c r="I2648" s="772" t="s">
        <v>2890</v>
      </c>
      <c r="J2648" s="143" t="s">
        <v>4783</v>
      </c>
      <c r="K2648" s="754">
        <v>46116.0</v>
      </c>
      <c r="L2648" s="292" t="s">
        <v>4195</v>
      </c>
      <c r="O2648" s="143" t="s">
        <v>9135</v>
      </c>
      <c r="P2648" s="587" t="s">
        <v>1432</v>
      </c>
    </row>
    <row r="2649" hidden="1">
      <c r="A2649" s="471">
        <v>12.0</v>
      </c>
      <c r="B2649" s="470" t="s">
        <v>9235</v>
      </c>
      <c r="C2649" s="471" t="s">
        <v>80</v>
      </c>
      <c r="D2649" s="471" t="s">
        <v>9236</v>
      </c>
      <c r="E2649" s="664" t="s">
        <v>9237</v>
      </c>
      <c r="F2649" s="471" t="s">
        <v>1628</v>
      </c>
      <c r="G2649" s="771">
        <v>46238.0</v>
      </c>
      <c r="H2649" s="772">
        <v>9.0</v>
      </c>
      <c r="I2649" s="772" t="s">
        <v>2890</v>
      </c>
      <c r="J2649" s="143" t="s">
        <v>4783</v>
      </c>
      <c r="K2649" s="754">
        <v>46116.0</v>
      </c>
      <c r="L2649" s="292" t="s">
        <v>4195</v>
      </c>
      <c r="O2649" s="143" t="s">
        <v>9135</v>
      </c>
      <c r="P2649" s="587" t="s">
        <v>1432</v>
      </c>
    </row>
    <row r="2650" hidden="1">
      <c r="A2650" s="471">
        <v>13.0</v>
      </c>
      <c r="B2650" s="621" t="s">
        <v>9238</v>
      </c>
      <c r="C2650" s="471" t="s">
        <v>80</v>
      </c>
      <c r="D2650" s="471" t="s">
        <v>9239</v>
      </c>
      <c r="E2650" s="471" t="s">
        <v>9240</v>
      </c>
      <c r="F2650" s="471" t="s">
        <v>9241</v>
      </c>
      <c r="G2650" s="774" t="s">
        <v>8696</v>
      </c>
      <c r="H2650" s="772">
        <v>15.0</v>
      </c>
      <c r="I2650" s="772" t="s">
        <v>2890</v>
      </c>
      <c r="J2650" s="143" t="s">
        <v>9242</v>
      </c>
      <c r="L2650" s="292" t="s">
        <v>374</v>
      </c>
      <c r="O2650" s="143" t="s">
        <v>8949</v>
      </c>
      <c r="P2650" s="587" t="s">
        <v>1432</v>
      </c>
    </row>
    <row r="2651" hidden="1">
      <c r="A2651" s="471">
        <v>14.0</v>
      </c>
      <c r="B2651" s="621" t="s">
        <v>9243</v>
      </c>
      <c r="C2651" s="471" t="s">
        <v>80</v>
      </c>
      <c r="D2651" s="471" t="s">
        <v>9244</v>
      </c>
      <c r="E2651" s="471" t="s">
        <v>9245</v>
      </c>
      <c r="F2651" s="471" t="s">
        <v>8318</v>
      </c>
      <c r="G2651" s="774" t="s">
        <v>8696</v>
      </c>
      <c r="H2651" s="772">
        <v>15.0</v>
      </c>
      <c r="I2651" s="772" t="s">
        <v>2890</v>
      </c>
      <c r="J2651" s="143" t="s">
        <v>362</v>
      </c>
      <c r="K2651" s="143" t="s">
        <v>8696</v>
      </c>
      <c r="L2651" s="492" t="s">
        <v>51</v>
      </c>
      <c r="O2651" s="143" t="s">
        <v>8949</v>
      </c>
      <c r="P2651" s="587" t="s">
        <v>1432</v>
      </c>
    </row>
    <row r="2652" hidden="1">
      <c r="A2652" s="471">
        <v>15.0</v>
      </c>
      <c r="B2652" s="470" t="s">
        <v>9246</v>
      </c>
      <c r="C2652" s="471" t="s">
        <v>1185</v>
      </c>
      <c r="D2652" s="471" t="s">
        <v>9247</v>
      </c>
      <c r="E2652" s="471" t="s">
        <v>9248</v>
      </c>
      <c r="F2652" s="471" t="s">
        <v>25</v>
      </c>
      <c r="G2652" s="774" t="s">
        <v>8686</v>
      </c>
      <c r="H2652" s="772">
        <v>19.0</v>
      </c>
      <c r="I2652" s="772" t="s">
        <v>2890</v>
      </c>
      <c r="L2652" s="492" t="s">
        <v>4195</v>
      </c>
      <c r="O2652" s="143" t="s">
        <v>8778</v>
      </c>
      <c r="P2652" s="587" t="s">
        <v>1432</v>
      </c>
    </row>
    <row r="2653" hidden="1">
      <c r="A2653" s="471">
        <v>16.0</v>
      </c>
      <c r="B2653" s="470" t="s">
        <v>9249</v>
      </c>
      <c r="C2653" s="471" t="s">
        <v>1185</v>
      </c>
      <c r="D2653" s="471" t="s">
        <v>9250</v>
      </c>
      <c r="E2653" s="471" t="s">
        <v>9251</v>
      </c>
      <c r="F2653" s="471" t="s">
        <v>25</v>
      </c>
      <c r="G2653" s="774" t="s">
        <v>8854</v>
      </c>
      <c r="H2653" s="772">
        <v>17.0</v>
      </c>
      <c r="I2653" s="772" t="s">
        <v>2890</v>
      </c>
      <c r="L2653" s="492" t="s">
        <v>374</v>
      </c>
      <c r="O2653" s="143" t="s">
        <v>371</v>
      </c>
      <c r="P2653" s="587" t="s">
        <v>1432</v>
      </c>
    </row>
    <row r="2654" hidden="1">
      <c r="A2654" s="471">
        <v>17.0</v>
      </c>
      <c r="B2654" s="470" t="s">
        <v>9252</v>
      </c>
      <c r="C2654" s="471" t="s">
        <v>80</v>
      </c>
      <c r="D2654" s="471" t="s">
        <v>9253</v>
      </c>
      <c r="E2654" s="471" t="s">
        <v>9254</v>
      </c>
      <c r="F2654" s="471" t="s">
        <v>9205</v>
      </c>
      <c r="G2654" s="774" t="s">
        <v>9255</v>
      </c>
      <c r="H2654" s="772">
        <v>18.0</v>
      </c>
      <c r="I2654" s="775" t="s">
        <v>3465</v>
      </c>
      <c r="L2654" s="492" t="s">
        <v>51</v>
      </c>
      <c r="O2654" s="571">
        <v>46269.0</v>
      </c>
    </row>
    <row r="2655" hidden="1">
      <c r="A2655" s="471">
        <v>18.0</v>
      </c>
      <c r="B2655" s="470" t="s">
        <v>9256</v>
      </c>
      <c r="C2655" s="471" t="s">
        <v>80</v>
      </c>
      <c r="D2655" s="471" t="s">
        <v>9257</v>
      </c>
      <c r="E2655" s="471" t="s">
        <v>9258</v>
      </c>
      <c r="F2655" s="471" t="s">
        <v>9205</v>
      </c>
      <c r="G2655" s="774" t="s">
        <v>8854</v>
      </c>
      <c r="H2655" s="772">
        <v>17.0</v>
      </c>
      <c r="I2655" s="772" t="s">
        <v>2890</v>
      </c>
      <c r="J2655" s="143" t="s">
        <v>9259</v>
      </c>
      <c r="K2655" s="726">
        <v>46299.0</v>
      </c>
      <c r="L2655" s="492" t="s">
        <v>4195</v>
      </c>
      <c r="O2655" s="143" t="s">
        <v>8827</v>
      </c>
      <c r="P2655" s="587" t="s">
        <v>1432</v>
      </c>
    </row>
    <row r="2656" hidden="1">
      <c r="A2656" s="471">
        <v>19.0</v>
      </c>
      <c r="B2656" s="470" t="s">
        <v>9260</v>
      </c>
      <c r="C2656" s="471" t="s">
        <v>80</v>
      </c>
      <c r="D2656" s="471" t="s">
        <v>9261</v>
      </c>
      <c r="E2656" s="550" t="s">
        <v>9262</v>
      </c>
      <c r="F2656" s="471" t="s">
        <v>9205</v>
      </c>
      <c r="G2656" s="774" t="s">
        <v>8686</v>
      </c>
      <c r="H2656" s="772">
        <v>19.0</v>
      </c>
      <c r="I2656" s="772" t="s">
        <v>2890</v>
      </c>
      <c r="L2656" s="292" t="s">
        <v>374</v>
      </c>
      <c r="N2656" s="143" t="s">
        <v>9263</v>
      </c>
      <c r="O2656" s="143" t="s">
        <v>8949</v>
      </c>
    </row>
    <row r="2657" hidden="1">
      <c r="A2657" s="471">
        <v>20.0</v>
      </c>
      <c r="B2657" s="470" t="s">
        <v>9264</v>
      </c>
      <c r="C2657" s="471" t="s">
        <v>80</v>
      </c>
      <c r="D2657" s="471" t="s">
        <v>9265</v>
      </c>
      <c r="E2657" s="550" t="s">
        <v>9266</v>
      </c>
      <c r="F2657" s="471" t="s">
        <v>9205</v>
      </c>
      <c r="G2657" s="774" t="s">
        <v>8686</v>
      </c>
      <c r="H2657" s="772">
        <v>19.0</v>
      </c>
      <c r="I2657" s="772" t="s">
        <v>2890</v>
      </c>
      <c r="L2657" s="292" t="s">
        <v>374</v>
      </c>
      <c r="N2657" s="143" t="s">
        <v>9263</v>
      </c>
      <c r="O2657" s="143" t="s">
        <v>8949</v>
      </c>
    </row>
    <row r="2658" hidden="1">
      <c r="A2658" s="471">
        <v>21.0</v>
      </c>
      <c r="B2658" s="470" t="s">
        <v>9267</v>
      </c>
      <c r="C2658" s="471" t="s">
        <v>5937</v>
      </c>
      <c r="D2658" s="471" t="s">
        <v>9268</v>
      </c>
      <c r="E2658" s="550" t="s">
        <v>9269</v>
      </c>
      <c r="F2658" s="471" t="s">
        <v>243</v>
      </c>
      <c r="G2658" s="774" t="s">
        <v>9270</v>
      </c>
      <c r="H2658" s="772">
        <v>20.0</v>
      </c>
      <c r="I2658" s="772" t="s">
        <v>2890</v>
      </c>
      <c r="J2658" s="143" t="s">
        <v>51</v>
      </c>
      <c r="K2658" s="143" t="s">
        <v>8854</v>
      </c>
      <c r="L2658" s="292" t="s">
        <v>51</v>
      </c>
      <c r="N2658" s="143" t="s">
        <v>9271</v>
      </c>
      <c r="O2658" s="143" t="s">
        <v>9272</v>
      </c>
      <c r="P2658" s="587" t="s">
        <v>1432</v>
      </c>
    </row>
    <row r="2659" hidden="1">
      <c r="A2659" s="471">
        <v>22.0</v>
      </c>
      <c r="B2659" s="470" t="s">
        <v>9273</v>
      </c>
      <c r="C2659" s="471" t="s">
        <v>5937</v>
      </c>
      <c r="D2659" s="471" t="s">
        <v>9274</v>
      </c>
      <c r="E2659" s="550" t="s">
        <v>9275</v>
      </c>
      <c r="F2659" s="471" t="s">
        <v>243</v>
      </c>
      <c r="G2659" s="774" t="s">
        <v>9270</v>
      </c>
      <c r="H2659" s="772">
        <v>20.0</v>
      </c>
      <c r="I2659" s="775" t="s">
        <v>3465</v>
      </c>
      <c r="J2659" s="143" t="s">
        <v>51</v>
      </c>
      <c r="K2659" s="143" t="s">
        <v>8854</v>
      </c>
      <c r="L2659" s="292" t="s">
        <v>51</v>
      </c>
      <c r="N2659" s="143" t="s">
        <v>9271</v>
      </c>
      <c r="O2659" s="143" t="s">
        <v>9272</v>
      </c>
      <c r="P2659" s="587" t="s">
        <v>1432</v>
      </c>
    </row>
    <row r="2660" hidden="1">
      <c r="A2660" s="471">
        <v>23.0</v>
      </c>
      <c r="B2660" s="470" t="s">
        <v>9276</v>
      </c>
      <c r="C2660" s="471" t="s">
        <v>80</v>
      </c>
      <c r="D2660" s="471" t="s">
        <v>9277</v>
      </c>
      <c r="E2660" s="615" t="s">
        <v>9278</v>
      </c>
      <c r="F2660" s="471" t="s">
        <v>3928</v>
      </c>
      <c r="G2660" s="774" t="s">
        <v>8696</v>
      </c>
      <c r="H2660" s="772">
        <v>15.0</v>
      </c>
      <c r="I2660" s="772" t="s">
        <v>2890</v>
      </c>
      <c r="L2660" s="292" t="s">
        <v>3099</v>
      </c>
      <c r="O2660" s="143" t="s">
        <v>9049</v>
      </c>
    </row>
    <row r="2661" hidden="1">
      <c r="A2661" s="471">
        <v>24.0</v>
      </c>
      <c r="B2661" s="470" t="s">
        <v>9279</v>
      </c>
      <c r="C2661" s="471" t="s">
        <v>80</v>
      </c>
      <c r="D2661" s="471" t="s">
        <v>9280</v>
      </c>
      <c r="E2661" s="615" t="s">
        <v>9281</v>
      </c>
      <c r="F2661" s="471" t="s">
        <v>3928</v>
      </c>
      <c r="G2661" s="774" t="s">
        <v>8696</v>
      </c>
      <c r="H2661" s="772">
        <v>15.0</v>
      </c>
      <c r="I2661" s="776" t="s">
        <v>3231</v>
      </c>
      <c r="L2661" s="292" t="s">
        <v>3099</v>
      </c>
      <c r="O2661" s="143" t="s">
        <v>9049</v>
      </c>
    </row>
    <row r="2662" hidden="1">
      <c r="A2662" s="471">
        <v>25.0</v>
      </c>
      <c r="B2662" s="470" t="s">
        <v>9282</v>
      </c>
      <c r="C2662" s="471" t="s">
        <v>80</v>
      </c>
      <c r="D2662" s="471" t="s">
        <v>9283</v>
      </c>
      <c r="E2662" s="615" t="s">
        <v>9284</v>
      </c>
      <c r="F2662" s="471" t="s">
        <v>3928</v>
      </c>
      <c r="G2662" s="774" t="s">
        <v>8696</v>
      </c>
      <c r="H2662" s="772">
        <v>15.0</v>
      </c>
      <c r="I2662" s="772" t="s">
        <v>2890</v>
      </c>
      <c r="L2662" s="292" t="s">
        <v>3099</v>
      </c>
      <c r="O2662" s="143" t="s">
        <v>9049</v>
      </c>
    </row>
    <row r="2663" hidden="1">
      <c r="A2663" s="471">
        <v>26.0</v>
      </c>
      <c r="B2663" s="470" t="s">
        <v>9285</v>
      </c>
      <c r="C2663" s="471" t="s">
        <v>80</v>
      </c>
      <c r="D2663" s="471" t="s">
        <v>9286</v>
      </c>
      <c r="E2663" s="615" t="s">
        <v>9287</v>
      </c>
      <c r="F2663" s="471" t="s">
        <v>3928</v>
      </c>
      <c r="G2663" s="774" t="s">
        <v>8696</v>
      </c>
      <c r="H2663" s="772">
        <v>15.0</v>
      </c>
      <c r="I2663" s="772" t="s">
        <v>2890</v>
      </c>
      <c r="L2663" s="292" t="s">
        <v>3099</v>
      </c>
      <c r="O2663" s="143" t="s">
        <v>9049</v>
      </c>
    </row>
    <row r="2664" hidden="1">
      <c r="A2664" s="471">
        <v>27.0</v>
      </c>
      <c r="B2664" s="470" t="s">
        <v>9288</v>
      </c>
      <c r="C2664" s="471" t="s">
        <v>80</v>
      </c>
      <c r="D2664" s="471" t="s">
        <v>9289</v>
      </c>
      <c r="E2664" s="615" t="s">
        <v>9290</v>
      </c>
      <c r="F2664" s="471" t="s">
        <v>3928</v>
      </c>
      <c r="G2664" s="774" t="s">
        <v>8696</v>
      </c>
      <c r="H2664" s="772">
        <v>15.0</v>
      </c>
      <c r="I2664" s="772" t="s">
        <v>2890</v>
      </c>
      <c r="L2664" s="292" t="s">
        <v>3099</v>
      </c>
      <c r="O2664" s="143" t="s">
        <v>9049</v>
      </c>
    </row>
    <row r="2665" hidden="1">
      <c r="A2665" s="471">
        <v>28.0</v>
      </c>
      <c r="B2665" s="470" t="s">
        <v>9291</v>
      </c>
      <c r="C2665" s="471" t="s">
        <v>80</v>
      </c>
      <c r="D2665" s="471" t="s">
        <v>9292</v>
      </c>
      <c r="E2665" s="471" t="s">
        <v>9293</v>
      </c>
      <c r="F2665" s="471" t="s">
        <v>556</v>
      </c>
      <c r="G2665" s="774" t="s">
        <v>8686</v>
      </c>
      <c r="H2665" s="772">
        <v>19.0</v>
      </c>
      <c r="I2665" s="772" t="s">
        <v>2890</v>
      </c>
      <c r="J2665" s="143" t="s">
        <v>9126</v>
      </c>
      <c r="L2665" s="292" t="s">
        <v>374</v>
      </c>
      <c r="O2665" s="143" t="s">
        <v>371</v>
      </c>
      <c r="P2665" s="587" t="s">
        <v>1432</v>
      </c>
    </row>
    <row r="2666" hidden="1">
      <c r="A2666" s="471">
        <v>29.0</v>
      </c>
      <c r="B2666" s="470" t="s">
        <v>9294</v>
      </c>
      <c r="C2666" s="471" t="s">
        <v>1185</v>
      </c>
      <c r="D2666" s="471" t="s">
        <v>9295</v>
      </c>
      <c r="E2666" s="471" t="s">
        <v>9296</v>
      </c>
      <c r="F2666" s="471" t="s">
        <v>25</v>
      </c>
      <c r="G2666" s="774" t="s">
        <v>9270</v>
      </c>
      <c r="H2666" s="772">
        <v>20.0</v>
      </c>
      <c r="I2666" s="772" t="s">
        <v>2890</v>
      </c>
      <c r="J2666" s="143" t="s">
        <v>4884</v>
      </c>
      <c r="K2666" s="143" t="s">
        <v>8854</v>
      </c>
      <c r="L2666" s="292" t="s">
        <v>51</v>
      </c>
      <c r="O2666" s="143" t="s">
        <v>9070</v>
      </c>
      <c r="P2666" s="587" t="s">
        <v>1432</v>
      </c>
    </row>
    <row r="2667" hidden="1">
      <c r="A2667" s="471">
        <v>30.0</v>
      </c>
      <c r="B2667" s="470" t="s">
        <v>9297</v>
      </c>
      <c r="C2667" s="471" t="s">
        <v>5937</v>
      </c>
      <c r="D2667" s="471" t="s">
        <v>9298</v>
      </c>
      <c r="E2667" s="550" t="s">
        <v>9299</v>
      </c>
      <c r="F2667" s="471" t="s">
        <v>243</v>
      </c>
      <c r="G2667" s="774" t="s">
        <v>9270</v>
      </c>
      <c r="H2667" s="772">
        <v>20.0</v>
      </c>
      <c r="I2667" s="776" t="s">
        <v>3043</v>
      </c>
      <c r="J2667" s="143" t="s">
        <v>9300</v>
      </c>
      <c r="L2667" s="292" t="s">
        <v>51</v>
      </c>
      <c r="O2667" s="143" t="s">
        <v>8870</v>
      </c>
    </row>
    <row r="2668" hidden="1">
      <c r="A2668" s="471">
        <v>31.0</v>
      </c>
      <c r="B2668" s="470" t="s">
        <v>9301</v>
      </c>
      <c r="C2668" s="471" t="s">
        <v>5937</v>
      </c>
      <c r="D2668" s="471" t="s">
        <v>9302</v>
      </c>
      <c r="E2668" s="550" t="s">
        <v>9303</v>
      </c>
      <c r="F2668" s="471" t="s">
        <v>243</v>
      </c>
      <c r="G2668" s="774" t="s">
        <v>9270</v>
      </c>
      <c r="H2668" s="772">
        <v>20.0</v>
      </c>
      <c r="I2668" s="772" t="s">
        <v>2890</v>
      </c>
      <c r="J2668" s="143" t="s">
        <v>9300</v>
      </c>
      <c r="L2668" s="292" t="s">
        <v>51</v>
      </c>
      <c r="O2668" s="143" t="s">
        <v>8870</v>
      </c>
    </row>
    <row r="2669" hidden="1">
      <c r="A2669" s="471">
        <v>32.0</v>
      </c>
      <c r="B2669" s="470" t="s">
        <v>9304</v>
      </c>
      <c r="C2669" s="471" t="s">
        <v>80</v>
      </c>
      <c r="D2669" s="471" t="s">
        <v>9305</v>
      </c>
      <c r="E2669" s="471" t="s">
        <v>9306</v>
      </c>
      <c r="F2669" s="471" t="s">
        <v>9307</v>
      </c>
      <c r="G2669" s="774" t="s">
        <v>9270</v>
      </c>
      <c r="H2669" s="772">
        <v>20.0</v>
      </c>
      <c r="I2669" s="775" t="s">
        <v>9308</v>
      </c>
      <c r="J2669" s="35" t="s">
        <v>9309</v>
      </c>
      <c r="K2669" s="758">
        <v>46299.0</v>
      </c>
      <c r="L2669" s="292" t="s">
        <v>4195</v>
      </c>
      <c r="O2669" s="143" t="s">
        <v>9136</v>
      </c>
      <c r="P2669" s="587" t="s">
        <v>1432</v>
      </c>
    </row>
    <row r="2670" hidden="1">
      <c r="A2670" s="339" t="s">
        <v>9310</v>
      </c>
    </row>
    <row r="2671" hidden="1">
      <c r="A2671" s="670" t="s">
        <v>47</v>
      </c>
      <c r="B2671" s="670" t="s">
        <v>7</v>
      </c>
      <c r="C2671" s="2"/>
      <c r="D2671" s="670" t="s">
        <v>10</v>
      </c>
      <c r="E2671" s="670" t="s">
        <v>11</v>
      </c>
      <c r="F2671" s="670" t="s">
        <v>12</v>
      </c>
      <c r="G2671" s="670" t="s">
        <v>2378</v>
      </c>
      <c r="H2671" s="670" t="s">
        <v>2681</v>
      </c>
      <c r="I2671" s="4" t="s">
        <v>2847</v>
      </c>
      <c r="J2671" s="8" t="s">
        <v>14</v>
      </c>
      <c r="K2671" s="9" t="s">
        <v>16</v>
      </c>
      <c r="L2671" s="9" t="s">
        <v>4330</v>
      </c>
      <c r="M2671" s="9" t="s">
        <v>18</v>
      </c>
      <c r="N2671" s="9" t="s">
        <v>19</v>
      </c>
      <c r="O2671" s="9" t="s">
        <v>20</v>
      </c>
      <c r="P2671" s="9" t="s">
        <v>21</v>
      </c>
    </row>
    <row r="2672" hidden="1">
      <c r="A2672" s="738">
        <v>1.0</v>
      </c>
      <c r="B2672" s="777" t="s">
        <v>9311</v>
      </c>
      <c r="C2672" s="738" t="s">
        <v>80</v>
      </c>
      <c r="D2672" s="738" t="s">
        <v>9312</v>
      </c>
      <c r="E2672" s="738" t="s">
        <v>9313</v>
      </c>
      <c r="F2672" s="778" t="s">
        <v>207</v>
      </c>
      <c r="G2672" s="495" t="s">
        <v>9314</v>
      </c>
      <c r="H2672" s="574">
        <v>12.0</v>
      </c>
      <c r="I2672" s="779" t="s">
        <v>5895</v>
      </c>
      <c r="J2672" s="143" t="s">
        <v>9315</v>
      </c>
      <c r="L2672" s="292" t="s">
        <v>374</v>
      </c>
      <c r="O2672" s="292" t="s">
        <v>8854</v>
      </c>
      <c r="P2672" s="587" t="s">
        <v>1432</v>
      </c>
    </row>
    <row r="2673" hidden="1">
      <c r="A2673" s="738">
        <v>2.0</v>
      </c>
      <c r="B2673" s="777" t="s">
        <v>9316</v>
      </c>
      <c r="C2673" s="738" t="s">
        <v>80</v>
      </c>
      <c r="D2673" s="738" t="s">
        <v>9317</v>
      </c>
      <c r="E2673" s="738" t="s">
        <v>9318</v>
      </c>
      <c r="F2673" s="778" t="s">
        <v>2221</v>
      </c>
      <c r="G2673" s="495" t="s">
        <v>9319</v>
      </c>
      <c r="H2673" s="574">
        <v>16.0</v>
      </c>
      <c r="I2673" s="574" t="s">
        <v>2890</v>
      </c>
      <c r="J2673" s="143" t="s">
        <v>9315</v>
      </c>
      <c r="K2673" s="726">
        <v>46330.0</v>
      </c>
      <c r="L2673" s="292" t="s">
        <v>4195</v>
      </c>
      <c r="N2673" s="292" t="s">
        <v>9320</v>
      </c>
      <c r="O2673" s="143" t="s">
        <v>9145</v>
      </c>
      <c r="P2673" s="587" t="s">
        <v>1432</v>
      </c>
    </row>
    <row r="2674" hidden="1">
      <c r="A2674" s="772">
        <v>3.0</v>
      </c>
      <c r="B2674" s="780" t="s">
        <v>9321</v>
      </c>
      <c r="C2674" s="781" t="s">
        <v>2307</v>
      </c>
      <c r="D2674" s="772" t="s">
        <v>9322</v>
      </c>
      <c r="E2674" s="772" t="s">
        <v>9323</v>
      </c>
      <c r="F2674" s="781" t="s">
        <v>9068</v>
      </c>
      <c r="G2674" s="164">
        <v>46330.0</v>
      </c>
      <c r="H2674" s="540">
        <v>5.0</v>
      </c>
      <c r="I2674" s="472" t="s">
        <v>2890</v>
      </c>
      <c r="J2674" s="35" t="s">
        <v>9324</v>
      </c>
      <c r="K2674" s="35" t="s">
        <v>8706</v>
      </c>
      <c r="L2674" s="292" t="s">
        <v>4195</v>
      </c>
      <c r="O2674" s="726">
        <v>46239.0</v>
      </c>
      <c r="P2674" s="587" t="s">
        <v>1432</v>
      </c>
    </row>
    <row r="2675" hidden="1">
      <c r="A2675" s="772">
        <v>4.0</v>
      </c>
      <c r="B2675" s="780" t="s">
        <v>9325</v>
      </c>
      <c r="C2675" s="781" t="s">
        <v>2403</v>
      </c>
      <c r="D2675" s="772" t="s">
        <v>9326</v>
      </c>
      <c r="E2675" s="772" t="s">
        <v>9327</v>
      </c>
      <c r="F2675" s="781" t="s">
        <v>9068</v>
      </c>
      <c r="G2675" s="164">
        <v>46330.0</v>
      </c>
      <c r="H2675" s="540">
        <v>5.0</v>
      </c>
      <c r="I2675" s="472" t="s">
        <v>2890</v>
      </c>
      <c r="J2675" s="35" t="s">
        <v>9324</v>
      </c>
      <c r="K2675" s="35" t="s">
        <v>8706</v>
      </c>
      <c r="L2675" s="292" t="s">
        <v>4195</v>
      </c>
      <c r="O2675" s="726">
        <v>46239.0</v>
      </c>
      <c r="P2675" s="587" t="s">
        <v>1432</v>
      </c>
    </row>
    <row r="2676" hidden="1">
      <c r="A2676" s="772">
        <v>5.0</v>
      </c>
      <c r="B2676" s="780" t="s">
        <v>9328</v>
      </c>
      <c r="C2676" s="782" t="s">
        <v>2307</v>
      </c>
      <c r="D2676" s="772" t="s">
        <v>9329</v>
      </c>
      <c r="E2676" s="772" t="s">
        <v>9330</v>
      </c>
      <c r="F2676" s="781" t="s">
        <v>9331</v>
      </c>
      <c r="G2676" s="164">
        <v>46330.0</v>
      </c>
      <c r="H2676" s="540">
        <v>5.0</v>
      </c>
      <c r="I2676" s="540" t="s">
        <v>3465</v>
      </c>
      <c r="J2676" s="35" t="s">
        <v>9324</v>
      </c>
      <c r="K2676" s="35" t="s">
        <v>8706</v>
      </c>
      <c r="L2676" s="292" t="s">
        <v>4195</v>
      </c>
      <c r="O2676" s="754">
        <v>46270.0</v>
      </c>
      <c r="P2676" s="587" t="s">
        <v>1432</v>
      </c>
    </row>
    <row r="2677" hidden="1">
      <c r="A2677" s="772">
        <v>6.0</v>
      </c>
      <c r="B2677" s="780" t="s">
        <v>9332</v>
      </c>
      <c r="C2677" s="772" t="s">
        <v>2403</v>
      </c>
      <c r="D2677" s="772" t="s">
        <v>9333</v>
      </c>
      <c r="E2677" s="772" t="s">
        <v>9334</v>
      </c>
      <c r="F2677" s="781" t="s">
        <v>9331</v>
      </c>
      <c r="G2677" s="164">
        <v>46330.0</v>
      </c>
      <c r="H2677" s="540">
        <v>5.0</v>
      </c>
      <c r="I2677" s="783" t="s">
        <v>3231</v>
      </c>
      <c r="J2677" s="35" t="s">
        <v>9324</v>
      </c>
      <c r="K2677" s="35" t="s">
        <v>8706</v>
      </c>
      <c r="L2677" s="292" t="s">
        <v>4195</v>
      </c>
      <c r="O2677" s="754">
        <v>46270.0</v>
      </c>
      <c r="P2677" s="587" t="s">
        <v>1432</v>
      </c>
    </row>
    <row r="2678" hidden="1">
      <c r="A2678" s="772">
        <v>7.0</v>
      </c>
      <c r="B2678" s="780" t="s">
        <v>9335</v>
      </c>
      <c r="C2678" s="772" t="s">
        <v>80</v>
      </c>
      <c r="D2678" s="772" t="s">
        <v>9336</v>
      </c>
      <c r="E2678" s="772" t="s">
        <v>9337</v>
      </c>
      <c r="F2678" s="781" t="s">
        <v>586</v>
      </c>
      <c r="G2678" s="164">
        <v>46330.0</v>
      </c>
      <c r="H2678" s="540">
        <v>5.0</v>
      </c>
      <c r="I2678" s="540" t="s">
        <v>9338</v>
      </c>
      <c r="L2678" s="292" t="s">
        <v>374</v>
      </c>
      <c r="N2678" s="143" t="s">
        <v>8954</v>
      </c>
      <c r="O2678" s="143" t="s">
        <v>8686</v>
      </c>
    </row>
    <row r="2679" hidden="1">
      <c r="A2679" s="772">
        <v>8.0</v>
      </c>
      <c r="B2679" s="780">
        <v>2.7032026E7</v>
      </c>
      <c r="C2679" s="784"/>
      <c r="D2679" s="772" t="s">
        <v>9339</v>
      </c>
      <c r="E2679" s="772" t="s">
        <v>9340</v>
      </c>
      <c r="F2679" s="785"/>
      <c r="G2679" s="647"/>
      <c r="H2679" s="653"/>
      <c r="I2679" s="783" t="s">
        <v>3231</v>
      </c>
      <c r="J2679" s="143" t="s">
        <v>374</v>
      </c>
      <c r="K2679" s="571">
        <v>46330.0</v>
      </c>
      <c r="L2679" s="292" t="s">
        <v>374</v>
      </c>
      <c r="N2679" s="143" t="s">
        <v>9341</v>
      </c>
      <c r="O2679" s="571">
        <v>46330.0</v>
      </c>
    </row>
    <row r="2680" hidden="1">
      <c r="A2680" s="772">
        <v>9.0</v>
      </c>
      <c r="B2680" s="780" t="s">
        <v>9342</v>
      </c>
      <c r="C2680" s="781" t="s">
        <v>2307</v>
      </c>
      <c r="D2680" s="772" t="s">
        <v>9343</v>
      </c>
      <c r="E2680" s="772" t="s">
        <v>9344</v>
      </c>
      <c r="F2680" s="781" t="s">
        <v>9345</v>
      </c>
      <c r="G2680" s="12" t="s">
        <v>8772</v>
      </c>
      <c r="H2680" s="540">
        <v>7.0</v>
      </c>
      <c r="I2680" s="472" t="s">
        <v>2890</v>
      </c>
      <c r="J2680" s="143" t="s">
        <v>699</v>
      </c>
      <c r="K2680" s="35" t="s">
        <v>8706</v>
      </c>
      <c r="L2680" s="292" t="s">
        <v>4195</v>
      </c>
      <c r="O2680" s="143" t="s">
        <v>9346</v>
      </c>
      <c r="P2680" s="587" t="s">
        <v>1432</v>
      </c>
    </row>
    <row r="2681" hidden="1">
      <c r="A2681" s="772">
        <v>10.0</v>
      </c>
      <c r="B2681" s="780" t="s">
        <v>9347</v>
      </c>
      <c r="C2681" s="781" t="s">
        <v>2307</v>
      </c>
      <c r="D2681" s="772" t="s">
        <v>9348</v>
      </c>
      <c r="E2681" s="772" t="s">
        <v>9349</v>
      </c>
      <c r="F2681" s="781" t="s">
        <v>8425</v>
      </c>
      <c r="G2681" s="12" t="s">
        <v>8772</v>
      </c>
      <c r="H2681" s="540">
        <v>7.0</v>
      </c>
      <c r="I2681" s="472" t="s">
        <v>2890</v>
      </c>
      <c r="J2681" s="143" t="s">
        <v>4873</v>
      </c>
      <c r="K2681" s="726">
        <v>46299.0</v>
      </c>
      <c r="L2681" s="292" t="s">
        <v>4195</v>
      </c>
      <c r="O2681" s="143" t="s">
        <v>9135</v>
      </c>
    </row>
    <row r="2682" hidden="1">
      <c r="A2682" s="772">
        <v>11.0</v>
      </c>
      <c r="B2682" s="780" t="s">
        <v>9350</v>
      </c>
      <c r="C2682" s="781" t="s">
        <v>2307</v>
      </c>
      <c r="D2682" s="772" t="s">
        <v>9351</v>
      </c>
      <c r="E2682" s="772" t="s">
        <v>9352</v>
      </c>
      <c r="F2682" s="781" t="s">
        <v>9068</v>
      </c>
      <c r="G2682" s="12" t="s">
        <v>9125</v>
      </c>
      <c r="H2682" s="540">
        <v>9.0</v>
      </c>
      <c r="I2682" s="472" t="s">
        <v>2890</v>
      </c>
      <c r="J2682" s="143" t="s">
        <v>4873</v>
      </c>
      <c r="K2682" s="143" t="s">
        <v>8778</v>
      </c>
      <c r="L2682" s="292" t="s">
        <v>4195</v>
      </c>
      <c r="O2682" s="143" t="s">
        <v>9353</v>
      </c>
      <c r="P2682" s="587" t="s">
        <v>1432</v>
      </c>
    </row>
    <row r="2683" hidden="1">
      <c r="A2683" s="772">
        <v>12.0</v>
      </c>
      <c r="B2683" s="780" t="s">
        <v>9354</v>
      </c>
      <c r="C2683" s="781" t="s">
        <v>2307</v>
      </c>
      <c r="D2683" s="772" t="s">
        <v>9355</v>
      </c>
      <c r="E2683" s="772" t="s">
        <v>9356</v>
      </c>
      <c r="F2683" s="781" t="s">
        <v>9331</v>
      </c>
      <c r="G2683" s="12" t="s">
        <v>8896</v>
      </c>
      <c r="H2683" s="540">
        <v>8.0</v>
      </c>
      <c r="I2683" s="472" t="s">
        <v>2890</v>
      </c>
      <c r="J2683" s="143" t="s">
        <v>9357</v>
      </c>
      <c r="K2683" s="726">
        <v>46117.0</v>
      </c>
      <c r="L2683" s="292" t="s">
        <v>4195</v>
      </c>
      <c r="O2683" s="726">
        <v>46208.0</v>
      </c>
      <c r="P2683" s="587" t="s">
        <v>1432</v>
      </c>
    </row>
    <row r="2684" hidden="1">
      <c r="A2684" s="772">
        <v>13.0</v>
      </c>
      <c r="B2684" s="780" t="s">
        <v>9358</v>
      </c>
      <c r="C2684" s="781" t="s">
        <v>1185</v>
      </c>
      <c r="D2684" s="772" t="s">
        <v>9359</v>
      </c>
      <c r="E2684" s="772" t="s">
        <v>9360</v>
      </c>
      <c r="F2684" s="781" t="s">
        <v>25</v>
      </c>
      <c r="G2684" s="12" t="s">
        <v>8874</v>
      </c>
      <c r="H2684" s="472">
        <v>14.0</v>
      </c>
      <c r="I2684" s="472" t="s">
        <v>2890</v>
      </c>
      <c r="J2684" s="143" t="s">
        <v>9300</v>
      </c>
      <c r="L2684" s="292" t="s">
        <v>374</v>
      </c>
      <c r="O2684" s="292" t="s">
        <v>375</v>
      </c>
    </row>
    <row r="2685" hidden="1">
      <c r="A2685" s="772">
        <v>14.0</v>
      </c>
      <c r="B2685" s="780" t="s">
        <v>9361</v>
      </c>
      <c r="C2685" s="781" t="s">
        <v>80</v>
      </c>
      <c r="D2685" s="772" t="s">
        <v>9362</v>
      </c>
      <c r="E2685" s="772" t="s">
        <v>9363</v>
      </c>
      <c r="F2685" s="781" t="s">
        <v>9364</v>
      </c>
      <c r="G2685" s="12" t="s">
        <v>8874</v>
      </c>
      <c r="H2685" s="472">
        <v>14.0</v>
      </c>
      <c r="I2685" s="472" t="s">
        <v>2890</v>
      </c>
      <c r="J2685" s="143" t="s">
        <v>1696</v>
      </c>
      <c r="K2685" s="143" t="s">
        <v>8854</v>
      </c>
      <c r="L2685" s="292" t="s">
        <v>51</v>
      </c>
      <c r="O2685" s="143" t="s">
        <v>371</v>
      </c>
      <c r="P2685" s="587" t="s">
        <v>1432</v>
      </c>
    </row>
    <row r="2686" hidden="1">
      <c r="A2686" s="772">
        <v>15.0</v>
      </c>
      <c r="B2686" s="780" t="s">
        <v>9365</v>
      </c>
      <c r="C2686" s="781" t="s">
        <v>80</v>
      </c>
      <c r="D2686" s="772" t="s">
        <v>9366</v>
      </c>
      <c r="E2686" s="772" t="s">
        <v>9367</v>
      </c>
      <c r="F2686" s="781" t="s">
        <v>6957</v>
      </c>
      <c r="G2686" s="12" t="s">
        <v>8874</v>
      </c>
      <c r="H2686" s="472">
        <v>14.0</v>
      </c>
      <c r="I2686" s="472" t="s">
        <v>2890</v>
      </c>
      <c r="L2686" s="292" t="s">
        <v>778</v>
      </c>
      <c r="O2686" s="143" t="s">
        <v>9272</v>
      </c>
      <c r="P2686" s="765" t="s">
        <v>8971</v>
      </c>
    </row>
    <row r="2687" hidden="1">
      <c r="A2687" s="772">
        <v>16.0</v>
      </c>
      <c r="B2687" s="780" t="s">
        <v>9368</v>
      </c>
      <c r="C2687" s="781" t="s">
        <v>80</v>
      </c>
      <c r="D2687" s="772" t="s">
        <v>9369</v>
      </c>
      <c r="E2687" s="772" t="s">
        <v>9370</v>
      </c>
      <c r="F2687" s="781" t="s">
        <v>556</v>
      </c>
      <c r="G2687" s="12" t="s">
        <v>9314</v>
      </c>
      <c r="H2687" s="472">
        <v>12.0</v>
      </c>
      <c r="I2687" s="472" t="s">
        <v>2890</v>
      </c>
      <c r="J2687" s="143" t="s">
        <v>9300</v>
      </c>
      <c r="L2687" s="292" t="s">
        <v>374</v>
      </c>
      <c r="O2687" s="292" t="s">
        <v>9272</v>
      </c>
      <c r="P2687" s="587" t="s">
        <v>1432</v>
      </c>
    </row>
    <row r="2688" hidden="1">
      <c r="A2688" s="772">
        <v>17.0</v>
      </c>
      <c r="B2688" s="780" t="s">
        <v>9371</v>
      </c>
      <c r="C2688" s="781" t="s">
        <v>80</v>
      </c>
      <c r="D2688" s="772" t="s">
        <v>9372</v>
      </c>
      <c r="E2688" s="786" t="s">
        <v>9373</v>
      </c>
      <c r="F2688" s="781" t="s">
        <v>556</v>
      </c>
      <c r="G2688" s="12" t="s">
        <v>9314</v>
      </c>
      <c r="H2688" s="472">
        <v>12.0</v>
      </c>
      <c r="I2688" s="472" t="s">
        <v>2890</v>
      </c>
      <c r="L2688" s="292" t="s">
        <v>4195</v>
      </c>
      <c r="O2688" s="143" t="s">
        <v>9374</v>
      </c>
      <c r="P2688" s="587" t="s">
        <v>1432</v>
      </c>
    </row>
    <row r="2689" hidden="1">
      <c r="A2689" s="772">
        <v>18.0</v>
      </c>
      <c r="B2689" s="780" t="s">
        <v>9375</v>
      </c>
      <c r="C2689" s="781" t="s">
        <v>80</v>
      </c>
      <c r="D2689" s="772" t="s">
        <v>9376</v>
      </c>
      <c r="E2689" s="786" t="s">
        <v>9377</v>
      </c>
      <c r="F2689" s="781" t="s">
        <v>556</v>
      </c>
      <c r="G2689" s="12" t="s">
        <v>9314</v>
      </c>
      <c r="H2689" s="472">
        <v>12.0</v>
      </c>
      <c r="I2689" s="472" t="s">
        <v>2890</v>
      </c>
      <c r="L2689" s="292" t="s">
        <v>4195</v>
      </c>
      <c r="O2689" s="143" t="s">
        <v>9374</v>
      </c>
    </row>
    <row r="2690" hidden="1">
      <c r="A2690" s="772">
        <v>19.0</v>
      </c>
      <c r="B2690" s="780" t="s">
        <v>9378</v>
      </c>
      <c r="C2690" s="772" t="s">
        <v>80</v>
      </c>
      <c r="D2690" s="772" t="s">
        <v>9379</v>
      </c>
      <c r="E2690" s="786" t="s">
        <v>9380</v>
      </c>
      <c r="F2690" s="781" t="s">
        <v>9140</v>
      </c>
      <c r="G2690" s="12" t="s">
        <v>8874</v>
      </c>
      <c r="H2690" s="472">
        <v>14.0</v>
      </c>
      <c r="I2690" s="472" t="s">
        <v>2890</v>
      </c>
      <c r="J2690" s="143" t="s">
        <v>2541</v>
      </c>
      <c r="K2690" s="143" t="s">
        <v>9049</v>
      </c>
      <c r="L2690" s="292" t="s">
        <v>374</v>
      </c>
      <c r="O2690" s="143" t="s">
        <v>8870</v>
      </c>
      <c r="P2690" s="587" t="s">
        <v>1432</v>
      </c>
    </row>
    <row r="2691" hidden="1">
      <c r="A2691" s="772">
        <v>20.0</v>
      </c>
      <c r="B2691" s="780" t="s">
        <v>9381</v>
      </c>
      <c r="C2691" s="781" t="s">
        <v>80</v>
      </c>
      <c r="D2691" s="772" t="s">
        <v>9382</v>
      </c>
      <c r="E2691" s="786" t="s">
        <v>9383</v>
      </c>
      <c r="F2691" s="781" t="s">
        <v>9140</v>
      </c>
      <c r="G2691" s="12" t="s">
        <v>8874</v>
      </c>
      <c r="H2691" s="472">
        <v>14.0</v>
      </c>
      <c r="I2691" s="472" t="s">
        <v>2890</v>
      </c>
      <c r="J2691" s="143" t="s">
        <v>2541</v>
      </c>
      <c r="K2691" s="143" t="s">
        <v>9049</v>
      </c>
      <c r="L2691" s="292" t="s">
        <v>374</v>
      </c>
      <c r="O2691" s="143" t="s">
        <v>8870</v>
      </c>
      <c r="P2691" s="587" t="s">
        <v>1432</v>
      </c>
    </row>
    <row r="2692" hidden="1">
      <c r="A2692" s="772">
        <v>21.0</v>
      </c>
      <c r="B2692" s="780" t="s">
        <v>9384</v>
      </c>
      <c r="C2692" s="781" t="s">
        <v>80</v>
      </c>
      <c r="D2692" s="772" t="s">
        <v>9385</v>
      </c>
      <c r="E2692" s="772" t="s">
        <v>9386</v>
      </c>
      <c r="F2692" s="781" t="s">
        <v>9387</v>
      </c>
      <c r="G2692" s="12" t="s">
        <v>9319</v>
      </c>
      <c r="H2692" s="472">
        <v>16.0</v>
      </c>
      <c r="I2692" s="472" t="s">
        <v>2890</v>
      </c>
      <c r="L2692" s="292" t="s">
        <v>51</v>
      </c>
      <c r="O2692" s="143" t="s">
        <v>9272</v>
      </c>
      <c r="P2692" s="587" t="s">
        <v>1432</v>
      </c>
    </row>
    <row r="2693" hidden="1">
      <c r="A2693" s="772">
        <v>22.0</v>
      </c>
      <c r="B2693" s="780" t="s">
        <v>9388</v>
      </c>
      <c r="C2693" s="781" t="s">
        <v>80</v>
      </c>
      <c r="D2693" s="772" t="s">
        <v>9389</v>
      </c>
      <c r="E2693" s="772" t="s">
        <v>9390</v>
      </c>
      <c r="F2693" s="781" t="s">
        <v>2315</v>
      </c>
      <c r="G2693" s="12" t="s">
        <v>9319</v>
      </c>
      <c r="H2693" s="472">
        <v>16.0</v>
      </c>
      <c r="I2693" s="472" t="s">
        <v>2890</v>
      </c>
      <c r="J2693" s="153" t="s">
        <v>9391</v>
      </c>
      <c r="K2693" s="153" t="s">
        <v>9145</v>
      </c>
      <c r="L2693" s="292" t="s">
        <v>4195</v>
      </c>
      <c r="O2693" s="143" t="s">
        <v>8659</v>
      </c>
      <c r="P2693" s="587" t="s">
        <v>1432</v>
      </c>
    </row>
    <row r="2694" hidden="1">
      <c r="A2694" s="772">
        <v>23.0</v>
      </c>
      <c r="B2694" s="780" t="s">
        <v>9392</v>
      </c>
      <c r="C2694" s="772" t="s">
        <v>80</v>
      </c>
      <c r="D2694" s="772" t="s">
        <v>9393</v>
      </c>
      <c r="E2694" s="615" t="s">
        <v>9394</v>
      </c>
      <c r="F2694" s="781" t="s">
        <v>3583</v>
      </c>
      <c r="G2694" s="12" t="s">
        <v>9193</v>
      </c>
      <c r="H2694" s="472">
        <v>10.0</v>
      </c>
      <c r="I2694" s="472" t="s">
        <v>2890</v>
      </c>
      <c r="J2694" s="143" t="s">
        <v>2541</v>
      </c>
      <c r="L2694" s="292" t="s">
        <v>778</v>
      </c>
      <c r="O2694" s="143" t="s">
        <v>9079</v>
      </c>
    </row>
    <row r="2695" hidden="1">
      <c r="A2695" s="772">
        <v>24.0</v>
      </c>
      <c r="B2695" s="780" t="s">
        <v>9395</v>
      </c>
      <c r="C2695" s="772" t="s">
        <v>1185</v>
      </c>
      <c r="D2695" s="772" t="s">
        <v>9396</v>
      </c>
      <c r="E2695" s="772" t="s">
        <v>9397</v>
      </c>
      <c r="F2695" s="781" t="s">
        <v>25</v>
      </c>
      <c r="G2695" s="12" t="s">
        <v>9319</v>
      </c>
      <c r="H2695" s="472">
        <v>16.0</v>
      </c>
      <c r="I2695" s="472" t="s">
        <v>2890</v>
      </c>
      <c r="J2695" s="143" t="s">
        <v>51</v>
      </c>
      <c r="K2695" s="143" t="s">
        <v>9049</v>
      </c>
      <c r="L2695" s="292" t="s">
        <v>51</v>
      </c>
      <c r="O2695" s="143" t="s">
        <v>375</v>
      </c>
      <c r="P2695" s="587" t="s">
        <v>1432</v>
      </c>
    </row>
    <row r="2696" hidden="1">
      <c r="A2696" s="772">
        <v>25.0</v>
      </c>
      <c r="B2696" s="780" t="s">
        <v>9398</v>
      </c>
      <c r="C2696" s="772" t="s">
        <v>1185</v>
      </c>
      <c r="D2696" s="772" t="s">
        <v>9399</v>
      </c>
      <c r="E2696" s="772" t="s">
        <v>9400</v>
      </c>
      <c r="F2696" s="781" t="s">
        <v>25</v>
      </c>
      <c r="G2696" s="12" t="s">
        <v>9319</v>
      </c>
      <c r="H2696" s="472">
        <v>16.0</v>
      </c>
      <c r="I2696" s="472" t="s">
        <v>2890</v>
      </c>
      <c r="J2696" s="153" t="s">
        <v>9391</v>
      </c>
      <c r="K2696" s="153" t="s">
        <v>9145</v>
      </c>
      <c r="L2696" s="292" t="s">
        <v>4195</v>
      </c>
      <c r="O2696" s="143" t="s">
        <v>9401</v>
      </c>
      <c r="P2696" s="587" t="s">
        <v>1432</v>
      </c>
    </row>
    <row r="2697" hidden="1">
      <c r="A2697" s="772">
        <v>26.0</v>
      </c>
      <c r="B2697" s="780" t="s">
        <v>9402</v>
      </c>
      <c r="C2697" s="772" t="s">
        <v>80</v>
      </c>
      <c r="D2697" s="772" t="s">
        <v>9403</v>
      </c>
      <c r="E2697" s="772" t="s">
        <v>9404</v>
      </c>
      <c r="F2697" s="781" t="s">
        <v>8658</v>
      </c>
      <c r="G2697" s="12" t="s">
        <v>9319</v>
      </c>
      <c r="H2697" s="472">
        <v>16.0</v>
      </c>
      <c r="I2697" s="472" t="s">
        <v>2890</v>
      </c>
      <c r="L2697" s="292" t="s">
        <v>374</v>
      </c>
      <c r="O2697" s="571">
        <v>46208.0</v>
      </c>
    </row>
    <row r="2698" hidden="1">
      <c r="A2698" s="772">
        <v>27.0</v>
      </c>
      <c r="B2698" s="780" t="s">
        <v>9405</v>
      </c>
      <c r="C2698" s="772" t="s">
        <v>651</v>
      </c>
      <c r="D2698" s="772" t="s">
        <v>9406</v>
      </c>
      <c r="E2698" s="772" t="s">
        <v>9407</v>
      </c>
      <c r="F2698" s="781" t="s">
        <v>5436</v>
      </c>
      <c r="G2698" s="12" t="s">
        <v>9319</v>
      </c>
      <c r="H2698" s="472">
        <v>16.0</v>
      </c>
      <c r="I2698" s="472" t="s">
        <v>2890</v>
      </c>
      <c r="J2698" s="143" t="s">
        <v>1696</v>
      </c>
      <c r="K2698" s="143" t="s">
        <v>8870</v>
      </c>
      <c r="L2698" s="292" t="s">
        <v>51</v>
      </c>
      <c r="O2698" s="143" t="s">
        <v>9272</v>
      </c>
      <c r="P2698" s="587" t="s">
        <v>1432</v>
      </c>
    </row>
    <row r="2699" hidden="1">
      <c r="A2699" s="772">
        <v>28.0</v>
      </c>
      <c r="B2699" s="780" t="s">
        <v>9408</v>
      </c>
      <c r="C2699" s="772" t="s">
        <v>80</v>
      </c>
      <c r="D2699" s="772" t="s">
        <v>9409</v>
      </c>
      <c r="E2699" s="772" t="s">
        <v>9410</v>
      </c>
      <c r="F2699" s="781" t="s">
        <v>556</v>
      </c>
      <c r="G2699" s="12" t="s">
        <v>9319</v>
      </c>
      <c r="H2699" s="472">
        <v>16.0</v>
      </c>
      <c r="I2699" s="783" t="s">
        <v>3231</v>
      </c>
      <c r="K2699" s="571">
        <v>46270.0</v>
      </c>
      <c r="L2699" s="292" t="s">
        <v>778</v>
      </c>
      <c r="O2699" s="571">
        <v>46208.0</v>
      </c>
      <c r="P2699" s="587" t="s">
        <v>1432</v>
      </c>
    </row>
    <row r="2700" hidden="1">
      <c r="A2700" s="772">
        <v>29.0</v>
      </c>
      <c r="B2700" s="780" t="s">
        <v>9411</v>
      </c>
      <c r="C2700" s="772" t="s">
        <v>80</v>
      </c>
      <c r="D2700" s="772" t="s">
        <v>9412</v>
      </c>
      <c r="E2700" s="772" t="s">
        <v>9413</v>
      </c>
      <c r="F2700" s="781" t="s">
        <v>556</v>
      </c>
      <c r="G2700" s="12" t="s">
        <v>9319</v>
      </c>
      <c r="H2700" s="472">
        <v>16.0</v>
      </c>
      <c r="I2700" s="472" t="s">
        <v>2890</v>
      </c>
      <c r="J2700" s="143" t="s">
        <v>9414</v>
      </c>
      <c r="K2700" s="143" t="s">
        <v>8949</v>
      </c>
      <c r="L2700" s="292" t="s">
        <v>374</v>
      </c>
      <c r="O2700" s="143" t="s">
        <v>371</v>
      </c>
      <c r="P2700" s="587" t="s">
        <v>1432</v>
      </c>
    </row>
    <row r="2701" hidden="1">
      <c r="A2701" s="787">
        <v>30.0</v>
      </c>
      <c r="B2701" s="788" t="s">
        <v>9415</v>
      </c>
      <c r="C2701" s="789" t="s">
        <v>8495</v>
      </c>
      <c r="D2701" s="787" t="s">
        <v>9416</v>
      </c>
      <c r="E2701" s="787" t="s">
        <v>9417</v>
      </c>
      <c r="F2701" s="789" t="s">
        <v>3157</v>
      </c>
      <c r="G2701" s="790">
        <v>46238.0</v>
      </c>
      <c r="H2701" s="791">
        <v>2.0</v>
      </c>
      <c r="I2701" s="792" t="s">
        <v>2890</v>
      </c>
      <c r="J2701" s="793"/>
      <c r="K2701" s="793"/>
      <c r="L2701" s="794" t="s">
        <v>404</v>
      </c>
      <c r="M2701" s="793"/>
      <c r="N2701" s="795" t="s">
        <v>9418</v>
      </c>
      <c r="O2701" s="796">
        <v>46238.0</v>
      </c>
      <c r="P2701" s="797" t="s">
        <v>1432</v>
      </c>
      <c r="Q2701" s="793"/>
      <c r="R2701" s="793"/>
      <c r="S2701" s="793"/>
      <c r="T2701" s="793"/>
      <c r="U2701" s="793"/>
      <c r="V2701" s="793"/>
      <c r="W2701" s="793"/>
      <c r="X2701" s="793"/>
      <c r="Y2701" s="793"/>
      <c r="Z2701" s="793"/>
      <c r="AA2701" s="793"/>
      <c r="AB2701" s="793"/>
      <c r="AC2701" s="793"/>
      <c r="AD2701" s="793"/>
      <c r="AE2701" s="793"/>
      <c r="AF2701" s="793"/>
    </row>
    <row r="2702" hidden="1">
      <c r="A2702" s="787">
        <v>31.0</v>
      </c>
      <c r="B2702" s="788" t="s">
        <v>9419</v>
      </c>
      <c r="C2702" s="789" t="s">
        <v>8495</v>
      </c>
      <c r="D2702" s="787" t="s">
        <v>9420</v>
      </c>
      <c r="E2702" s="787" t="s">
        <v>9421</v>
      </c>
      <c r="F2702" s="789" t="s">
        <v>9077</v>
      </c>
      <c r="G2702" s="798" t="s">
        <v>9422</v>
      </c>
      <c r="H2702" s="792">
        <v>17.0</v>
      </c>
      <c r="I2702" s="792" t="s">
        <v>2890</v>
      </c>
      <c r="J2702" s="793"/>
      <c r="K2702" s="793"/>
      <c r="L2702" s="794" t="s">
        <v>404</v>
      </c>
      <c r="M2702" s="793"/>
      <c r="N2702" s="795" t="s">
        <v>9418</v>
      </c>
      <c r="O2702" s="796">
        <v>46238.0</v>
      </c>
      <c r="P2702" s="793"/>
      <c r="Q2702" s="793"/>
      <c r="R2702" s="793"/>
      <c r="S2702" s="793"/>
      <c r="T2702" s="793"/>
      <c r="U2702" s="793"/>
      <c r="V2702" s="793"/>
      <c r="W2702" s="793"/>
      <c r="X2702" s="793"/>
      <c r="Y2702" s="793"/>
      <c r="Z2702" s="793"/>
      <c r="AA2702" s="793"/>
      <c r="AB2702" s="793"/>
      <c r="AC2702" s="793"/>
      <c r="AD2702" s="793"/>
      <c r="AE2702" s="793"/>
      <c r="AF2702" s="793"/>
    </row>
    <row r="2703" hidden="1">
      <c r="A2703" s="772">
        <v>32.0</v>
      </c>
      <c r="B2703" s="780" t="s">
        <v>9423</v>
      </c>
      <c r="C2703" s="772" t="s">
        <v>651</v>
      </c>
      <c r="D2703" s="772" t="s">
        <v>9424</v>
      </c>
      <c r="E2703" s="772" t="s">
        <v>9425</v>
      </c>
      <c r="F2703" s="781" t="s">
        <v>4338</v>
      </c>
      <c r="G2703" s="12" t="s">
        <v>9422</v>
      </c>
      <c r="H2703" s="472">
        <v>17.0</v>
      </c>
      <c r="I2703" s="472" t="s">
        <v>2890</v>
      </c>
      <c r="J2703" s="143" t="s">
        <v>51</v>
      </c>
      <c r="K2703" s="143" t="s">
        <v>8949</v>
      </c>
      <c r="L2703" s="492" t="s">
        <v>51</v>
      </c>
      <c r="O2703" s="143" t="s">
        <v>9272</v>
      </c>
      <c r="P2703" s="587" t="s">
        <v>1432</v>
      </c>
    </row>
    <row r="2704" hidden="1">
      <c r="A2704" s="772">
        <v>33.0</v>
      </c>
      <c r="B2704" s="780" t="s">
        <v>9426</v>
      </c>
      <c r="C2704" s="772" t="s">
        <v>80</v>
      </c>
      <c r="D2704" s="772" t="s">
        <v>9427</v>
      </c>
      <c r="E2704" s="772" t="s">
        <v>9428</v>
      </c>
      <c r="F2704" s="781" t="s">
        <v>9429</v>
      </c>
      <c r="G2704" s="12" t="s">
        <v>9422</v>
      </c>
      <c r="H2704" s="472">
        <v>17.0</v>
      </c>
      <c r="I2704" s="472" t="s">
        <v>2890</v>
      </c>
      <c r="J2704" s="35" t="s">
        <v>9430</v>
      </c>
      <c r="K2704" s="35" t="s">
        <v>8653</v>
      </c>
      <c r="L2704" s="492" t="s">
        <v>4195</v>
      </c>
      <c r="O2704" s="143" t="s">
        <v>9401</v>
      </c>
      <c r="P2704" s="587" t="s">
        <v>1432</v>
      </c>
    </row>
    <row r="2705" hidden="1">
      <c r="A2705" s="772">
        <v>34.0</v>
      </c>
      <c r="B2705" s="780" t="s">
        <v>9431</v>
      </c>
      <c r="C2705" s="772" t="s">
        <v>1185</v>
      </c>
      <c r="D2705" s="772" t="s">
        <v>9432</v>
      </c>
      <c r="E2705" s="772" t="s">
        <v>9433</v>
      </c>
      <c r="F2705" s="781" t="s">
        <v>25</v>
      </c>
      <c r="G2705" s="12" t="s">
        <v>9434</v>
      </c>
      <c r="H2705" s="472">
        <v>20.0</v>
      </c>
      <c r="I2705" s="472" t="s">
        <v>2890</v>
      </c>
      <c r="J2705" s="143" t="s">
        <v>9414</v>
      </c>
      <c r="L2705" s="292" t="s">
        <v>374</v>
      </c>
      <c r="O2705" s="292" t="s">
        <v>9435</v>
      </c>
      <c r="P2705" s="587" t="s">
        <v>1432</v>
      </c>
    </row>
    <row r="2706" hidden="1">
      <c r="A2706" s="772">
        <v>35.0</v>
      </c>
      <c r="B2706" s="780" t="s">
        <v>9436</v>
      </c>
      <c r="C2706" s="772" t="s">
        <v>1185</v>
      </c>
      <c r="D2706" s="772" t="s">
        <v>9437</v>
      </c>
      <c r="E2706" s="772" t="s">
        <v>9438</v>
      </c>
      <c r="F2706" s="781" t="s">
        <v>25</v>
      </c>
      <c r="G2706" s="12" t="s">
        <v>9434</v>
      </c>
      <c r="H2706" s="472">
        <v>20.0</v>
      </c>
      <c r="I2706" s="472" t="s">
        <v>2890</v>
      </c>
      <c r="J2706" s="143" t="s">
        <v>51</v>
      </c>
      <c r="K2706" s="143" t="s">
        <v>8949</v>
      </c>
      <c r="L2706" s="292" t="s">
        <v>51</v>
      </c>
      <c r="O2706" s="143" t="s">
        <v>9272</v>
      </c>
      <c r="P2706" s="587" t="s">
        <v>1432</v>
      </c>
    </row>
    <row r="2707" hidden="1">
      <c r="A2707" s="772">
        <v>36.0</v>
      </c>
      <c r="B2707" s="780" t="s">
        <v>9439</v>
      </c>
      <c r="C2707" s="772" t="s">
        <v>80</v>
      </c>
      <c r="D2707" s="772" t="s">
        <v>9440</v>
      </c>
      <c r="E2707" s="772" t="s">
        <v>9441</v>
      </c>
      <c r="F2707" s="781" t="s">
        <v>2163</v>
      </c>
      <c r="G2707" s="12" t="s">
        <v>9442</v>
      </c>
      <c r="H2707" s="472">
        <v>19.0</v>
      </c>
      <c r="I2707" s="472" t="s">
        <v>2890</v>
      </c>
      <c r="J2707" s="143" t="s">
        <v>9443</v>
      </c>
      <c r="K2707" s="143" t="s">
        <v>9422</v>
      </c>
      <c r="L2707" s="292" t="s">
        <v>4195</v>
      </c>
      <c r="O2707" s="143" t="s">
        <v>9444</v>
      </c>
      <c r="P2707" s="587" t="s">
        <v>1432</v>
      </c>
    </row>
    <row r="2708" hidden="1">
      <c r="A2708" s="772">
        <v>37.0</v>
      </c>
      <c r="B2708" s="780" t="s">
        <v>9445</v>
      </c>
      <c r="C2708" s="772" t="s">
        <v>80</v>
      </c>
      <c r="D2708" s="772" t="s">
        <v>9446</v>
      </c>
      <c r="E2708" s="786" t="s">
        <v>9447</v>
      </c>
      <c r="F2708" s="781" t="s">
        <v>9331</v>
      </c>
      <c r="G2708" s="12" t="s">
        <v>9442</v>
      </c>
      <c r="H2708" s="472">
        <v>19.0</v>
      </c>
      <c r="I2708" s="472" t="s">
        <v>2890</v>
      </c>
      <c r="J2708" s="143" t="s">
        <v>9448</v>
      </c>
      <c r="K2708" s="143" t="s">
        <v>8949</v>
      </c>
      <c r="L2708" s="292" t="s">
        <v>51</v>
      </c>
      <c r="O2708" s="143" t="s">
        <v>9272</v>
      </c>
      <c r="P2708" s="587" t="s">
        <v>1432</v>
      </c>
    </row>
    <row r="2709" hidden="1">
      <c r="A2709" s="772">
        <v>38.0</v>
      </c>
      <c r="B2709" s="780" t="s">
        <v>9449</v>
      </c>
      <c r="C2709" s="772" t="s">
        <v>80</v>
      </c>
      <c r="D2709" s="772" t="s">
        <v>9450</v>
      </c>
      <c r="E2709" s="786" t="s">
        <v>9451</v>
      </c>
      <c r="F2709" s="781" t="s">
        <v>9331</v>
      </c>
      <c r="G2709" s="12" t="s">
        <v>9442</v>
      </c>
      <c r="H2709" s="472">
        <v>19.0</v>
      </c>
      <c r="I2709" s="472" t="s">
        <v>2890</v>
      </c>
      <c r="J2709" s="143" t="s">
        <v>9448</v>
      </c>
      <c r="K2709" s="143" t="s">
        <v>8949</v>
      </c>
      <c r="L2709" s="292" t="s">
        <v>51</v>
      </c>
      <c r="O2709" s="143" t="s">
        <v>9272</v>
      </c>
      <c r="P2709" s="587" t="s">
        <v>1432</v>
      </c>
    </row>
    <row r="2710" hidden="1">
      <c r="A2710" s="772">
        <v>39.0</v>
      </c>
      <c r="B2710" s="780" t="s">
        <v>9452</v>
      </c>
      <c r="C2710" s="781" t="s">
        <v>5937</v>
      </c>
      <c r="D2710" s="772" t="s">
        <v>9453</v>
      </c>
      <c r="E2710" s="786" t="s">
        <v>9454</v>
      </c>
      <c r="F2710" s="781" t="s">
        <v>243</v>
      </c>
      <c r="G2710" s="12" t="s">
        <v>9434</v>
      </c>
      <c r="H2710" s="472">
        <v>20.0</v>
      </c>
      <c r="I2710" s="472" t="s">
        <v>2890</v>
      </c>
      <c r="J2710" s="35" t="s">
        <v>9455</v>
      </c>
      <c r="L2710" s="292" t="s">
        <v>4195</v>
      </c>
      <c r="O2710" s="143" t="s">
        <v>9456</v>
      </c>
      <c r="P2710" s="587" t="s">
        <v>1432</v>
      </c>
    </row>
    <row r="2711" hidden="1">
      <c r="A2711" s="772">
        <v>40.0</v>
      </c>
      <c r="B2711" s="780" t="s">
        <v>9457</v>
      </c>
      <c r="C2711" s="772" t="s">
        <v>5937</v>
      </c>
      <c r="D2711" s="772" t="s">
        <v>9458</v>
      </c>
      <c r="E2711" s="786" t="s">
        <v>9459</v>
      </c>
      <c r="F2711" s="781" t="s">
        <v>243</v>
      </c>
      <c r="G2711" s="12" t="s">
        <v>9434</v>
      </c>
      <c r="H2711" s="472">
        <v>20.0</v>
      </c>
      <c r="I2711" s="472" t="s">
        <v>2890</v>
      </c>
      <c r="J2711" s="35" t="s">
        <v>9455</v>
      </c>
      <c r="L2711" s="292" t="s">
        <v>4195</v>
      </c>
      <c r="O2711" s="143" t="s">
        <v>9460</v>
      </c>
      <c r="P2711" s="587" t="s">
        <v>1432</v>
      </c>
    </row>
    <row r="2712" hidden="1">
      <c r="A2712" s="772">
        <v>41.0</v>
      </c>
      <c r="B2712" s="780" t="s">
        <v>9461</v>
      </c>
      <c r="C2712" s="785"/>
      <c r="D2712" s="772" t="s">
        <v>9462</v>
      </c>
      <c r="E2712" s="786" t="s">
        <v>9463</v>
      </c>
      <c r="F2712" s="785"/>
      <c r="G2712" s="647"/>
      <c r="H2712" s="653"/>
      <c r="I2712" s="472" t="s">
        <v>2890</v>
      </c>
      <c r="L2712" s="292" t="s">
        <v>374</v>
      </c>
      <c r="O2712" s="763">
        <v>46058.0</v>
      </c>
    </row>
    <row r="2713" hidden="1">
      <c r="A2713" s="772">
        <v>42.0</v>
      </c>
      <c r="B2713" s="780" t="s">
        <v>9464</v>
      </c>
      <c r="C2713" s="785"/>
      <c r="D2713" s="772" t="s">
        <v>9465</v>
      </c>
      <c r="E2713" s="786" t="s">
        <v>9463</v>
      </c>
      <c r="F2713" s="785"/>
      <c r="G2713" s="647"/>
      <c r="H2713" s="653"/>
      <c r="I2713" s="540" t="s">
        <v>3465</v>
      </c>
      <c r="L2713" s="292" t="s">
        <v>374</v>
      </c>
      <c r="O2713" s="763">
        <v>46058.0</v>
      </c>
    </row>
    <row r="2714" hidden="1">
      <c r="A2714" s="772">
        <v>43.0</v>
      </c>
      <c r="B2714" s="780" t="s">
        <v>9466</v>
      </c>
      <c r="C2714" s="772" t="s">
        <v>80</v>
      </c>
      <c r="D2714" s="772" t="s">
        <v>9467</v>
      </c>
      <c r="E2714" s="615" t="s">
        <v>9468</v>
      </c>
      <c r="F2714" s="781" t="s">
        <v>3928</v>
      </c>
      <c r="G2714" s="12" t="s">
        <v>8874</v>
      </c>
      <c r="H2714" s="472">
        <v>14.0</v>
      </c>
      <c r="I2714" s="540" t="s">
        <v>3465</v>
      </c>
      <c r="L2714" s="292" t="s">
        <v>9469</v>
      </c>
      <c r="N2714" s="143" t="s">
        <v>8742</v>
      </c>
      <c r="O2714" s="143" t="s">
        <v>9470</v>
      </c>
    </row>
    <row r="2715" hidden="1">
      <c r="A2715" s="772">
        <v>44.0</v>
      </c>
      <c r="B2715" s="780" t="s">
        <v>9471</v>
      </c>
      <c r="C2715" s="772" t="s">
        <v>80</v>
      </c>
      <c r="D2715" s="772" t="s">
        <v>9472</v>
      </c>
      <c r="E2715" s="615" t="s">
        <v>9473</v>
      </c>
      <c r="F2715" s="781" t="s">
        <v>3928</v>
      </c>
      <c r="G2715" s="12" t="s">
        <v>8874</v>
      </c>
      <c r="H2715" s="472">
        <v>14.0</v>
      </c>
      <c r="I2715" s="472" t="s">
        <v>2890</v>
      </c>
      <c r="L2715" s="292" t="s">
        <v>9469</v>
      </c>
      <c r="N2715" s="143" t="s">
        <v>8742</v>
      </c>
      <c r="O2715" s="143" t="s">
        <v>9470</v>
      </c>
    </row>
    <row r="2716" hidden="1">
      <c r="A2716" s="772">
        <v>45.0</v>
      </c>
      <c r="B2716" s="780" t="s">
        <v>9474</v>
      </c>
      <c r="C2716" s="772" t="s">
        <v>80</v>
      </c>
      <c r="D2716" s="772" t="s">
        <v>9475</v>
      </c>
      <c r="E2716" s="615" t="s">
        <v>9476</v>
      </c>
      <c r="F2716" s="781" t="s">
        <v>3583</v>
      </c>
      <c r="G2716" s="12" t="s">
        <v>9319</v>
      </c>
      <c r="H2716" s="472">
        <v>16.0</v>
      </c>
      <c r="I2716" s="472" t="s">
        <v>2890</v>
      </c>
      <c r="L2716" s="140"/>
      <c r="O2716" s="143" t="s">
        <v>9079</v>
      </c>
    </row>
    <row r="2717" hidden="1">
      <c r="A2717" s="772">
        <v>46.0</v>
      </c>
      <c r="B2717" s="780" t="s">
        <v>9477</v>
      </c>
      <c r="C2717" s="772" t="s">
        <v>80</v>
      </c>
      <c r="D2717" s="772" t="s">
        <v>9478</v>
      </c>
      <c r="E2717" s="615" t="s">
        <v>9479</v>
      </c>
      <c r="F2717" s="781" t="s">
        <v>3583</v>
      </c>
      <c r="G2717" s="12" t="s">
        <v>9319</v>
      </c>
      <c r="H2717" s="472">
        <v>16.0</v>
      </c>
      <c r="I2717" s="472" t="s">
        <v>2890</v>
      </c>
      <c r="L2717" s="140"/>
      <c r="O2717" s="143" t="s">
        <v>9272</v>
      </c>
    </row>
    <row r="2718" hidden="1">
      <c r="A2718" s="772">
        <v>47.0</v>
      </c>
      <c r="B2718" s="780" t="s">
        <v>9480</v>
      </c>
      <c r="C2718" s="772" t="s">
        <v>80</v>
      </c>
      <c r="D2718" s="772" t="s">
        <v>9481</v>
      </c>
      <c r="E2718" s="615" t="s">
        <v>9482</v>
      </c>
      <c r="F2718" s="781" t="s">
        <v>3583</v>
      </c>
      <c r="G2718" s="12" t="s">
        <v>9319</v>
      </c>
      <c r="H2718" s="472">
        <v>16.0</v>
      </c>
      <c r="I2718" s="472" t="s">
        <v>2890</v>
      </c>
      <c r="L2718" s="140"/>
      <c r="O2718" s="143" t="s">
        <v>9272</v>
      </c>
    </row>
    <row r="2719" hidden="1">
      <c r="A2719" s="772">
        <v>48.0</v>
      </c>
      <c r="B2719" s="780" t="s">
        <v>9483</v>
      </c>
      <c r="C2719" s="772" t="s">
        <v>80</v>
      </c>
      <c r="D2719" s="772" t="s">
        <v>9484</v>
      </c>
      <c r="E2719" s="615" t="s">
        <v>9485</v>
      </c>
      <c r="F2719" s="781" t="s">
        <v>3583</v>
      </c>
      <c r="G2719" s="12" t="s">
        <v>9319</v>
      </c>
      <c r="H2719" s="472">
        <v>16.0</v>
      </c>
      <c r="I2719" s="472" t="s">
        <v>2890</v>
      </c>
      <c r="L2719" s="140"/>
      <c r="O2719" s="143" t="s">
        <v>9070</v>
      </c>
    </row>
    <row r="2720" hidden="1">
      <c r="A2720" s="772">
        <v>49.0</v>
      </c>
      <c r="B2720" s="780" t="s">
        <v>9486</v>
      </c>
      <c r="C2720" s="772" t="s">
        <v>80</v>
      </c>
      <c r="D2720" s="772" t="s">
        <v>9487</v>
      </c>
      <c r="E2720" s="772" t="s">
        <v>9488</v>
      </c>
      <c r="F2720" s="781" t="s">
        <v>9489</v>
      </c>
      <c r="G2720" s="12" t="s">
        <v>9490</v>
      </c>
      <c r="H2720" s="472">
        <v>21.0</v>
      </c>
      <c r="I2720" s="472" t="s">
        <v>2890</v>
      </c>
      <c r="J2720" s="143" t="s">
        <v>2541</v>
      </c>
      <c r="K2720" s="143" t="s">
        <v>9079</v>
      </c>
      <c r="L2720" s="292" t="s">
        <v>374</v>
      </c>
      <c r="O2720" s="143" t="s">
        <v>9272</v>
      </c>
      <c r="P2720" s="587" t="s">
        <v>1432</v>
      </c>
    </row>
    <row r="2721" hidden="1">
      <c r="A2721" s="772">
        <v>50.0</v>
      </c>
      <c r="B2721" s="780" t="s">
        <v>9491</v>
      </c>
      <c r="C2721" s="772" t="s">
        <v>651</v>
      </c>
      <c r="D2721" s="772" t="s">
        <v>9492</v>
      </c>
      <c r="E2721" s="772" t="s">
        <v>9493</v>
      </c>
      <c r="F2721" s="781" t="s">
        <v>4779</v>
      </c>
      <c r="G2721" s="12" t="s">
        <v>9490</v>
      </c>
      <c r="H2721" s="472">
        <v>21.0</v>
      </c>
      <c r="I2721" s="472" t="s">
        <v>2890</v>
      </c>
      <c r="J2721" s="143" t="s">
        <v>51</v>
      </c>
      <c r="K2721" s="143" t="s">
        <v>8870</v>
      </c>
      <c r="L2721" s="292" t="s">
        <v>51</v>
      </c>
      <c r="O2721" s="143" t="s">
        <v>9272</v>
      </c>
      <c r="P2721" s="587" t="s">
        <v>1432</v>
      </c>
    </row>
    <row r="2722" hidden="1">
      <c r="A2722" s="772">
        <v>51.0</v>
      </c>
      <c r="B2722" s="780" t="s">
        <v>9494</v>
      </c>
      <c r="C2722" s="781" t="s">
        <v>8280</v>
      </c>
      <c r="D2722" s="772" t="s">
        <v>9495</v>
      </c>
      <c r="E2722" s="615" t="s">
        <v>9496</v>
      </c>
      <c r="F2722" s="781" t="s">
        <v>3583</v>
      </c>
      <c r="G2722" s="12" t="s">
        <v>9125</v>
      </c>
      <c r="H2722" s="540">
        <v>9.0</v>
      </c>
      <c r="I2722" s="472" t="s">
        <v>2890</v>
      </c>
      <c r="L2722" s="292" t="s">
        <v>778</v>
      </c>
      <c r="O2722" s="143" t="s">
        <v>9079</v>
      </c>
    </row>
    <row r="2723" hidden="1">
      <c r="A2723" s="772">
        <v>52.0</v>
      </c>
      <c r="B2723" s="780" t="s">
        <v>9497</v>
      </c>
      <c r="C2723" s="772" t="s">
        <v>80</v>
      </c>
      <c r="D2723" s="772" t="s">
        <v>9498</v>
      </c>
      <c r="E2723" s="615" t="s">
        <v>9499</v>
      </c>
      <c r="F2723" s="781" t="s">
        <v>3583</v>
      </c>
      <c r="G2723" s="12" t="s">
        <v>9125</v>
      </c>
      <c r="H2723" s="540">
        <v>9.0</v>
      </c>
      <c r="I2723" s="472" t="s">
        <v>2890</v>
      </c>
      <c r="L2723" s="292" t="s">
        <v>778</v>
      </c>
      <c r="O2723" s="143" t="s">
        <v>9079</v>
      </c>
    </row>
    <row r="2724" hidden="1">
      <c r="A2724" s="772">
        <v>53.0</v>
      </c>
      <c r="B2724" s="780" t="s">
        <v>9500</v>
      </c>
      <c r="C2724" s="772" t="s">
        <v>80</v>
      </c>
      <c r="D2724" s="772" t="s">
        <v>9501</v>
      </c>
      <c r="E2724" s="772" t="s">
        <v>9502</v>
      </c>
      <c r="F2724" s="781" t="s">
        <v>9503</v>
      </c>
      <c r="G2724" s="12" t="s">
        <v>9136</v>
      </c>
      <c r="H2724" s="472">
        <v>15.0</v>
      </c>
      <c r="I2724" s="472" t="s">
        <v>2890</v>
      </c>
      <c r="J2724" s="35" t="s">
        <v>9430</v>
      </c>
      <c r="K2724" s="35" t="s">
        <v>8653</v>
      </c>
      <c r="L2724" s="292" t="s">
        <v>4195</v>
      </c>
      <c r="O2724" s="143" t="s">
        <v>9401</v>
      </c>
      <c r="P2724" s="587" t="s">
        <v>1432</v>
      </c>
    </row>
    <row r="2725" hidden="1">
      <c r="A2725" s="772">
        <v>54.0</v>
      </c>
      <c r="B2725" s="780" t="s">
        <v>9504</v>
      </c>
      <c r="C2725" s="772" t="s">
        <v>80</v>
      </c>
      <c r="D2725" s="772" t="s">
        <v>9505</v>
      </c>
      <c r="E2725" s="772" t="s">
        <v>9506</v>
      </c>
      <c r="F2725" s="781" t="s">
        <v>1959</v>
      </c>
      <c r="G2725" s="12" t="s">
        <v>9136</v>
      </c>
      <c r="H2725" s="472">
        <v>15.0</v>
      </c>
      <c r="I2725" s="783" t="s">
        <v>9507</v>
      </c>
      <c r="L2725" s="292" t="s">
        <v>374</v>
      </c>
      <c r="O2725" s="292" t="s">
        <v>375</v>
      </c>
      <c r="P2725" s="587" t="s">
        <v>1432</v>
      </c>
    </row>
    <row r="2726" hidden="1">
      <c r="A2726" s="772">
        <v>55.0</v>
      </c>
      <c r="B2726" s="780" t="s">
        <v>9508</v>
      </c>
      <c r="C2726" s="772" t="s">
        <v>80</v>
      </c>
      <c r="D2726" s="772" t="s">
        <v>9509</v>
      </c>
      <c r="E2726" s="772" t="s">
        <v>9510</v>
      </c>
      <c r="F2726" s="781" t="s">
        <v>310</v>
      </c>
      <c r="G2726" s="12" t="s">
        <v>9136</v>
      </c>
      <c r="H2726" s="472">
        <v>15.0</v>
      </c>
      <c r="I2726" s="472" t="s">
        <v>2890</v>
      </c>
      <c r="L2726" s="292" t="s">
        <v>51</v>
      </c>
      <c r="O2726" s="143" t="s">
        <v>9070</v>
      </c>
      <c r="P2726" s="587" t="s">
        <v>1432</v>
      </c>
    </row>
    <row r="2727" hidden="1">
      <c r="A2727" s="772">
        <v>56.0</v>
      </c>
      <c r="B2727" s="780" t="s">
        <v>9511</v>
      </c>
      <c r="C2727" s="772" t="s">
        <v>80</v>
      </c>
      <c r="D2727" s="772" t="s">
        <v>9512</v>
      </c>
      <c r="E2727" s="772" t="s">
        <v>9513</v>
      </c>
      <c r="F2727" s="781" t="s">
        <v>9077</v>
      </c>
      <c r="G2727" s="12" t="s">
        <v>9319</v>
      </c>
      <c r="H2727" s="472">
        <v>16.0</v>
      </c>
      <c r="I2727" s="472" t="s">
        <v>2890</v>
      </c>
      <c r="J2727" s="153" t="s">
        <v>9514</v>
      </c>
      <c r="K2727" s="153" t="s">
        <v>9490</v>
      </c>
      <c r="L2727" s="292" t="s">
        <v>4195</v>
      </c>
      <c r="O2727" s="754">
        <v>46270.0</v>
      </c>
      <c r="P2727" s="587" t="s">
        <v>1432</v>
      </c>
    </row>
    <row r="2728" hidden="1">
      <c r="A2728" s="339" t="s">
        <v>9515</v>
      </c>
    </row>
    <row r="2729" hidden="1">
      <c r="A2729" s="670" t="s">
        <v>47</v>
      </c>
      <c r="B2729" s="670" t="s">
        <v>7</v>
      </c>
      <c r="C2729" s="670" t="s">
        <v>9</v>
      </c>
      <c r="D2729" s="670" t="s">
        <v>10</v>
      </c>
      <c r="E2729" s="670" t="s">
        <v>11</v>
      </c>
      <c r="F2729" s="670" t="s">
        <v>12</v>
      </c>
      <c r="G2729" s="670" t="s">
        <v>2378</v>
      </c>
      <c r="H2729" s="670" t="s">
        <v>2681</v>
      </c>
      <c r="I2729" s="4" t="s">
        <v>2847</v>
      </c>
      <c r="J2729" s="8" t="s">
        <v>14</v>
      </c>
      <c r="K2729" s="9" t="s">
        <v>16</v>
      </c>
      <c r="L2729" s="9" t="s">
        <v>4330</v>
      </c>
      <c r="M2729" s="9" t="s">
        <v>18</v>
      </c>
      <c r="N2729" s="9" t="s">
        <v>19</v>
      </c>
      <c r="O2729" s="9" t="s">
        <v>20</v>
      </c>
      <c r="P2729" s="9" t="s">
        <v>21</v>
      </c>
    </row>
    <row r="2730" hidden="1">
      <c r="A2730" s="526">
        <v>1.0</v>
      </c>
      <c r="B2730" s="527" t="s">
        <v>9516</v>
      </c>
      <c r="C2730" s="526" t="s">
        <v>80</v>
      </c>
      <c r="D2730" s="526" t="s">
        <v>9517</v>
      </c>
      <c r="E2730" s="550" t="s">
        <v>9518</v>
      </c>
      <c r="F2730" s="526" t="s">
        <v>9205</v>
      </c>
      <c r="G2730" s="526" t="s">
        <v>9490</v>
      </c>
      <c r="H2730" s="526">
        <v>17.0</v>
      </c>
      <c r="I2730" s="526" t="s">
        <v>2890</v>
      </c>
      <c r="J2730" s="143" t="s">
        <v>2541</v>
      </c>
      <c r="K2730" s="143" t="s">
        <v>9255</v>
      </c>
      <c r="L2730" s="292" t="s">
        <v>51</v>
      </c>
      <c r="O2730" s="143" t="s">
        <v>8949</v>
      </c>
      <c r="P2730" s="587" t="s">
        <v>1432</v>
      </c>
    </row>
    <row r="2731" hidden="1">
      <c r="A2731" s="471">
        <v>2.0</v>
      </c>
      <c r="B2731" s="470" t="s">
        <v>9519</v>
      </c>
      <c r="C2731" s="471" t="s">
        <v>80</v>
      </c>
      <c r="D2731" s="471" t="s">
        <v>9520</v>
      </c>
      <c r="E2731" s="550" t="s">
        <v>9521</v>
      </c>
      <c r="F2731" s="471" t="s">
        <v>9205</v>
      </c>
      <c r="G2731" s="471" t="s">
        <v>9490</v>
      </c>
      <c r="H2731" s="471">
        <v>17.0</v>
      </c>
      <c r="I2731" s="471" t="s">
        <v>2890</v>
      </c>
      <c r="J2731" s="143" t="s">
        <v>2541</v>
      </c>
      <c r="K2731" s="143" t="s">
        <v>9522</v>
      </c>
      <c r="L2731" s="292" t="s">
        <v>51</v>
      </c>
      <c r="O2731" s="143" t="s">
        <v>8949</v>
      </c>
      <c r="P2731" s="587" t="s">
        <v>1432</v>
      </c>
    </row>
    <row r="2732" hidden="1">
      <c r="A2732" s="471">
        <v>3.0</v>
      </c>
      <c r="B2732" s="470" t="s">
        <v>9523</v>
      </c>
      <c r="C2732" s="471" t="s">
        <v>80</v>
      </c>
      <c r="D2732" s="471" t="s">
        <v>9524</v>
      </c>
      <c r="E2732" s="550" t="s">
        <v>9525</v>
      </c>
      <c r="F2732" s="471" t="s">
        <v>9205</v>
      </c>
      <c r="G2732" s="471" t="s">
        <v>9490</v>
      </c>
      <c r="H2732" s="471">
        <v>17.0</v>
      </c>
      <c r="I2732" s="471" t="s">
        <v>2890</v>
      </c>
      <c r="J2732" s="143" t="s">
        <v>2541</v>
      </c>
      <c r="K2732" s="143" t="s">
        <v>9526</v>
      </c>
      <c r="L2732" s="292" t="s">
        <v>51</v>
      </c>
      <c r="O2732" s="143" t="s">
        <v>8949</v>
      </c>
      <c r="P2732" s="587" t="s">
        <v>1432</v>
      </c>
    </row>
    <row r="2733" hidden="1">
      <c r="A2733" s="471">
        <v>4.0</v>
      </c>
      <c r="B2733" s="470" t="s">
        <v>9527</v>
      </c>
      <c r="C2733" s="471" t="s">
        <v>2403</v>
      </c>
      <c r="D2733" s="471" t="s">
        <v>9528</v>
      </c>
      <c r="E2733" s="471" t="s">
        <v>9529</v>
      </c>
      <c r="F2733" s="471" t="s">
        <v>9530</v>
      </c>
      <c r="G2733" s="471" t="s">
        <v>9193</v>
      </c>
      <c r="H2733" s="486">
        <v>6.0</v>
      </c>
      <c r="I2733" s="471" t="s">
        <v>2890</v>
      </c>
      <c r="J2733" s="799" t="s">
        <v>9531</v>
      </c>
      <c r="K2733" s="799" t="s">
        <v>8706</v>
      </c>
      <c r="L2733" s="292" t="s">
        <v>4195</v>
      </c>
      <c r="O2733" s="143" t="s">
        <v>8949</v>
      </c>
      <c r="P2733" s="587" t="s">
        <v>1432</v>
      </c>
    </row>
    <row r="2734" hidden="1">
      <c r="A2734" s="471">
        <v>5.0</v>
      </c>
      <c r="B2734" s="470" t="s">
        <v>9532</v>
      </c>
      <c r="C2734" s="471" t="s">
        <v>2307</v>
      </c>
      <c r="D2734" s="471" t="s">
        <v>9533</v>
      </c>
      <c r="E2734" s="471" t="s">
        <v>9534</v>
      </c>
      <c r="F2734" s="471" t="s">
        <v>9530</v>
      </c>
      <c r="G2734" s="471" t="s">
        <v>9193</v>
      </c>
      <c r="H2734" s="486">
        <v>6.0</v>
      </c>
      <c r="I2734" s="471" t="s">
        <v>2890</v>
      </c>
      <c r="J2734" s="799" t="s">
        <v>9531</v>
      </c>
      <c r="K2734" s="799" t="s">
        <v>8706</v>
      </c>
      <c r="L2734" s="292" t="s">
        <v>4195</v>
      </c>
      <c r="O2734" s="143" t="s">
        <v>8949</v>
      </c>
      <c r="P2734" s="587" t="s">
        <v>1432</v>
      </c>
    </row>
    <row r="2735" hidden="1">
      <c r="A2735" s="471">
        <v>6.0</v>
      </c>
      <c r="B2735" s="470" t="s">
        <v>9535</v>
      </c>
      <c r="C2735" s="471" t="s">
        <v>2307</v>
      </c>
      <c r="D2735" s="471" t="s">
        <v>9536</v>
      </c>
      <c r="E2735" s="471" t="s">
        <v>9537</v>
      </c>
      <c r="F2735" s="471" t="s">
        <v>3174</v>
      </c>
      <c r="G2735" s="471" t="s">
        <v>9538</v>
      </c>
      <c r="H2735" s="486">
        <v>7.0</v>
      </c>
      <c r="I2735" s="486" t="s">
        <v>3465</v>
      </c>
      <c r="J2735" s="143" t="s">
        <v>9539</v>
      </c>
      <c r="K2735" s="800" t="s">
        <v>9540</v>
      </c>
      <c r="L2735" s="292" t="s">
        <v>4195</v>
      </c>
      <c r="O2735" s="143" t="s">
        <v>9541</v>
      </c>
      <c r="P2735" s="587" t="s">
        <v>1432</v>
      </c>
    </row>
    <row r="2736" hidden="1">
      <c r="A2736" s="471">
        <v>7.0</v>
      </c>
      <c r="B2736" s="470" t="s">
        <v>9542</v>
      </c>
      <c r="C2736" s="471" t="s">
        <v>80</v>
      </c>
      <c r="D2736" s="471" t="s">
        <v>9543</v>
      </c>
      <c r="E2736" s="471" t="s">
        <v>9544</v>
      </c>
      <c r="F2736" s="471" t="s">
        <v>556</v>
      </c>
      <c r="G2736" s="471" t="s">
        <v>9545</v>
      </c>
      <c r="H2736" s="471">
        <v>18.0</v>
      </c>
      <c r="I2736" s="471" t="s">
        <v>2890</v>
      </c>
      <c r="J2736" s="143" t="s">
        <v>9448</v>
      </c>
      <c r="K2736" s="143" t="s">
        <v>9079</v>
      </c>
      <c r="L2736" s="292" t="s">
        <v>374</v>
      </c>
      <c r="O2736" s="292" t="s">
        <v>9435</v>
      </c>
      <c r="P2736" s="587" t="s">
        <v>1432</v>
      </c>
    </row>
    <row r="2737" hidden="1">
      <c r="A2737" s="471">
        <v>8.0</v>
      </c>
      <c r="B2737" s="470" t="s">
        <v>9546</v>
      </c>
      <c r="C2737" s="471" t="s">
        <v>80</v>
      </c>
      <c r="D2737" s="471" t="s">
        <v>9547</v>
      </c>
      <c r="E2737" s="471" t="s">
        <v>9548</v>
      </c>
      <c r="F2737" s="471" t="s">
        <v>556</v>
      </c>
      <c r="G2737" s="471" t="s">
        <v>9545</v>
      </c>
      <c r="H2737" s="471">
        <v>18.0</v>
      </c>
      <c r="I2737" s="471" t="s">
        <v>2890</v>
      </c>
      <c r="J2737" s="143" t="s">
        <v>5454</v>
      </c>
      <c r="K2737" s="143" t="s">
        <v>9079</v>
      </c>
      <c r="L2737" s="292" t="s">
        <v>51</v>
      </c>
      <c r="O2737" s="571">
        <v>46058.0</v>
      </c>
      <c r="P2737" s="587" t="s">
        <v>1432</v>
      </c>
    </row>
    <row r="2738" hidden="1">
      <c r="A2738" s="471">
        <v>9.0</v>
      </c>
      <c r="B2738" s="470" t="s">
        <v>9549</v>
      </c>
      <c r="C2738" s="471" t="s">
        <v>80</v>
      </c>
      <c r="D2738" s="471" t="s">
        <v>9550</v>
      </c>
      <c r="E2738" s="471" t="s">
        <v>9551</v>
      </c>
      <c r="F2738" s="471" t="s">
        <v>556</v>
      </c>
      <c r="G2738" s="471" t="s">
        <v>9545</v>
      </c>
      <c r="H2738" s="471">
        <v>18.0</v>
      </c>
      <c r="I2738" s="471" t="s">
        <v>2890</v>
      </c>
      <c r="L2738" s="292" t="s">
        <v>4195</v>
      </c>
      <c r="O2738" s="143" t="s">
        <v>9552</v>
      </c>
      <c r="P2738" s="587" t="s">
        <v>1432</v>
      </c>
    </row>
    <row r="2739" hidden="1">
      <c r="A2739" s="471">
        <v>10.0</v>
      </c>
      <c r="B2739" s="470" t="s">
        <v>9553</v>
      </c>
      <c r="C2739" s="471" t="s">
        <v>80</v>
      </c>
      <c r="D2739" s="471" t="s">
        <v>9554</v>
      </c>
      <c r="E2739" s="471" t="s">
        <v>9555</v>
      </c>
      <c r="F2739" s="471" t="s">
        <v>556</v>
      </c>
      <c r="G2739" s="471" t="s">
        <v>9545</v>
      </c>
      <c r="H2739" s="471">
        <v>18.0</v>
      </c>
      <c r="I2739" s="471" t="s">
        <v>2890</v>
      </c>
      <c r="J2739" s="143" t="s">
        <v>9556</v>
      </c>
      <c r="K2739" s="143" t="s">
        <v>9070</v>
      </c>
      <c r="L2739" s="292" t="s">
        <v>374</v>
      </c>
      <c r="O2739" s="763">
        <v>46058.0</v>
      </c>
      <c r="P2739" s="587" t="s">
        <v>1432</v>
      </c>
    </row>
    <row r="2740" hidden="1">
      <c r="A2740" s="471">
        <v>11.0</v>
      </c>
      <c r="B2740" s="470" t="s">
        <v>9557</v>
      </c>
      <c r="C2740" s="471" t="s">
        <v>80</v>
      </c>
      <c r="D2740" s="471" t="s">
        <v>9558</v>
      </c>
      <c r="E2740" s="471" t="s">
        <v>9559</v>
      </c>
      <c r="F2740" s="471" t="s">
        <v>9560</v>
      </c>
      <c r="G2740" s="471" t="s">
        <v>9490</v>
      </c>
      <c r="H2740" s="471">
        <v>17.0</v>
      </c>
      <c r="I2740" s="471" t="s">
        <v>2890</v>
      </c>
      <c r="J2740" s="143" t="s">
        <v>5454</v>
      </c>
      <c r="K2740" s="143" t="s">
        <v>9079</v>
      </c>
      <c r="L2740" s="292" t="s">
        <v>51</v>
      </c>
      <c r="N2740" s="143" t="s">
        <v>9561</v>
      </c>
      <c r="O2740" s="143" t="s">
        <v>9562</v>
      </c>
      <c r="P2740" s="587" t="s">
        <v>1432</v>
      </c>
    </row>
    <row r="2741" hidden="1">
      <c r="A2741" s="471">
        <v>12.0</v>
      </c>
      <c r="B2741" s="621" t="s">
        <v>9563</v>
      </c>
      <c r="C2741" s="471" t="s">
        <v>80</v>
      </c>
      <c r="D2741" s="471" t="s">
        <v>9564</v>
      </c>
      <c r="E2741" s="471" t="s">
        <v>9565</v>
      </c>
      <c r="F2741" s="471" t="s">
        <v>9566</v>
      </c>
      <c r="G2741" s="471" t="s">
        <v>9434</v>
      </c>
      <c r="H2741" s="471">
        <v>16.0</v>
      </c>
      <c r="I2741" s="471" t="s">
        <v>2890</v>
      </c>
      <c r="L2741" s="292" t="s">
        <v>4195</v>
      </c>
      <c r="O2741" s="726">
        <v>46117.0</v>
      </c>
    </row>
    <row r="2742" hidden="1">
      <c r="A2742" s="471">
        <v>13.0</v>
      </c>
      <c r="B2742" s="470" t="s">
        <v>9567</v>
      </c>
      <c r="C2742" s="471" t="s">
        <v>1185</v>
      </c>
      <c r="D2742" s="471" t="s">
        <v>9568</v>
      </c>
      <c r="E2742" s="471" t="s">
        <v>9569</v>
      </c>
      <c r="F2742" s="471" t="s">
        <v>25</v>
      </c>
      <c r="G2742" s="471" t="s">
        <v>9490</v>
      </c>
      <c r="H2742" s="471">
        <v>17.0</v>
      </c>
      <c r="I2742" s="471" t="s">
        <v>2890</v>
      </c>
      <c r="J2742" s="143" t="s">
        <v>2541</v>
      </c>
      <c r="K2742" s="143" t="s">
        <v>9079</v>
      </c>
      <c r="L2742" s="292" t="s">
        <v>2541</v>
      </c>
      <c r="O2742" s="143" t="s">
        <v>8870</v>
      </c>
      <c r="P2742" s="587" t="s">
        <v>1432</v>
      </c>
    </row>
    <row r="2743" hidden="1">
      <c r="A2743" s="471">
        <v>14.0</v>
      </c>
      <c r="B2743" s="470" t="s">
        <v>9570</v>
      </c>
      <c r="C2743" s="471" t="s">
        <v>1185</v>
      </c>
      <c r="D2743" s="471" t="s">
        <v>9571</v>
      </c>
      <c r="E2743" s="471" t="s">
        <v>9572</v>
      </c>
      <c r="F2743" s="471" t="s">
        <v>25</v>
      </c>
      <c r="G2743" s="471" t="s">
        <v>9545</v>
      </c>
      <c r="H2743" s="471">
        <v>18.0</v>
      </c>
      <c r="I2743" s="471" t="s">
        <v>2890</v>
      </c>
      <c r="J2743" s="143" t="s">
        <v>2541</v>
      </c>
      <c r="K2743" s="143" t="s">
        <v>371</v>
      </c>
      <c r="L2743" s="292" t="s">
        <v>9573</v>
      </c>
      <c r="O2743" s="571">
        <v>46058.0</v>
      </c>
      <c r="P2743" s="587" t="s">
        <v>1432</v>
      </c>
    </row>
    <row r="2744" hidden="1">
      <c r="A2744" s="471">
        <v>15.0</v>
      </c>
      <c r="B2744" s="470" t="s">
        <v>9574</v>
      </c>
      <c r="C2744" s="471" t="s">
        <v>80</v>
      </c>
      <c r="D2744" s="471" t="s">
        <v>9575</v>
      </c>
      <c r="E2744" s="550" t="s">
        <v>9576</v>
      </c>
      <c r="F2744" s="471" t="s">
        <v>207</v>
      </c>
      <c r="G2744" s="471" t="s">
        <v>9545</v>
      </c>
      <c r="H2744" s="471">
        <v>18.0</v>
      </c>
      <c r="I2744" s="471" t="s">
        <v>2890</v>
      </c>
      <c r="J2744" s="153" t="s">
        <v>9577</v>
      </c>
      <c r="K2744" s="153" t="s">
        <v>9578</v>
      </c>
      <c r="L2744" s="292" t="s">
        <v>4195</v>
      </c>
      <c r="O2744" s="726">
        <v>46178.0</v>
      </c>
      <c r="P2744" s="587" t="s">
        <v>1432</v>
      </c>
    </row>
    <row r="2745" hidden="1">
      <c r="A2745" s="471">
        <v>16.0</v>
      </c>
      <c r="B2745" s="470" t="s">
        <v>9579</v>
      </c>
      <c r="C2745" s="471" t="s">
        <v>80</v>
      </c>
      <c r="D2745" s="471" t="s">
        <v>9580</v>
      </c>
      <c r="E2745" s="550" t="s">
        <v>9581</v>
      </c>
      <c r="F2745" s="471" t="s">
        <v>207</v>
      </c>
      <c r="G2745" s="471" t="s">
        <v>9545</v>
      </c>
      <c r="H2745" s="471">
        <v>18.0</v>
      </c>
      <c r="I2745" s="471" t="s">
        <v>2890</v>
      </c>
      <c r="J2745" s="153" t="s">
        <v>9577</v>
      </c>
      <c r="K2745" s="153" t="s">
        <v>9578</v>
      </c>
      <c r="L2745" s="292" t="s">
        <v>4195</v>
      </c>
      <c r="O2745" s="726">
        <v>46178.0</v>
      </c>
      <c r="P2745" s="587" t="s">
        <v>1432</v>
      </c>
    </row>
    <row r="2746" hidden="1">
      <c r="A2746" s="471">
        <v>17.0</v>
      </c>
      <c r="B2746" s="470" t="s">
        <v>9582</v>
      </c>
      <c r="C2746" s="471" t="s">
        <v>80</v>
      </c>
      <c r="D2746" s="471" t="s">
        <v>9583</v>
      </c>
      <c r="E2746" s="471" t="s">
        <v>9584</v>
      </c>
      <c r="F2746" s="471" t="s">
        <v>9585</v>
      </c>
      <c r="G2746" s="471" t="s">
        <v>9545</v>
      </c>
      <c r="H2746" s="471">
        <v>18.0</v>
      </c>
      <c r="I2746" s="471" t="s">
        <v>2890</v>
      </c>
      <c r="L2746" s="292" t="s">
        <v>4195</v>
      </c>
      <c r="O2746" s="143" t="s">
        <v>9586</v>
      </c>
      <c r="P2746" s="587" t="s">
        <v>1432</v>
      </c>
    </row>
    <row r="2747" hidden="1">
      <c r="A2747" s="471">
        <v>18.0</v>
      </c>
      <c r="B2747" s="621" t="s">
        <v>9587</v>
      </c>
      <c r="C2747" s="471" t="s">
        <v>80</v>
      </c>
      <c r="D2747" s="471" t="s">
        <v>9588</v>
      </c>
      <c r="E2747" s="471" t="s">
        <v>9589</v>
      </c>
      <c r="F2747" s="471" t="s">
        <v>9590</v>
      </c>
      <c r="G2747" s="471" t="s">
        <v>9545</v>
      </c>
      <c r="H2747" s="471">
        <v>18.0</v>
      </c>
      <c r="I2747" s="471" t="s">
        <v>2890</v>
      </c>
      <c r="J2747" s="143" t="s">
        <v>9448</v>
      </c>
      <c r="L2747" s="492" t="s">
        <v>374</v>
      </c>
      <c r="O2747" s="292" t="s">
        <v>9435</v>
      </c>
      <c r="P2747" s="587" t="s">
        <v>1432</v>
      </c>
    </row>
    <row r="2748" hidden="1">
      <c r="A2748" s="471">
        <v>19.0</v>
      </c>
      <c r="B2748" s="470" t="s">
        <v>9591</v>
      </c>
      <c r="C2748" s="471" t="s">
        <v>80</v>
      </c>
      <c r="D2748" s="471" t="s">
        <v>9592</v>
      </c>
      <c r="E2748" s="471" t="s">
        <v>593</v>
      </c>
      <c r="F2748" s="471" t="s">
        <v>556</v>
      </c>
      <c r="G2748" s="471" t="s">
        <v>9545</v>
      </c>
      <c r="H2748" s="471">
        <v>18.0</v>
      </c>
      <c r="I2748" s="471" t="s">
        <v>2890</v>
      </c>
      <c r="J2748" s="143" t="s">
        <v>2541</v>
      </c>
      <c r="K2748" s="143" t="s">
        <v>371</v>
      </c>
      <c r="L2748" s="492" t="s">
        <v>9573</v>
      </c>
      <c r="O2748" s="571">
        <v>46361.0</v>
      </c>
      <c r="P2748" s="587" t="s">
        <v>1432</v>
      </c>
    </row>
    <row r="2749" hidden="1">
      <c r="A2749" s="471">
        <v>20.0</v>
      </c>
      <c r="B2749" s="470" t="s">
        <v>9593</v>
      </c>
      <c r="C2749" s="471" t="s">
        <v>1185</v>
      </c>
      <c r="D2749" s="471" t="s">
        <v>9594</v>
      </c>
      <c r="E2749" s="471" t="s">
        <v>9595</v>
      </c>
      <c r="F2749" s="471" t="s">
        <v>556</v>
      </c>
      <c r="G2749" s="471" t="s">
        <v>9545</v>
      </c>
      <c r="H2749" s="471">
        <v>18.0</v>
      </c>
      <c r="I2749" s="471" t="s">
        <v>2890</v>
      </c>
      <c r="L2749" s="492" t="s">
        <v>4195</v>
      </c>
      <c r="O2749" s="726">
        <v>46117.0</v>
      </c>
      <c r="P2749" s="587" t="s">
        <v>1432</v>
      </c>
    </row>
    <row r="2750" hidden="1">
      <c r="A2750" s="471">
        <v>21.0</v>
      </c>
      <c r="B2750" s="470" t="s">
        <v>9596</v>
      </c>
      <c r="C2750" s="471" t="s">
        <v>80</v>
      </c>
      <c r="D2750" s="471" t="s">
        <v>9597</v>
      </c>
      <c r="E2750" s="471" t="s">
        <v>9598</v>
      </c>
      <c r="F2750" s="471" t="s">
        <v>2459</v>
      </c>
      <c r="G2750" s="471" t="s">
        <v>8399</v>
      </c>
      <c r="H2750" s="471">
        <v>19.0</v>
      </c>
      <c r="I2750" s="531" t="s">
        <v>9599</v>
      </c>
      <c r="J2750" s="143" t="s">
        <v>9600</v>
      </c>
      <c r="K2750" s="143" t="s">
        <v>371</v>
      </c>
      <c r="L2750" s="292" t="s">
        <v>374</v>
      </c>
      <c r="O2750" s="763">
        <v>46058.0</v>
      </c>
      <c r="P2750" s="587" t="s">
        <v>1432</v>
      </c>
    </row>
    <row r="2751" hidden="1">
      <c r="A2751" s="471">
        <v>22.0</v>
      </c>
      <c r="B2751" s="470" t="s">
        <v>9601</v>
      </c>
      <c r="C2751" s="471" t="s">
        <v>80</v>
      </c>
      <c r="D2751" s="471" t="s">
        <v>9602</v>
      </c>
      <c r="E2751" s="615" t="s">
        <v>9603</v>
      </c>
      <c r="F2751" s="471" t="s">
        <v>3583</v>
      </c>
      <c r="G2751" s="471" t="s">
        <v>9422</v>
      </c>
      <c r="H2751" s="471">
        <v>13.0</v>
      </c>
      <c r="I2751" s="471" t="s">
        <v>2890</v>
      </c>
      <c r="L2751" s="140"/>
      <c r="O2751" s="143" t="s">
        <v>9272</v>
      </c>
    </row>
    <row r="2752" hidden="1">
      <c r="A2752" s="471">
        <v>23.0</v>
      </c>
      <c r="B2752" s="470" t="s">
        <v>9604</v>
      </c>
      <c r="C2752" s="471" t="s">
        <v>80</v>
      </c>
      <c r="D2752" s="471" t="s">
        <v>9605</v>
      </c>
      <c r="E2752" s="615" t="s">
        <v>9606</v>
      </c>
      <c r="F2752" s="471" t="s">
        <v>3583</v>
      </c>
      <c r="G2752" s="471" t="s">
        <v>9422</v>
      </c>
      <c r="H2752" s="471">
        <v>13.0</v>
      </c>
      <c r="I2752" s="471" t="s">
        <v>2890</v>
      </c>
      <c r="L2752" s="140"/>
      <c r="O2752" s="143" t="s">
        <v>9272</v>
      </c>
    </row>
    <row r="2753" hidden="1">
      <c r="A2753" s="471">
        <v>24.0</v>
      </c>
      <c r="B2753" s="470" t="s">
        <v>9607</v>
      </c>
      <c r="C2753" s="471" t="s">
        <v>80</v>
      </c>
      <c r="D2753" s="471" t="s">
        <v>9608</v>
      </c>
      <c r="E2753" s="615" t="s">
        <v>9609</v>
      </c>
      <c r="F2753" s="471" t="s">
        <v>3583</v>
      </c>
      <c r="G2753" s="471" t="s">
        <v>9422</v>
      </c>
      <c r="H2753" s="471">
        <v>13.0</v>
      </c>
      <c r="I2753" s="471" t="s">
        <v>2890</v>
      </c>
      <c r="J2753" s="143" t="s">
        <v>9556</v>
      </c>
      <c r="L2753" s="140"/>
      <c r="O2753" s="143" t="s">
        <v>9272</v>
      </c>
    </row>
    <row r="2754" hidden="1">
      <c r="A2754" s="339" t="s">
        <v>9610</v>
      </c>
    </row>
    <row r="2755" hidden="1">
      <c r="A2755" s="670" t="s">
        <v>47</v>
      </c>
      <c r="B2755" s="670" t="s">
        <v>7</v>
      </c>
      <c r="C2755" s="670" t="s">
        <v>9</v>
      </c>
      <c r="D2755" s="670" t="s">
        <v>10</v>
      </c>
      <c r="E2755" s="670" t="s">
        <v>11</v>
      </c>
      <c r="F2755" s="670" t="s">
        <v>12</v>
      </c>
      <c r="G2755" s="670" t="s">
        <v>2378</v>
      </c>
      <c r="H2755" s="670" t="s">
        <v>2681</v>
      </c>
      <c r="I2755" s="4" t="s">
        <v>2847</v>
      </c>
      <c r="J2755" s="8" t="s">
        <v>14</v>
      </c>
      <c r="K2755" s="9" t="s">
        <v>16</v>
      </c>
      <c r="L2755" s="9" t="s">
        <v>4330</v>
      </c>
      <c r="M2755" s="9" t="s">
        <v>18</v>
      </c>
      <c r="N2755" s="9" t="s">
        <v>19</v>
      </c>
      <c r="O2755" s="9" t="s">
        <v>20</v>
      </c>
      <c r="P2755" s="9" t="s">
        <v>21</v>
      </c>
    </row>
    <row r="2756" hidden="1">
      <c r="A2756" s="471">
        <v>1.0</v>
      </c>
      <c r="B2756" s="470" t="s">
        <v>9611</v>
      </c>
      <c r="C2756" s="801" t="s">
        <v>2403</v>
      </c>
      <c r="D2756" s="801" t="s">
        <v>9612</v>
      </c>
      <c r="E2756" s="801" t="s">
        <v>9613</v>
      </c>
      <c r="F2756" s="801" t="s">
        <v>9068</v>
      </c>
      <c r="G2756" s="801" t="s">
        <v>9314</v>
      </c>
      <c r="H2756" s="486">
        <v>4.0</v>
      </c>
      <c r="I2756" s="471" t="s">
        <v>2890</v>
      </c>
      <c r="J2756" s="143" t="s">
        <v>9213</v>
      </c>
      <c r="L2756" s="292" t="s">
        <v>699</v>
      </c>
      <c r="O2756" s="143" t="s">
        <v>9085</v>
      </c>
      <c r="P2756" s="587" t="s">
        <v>1432</v>
      </c>
    </row>
    <row r="2757" hidden="1">
      <c r="A2757" s="471">
        <v>2.0</v>
      </c>
      <c r="B2757" s="470" t="s">
        <v>9614</v>
      </c>
      <c r="C2757" s="801" t="s">
        <v>2403</v>
      </c>
      <c r="D2757" s="801" t="s">
        <v>9615</v>
      </c>
      <c r="E2757" s="801" t="s">
        <v>9616</v>
      </c>
      <c r="F2757" s="801" t="s">
        <v>1199</v>
      </c>
      <c r="G2757" s="801" t="s">
        <v>9314</v>
      </c>
      <c r="H2757" s="486">
        <v>4.0</v>
      </c>
      <c r="I2757" s="471" t="s">
        <v>2890</v>
      </c>
      <c r="L2757" s="292" t="s">
        <v>699</v>
      </c>
      <c r="O2757" s="726">
        <v>46058.0</v>
      </c>
      <c r="P2757" s="587" t="s">
        <v>1432</v>
      </c>
    </row>
    <row r="2758" hidden="1">
      <c r="A2758" s="471">
        <v>3.0</v>
      </c>
      <c r="B2758" s="470" t="s">
        <v>9617</v>
      </c>
      <c r="C2758" s="801" t="s">
        <v>2403</v>
      </c>
      <c r="D2758" s="801" t="s">
        <v>9618</v>
      </c>
      <c r="E2758" s="801" t="s">
        <v>9619</v>
      </c>
      <c r="F2758" s="801" t="s">
        <v>9620</v>
      </c>
      <c r="G2758" s="801" t="s">
        <v>8874</v>
      </c>
      <c r="H2758" s="486">
        <v>6.0</v>
      </c>
      <c r="I2758" s="486" t="s">
        <v>3465</v>
      </c>
      <c r="L2758" s="292" t="s">
        <v>699</v>
      </c>
      <c r="O2758" s="726">
        <v>46058.0</v>
      </c>
      <c r="P2758" s="587" t="s">
        <v>1432</v>
      </c>
    </row>
    <row r="2759" hidden="1">
      <c r="A2759" s="471">
        <v>4.0</v>
      </c>
      <c r="B2759" s="470" t="s">
        <v>9621</v>
      </c>
      <c r="C2759" s="801" t="s">
        <v>2403</v>
      </c>
      <c r="D2759" s="801" t="s">
        <v>9622</v>
      </c>
      <c r="E2759" s="801" t="s">
        <v>9623</v>
      </c>
      <c r="F2759" s="801" t="s">
        <v>9068</v>
      </c>
      <c r="G2759" s="801" t="s">
        <v>9136</v>
      </c>
      <c r="H2759" s="486">
        <v>7.0</v>
      </c>
      <c r="I2759" s="471" t="s">
        <v>2890</v>
      </c>
      <c r="J2759" s="143" t="s">
        <v>4873</v>
      </c>
      <c r="L2759" s="292" t="s">
        <v>699</v>
      </c>
      <c r="O2759" s="726">
        <v>46208.0</v>
      </c>
      <c r="P2759" s="587" t="s">
        <v>1432</v>
      </c>
    </row>
    <row r="2760" hidden="1">
      <c r="A2760" s="471">
        <v>5.0</v>
      </c>
      <c r="B2760" s="470" t="s">
        <v>9624</v>
      </c>
      <c r="C2760" s="801" t="s">
        <v>2403</v>
      </c>
      <c r="D2760" s="801" t="s">
        <v>9625</v>
      </c>
      <c r="E2760" s="801" t="s">
        <v>9626</v>
      </c>
      <c r="F2760" s="801" t="s">
        <v>9068</v>
      </c>
      <c r="G2760" s="801" t="s">
        <v>9136</v>
      </c>
      <c r="H2760" s="486">
        <v>7.0</v>
      </c>
      <c r="I2760" s="471" t="s">
        <v>2890</v>
      </c>
      <c r="L2760" s="292" t="s">
        <v>699</v>
      </c>
      <c r="O2760" s="143" t="s">
        <v>9456</v>
      </c>
      <c r="P2760" s="587" t="s">
        <v>1432</v>
      </c>
    </row>
    <row r="2761" hidden="1">
      <c r="A2761" s="471">
        <v>6.0</v>
      </c>
      <c r="B2761" s="470" t="s">
        <v>9627</v>
      </c>
      <c r="C2761" s="801" t="s">
        <v>2307</v>
      </c>
      <c r="D2761" s="801" t="s">
        <v>9628</v>
      </c>
      <c r="E2761" s="801" t="s">
        <v>9629</v>
      </c>
      <c r="F2761" s="801" t="s">
        <v>7177</v>
      </c>
      <c r="G2761" s="801" t="s">
        <v>9319</v>
      </c>
      <c r="H2761" s="486">
        <v>8.0</v>
      </c>
      <c r="I2761" s="531" t="s">
        <v>3231</v>
      </c>
      <c r="J2761" s="143" t="s">
        <v>699</v>
      </c>
      <c r="L2761" s="292" t="s">
        <v>699</v>
      </c>
      <c r="O2761" s="143" t="s">
        <v>9085</v>
      </c>
      <c r="P2761" s="587" t="s">
        <v>1432</v>
      </c>
    </row>
    <row r="2762" ht="14.25" hidden="1" customHeight="1">
      <c r="A2762" s="471">
        <v>7.0</v>
      </c>
      <c r="B2762" s="470" t="s">
        <v>9630</v>
      </c>
      <c r="C2762" s="801" t="s">
        <v>80</v>
      </c>
      <c r="D2762" s="801" t="s">
        <v>9631</v>
      </c>
      <c r="E2762" s="490" t="s">
        <v>9632</v>
      </c>
      <c r="F2762" s="801" t="s">
        <v>5203</v>
      </c>
      <c r="G2762" s="801" t="s">
        <v>9538</v>
      </c>
      <c r="H2762" s="486">
        <v>3.0</v>
      </c>
      <c r="I2762" s="471" t="s">
        <v>2890</v>
      </c>
      <c r="J2762" s="143" t="s">
        <v>2541</v>
      </c>
      <c r="K2762" s="143" t="s">
        <v>9633</v>
      </c>
      <c r="L2762" s="292" t="s">
        <v>4195</v>
      </c>
      <c r="O2762" s="726">
        <v>46058.0</v>
      </c>
      <c r="P2762" s="587" t="s">
        <v>1432</v>
      </c>
    </row>
    <row r="2763" hidden="1">
      <c r="A2763" s="471">
        <v>8.0</v>
      </c>
      <c r="B2763" s="470" t="s">
        <v>9634</v>
      </c>
      <c r="C2763" s="801" t="s">
        <v>80</v>
      </c>
      <c r="D2763" s="801" t="s">
        <v>9635</v>
      </c>
      <c r="E2763" s="490" t="s">
        <v>9636</v>
      </c>
      <c r="F2763" s="801" t="s">
        <v>5203</v>
      </c>
      <c r="G2763" s="801" t="s">
        <v>9538</v>
      </c>
      <c r="H2763" s="486">
        <v>3.0</v>
      </c>
      <c r="I2763" s="471" t="s">
        <v>2890</v>
      </c>
      <c r="J2763" s="143" t="s">
        <v>2541</v>
      </c>
      <c r="K2763" s="143" t="s">
        <v>9633</v>
      </c>
      <c r="L2763" s="292" t="s">
        <v>4195</v>
      </c>
      <c r="O2763" s="726">
        <v>46058.0</v>
      </c>
      <c r="P2763" s="587" t="s">
        <v>1432</v>
      </c>
    </row>
    <row r="2764" hidden="1">
      <c r="A2764" s="471">
        <v>9.0</v>
      </c>
      <c r="B2764" s="621" t="s">
        <v>9637</v>
      </c>
      <c r="C2764" s="801" t="s">
        <v>80</v>
      </c>
      <c r="D2764" s="801" t="s">
        <v>9638</v>
      </c>
      <c r="E2764" s="490" t="s">
        <v>9639</v>
      </c>
      <c r="F2764" s="801" t="s">
        <v>5203</v>
      </c>
      <c r="G2764" s="801" t="s">
        <v>9314</v>
      </c>
      <c r="H2764" s="486">
        <v>4.0</v>
      </c>
      <c r="I2764" s="471" t="s">
        <v>2890</v>
      </c>
      <c r="J2764" s="143" t="s">
        <v>2541</v>
      </c>
      <c r="K2764" s="143" t="s">
        <v>9633</v>
      </c>
      <c r="L2764" s="292" t="s">
        <v>4195</v>
      </c>
      <c r="O2764" s="726">
        <v>46058.0</v>
      </c>
      <c r="P2764" s="587" t="s">
        <v>1432</v>
      </c>
    </row>
    <row r="2765" hidden="1">
      <c r="A2765" s="471">
        <v>10.0</v>
      </c>
      <c r="B2765" s="470" t="s">
        <v>9640</v>
      </c>
      <c r="C2765" s="471" t="s">
        <v>5937</v>
      </c>
      <c r="D2765" s="471" t="s">
        <v>9641</v>
      </c>
      <c r="E2765" s="473" t="s">
        <v>9642</v>
      </c>
      <c r="F2765" s="471" t="s">
        <v>243</v>
      </c>
      <c r="G2765" s="525">
        <v>46058.0</v>
      </c>
      <c r="H2765" s="471">
        <v>18.0</v>
      </c>
      <c r="I2765" s="486" t="s">
        <v>3465</v>
      </c>
      <c r="J2765" s="143" t="s">
        <v>9600</v>
      </c>
      <c r="K2765" s="143" t="s">
        <v>8870</v>
      </c>
      <c r="L2765" s="292" t="s">
        <v>374</v>
      </c>
      <c r="O2765" s="571">
        <v>46178.0</v>
      </c>
      <c r="P2765" s="587" t="s">
        <v>1432</v>
      </c>
    </row>
    <row r="2766" hidden="1">
      <c r="A2766" s="471">
        <v>11.0</v>
      </c>
      <c r="B2766" s="470" t="s">
        <v>9643</v>
      </c>
      <c r="C2766" s="471" t="s">
        <v>5937</v>
      </c>
      <c r="D2766" s="471" t="s">
        <v>9644</v>
      </c>
      <c r="E2766" s="473" t="s">
        <v>9645</v>
      </c>
      <c r="F2766" s="471" t="s">
        <v>243</v>
      </c>
      <c r="G2766" s="525">
        <v>46058.0</v>
      </c>
      <c r="H2766" s="471">
        <v>18.0</v>
      </c>
      <c r="I2766" s="471" t="s">
        <v>2890</v>
      </c>
      <c r="J2766" s="143" t="s">
        <v>9600</v>
      </c>
      <c r="K2766" s="143" t="s">
        <v>8870</v>
      </c>
      <c r="L2766" s="292" t="s">
        <v>374</v>
      </c>
      <c r="O2766" s="571">
        <v>46178.0</v>
      </c>
      <c r="P2766" s="587" t="s">
        <v>1432</v>
      </c>
    </row>
    <row r="2767" hidden="1">
      <c r="A2767" s="471">
        <v>12.0</v>
      </c>
      <c r="B2767" s="470" t="s">
        <v>9646</v>
      </c>
      <c r="C2767" s="471" t="s">
        <v>5937</v>
      </c>
      <c r="D2767" s="471" t="s">
        <v>9647</v>
      </c>
      <c r="E2767" s="473" t="s">
        <v>9648</v>
      </c>
      <c r="F2767" s="471" t="s">
        <v>243</v>
      </c>
      <c r="G2767" s="525">
        <v>46058.0</v>
      </c>
      <c r="H2767" s="471">
        <v>18.0</v>
      </c>
      <c r="I2767" s="486" t="s">
        <v>3465</v>
      </c>
      <c r="J2767" s="143" t="s">
        <v>9649</v>
      </c>
      <c r="K2767" s="143" t="s">
        <v>8870</v>
      </c>
      <c r="L2767" s="292" t="s">
        <v>51</v>
      </c>
      <c r="N2767" s="143" t="s">
        <v>9650</v>
      </c>
      <c r="O2767" s="571">
        <v>46147.0</v>
      </c>
      <c r="P2767" s="587" t="s">
        <v>1432</v>
      </c>
    </row>
    <row r="2768" hidden="1">
      <c r="A2768" s="471">
        <v>13.0</v>
      </c>
      <c r="B2768" s="470" t="s">
        <v>9651</v>
      </c>
      <c r="C2768" s="471" t="s">
        <v>5937</v>
      </c>
      <c r="D2768" s="471" t="s">
        <v>9652</v>
      </c>
      <c r="E2768" s="473" t="s">
        <v>9653</v>
      </c>
      <c r="F2768" s="471" t="s">
        <v>243</v>
      </c>
      <c r="G2768" s="525">
        <v>46058.0</v>
      </c>
      <c r="H2768" s="471">
        <v>18.0</v>
      </c>
      <c r="I2768" s="471" t="s">
        <v>2890</v>
      </c>
      <c r="J2768" s="143" t="s">
        <v>9649</v>
      </c>
      <c r="K2768" s="143" t="s">
        <v>8870</v>
      </c>
      <c r="L2768" s="292" t="s">
        <v>51</v>
      </c>
      <c r="O2768" s="571">
        <v>46147.0</v>
      </c>
      <c r="P2768" s="587" t="s">
        <v>1432</v>
      </c>
    </row>
    <row r="2769" hidden="1">
      <c r="A2769" s="471">
        <v>14.0</v>
      </c>
      <c r="B2769" s="470" t="s">
        <v>9654</v>
      </c>
      <c r="C2769" s="471" t="s">
        <v>80</v>
      </c>
      <c r="D2769" s="471" t="s">
        <v>9655</v>
      </c>
      <c r="E2769" s="471" t="s">
        <v>9656</v>
      </c>
      <c r="F2769" s="471" t="s">
        <v>9657</v>
      </c>
      <c r="G2769" s="471" t="s">
        <v>8399</v>
      </c>
      <c r="H2769" s="471">
        <v>15.0</v>
      </c>
      <c r="I2769" s="471" t="s">
        <v>2890</v>
      </c>
      <c r="L2769" s="492" t="s">
        <v>51</v>
      </c>
      <c r="O2769" s="571">
        <v>46270.0</v>
      </c>
      <c r="P2769" s="587" t="s">
        <v>1432</v>
      </c>
    </row>
    <row r="2770" hidden="1">
      <c r="A2770" s="471">
        <v>15.0</v>
      </c>
      <c r="B2770" s="470" t="s">
        <v>9658</v>
      </c>
      <c r="C2770" s="471" t="s">
        <v>80</v>
      </c>
      <c r="D2770" s="471" t="s">
        <v>9659</v>
      </c>
      <c r="E2770" s="471" t="s">
        <v>505</v>
      </c>
      <c r="F2770" s="471" t="s">
        <v>8373</v>
      </c>
      <c r="G2770" s="471" t="s">
        <v>8399</v>
      </c>
      <c r="H2770" s="471">
        <v>15.0</v>
      </c>
      <c r="I2770" s="471" t="s">
        <v>2890</v>
      </c>
      <c r="J2770" s="153" t="s">
        <v>9660</v>
      </c>
      <c r="K2770" s="153" t="s">
        <v>9353</v>
      </c>
      <c r="L2770" s="492" t="s">
        <v>4195</v>
      </c>
      <c r="O2770" s="754">
        <v>46239.0</v>
      </c>
      <c r="P2770" s="587" t="s">
        <v>1432</v>
      </c>
    </row>
    <row r="2771" hidden="1">
      <c r="A2771" s="471">
        <v>16.0</v>
      </c>
      <c r="B2771" s="470" t="s">
        <v>9661</v>
      </c>
      <c r="C2771" s="471" t="s">
        <v>1185</v>
      </c>
      <c r="D2771" s="471" t="s">
        <v>9662</v>
      </c>
      <c r="E2771" s="471" t="s">
        <v>9663</v>
      </c>
      <c r="F2771" s="471" t="s">
        <v>4099</v>
      </c>
      <c r="G2771" s="525">
        <v>46058.0</v>
      </c>
      <c r="H2771" s="471">
        <v>18.0</v>
      </c>
      <c r="I2771" s="471" t="s">
        <v>2890</v>
      </c>
      <c r="J2771" s="143" t="s">
        <v>362</v>
      </c>
      <c r="K2771" s="143" t="s">
        <v>375</v>
      </c>
      <c r="L2771" s="292" t="s">
        <v>51</v>
      </c>
      <c r="O2771" s="571">
        <v>46058.0</v>
      </c>
      <c r="P2771" s="587" t="s">
        <v>1432</v>
      </c>
    </row>
    <row r="2772" hidden="1">
      <c r="A2772" s="471">
        <v>17.0</v>
      </c>
      <c r="B2772" s="470" t="s">
        <v>9664</v>
      </c>
      <c r="C2772" s="471" t="s">
        <v>80</v>
      </c>
      <c r="D2772" s="471" t="s">
        <v>9665</v>
      </c>
      <c r="E2772" s="615" t="s">
        <v>9666</v>
      </c>
      <c r="F2772" s="471" t="s">
        <v>3583</v>
      </c>
      <c r="G2772" s="471" t="s">
        <v>9434</v>
      </c>
      <c r="H2772" s="471">
        <v>12.0</v>
      </c>
      <c r="I2772" s="471" t="s">
        <v>2890</v>
      </c>
      <c r="L2772" s="292" t="s">
        <v>778</v>
      </c>
      <c r="O2772" s="143" t="s">
        <v>9070</v>
      </c>
    </row>
    <row r="2773" hidden="1">
      <c r="A2773" s="471">
        <v>18.0</v>
      </c>
      <c r="B2773" s="470" t="s">
        <v>9667</v>
      </c>
      <c r="C2773" s="471" t="s">
        <v>1058</v>
      </c>
      <c r="D2773" s="471" t="s">
        <v>9668</v>
      </c>
      <c r="E2773" s="558" t="s">
        <v>9669</v>
      </c>
      <c r="F2773" s="471" t="s">
        <v>9670</v>
      </c>
      <c r="G2773" s="471" t="s">
        <v>9444</v>
      </c>
      <c r="H2773" s="471">
        <v>16.0</v>
      </c>
      <c r="I2773" s="471" t="s">
        <v>2890</v>
      </c>
      <c r="J2773" s="143" t="s">
        <v>9556</v>
      </c>
      <c r="K2773" s="143" t="s">
        <v>9070</v>
      </c>
      <c r="L2773" s="292" t="s">
        <v>374</v>
      </c>
      <c r="O2773" s="571">
        <v>46208.0</v>
      </c>
      <c r="P2773" s="587" t="s">
        <v>1432</v>
      </c>
    </row>
    <row r="2774" hidden="1">
      <c r="A2774" s="471">
        <v>19.0</v>
      </c>
      <c r="B2774" s="470" t="s">
        <v>9671</v>
      </c>
      <c r="C2774" s="471" t="s">
        <v>80</v>
      </c>
      <c r="D2774" s="471" t="s">
        <v>9672</v>
      </c>
      <c r="E2774" s="593" t="s">
        <v>9673</v>
      </c>
      <c r="F2774" s="471" t="s">
        <v>8668</v>
      </c>
      <c r="G2774" s="471" t="s">
        <v>9545</v>
      </c>
      <c r="H2774" s="471">
        <v>14.0</v>
      </c>
      <c r="I2774" s="471" t="s">
        <v>2890</v>
      </c>
      <c r="L2774" s="292" t="s">
        <v>9469</v>
      </c>
      <c r="N2774" s="292"/>
      <c r="O2774" s="143" t="s">
        <v>9674</v>
      </c>
    </row>
    <row r="2775" hidden="1">
      <c r="A2775" s="471">
        <v>20.0</v>
      </c>
      <c r="B2775" s="470" t="s">
        <v>9675</v>
      </c>
      <c r="C2775" s="471" t="s">
        <v>80</v>
      </c>
      <c r="D2775" s="471" t="s">
        <v>9676</v>
      </c>
      <c r="E2775" s="593" t="s">
        <v>9677</v>
      </c>
      <c r="F2775" s="471" t="s">
        <v>8668</v>
      </c>
      <c r="G2775" s="471" t="s">
        <v>9545</v>
      </c>
      <c r="H2775" s="471">
        <v>14.0</v>
      </c>
      <c r="I2775" s="471" t="s">
        <v>2890</v>
      </c>
      <c r="L2775" s="292" t="s">
        <v>9469</v>
      </c>
      <c r="N2775" s="292"/>
      <c r="O2775" s="143" t="s">
        <v>9674</v>
      </c>
    </row>
    <row r="2776" hidden="1">
      <c r="A2776" s="471">
        <v>21.0</v>
      </c>
      <c r="B2776" s="470" t="s">
        <v>9678</v>
      </c>
      <c r="C2776" s="471" t="s">
        <v>80</v>
      </c>
      <c r="D2776" s="471" t="s">
        <v>9679</v>
      </c>
      <c r="E2776" s="593" t="s">
        <v>9680</v>
      </c>
      <c r="F2776" s="471" t="s">
        <v>8668</v>
      </c>
      <c r="G2776" s="471" t="s">
        <v>9545</v>
      </c>
      <c r="H2776" s="471">
        <v>14.0</v>
      </c>
      <c r="I2776" s="471" t="s">
        <v>2890</v>
      </c>
      <c r="L2776" s="292" t="s">
        <v>9469</v>
      </c>
      <c r="N2776" s="292"/>
      <c r="O2776" s="143" t="s">
        <v>9674</v>
      </c>
    </row>
    <row r="2777" hidden="1">
      <c r="A2777" s="471">
        <v>22.0</v>
      </c>
      <c r="B2777" s="470" t="s">
        <v>9681</v>
      </c>
      <c r="C2777" s="471" t="s">
        <v>80</v>
      </c>
      <c r="D2777" s="471" t="s">
        <v>9682</v>
      </c>
      <c r="E2777" s="593" t="s">
        <v>9683</v>
      </c>
      <c r="F2777" s="471" t="s">
        <v>8668</v>
      </c>
      <c r="G2777" s="471" t="s">
        <v>9545</v>
      </c>
      <c r="H2777" s="471">
        <v>14.0</v>
      </c>
      <c r="I2777" s="471" t="s">
        <v>2890</v>
      </c>
      <c r="L2777" s="292" t="s">
        <v>9469</v>
      </c>
      <c r="N2777" s="292"/>
      <c r="O2777" s="143" t="s">
        <v>9674</v>
      </c>
    </row>
    <row r="2778" hidden="1">
      <c r="A2778" s="471">
        <v>23.0</v>
      </c>
      <c r="B2778" s="470" t="s">
        <v>9684</v>
      </c>
      <c r="C2778" s="471" t="s">
        <v>80</v>
      </c>
      <c r="D2778" s="471" t="s">
        <v>9685</v>
      </c>
      <c r="E2778" s="593" t="s">
        <v>9686</v>
      </c>
      <c r="F2778" s="471" t="s">
        <v>3928</v>
      </c>
      <c r="G2778" s="471" t="s">
        <v>8399</v>
      </c>
      <c r="H2778" s="471">
        <v>15.0</v>
      </c>
      <c r="I2778" s="471" t="s">
        <v>2890</v>
      </c>
      <c r="L2778" s="292" t="s">
        <v>9469</v>
      </c>
      <c r="N2778" s="292"/>
      <c r="O2778" s="143" t="s">
        <v>9674</v>
      </c>
    </row>
    <row r="2779" hidden="1">
      <c r="A2779" s="471">
        <v>24.0</v>
      </c>
      <c r="B2779" s="470" t="s">
        <v>9687</v>
      </c>
      <c r="C2779" s="471" t="s">
        <v>80</v>
      </c>
      <c r="D2779" s="471" t="s">
        <v>9688</v>
      </c>
      <c r="E2779" s="593" t="s">
        <v>9689</v>
      </c>
      <c r="F2779" s="471" t="s">
        <v>3928</v>
      </c>
      <c r="G2779" s="471" t="s">
        <v>8399</v>
      </c>
      <c r="H2779" s="471">
        <v>15.0</v>
      </c>
      <c r="I2779" s="471" t="s">
        <v>2890</v>
      </c>
      <c r="L2779" s="292" t="s">
        <v>9469</v>
      </c>
      <c r="N2779" s="292"/>
      <c r="O2779" s="143" t="s">
        <v>9674</v>
      </c>
    </row>
    <row r="2780" hidden="1">
      <c r="A2780" s="471">
        <v>25.0</v>
      </c>
      <c r="B2780" s="470" t="s">
        <v>9690</v>
      </c>
      <c r="C2780" s="471" t="s">
        <v>80</v>
      </c>
      <c r="D2780" s="471" t="s">
        <v>9691</v>
      </c>
      <c r="E2780" s="593" t="s">
        <v>9692</v>
      </c>
      <c r="F2780" s="471" t="s">
        <v>3928</v>
      </c>
      <c r="G2780" s="471" t="s">
        <v>8399</v>
      </c>
      <c r="H2780" s="471">
        <v>15.0</v>
      </c>
      <c r="I2780" s="471" t="s">
        <v>2890</v>
      </c>
      <c r="L2780" s="292" t="s">
        <v>9469</v>
      </c>
      <c r="N2780" s="292"/>
      <c r="O2780" s="143" t="s">
        <v>9674</v>
      </c>
    </row>
    <row r="2781" hidden="1">
      <c r="A2781" s="471">
        <v>26.0</v>
      </c>
      <c r="B2781" s="470" t="s">
        <v>9693</v>
      </c>
      <c r="C2781" s="471" t="s">
        <v>80</v>
      </c>
      <c r="D2781" s="471" t="s">
        <v>9694</v>
      </c>
      <c r="E2781" s="593" t="s">
        <v>9695</v>
      </c>
      <c r="F2781" s="471" t="s">
        <v>3928</v>
      </c>
      <c r="G2781" s="471" t="s">
        <v>8399</v>
      </c>
      <c r="H2781" s="471">
        <v>15.0</v>
      </c>
      <c r="I2781" s="471" t="s">
        <v>2890</v>
      </c>
      <c r="L2781" s="292" t="s">
        <v>9469</v>
      </c>
      <c r="N2781" s="292"/>
      <c r="O2781" s="143" t="s">
        <v>9674</v>
      </c>
    </row>
    <row r="2782" hidden="1">
      <c r="A2782" s="471">
        <v>27.0</v>
      </c>
      <c r="B2782" s="470" t="s">
        <v>9696</v>
      </c>
      <c r="C2782" s="471" t="s">
        <v>80</v>
      </c>
      <c r="D2782" s="471" t="s">
        <v>9697</v>
      </c>
      <c r="E2782" s="593" t="s">
        <v>9698</v>
      </c>
      <c r="F2782" s="471" t="s">
        <v>3928</v>
      </c>
      <c r="G2782" s="471" t="s">
        <v>8399</v>
      </c>
      <c r="H2782" s="471">
        <v>15.0</v>
      </c>
      <c r="I2782" s="486" t="s">
        <v>3465</v>
      </c>
      <c r="L2782" s="292" t="s">
        <v>9469</v>
      </c>
      <c r="N2782" s="292"/>
      <c r="O2782" s="143" t="s">
        <v>9674</v>
      </c>
    </row>
    <row r="2783" hidden="1">
      <c r="A2783" s="471">
        <v>28.0</v>
      </c>
      <c r="B2783" s="470" t="s">
        <v>9699</v>
      </c>
      <c r="C2783" s="471" t="s">
        <v>80</v>
      </c>
      <c r="D2783" s="471" t="s">
        <v>9700</v>
      </c>
      <c r="E2783" s="593" t="s">
        <v>9701</v>
      </c>
      <c r="F2783" s="471" t="s">
        <v>3928</v>
      </c>
      <c r="G2783" s="471" t="s">
        <v>8399</v>
      </c>
      <c r="H2783" s="471">
        <v>15.0</v>
      </c>
      <c r="I2783" s="471" t="s">
        <v>2890</v>
      </c>
      <c r="L2783" s="292" t="s">
        <v>9469</v>
      </c>
      <c r="N2783" s="292"/>
      <c r="O2783" s="143" t="s">
        <v>9674</v>
      </c>
    </row>
    <row r="2784" hidden="1">
      <c r="A2784" s="471">
        <v>29.0</v>
      </c>
      <c r="B2784" s="470" t="s">
        <v>9702</v>
      </c>
      <c r="C2784" s="471" t="s">
        <v>80</v>
      </c>
      <c r="D2784" s="471" t="s">
        <v>9703</v>
      </c>
      <c r="E2784" s="593" t="s">
        <v>9704</v>
      </c>
      <c r="F2784" s="471" t="s">
        <v>3928</v>
      </c>
      <c r="G2784" s="471" t="s">
        <v>8399</v>
      </c>
      <c r="H2784" s="471">
        <v>15.0</v>
      </c>
      <c r="I2784" s="471" t="s">
        <v>2890</v>
      </c>
      <c r="L2784" s="292" t="s">
        <v>9469</v>
      </c>
      <c r="N2784" s="292"/>
      <c r="O2784" s="143" t="s">
        <v>9705</v>
      </c>
    </row>
    <row r="2785" hidden="1">
      <c r="A2785" s="471">
        <v>30.0</v>
      </c>
      <c r="B2785" s="470" t="s">
        <v>9706</v>
      </c>
      <c r="C2785" s="471" t="s">
        <v>80</v>
      </c>
      <c r="D2785" s="471" t="s">
        <v>9707</v>
      </c>
      <c r="E2785" s="593" t="s">
        <v>9708</v>
      </c>
      <c r="F2785" s="471" t="s">
        <v>3928</v>
      </c>
      <c r="G2785" s="471" t="s">
        <v>8399</v>
      </c>
      <c r="H2785" s="471">
        <v>15.0</v>
      </c>
      <c r="I2785" s="471" t="s">
        <v>2890</v>
      </c>
      <c r="L2785" s="292" t="s">
        <v>9469</v>
      </c>
      <c r="N2785" s="292"/>
      <c r="O2785" s="143" t="s">
        <v>9674</v>
      </c>
    </row>
    <row r="2786" hidden="1">
      <c r="A2786" s="471">
        <v>31.0</v>
      </c>
      <c r="B2786" s="470" t="s">
        <v>9709</v>
      </c>
      <c r="C2786" s="471" t="s">
        <v>80</v>
      </c>
      <c r="D2786" s="471" t="s">
        <v>9710</v>
      </c>
      <c r="E2786" s="593" t="s">
        <v>9711</v>
      </c>
      <c r="F2786" s="471" t="s">
        <v>3928</v>
      </c>
      <c r="G2786" s="471" t="s">
        <v>8399</v>
      </c>
      <c r="H2786" s="471">
        <v>15.0</v>
      </c>
      <c r="I2786" s="471" t="s">
        <v>2890</v>
      </c>
      <c r="L2786" s="292" t="s">
        <v>9469</v>
      </c>
      <c r="N2786" s="292"/>
      <c r="O2786" s="143" t="s">
        <v>9674</v>
      </c>
    </row>
    <row r="2787" hidden="1">
      <c r="A2787" s="339" t="s">
        <v>9712</v>
      </c>
    </row>
    <row r="2788" hidden="1">
      <c r="A2788" s="670" t="s">
        <v>47</v>
      </c>
      <c r="B2788" s="670" t="s">
        <v>7</v>
      </c>
      <c r="C2788" s="670" t="s">
        <v>9</v>
      </c>
      <c r="D2788" s="670" t="s">
        <v>10</v>
      </c>
      <c r="E2788" s="670" t="s">
        <v>11</v>
      </c>
      <c r="F2788" s="670" t="s">
        <v>12</v>
      </c>
      <c r="G2788" s="670" t="s">
        <v>2378</v>
      </c>
      <c r="H2788" s="670" t="s">
        <v>2681</v>
      </c>
      <c r="I2788" s="4" t="s">
        <v>2847</v>
      </c>
      <c r="J2788" s="8" t="s">
        <v>14</v>
      </c>
      <c r="K2788" s="9" t="s">
        <v>16</v>
      </c>
      <c r="L2788" s="9" t="s">
        <v>4330</v>
      </c>
      <c r="M2788" s="9" t="s">
        <v>18</v>
      </c>
      <c r="N2788" s="9" t="s">
        <v>19</v>
      </c>
      <c r="O2788" s="9" t="s">
        <v>20</v>
      </c>
      <c r="P2788" s="9" t="s">
        <v>21</v>
      </c>
    </row>
    <row r="2789" hidden="1">
      <c r="A2789" s="118">
        <v>1.0</v>
      </c>
      <c r="B2789" s="777" t="s">
        <v>9713</v>
      </c>
      <c r="C2789" s="738" t="s">
        <v>80</v>
      </c>
      <c r="D2789" s="738" t="s">
        <v>9714</v>
      </c>
      <c r="E2789" s="738" t="s">
        <v>9715</v>
      </c>
      <c r="F2789" s="778" t="s">
        <v>9054</v>
      </c>
      <c r="G2789" s="574" t="s">
        <v>8399</v>
      </c>
      <c r="H2789" s="574">
        <v>12.0</v>
      </c>
      <c r="I2789" s="172" t="s">
        <v>2890</v>
      </c>
      <c r="L2789" s="292" t="s">
        <v>374</v>
      </c>
      <c r="O2789" s="292" t="s">
        <v>9070</v>
      </c>
      <c r="P2789" s="587" t="s">
        <v>1432</v>
      </c>
    </row>
    <row r="2790" hidden="1">
      <c r="A2790" s="118">
        <v>2.0</v>
      </c>
      <c r="B2790" s="780" t="s">
        <v>9716</v>
      </c>
      <c r="C2790" s="781" t="s">
        <v>2403</v>
      </c>
      <c r="D2790" s="772" t="s">
        <v>9717</v>
      </c>
      <c r="E2790" s="772" t="s">
        <v>9718</v>
      </c>
      <c r="F2790" s="781" t="s">
        <v>9068</v>
      </c>
      <c r="G2790" s="472" t="s">
        <v>9719</v>
      </c>
      <c r="H2790" s="540">
        <v>7.0</v>
      </c>
      <c r="I2790" s="64" t="s">
        <v>2890</v>
      </c>
      <c r="J2790" s="143" t="s">
        <v>9720</v>
      </c>
      <c r="L2790" s="292" t="s">
        <v>699</v>
      </c>
      <c r="O2790" s="754">
        <v>46058.0</v>
      </c>
      <c r="P2790" s="587" t="s">
        <v>1432</v>
      </c>
    </row>
    <row r="2791" hidden="1">
      <c r="A2791" s="118">
        <v>3.0</v>
      </c>
      <c r="B2791" s="780" t="s">
        <v>9721</v>
      </c>
      <c r="C2791" s="781" t="s">
        <v>2307</v>
      </c>
      <c r="D2791" s="772" t="s">
        <v>9722</v>
      </c>
      <c r="E2791" s="772" t="s">
        <v>9723</v>
      </c>
      <c r="F2791" s="781" t="s">
        <v>9068</v>
      </c>
      <c r="G2791" s="472" t="s">
        <v>9719</v>
      </c>
      <c r="H2791" s="540">
        <v>7.0</v>
      </c>
      <c r="I2791" s="64" t="s">
        <v>2890</v>
      </c>
      <c r="J2791" s="143" t="s">
        <v>9720</v>
      </c>
      <c r="L2791" s="292" t="s">
        <v>699</v>
      </c>
      <c r="O2791" s="754">
        <v>46058.0</v>
      </c>
      <c r="P2791" s="587" t="s">
        <v>1432</v>
      </c>
    </row>
    <row r="2792" hidden="1">
      <c r="A2792" s="118">
        <v>4.0</v>
      </c>
      <c r="B2792" s="780" t="s">
        <v>9724</v>
      </c>
      <c r="C2792" s="772" t="s">
        <v>1185</v>
      </c>
      <c r="D2792" s="772" t="s">
        <v>9725</v>
      </c>
      <c r="E2792" s="772" t="s">
        <v>9726</v>
      </c>
      <c r="F2792" s="781" t="s">
        <v>25</v>
      </c>
      <c r="G2792" s="474">
        <v>46147.0</v>
      </c>
      <c r="H2792" s="472">
        <v>18.0</v>
      </c>
      <c r="I2792" s="802" t="s">
        <v>5895</v>
      </c>
      <c r="J2792" s="35" t="s">
        <v>9727</v>
      </c>
      <c r="K2792" s="758">
        <v>46058.0</v>
      </c>
      <c r="L2792" s="292" t="s">
        <v>4195</v>
      </c>
      <c r="O2792" s="754">
        <v>46178.0</v>
      </c>
      <c r="P2792" s="587" t="s">
        <v>1432</v>
      </c>
    </row>
    <row r="2793" hidden="1">
      <c r="A2793" s="118">
        <v>5.0</v>
      </c>
      <c r="B2793" s="780" t="s">
        <v>9728</v>
      </c>
      <c r="C2793" s="772" t="s">
        <v>1185</v>
      </c>
      <c r="D2793" s="772" t="s">
        <v>9729</v>
      </c>
      <c r="E2793" s="772" t="s">
        <v>9730</v>
      </c>
      <c r="F2793" s="781" t="s">
        <v>25</v>
      </c>
      <c r="G2793" s="474">
        <v>46208.0</v>
      </c>
      <c r="H2793" s="472">
        <v>20.0</v>
      </c>
      <c r="I2793" s="64" t="s">
        <v>2890</v>
      </c>
      <c r="J2793" s="143" t="s">
        <v>9731</v>
      </c>
      <c r="L2793" s="292" t="s">
        <v>374</v>
      </c>
      <c r="O2793" s="143" t="s">
        <v>9090</v>
      </c>
      <c r="P2793" s="587" t="s">
        <v>1432</v>
      </c>
    </row>
    <row r="2794" hidden="1">
      <c r="A2794" s="118">
        <v>6.0</v>
      </c>
      <c r="B2794" s="780" t="s">
        <v>9732</v>
      </c>
      <c r="C2794" s="772" t="s">
        <v>1185</v>
      </c>
      <c r="D2794" s="772" t="s">
        <v>9733</v>
      </c>
      <c r="E2794" s="772" t="s">
        <v>9734</v>
      </c>
      <c r="F2794" s="781" t="s">
        <v>25</v>
      </c>
      <c r="G2794" s="474">
        <v>46086.0</v>
      </c>
      <c r="H2794" s="472">
        <v>16.0</v>
      </c>
      <c r="I2794" s="64" t="s">
        <v>2890</v>
      </c>
      <c r="J2794" s="143" t="s">
        <v>362</v>
      </c>
      <c r="K2794" s="143" t="s">
        <v>9034</v>
      </c>
      <c r="L2794" s="292" t="s">
        <v>51</v>
      </c>
      <c r="N2794" s="143" t="s">
        <v>9650</v>
      </c>
      <c r="O2794" s="143" t="s">
        <v>9735</v>
      </c>
      <c r="P2794" s="587" t="s">
        <v>1432</v>
      </c>
    </row>
    <row r="2795" hidden="1">
      <c r="A2795" s="118">
        <v>7.0</v>
      </c>
      <c r="B2795" s="780" t="s">
        <v>9736</v>
      </c>
      <c r="C2795" s="781" t="s">
        <v>5937</v>
      </c>
      <c r="D2795" s="772" t="s">
        <v>9737</v>
      </c>
      <c r="E2795" s="803" t="s">
        <v>9738</v>
      </c>
      <c r="F2795" s="781" t="s">
        <v>243</v>
      </c>
      <c r="G2795" s="474">
        <v>46086.0</v>
      </c>
      <c r="H2795" s="472">
        <v>16.0</v>
      </c>
      <c r="I2795" s="64" t="s">
        <v>2890</v>
      </c>
      <c r="J2795" s="153" t="s">
        <v>699</v>
      </c>
      <c r="K2795" s="153" t="s">
        <v>9353</v>
      </c>
      <c r="L2795" s="292" t="s">
        <v>4195</v>
      </c>
      <c r="O2795" s="754">
        <v>46270.0</v>
      </c>
      <c r="P2795" s="587" t="s">
        <v>1432</v>
      </c>
    </row>
    <row r="2796" hidden="1">
      <c r="A2796" s="118">
        <v>8.0</v>
      </c>
      <c r="B2796" s="780" t="s">
        <v>9739</v>
      </c>
      <c r="C2796" s="781" t="s">
        <v>5937</v>
      </c>
      <c r="D2796" s="772" t="s">
        <v>9740</v>
      </c>
      <c r="E2796" s="803" t="s">
        <v>9741</v>
      </c>
      <c r="F2796" s="781" t="s">
        <v>243</v>
      </c>
      <c r="G2796" s="474">
        <v>46086.0</v>
      </c>
      <c r="H2796" s="472">
        <v>16.0</v>
      </c>
      <c r="I2796" s="64" t="s">
        <v>2890</v>
      </c>
      <c r="J2796" s="153" t="s">
        <v>699</v>
      </c>
      <c r="K2796" s="153" t="s">
        <v>9353</v>
      </c>
      <c r="L2796" s="292" t="s">
        <v>4195</v>
      </c>
      <c r="O2796" s="754">
        <v>46270.0</v>
      </c>
      <c r="P2796" s="587" t="s">
        <v>1432</v>
      </c>
    </row>
    <row r="2797" hidden="1">
      <c r="A2797" s="118">
        <v>9.0</v>
      </c>
      <c r="B2797" s="780" t="s">
        <v>9742</v>
      </c>
      <c r="C2797" s="772" t="s">
        <v>80</v>
      </c>
      <c r="D2797" s="772" t="s">
        <v>9743</v>
      </c>
      <c r="E2797" s="772" t="s">
        <v>9744</v>
      </c>
      <c r="F2797" s="781" t="s">
        <v>9745</v>
      </c>
      <c r="G2797" s="474">
        <v>46117.0</v>
      </c>
      <c r="H2797" s="472">
        <v>17.0</v>
      </c>
      <c r="I2797" s="64" t="s">
        <v>2890</v>
      </c>
      <c r="J2797" s="153" t="s">
        <v>9746</v>
      </c>
      <c r="K2797" s="804">
        <v>46058.0</v>
      </c>
      <c r="L2797" s="292" t="s">
        <v>4195</v>
      </c>
      <c r="O2797" s="143" t="s">
        <v>9085</v>
      </c>
      <c r="P2797" s="564" t="s">
        <v>1432</v>
      </c>
    </row>
    <row r="2798" hidden="1">
      <c r="A2798" s="118">
        <v>10.0</v>
      </c>
      <c r="B2798" s="805" t="s">
        <v>9747</v>
      </c>
      <c r="C2798" s="772" t="s">
        <v>80</v>
      </c>
      <c r="D2798" s="772" t="s">
        <v>9748</v>
      </c>
      <c r="E2798" s="772" t="s">
        <v>9749</v>
      </c>
      <c r="F2798" s="781" t="s">
        <v>9750</v>
      </c>
      <c r="G2798" s="474">
        <v>46117.0</v>
      </c>
      <c r="H2798" s="472">
        <v>17.0</v>
      </c>
      <c r="I2798" s="64" t="s">
        <v>2890</v>
      </c>
      <c r="J2798" s="143" t="s">
        <v>9731</v>
      </c>
      <c r="L2798" s="292" t="s">
        <v>374</v>
      </c>
      <c r="O2798" s="571">
        <v>46270.0</v>
      </c>
      <c r="P2798" s="564" t="s">
        <v>1432</v>
      </c>
    </row>
    <row r="2799" hidden="1">
      <c r="A2799" s="118">
        <v>11.0</v>
      </c>
      <c r="B2799" s="780" t="s">
        <v>9751</v>
      </c>
      <c r="C2799" s="772" t="s">
        <v>80</v>
      </c>
      <c r="D2799" s="772" t="s">
        <v>9752</v>
      </c>
      <c r="E2799" s="772" t="s">
        <v>9753</v>
      </c>
      <c r="F2799" s="781" t="s">
        <v>9754</v>
      </c>
      <c r="G2799" s="474">
        <v>46147.0</v>
      </c>
      <c r="H2799" s="472">
        <v>18.0</v>
      </c>
      <c r="I2799" s="64" t="s">
        <v>2890</v>
      </c>
      <c r="L2799" s="492" t="s">
        <v>51</v>
      </c>
      <c r="O2799" s="571">
        <v>46058.0</v>
      </c>
      <c r="P2799" s="587" t="s">
        <v>1432</v>
      </c>
    </row>
    <row r="2800" hidden="1">
      <c r="A2800" s="118">
        <v>12.0</v>
      </c>
      <c r="B2800" s="780" t="s">
        <v>9755</v>
      </c>
      <c r="C2800" s="772" t="s">
        <v>80</v>
      </c>
      <c r="D2800" s="772" t="s">
        <v>9756</v>
      </c>
      <c r="E2800" s="772" t="s">
        <v>9757</v>
      </c>
      <c r="F2800" s="781" t="s">
        <v>9068</v>
      </c>
      <c r="G2800" s="474">
        <v>46147.0</v>
      </c>
      <c r="H2800" s="472">
        <v>18.0</v>
      </c>
      <c r="I2800" s="64" t="s">
        <v>2890</v>
      </c>
      <c r="J2800" s="153" t="s">
        <v>9727</v>
      </c>
      <c r="K2800" s="804">
        <v>46058.0</v>
      </c>
      <c r="L2800" s="492" t="s">
        <v>4195</v>
      </c>
      <c r="O2800" s="754">
        <v>46239.0</v>
      </c>
      <c r="P2800" s="564" t="s">
        <v>1432</v>
      </c>
    </row>
    <row r="2801" hidden="1">
      <c r="A2801" s="118">
        <v>13.0</v>
      </c>
      <c r="B2801" s="780" t="s">
        <v>9758</v>
      </c>
      <c r="C2801" s="781" t="s">
        <v>1058</v>
      </c>
      <c r="D2801" s="772" t="s">
        <v>9759</v>
      </c>
      <c r="E2801" s="806" t="s">
        <v>9760</v>
      </c>
      <c r="F2801" s="781" t="s">
        <v>9670</v>
      </c>
      <c r="G2801" s="474">
        <v>46117.0</v>
      </c>
      <c r="H2801" s="472">
        <v>17.0</v>
      </c>
      <c r="I2801" s="64" t="s">
        <v>2890</v>
      </c>
      <c r="J2801" s="143" t="s">
        <v>9556</v>
      </c>
      <c r="K2801" s="143" t="s">
        <v>9070</v>
      </c>
      <c r="L2801" s="292" t="s">
        <v>374</v>
      </c>
      <c r="O2801" s="571">
        <v>46208.0</v>
      </c>
      <c r="P2801" s="564" t="s">
        <v>1432</v>
      </c>
    </row>
    <row r="2802" hidden="1">
      <c r="A2802" s="118">
        <v>14.0</v>
      </c>
      <c r="B2802" s="780" t="s">
        <v>9761</v>
      </c>
      <c r="C2802" s="772" t="s">
        <v>651</v>
      </c>
      <c r="D2802" s="772" t="s">
        <v>9762</v>
      </c>
      <c r="E2802" s="772" t="s">
        <v>9763</v>
      </c>
      <c r="F2802" s="781" t="s">
        <v>2040</v>
      </c>
      <c r="G2802" s="474">
        <v>46147.0</v>
      </c>
      <c r="H2802" s="472">
        <v>18.0</v>
      </c>
      <c r="I2802" s="64" t="s">
        <v>2890</v>
      </c>
      <c r="J2802" s="143" t="s">
        <v>362</v>
      </c>
      <c r="K2802" s="571">
        <v>46117.0</v>
      </c>
      <c r="L2802" s="492" t="s">
        <v>51</v>
      </c>
      <c r="O2802" s="571">
        <v>46270.0</v>
      </c>
    </row>
    <row r="2803" hidden="1">
      <c r="A2803" s="118">
        <v>15.0</v>
      </c>
      <c r="B2803" s="780" t="s">
        <v>9764</v>
      </c>
      <c r="C2803" s="772" t="s">
        <v>80</v>
      </c>
      <c r="D2803" s="772" t="s">
        <v>9765</v>
      </c>
      <c r="E2803" s="803" t="s">
        <v>9766</v>
      </c>
      <c r="F2803" s="781" t="s">
        <v>9767</v>
      </c>
      <c r="G2803" s="474">
        <v>46147.0</v>
      </c>
      <c r="H2803" s="472">
        <v>18.0</v>
      </c>
      <c r="I2803" s="64" t="s">
        <v>2890</v>
      </c>
      <c r="J2803" s="143" t="s">
        <v>9768</v>
      </c>
      <c r="K2803" s="143" t="s">
        <v>9272</v>
      </c>
      <c r="L2803" s="292" t="s">
        <v>374</v>
      </c>
      <c r="O2803" s="571">
        <v>46239.0</v>
      </c>
      <c r="P2803" s="587" t="s">
        <v>1432</v>
      </c>
    </row>
    <row r="2804" hidden="1">
      <c r="A2804" s="118">
        <v>16.0</v>
      </c>
      <c r="B2804" s="780" t="s">
        <v>9769</v>
      </c>
      <c r="C2804" s="772" t="s">
        <v>80</v>
      </c>
      <c r="D2804" s="772" t="s">
        <v>9770</v>
      </c>
      <c r="E2804" s="803" t="s">
        <v>9771</v>
      </c>
      <c r="F2804" s="781" t="s">
        <v>9767</v>
      </c>
      <c r="G2804" s="474">
        <v>46147.0</v>
      </c>
      <c r="H2804" s="472">
        <v>18.0</v>
      </c>
      <c r="I2804" s="64" t="s">
        <v>2890</v>
      </c>
      <c r="J2804" s="143" t="s">
        <v>9768</v>
      </c>
      <c r="K2804" s="143" t="s">
        <v>9272</v>
      </c>
      <c r="L2804" s="292" t="s">
        <v>374</v>
      </c>
      <c r="O2804" s="571">
        <v>46239.0</v>
      </c>
      <c r="P2804" s="587" t="s">
        <v>1432</v>
      </c>
    </row>
    <row r="2805" hidden="1">
      <c r="A2805" s="118">
        <v>17.0</v>
      </c>
      <c r="B2805" s="780" t="s">
        <v>9772</v>
      </c>
      <c r="C2805" s="772" t="s">
        <v>80</v>
      </c>
      <c r="D2805" s="772" t="s">
        <v>9773</v>
      </c>
      <c r="E2805" s="807" t="s">
        <v>9774</v>
      </c>
      <c r="F2805" s="781" t="s">
        <v>3583</v>
      </c>
      <c r="G2805" s="472" t="s">
        <v>9444</v>
      </c>
      <c r="H2805" s="472">
        <v>13.0</v>
      </c>
      <c r="I2805" s="64" t="s">
        <v>2890</v>
      </c>
      <c r="L2805" s="292" t="s">
        <v>778</v>
      </c>
      <c r="O2805" s="571">
        <v>46178.0</v>
      </c>
    </row>
    <row r="2806" hidden="1">
      <c r="A2806" s="118">
        <v>18.0</v>
      </c>
      <c r="B2806" s="780" t="s">
        <v>9775</v>
      </c>
      <c r="C2806" s="772" t="s">
        <v>80</v>
      </c>
      <c r="D2806" s="772" t="s">
        <v>9776</v>
      </c>
      <c r="E2806" s="807" t="s">
        <v>9777</v>
      </c>
      <c r="F2806" s="781" t="s">
        <v>3583</v>
      </c>
      <c r="G2806" s="472" t="s">
        <v>9444</v>
      </c>
      <c r="H2806" s="472">
        <v>13.0</v>
      </c>
      <c r="I2806" s="64" t="s">
        <v>2890</v>
      </c>
      <c r="L2806" s="292" t="s">
        <v>778</v>
      </c>
      <c r="O2806" s="571">
        <v>46270.0</v>
      </c>
    </row>
    <row r="2807" hidden="1">
      <c r="A2807" s="118">
        <v>19.0</v>
      </c>
      <c r="B2807" s="780" t="s">
        <v>9778</v>
      </c>
      <c r="C2807" s="772" t="s">
        <v>80</v>
      </c>
      <c r="D2807" s="772" t="s">
        <v>9779</v>
      </c>
      <c r="E2807" s="807" t="s">
        <v>9780</v>
      </c>
      <c r="F2807" s="781" t="s">
        <v>3583</v>
      </c>
      <c r="G2807" s="472" t="s">
        <v>9444</v>
      </c>
      <c r="H2807" s="472">
        <v>13.0</v>
      </c>
      <c r="I2807" s="64" t="s">
        <v>2890</v>
      </c>
      <c r="L2807" s="292" t="s">
        <v>778</v>
      </c>
      <c r="O2807" s="571">
        <v>46178.0</v>
      </c>
    </row>
    <row r="2808" hidden="1">
      <c r="A2808" s="118">
        <v>20.0</v>
      </c>
      <c r="B2808" s="780" t="s">
        <v>9781</v>
      </c>
      <c r="C2808" s="781" t="s">
        <v>8280</v>
      </c>
      <c r="D2808" s="772" t="s">
        <v>9782</v>
      </c>
      <c r="E2808" s="807" t="s">
        <v>9783</v>
      </c>
      <c r="F2808" s="781" t="s">
        <v>3583</v>
      </c>
      <c r="G2808" s="472" t="s">
        <v>9444</v>
      </c>
      <c r="H2808" s="472">
        <v>13.0</v>
      </c>
      <c r="I2808" s="64" t="s">
        <v>2890</v>
      </c>
      <c r="L2808" s="292" t="s">
        <v>778</v>
      </c>
      <c r="O2808" s="571">
        <v>46178.0</v>
      </c>
    </row>
    <row r="2809" hidden="1">
      <c r="A2809" s="118">
        <v>21.0</v>
      </c>
      <c r="B2809" s="780" t="s">
        <v>9784</v>
      </c>
      <c r="C2809" s="781" t="s">
        <v>8280</v>
      </c>
      <c r="D2809" s="772" t="s">
        <v>9785</v>
      </c>
      <c r="E2809" s="807" t="s">
        <v>9786</v>
      </c>
      <c r="F2809" s="781" t="s">
        <v>3583</v>
      </c>
      <c r="G2809" s="472" t="s">
        <v>9444</v>
      </c>
      <c r="H2809" s="472">
        <v>13.0</v>
      </c>
      <c r="I2809" s="64" t="s">
        <v>2890</v>
      </c>
      <c r="L2809" s="292" t="s">
        <v>778</v>
      </c>
      <c r="O2809" s="571">
        <v>46178.0</v>
      </c>
    </row>
    <row r="2810" hidden="1">
      <c r="A2810" s="118">
        <v>22.0</v>
      </c>
      <c r="B2810" s="780" t="s">
        <v>9787</v>
      </c>
      <c r="C2810" s="781" t="s">
        <v>8280</v>
      </c>
      <c r="D2810" s="772" t="s">
        <v>9788</v>
      </c>
      <c r="E2810" s="807" t="s">
        <v>9789</v>
      </c>
      <c r="F2810" s="781" t="s">
        <v>3583</v>
      </c>
      <c r="G2810" s="472" t="s">
        <v>9444</v>
      </c>
      <c r="H2810" s="472">
        <v>13.0</v>
      </c>
      <c r="I2810" s="64" t="s">
        <v>2890</v>
      </c>
      <c r="L2810" s="292" t="s">
        <v>778</v>
      </c>
      <c r="O2810" s="571">
        <v>46178.0</v>
      </c>
    </row>
    <row r="2811" hidden="1">
      <c r="A2811" s="118">
        <v>23.0</v>
      </c>
      <c r="B2811" s="780" t="s">
        <v>9790</v>
      </c>
      <c r="C2811" s="781" t="s">
        <v>80</v>
      </c>
      <c r="D2811" s="772" t="s">
        <v>9791</v>
      </c>
      <c r="E2811" s="772" t="s">
        <v>9792</v>
      </c>
      <c r="F2811" s="781" t="s">
        <v>556</v>
      </c>
      <c r="G2811" s="474">
        <v>46178.0</v>
      </c>
      <c r="H2811" s="472">
        <v>19.0</v>
      </c>
      <c r="I2811" s="64" t="s">
        <v>2890</v>
      </c>
      <c r="J2811" s="35" t="s">
        <v>9727</v>
      </c>
      <c r="K2811" s="758">
        <v>46058.0</v>
      </c>
      <c r="L2811" s="492" t="s">
        <v>4195</v>
      </c>
      <c r="O2811" s="143" t="s">
        <v>9793</v>
      </c>
      <c r="P2811" s="587" t="s">
        <v>1432</v>
      </c>
    </row>
    <row r="2812" hidden="1">
      <c r="A2812" s="118">
        <v>24.0</v>
      </c>
      <c r="B2812" s="780" t="s">
        <v>9794</v>
      </c>
      <c r="C2812" s="781" t="s">
        <v>80</v>
      </c>
      <c r="D2812" s="772" t="s">
        <v>9795</v>
      </c>
      <c r="E2812" s="772" t="s">
        <v>9796</v>
      </c>
      <c r="F2812" s="781" t="s">
        <v>556</v>
      </c>
      <c r="G2812" s="474">
        <v>46178.0</v>
      </c>
      <c r="H2812" s="472">
        <v>19.0</v>
      </c>
      <c r="I2812" s="64" t="s">
        <v>2890</v>
      </c>
      <c r="J2812" s="143" t="s">
        <v>9768</v>
      </c>
      <c r="K2812" s="143" t="s">
        <v>9272</v>
      </c>
      <c r="L2812" s="492" t="s">
        <v>374</v>
      </c>
      <c r="O2812" s="571">
        <v>46329.0</v>
      </c>
      <c r="P2812" s="587" t="s">
        <v>1432</v>
      </c>
    </row>
    <row r="2813" hidden="1">
      <c r="A2813" s="118">
        <v>25.0</v>
      </c>
      <c r="B2813" s="780" t="s">
        <v>9797</v>
      </c>
      <c r="C2813" s="781" t="s">
        <v>80</v>
      </c>
      <c r="D2813" s="772" t="s">
        <v>9798</v>
      </c>
      <c r="E2813" s="803" t="s">
        <v>9799</v>
      </c>
      <c r="F2813" s="781" t="s">
        <v>9800</v>
      </c>
      <c r="G2813" s="474">
        <v>46178.0</v>
      </c>
      <c r="H2813" s="472">
        <v>19.0</v>
      </c>
      <c r="I2813" s="64" t="s">
        <v>2890</v>
      </c>
      <c r="J2813" s="143" t="s">
        <v>9556</v>
      </c>
      <c r="K2813" s="143" t="s">
        <v>9034</v>
      </c>
      <c r="L2813" s="292" t="s">
        <v>51</v>
      </c>
      <c r="O2813" s="571">
        <v>46178.0</v>
      </c>
      <c r="P2813" s="587" t="s">
        <v>1432</v>
      </c>
    </row>
    <row r="2814" hidden="1">
      <c r="A2814" s="118">
        <v>26.0</v>
      </c>
      <c r="B2814" s="780" t="s">
        <v>9801</v>
      </c>
      <c r="C2814" s="781" t="s">
        <v>80</v>
      </c>
      <c r="D2814" s="772" t="s">
        <v>9802</v>
      </c>
      <c r="E2814" s="803" t="s">
        <v>9803</v>
      </c>
      <c r="F2814" s="781" t="s">
        <v>9800</v>
      </c>
      <c r="G2814" s="474">
        <v>46178.0</v>
      </c>
      <c r="H2814" s="472">
        <v>19.0</v>
      </c>
      <c r="I2814" s="64" t="s">
        <v>2890</v>
      </c>
      <c r="J2814" s="143" t="s">
        <v>9556</v>
      </c>
      <c r="K2814" s="143" t="s">
        <v>9034</v>
      </c>
      <c r="L2814" s="292" t="s">
        <v>51</v>
      </c>
      <c r="O2814" s="571">
        <v>46178.0</v>
      </c>
      <c r="P2814" s="587" t="s">
        <v>1432</v>
      </c>
    </row>
    <row r="2815" hidden="1">
      <c r="A2815" s="118">
        <v>27.0</v>
      </c>
      <c r="B2815" s="780" t="s">
        <v>9804</v>
      </c>
      <c r="C2815" s="781" t="s">
        <v>80</v>
      </c>
      <c r="D2815" s="772" t="s">
        <v>9805</v>
      </c>
      <c r="E2815" s="807" t="s">
        <v>9806</v>
      </c>
      <c r="F2815" s="781" t="s">
        <v>5809</v>
      </c>
      <c r="G2815" s="474">
        <v>46058.0</v>
      </c>
      <c r="H2815" s="472">
        <v>15.0</v>
      </c>
      <c r="I2815" s="64" t="s">
        <v>2890</v>
      </c>
      <c r="L2815" s="292" t="s">
        <v>9469</v>
      </c>
      <c r="O2815" s="530">
        <v>46208.0</v>
      </c>
    </row>
    <row r="2816" hidden="1">
      <c r="A2816" s="118">
        <v>28.0</v>
      </c>
      <c r="B2816" s="780" t="s">
        <v>9807</v>
      </c>
      <c r="C2816" s="781" t="s">
        <v>80</v>
      </c>
      <c r="D2816" s="772" t="s">
        <v>9808</v>
      </c>
      <c r="E2816" s="807" t="s">
        <v>9809</v>
      </c>
      <c r="F2816" s="781" t="s">
        <v>5809</v>
      </c>
      <c r="G2816" s="474">
        <v>46058.0</v>
      </c>
      <c r="H2816" s="472">
        <v>15.0</v>
      </c>
      <c r="I2816" s="64" t="s">
        <v>2890</v>
      </c>
      <c r="L2816" s="292" t="s">
        <v>9469</v>
      </c>
      <c r="O2816" s="530">
        <v>46208.0</v>
      </c>
    </row>
    <row r="2817" hidden="1">
      <c r="A2817" s="118">
        <v>29.0</v>
      </c>
      <c r="B2817" s="780" t="s">
        <v>9810</v>
      </c>
      <c r="C2817" s="781" t="s">
        <v>80</v>
      </c>
      <c r="D2817" s="772" t="s">
        <v>9811</v>
      </c>
      <c r="E2817" s="807" t="s">
        <v>9812</v>
      </c>
      <c r="F2817" s="781" t="s">
        <v>5809</v>
      </c>
      <c r="G2817" s="474">
        <v>46058.0</v>
      </c>
      <c r="H2817" s="472">
        <v>15.0</v>
      </c>
      <c r="I2817" s="64" t="s">
        <v>2890</v>
      </c>
      <c r="L2817" s="292" t="s">
        <v>9469</v>
      </c>
      <c r="O2817" s="530">
        <v>46208.0</v>
      </c>
    </row>
    <row r="2818" hidden="1">
      <c r="A2818" s="118">
        <v>30.0</v>
      </c>
      <c r="B2818" s="780" t="s">
        <v>9813</v>
      </c>
      <c r="C2818" s="781" t="s">
        <v>80</v>
      </c>
      <c r="D2818" s="772" t="s">
        <v>9814</v>
      </c>
      <c r="E2818" s="807" t="s">
        <v>9815</v>
      </c>
      <c r="F2818" s="781" t="s">
        <v>5809</v>
      </c>
      <c r="G2818" s="474">
        <v>46058.0</v>
      </c>
      <c r="H2818" s="472">
        <v>15.0</v>
      </c>
      <c r="I2818" s="64" t="s">
        <v>2890</v>
      </c>
      <c r="L2818" s="292" t="s">
        <v>9469</v>
      </c>
      <c r="O2818" s="530">
        <v>46208.0</v>
      </c>
    </row>
    <row r="2819" hidden="1">
      <c r="A2819" s="118">
        <v>31.0</v>
      </c>
      <c r="B2819" s="780" t="s">
        <v>9816</v>
      </c>
      <c r="C2819" s="781" t="s">
        <v>80</v>
      </c>
      <c r="D2819" s="772" t="s">
        <v>9817</v>
      </c>
      <c r="E2819" s="807" t="s">
        <v>9818</v>
      </c>
      <c r="F2819" s="781" t="s">
        <v>5809</v>
      </c>
      <c r="G2819" s="474">
        <v>46058.0</v>
      </c>
      <c r="H2819" s="472">
        <v>15.0</v>
      </c>
      <c r="I2819" s="64" t="s">
        <v>2890</v>
      </c>
      <c r="L2819" s="292" t="s">
        <v>9469</v>
      </c>
      <c r="O2819" s="530">
        <v>46208.0</v>
      </c>
    </row>
    <row r="2820" hidden="1">
      <c r="A2820" s="118">
        <v>32.0</v>
      </c>
      <c r="B2820" s="780" t="s">
        <v>9819</v>
      </c>
      <c r="C2820" s="781" t="s">
        <v>80</v>
      </c>
      <c r="D2820" s="772" t="s">
        <v>9820</v>
      </c>
      <c r="E2820" s="807" t="s">
        <v>9821</v>
      </c>
      <c r="F2820" s="781" t="s">
        <v>5809</v>
      </c>
      <c r="G2820" s="474">
        <v>46058.0</v>
      </c>
      <c r="H2820" s="472">
        <v>15.0</v>
      </c>
      <c r="I2820" s="64" t="s">
        <v>2890</v>
      </c>
      <c r="L2820" s="292" t="s">
        <v>9469</v>
      </c>
      <c r="O2820" s="530">
        <v>46208.0</v>
      </c>
    </row>
    <row r="2821" hidden="1">
      <c r="A2821" s="118">
        <v>33.0</v>
      </c>
      <c r="B2821" s="780" t="s">
        <v>9822</v>
      </c>
      <c r="C2821" s="781" t="s">
        <v>80</v>
      </c>
      <c r="D2821" s="772" t="s">
        <v>9823</v>
      </c>
      <c r="E2821" s="807" t="s">
        <v>9824</v>
      </c>
      <c r="F2821" s="781" t="s">
        <v>5809</v>
      </c>
      <c r="G2821" s="474">
        <v>46058.0</v>
      </c>
      <c r="H2821" s="472">
        <v>15.0</v>
      </c>
      <c r="I2821" s="64" t="s">
        <v>2890</v>
      </c>
      <c r="L2821" s="292" t="s">
        <v>9469</v>
      </c>
      <c r="O2821" s="530">
        <v>46208.0</v>
      </c>
    </row>
    <row r="2822" hidden="1">
      <c r="A2822" s="118">
        <v>34.0</v>
      </c>
      <c r="B2822" s="780" t="s">
        <v>9825</v>
      </c>
      <c r="C2822" s="781" t="s">
        <v>80</v>
      </c>
      <c r="D2822" s="772" t="s">
        <v>9826</v>
      </c>
      <c r="E2822" s="807" t="s">
        <v>9827</v>
      </c>
      <c r="F2822" s="781" t="s">
        <v>5809</v>
      </c>
      <c r="G2822" s="474">
        <v>46058.0</v>
      </c>
      <c r="H2822" s="472">
        <v>15.0</v>
      </c>
      <c r="I2822" s="64" t="s">
        <v>2890</v>
      </c>
      <c r="L2822" s="292" t="s">
        <v>9469</v>
      </c>
      <c r="O2822" s="530">
        <v>46208.0</v>
      </c>
    </row>
    <row r="2823" hidden="1">
      <c r="A2823" s="118">
        <v>35.0</v>
      </c>
      <c r="B2823" s="780" t="s">
        <v>9828</v>
      </c>
      <c r="C2823" s="781" t="s">
        <v>80</v>
      </c>
      <c r="D2823" s="772" t="s">
        <v>9829</v>
      </c>
      <c r="E2823" s="807" t="s">
        <v>9830</v>
      </c>
      <c r="F2823" s="781" t="s">
        <v>5809</v>
      </c>
      <c r="G2823" s="474">
        <v>46058.0</v>
      </c>
      <c r="H2823" s="472">
        <v>15.0</v>
      </c>
      <c r="I2823" s="64" t="s">
        <v>2890</v>
      </c>
      <c r="L2823" s="292" t="s">
        <v>9469</v>
      </c>
      <c r="O2823" s="530">
        <v>46208.0</v>
      </c>
    </row>
    <row r="2824" hidden="1">
      <c r="A2824" s="118">
        <v>36.0</v>
      </c>
      <c r="B2824" s="780" t="s">
        <v>9831</v>
      </c>
      <c r="C2824" s="781" t="s">
        <v>80</v>
      </c>
      <c r="D2824" s="772" t="s">
        <v>9832</v>
      </c>
      <c r="E2824" s="807" t="s">
        <v>9833</v>
      </c>
      <c r="F2824" s="781" t="s">
        <v>5809</v>
      </c>
      <c r="G2824" s="474">
        <v>46058.0</v>
      </c>
      <c r="H2824" s="472">
        <v>15.0</v>
      </c>
      <c r="I2824" s="64" t="s">
        <v>2890</v>
      </c>
      <c r="L2824" s="292" t="s">
        <v>9469</v>
      </c>
      <c r="O2824" s="530">
        <v>46208.0</v>
      </c>
    </row>
    <row r="2825" hidden="1">
      <c r="A2825" s="118">
        <v>37.0</v>
      </c>
      <c r="B2825" s="780" t="s">
        <v>9834</v>
      </c>
      <c r="C2825" s="781" t="s">
        <v>80</v>
      </c>
      <c r="D2825" s="772" t="s">
        <v>9835</v>
      </c>
      <c r="E2825" s="807" t="s">
        <v>9836</v>
      </c>
      <c r="F2825" s="781" t="s">
        <v>5809</v>
      </c>
      <c r="G2825" s="474">
        <v>46058.0</v>
      </c>
      <c r="H2825" s="472">
        <v>15.0</v>
      </c>
      <c r="I2825" s="64" t="s">
        <v>2890</v>
      </c>
      <c r="L2825" s="292" t="s">
        <v>9469</v>
      </c>
      <c r="O2825" s="530">
        <v>46208.0</v>
      </c>
    </row>
    <row r="2826" hidden="1">
      <c r="A2826" s="118">
        <v>38.0</v>
      </c>
      <c r="B2826" s="780" t="s">
        <v>9837</v>
      </c>
      <c r="C2826" s="781" t="s">
        <v>80</v>
      </c>
      <c r="D2826" s="772" t="s">
        <v>9838</v>
      </c>
      <c r="E2826" s="807" t="s">
        <v>9839</v>
      </c>
      <c r="F2826" s="781" t="s">
        <v>5809</v>
      </c>
      <c r="G2826" s="474">
        <v>46058.0</v>
      </c>
      <c r="H2826" s="472">
        <v>15.0</v>
      </c>
      <c r="I2826" s="64" t="s">
        <v>2890</v>
      </c>
      <c r="L2826" s="292" t="s">
        <v>9469</v>
      </c>
      <c r="O2826" s="530">
        <v>46208.0</v>
      </c>
    </row>
    <row r="2827" hidden="1">
      <c r="A2827" s="118">
        <v>39.0</v>
      </c>
      <c r="B2827" s="780" t="s">
        <v>9840</v>
      </c>
      <c r="C2827" s="781" t="s">
        <v>80</v>
      </c>
      <c r="D2827" s="772" t="s">
        <v>9841</v>
      </c>
      <c r="E2827" s="807" t="s">
        <v>9842</v>
      </c>
      <c r="F2827" s="781" t="s">
        <v>5809</v>
      </c>
      <c r="G2827" s="474">
        <v>46058.0</v>
      </c>
      <c r="H2827" s="472">
        <v>15.0</v>
      </c>
      <c r="I2827" s="64" t="s">
        <v>2890</v>
      </c>
      <c r="L2827" s="292" t="s">
        <v>9469</v>
      </c>
      <c r="O2827" s="530">
        <v>46208.0</v>
      </c>
    </row>
    <row r="2828" hidden="1">
      <c r="A2828" s="118">
        <v>40.0</v>
      </c>
      <c r="B2828" s="780" t="s">
        <v>9843</v>
      </c>
      <c r="C2828" s="781" t="s">
        <v>80</v>
      </c>
      <c r="D2828" s="772" t="s">
        <v>9844</v>
      </c>
      <c r="E2828" s="807" t="s">
        <v>9845</v>
      </c>
      <c r="F2828" s="781" t="s">
        <v>5809</v>
      </c>
      <c r="G2828" s="474">
        <v>46058.0</v>
      </c>
      <c r="H2828" s="472">
        <v>15.0</v>
      </c>
      <c r="I2828" s="802" t="s">
        <v>3043</v>
      </c>
      <c r="L2828" s="292" t="s">
        <v>9469</v>
      </c>
      <c r="O2828" s="530">
        <v>46208.0</v>
      </c>
    </row>
    <row r="2829" hidden="1">
      <c r="A2829" s="118">
        <v>41.0</v>
      </c>
      <c r="B2829" s="780" t="s">
        <v>9846</v>
      </c>
      <c r="C2829" s="781" t="s">
        <v>80</v>
      </c>
      <c r="D2829" s="772" t="s">
        <v>9847</v>
      </c>
      <c r="E2829" s="807" t="s">
        <v>9848</v>
      </c>
      <c r="F2829" s="781" t="s">
        <v>5809</v>
      </c>
      <c r="G2829" s="474">
        <v>46058.0</v>
      </c>
      <c r="H2829" s="472">
        <v>15.0</v>
      </c>
      <c r="I2829" s="64" t="s">
        <v>2890</v>
      </c>
      <c r="L2829" s="292" t="s">
        <v>9469</v>
      </c>
      <c r="O2829" s="530">
        <v>46208.0</v>
      </c>
    </row>
    <row r="2830" hidden="1">
      <c r="A2830" s="118">
        <v>42.0</v>
      </c>
      <c r="B2830" s="780" t="s">
        <v>9849</v>
      </c>
      <c r="C2830" s="781" t="s">
        <v>80</v>
      </c>
      <c r="D2830" s="772" t="s">
        <v>9850</v>
      </c>
      <c r="E2830" s="807" t="s">
        <v>9851</v>
      </c>
      <c r="F2830" s="781" t="s">
        <v>5809</v>
      </c>
      <c r="G2830" s="474">
        <v>46058.0</v>
      </c>
      <c r="H2830" s="472">
        <v>15.0</v>
      </c>
      <c r="I2830" s="64" t="s">
        <v>2890</v>
      </c>
      <c r="L2830" s="292" t="s">
        <v>9469</v>
      </c>
      <c r="O2830" s="530">
        <v>46208.0</v>
      </c>
    </row>
    <row r="2831" hidden="1">
      <c r="A2831" s="118">
        <v>43.0</v>
      </c>
      <c r="B2831" s="780" t="s">
        <v>9852</v>
      </c>
      <c r="C2831" s="781" t="s">
        <v>80</v>
      </c>
      <c r="D2831" s="772" t="s">
        <v>9853</v>
      </c>
      <c r="E2831" s="807" t="s">
        <v>9854</v>
      </c>
      <c r="F2831" s="781" t="s">
        <v>5809</v>
      </c>
      <c r="G2831" s="474">
        <v>46058.0</v>
      </c>
      <c r="H2831" s="472">
        <v>15.0</v>
      </c>
      <c r="I2831" s="64" t="s">
        <v>2890</v>
      </c>
      <c r="L2831" s="292" t="s">
        <v>9469</v>
      </c>
      <c r="O2831" s="530">
        <v>46208.0</v>
      </c>
    </row>
    <row r="2832" hidden="1">
      <c r="A2832" s="118">
        <v>44.0</v>
      </c>
      <c r="B2832" s="780" t="s">
        <v>9855</v>
      </c>
      <c r="C2832" s="781" t="s">
        <v>80</v>
      </c>
      <c r="D2832" s="772" t="s">
        <v>9856</v>
      </c>
      <c r="E2832" s="807" t="s">
        <v>9857</v>
      </c>
      <c r="F2832" s="781" t="s">
        <v>5809</v>
      </c>
      <c r="G2832" s="474">
        <v>46058.0</v>
      </c>
      <c r="H2832" s="472">
        <v>15.0</v>
      </c>
      <c r="I2832" s="64" t="s">
        <v>2890</v>
      </c>
      <c r="L2832" s="292" t="s">
        <v>9469</v>
      </c>
      <c r="O2832" s="530">
        <v>46208.0</v>
      </c>
    </row>
    <row r="2833" hidden="1">
      <c r="A2833" s="118">
        <v>45.0</v>
      </c>
      <c r="B2833" s="780" t="s">
        <v>9858</v>
      </c>
      <c r="C2833" s="785"/>
      <c r="D2833" s="772" t="s">
        <v>9859</v>
      </c>
      <c r="E2833" s="807" t="s">
        <v>9860</v>
      </c>
      <c r="F2833" s="785"/>
      <c r="G2833" s="474">
        <v>46058.0</v>
      </c>
      <c r="H2833" s="472">
        <v>15.0</v>
      </c>
      <c r="I2833" s="64" t="s">
        <v>2890</v>
      </c>
      <c r="L2833" s="292" t="s">
        <v>9469</v>
      </c>
      <c r="O2833" s="530">
        <v>46208.0</v>
      </c>
    </row>
    <row r="2834" hidden="1">
      <c r="A2834" s="118">
        <v>46.0</v>
      </c>
      <c r="B2834" s="780" t="s">
        <v>9861</v>
      </c>
      <c r="C2834" s="785"/>
      <c r="D2834" s="772" t="s">
        <v>9862</v>
      </c>
      <c r="E2834" s="807" t="s">
        <v>9860</v>
      </c>
      <c r="F2834" s="785"/>
      <c r="G2834" s="474">
        <v>46058.0</v>
      </c>
      <c r="H2834" s="472">
        <v>15.0</v>
      </c>
      <c r="I2834" s="64" t="s">
        <v>2890</v>
      </c>
      <c r="L2834" s="292" t="s">
        <v>9469</v>
      </c>
      <c r="O2834" s="530">
        <v>46208.0</v>
      </c>
    </row>
    <row r="2835" hidden="1">
      <c r="A2835" s="118">
        <v>47.0</v>
      </c>
      <c r="B2835" s="780" t="s">
        <v>9863</v>
      </c>
      <c r="C2835" s="785"/>
      <c r="D2835" s="772" t="s">
        <v>9864</v>
      </c>
      <c r="E2835" s="807" t="s">
        <v>9860</v>
      </c>
      <c r="F2835" s="785"/>
      <c r="G2835" s="474">
        <v>46058.0</v>
      </c>
      <c r="H2835" s="472">
        <v>15.0</v>
      </c>
      <c r="I2835" s="64" t="s">
        <v>2890</v>
      </c>
      <c r="L2835" s="292" t="s">
        <v>9469</v>
      </c>
      <c r="O2835" s="530">
        <v>46208.0</v>
      </c>
    </row>
    <row r="2836" hidden="1">
      <c r="A2836" s="118">
        <v>48.0</v>
      </c>
      <c r="B2836" s="780" t="s">
        <v>9865</v>
      </c>
      <c r="C2836" s="772" t="s">
        <v>80</v>
      </c>
      <c r="D2836" s="772" t="s">
        <v>9866</v>
      </c>
      <c r="E2836" s="807" t="s">
        <v>9867</v>
      </c>
      <c r="F2836" s="781" t="s">
        <v>5809</v>
      </c>
      <c r="G2836" s="474">
        <v>46058.0</v>
      </c>
      <c r="H2836" s="472">
        <v>15.0</v>
      </c>
      <c r="I2836" s="64" t="s">
        <v>2890</v>
      </c>
      <c r="L2836" s="292" t="s">
        <v>9469</v>
      </c>
      <c r="O2836" s="530">
        <v>46208.0</v>
      </c>
    </row>
    <row r="2837" hidden="1">
      <c r="A2837" s="339" t="s">
        <v>9868</v>
      </c>
    </row>
    <row r="2838" hidden="1">
      <c r="A2838" s="808"/>
      <c r="B2838" s="670" t="s">
        <v>7</v>
      </c>
      <c r="C2838" s="670" t="s">
        <v>9</v>
      </c>
      <c r="D2838" s="670" t="s">
        <v>10</v>
      </c>
      <c r="E2838" s="670" t="s">
        <v>11</v>
      </c>
      <c r="F2838" s="670" t="s">
        <v>12</v>
      </c>
      <c r="G2838" s="670" t="str">
        <f>IFERROR(VLOOKUP(E3,TAT_HELPER!A:D,4,FALSE),"")
</f>
        <v/>
      </c>
      <c r="H2838" s="670" t="s">
        <v>2681</v>
      </c>
      <c r="I2838" s="4" t="s">
        <v>2847</v>
      </c>
      <c r="J2838" s="8" t="s">
        <v>14</v>
      </c>
      <c r="K2838" s="9" t="s">
        <v>16</v>
      </c>
      <c r="L2838" s="9" t="s">
        <v>4330</v>
      </c>
      <c r="M2838" s="9" t="s">
        <v>18</v>
      </c>
      <c r="N2838" s="9" t="s">
        <v>19</v>
      </c>
      <c r="O2838" s="9" t="s">
        <v>20</v>
      </c>
      <c r="P2838" s="9" t="s">
        <v>21</v>
      </c>
    </row>
    <row r="2839" hidden="1">
      <c r="A2839" s="118">
        <v>1.0</v>
      </c>
      <c r="B2839" s="777" t="s">
        <v>9869</v>
      </c>
      <c r="C2839" s="738" t="s">
        <v>80</v>
      </c>
      <c r="D2839" s="738" t="s">
        <v>9870</v>
      </c>
      <c r="E2839" s="738" t="s">
        <v>9871</v>
      </c>
      <c r="F2839" s="778" t="s">
        <v>1294</v>
      </c>
      <c r="G2839" s="474">
        <v>46117.0</v>
      </c>
      <c r="H2839" s="472">
        <v>14.0</v>
      </c>
      <c r="I2839" s="809" t="s">
        <v>3043</v>
      </c>
      <c r="J2839" s="143" t="s">
        <v>9872</v>
      </c>
      <c r="L2839" s="292" t="s">
        <v>4195</v>
      </c>
      <c r="O2839" s="143" t="s">
        <v>9456</v>
      </c>
      <c r="P2839" s="587" t="s">
        <v>1432</v>
      </c>
    </row>
    <row r="2840" hidden="1">
      <c r="A2840" s="118">
        <v>2.0</v>
      </c>
      <c r="B2840" s="777" t="s">
        <v>9873</v>
      </c>
      <c r="C2840" s="738" t="s">
        <v>80</v>
      </c>
      <c r="D2840" s="738" t="s">
        <v>9874</v>
      </c>
      <c r="E2840" s="738" t="s">
        <v>9875</v>
      </c>
      <c r="F2840" s="778" t="s">
        <v>718</v>
      </c>
      <c r="G2840" s="702">
        <v>46117.0</v>
      </c>
      <c r="H2840" s="574">
        <v>14.0</v>
      </c>
      <c r="I2840" s="810" t="s">
        <v>4253</v>
      </c>
      <c r="L2840" s="292" t="s">
        <v>51</v>
      </c>
      <c r="O2840" s="571">
        <v>46117.0</v>
      </c>
      <c r="P2840" s="587" t="s">
        <v>1432</v>
      </c>
    </row>
    <row r="2841" hidden="1">
      <c r="A2841" s="118">
        <v>3.0</v>
      </c>
      <c r="B2841" s="777" t="s">
        <v>9876</v>
      </c>
      <c r="C2841" s="738" t="s">
        <v>80</v>
      </c>
      <c r="D2841" s="738" t="s">
        <v>9877</v>
      </c>
      <c r="E2841" s="738" t="s">
        <v>9878</v>
      </c>
      <c r="F2841" s="778" t="s">
        <v>5235</v>
      </c>
      <c r="G2841" s="702">
        <v>46058.0</v>
      </c>
      <c r="H2841" s="574">
        <v>12.0</v>
      </c>
      <c r="I2841" s="811" t="s">
        <v>2890</v>
      </c>
      <c r="J2841" s="143" t="s">
        <v>9872</v>
      </c>
      <c r="L2841" s="292" t="s">
        <v>4195</v>
      </c>
      <c r="O2841" s="143" t="s">
        <v>9879</v>
      </c>
      <c r="P2841" s="587" t="s">
        <v>1432</v>
      </c>
    </row>
    <row r="2842" hidden="1">
      <c r="A2842" s="118">
        <v>4.0</v>
      </c>
      <c r="B2842" s="777" t="s">
        <v>9880</v>
      </c>
      <c r="C2842" s="738" t="s">
        <v>80</v>
      </c>
      <c r="D2842" s="738" t="s">
        <v>9881</v>
      </c>
      <c r="E2842" s="738" t="s">
        <v>9878</v>
      </c>
      <c r="F2842" s="778" t="s">
        <v>207</v>
      </c>
      <c r="G2842" s="574" t="s">
        <v>9444</v>
      </c>
      <c r="H2842" s="574">
        <v>10.0</v>
      </c>
      <c r="I2842" s="811" t="s">
        <v>2890</v>
      </c>
      <c r="L2842" s="292" t="s">
        <v>374</v>
      </c>
      <c r="O2842" s="292" t="s">
        <v>9070</v>
      </c>
      <c r="P2842" s="587" t="s">
        <v>1432</v>
      </c>
    </row>
    <row r="2843" hidden="1">
      <c r="A2843" s="118">
        <v>5.0</v>
      </c>
      <c r="B2843" s="780" t="s">
        <v>9882</v>
      </c>
      <c r="C2843" s="781" t="s">
        <v>2307</v>
      </c>
      <c r="D2843" s="772" t="s">
        <v>9883</v>
      </c>
      <c r="E2843" s="772" t="s">
        <v>9884</v>
      </c>
      <c r="F2843" s="781" t="s">
        <v>148</v>
      </c>
      <c r="G2843" s="472" t="s">
        <v>9434</v>
      </c>
      <c r="H2843" s="540">
        <v>6.0</v>
      </c>
      <c r="I2843" s="812" t="s">
        <v>2890</v>
      </c>
      <c r="L2843" s="292" t="s">
        <v>699</v>
      </c>
      <c r="N2843" s="143" t="s">
        <v>9885</v>
      </c>
      <c r="O2843" s="143" t="s">
        <v>9886</v>
      </c>
      <c r="P2843" s="587" t="s">
        <v>1432</v>
      </c>
    </row>
    <row r="2844" hidden="1">
      <c r="A2844" s="118">
        <v>6.0</v>
      </c>
      <c r="B2844" s="780" t="s">
        <v>9887</v>
      </c>
      <c r="C2844" s="781" t="s">
        <v>2307</v>
      </c>
      <c r="D2844" s="772" t="s">
        <v>9888</v>
      </c>
      <c r="E2844" s="772" t="s">
        <v>9889</v>
      </c>
      <c r="F2844" s="781" t="s">
        <v>9890</v>
      </c>
      <c r="G2844" s="472" t="s">
        <v>9490</v>
      </c>
      <c r="H2844" s="540">
        <v>7.0</v>
      </c>
      <c r="I2844" s="813" t="s">
        <v>4339</v>
      </c>
      <c r="L2844" s="292" t="s">
        <v>699</v>
      </c>
      <c r="N2844" s="143" t="s">
        <v>9885</v>
      </c>
      <c r="O2844" s="143" t="s">
        <v>9886</v>
      </c>
      <c r="P2844" s="587" t="s">
        <v>1432</v>
      </c>
    </row>
    <row r="2845" hidden="1">
      <c r="A2845" s="118">
        <v>7.0</v>
      </c>
      <c r="B2845" s="780" t="s">
        <v>9891</v>
      </c>
      <c r="C2845" s="781" t="s">
        <v>2403</v>
      </c>
      <c r="D2845" s="772" t="s">
        <v>9892</v>
      </c>
      <c r="E2845" s="772" t="s">
        <v>9893</v>
      </c>
      <c r="F2845" s="781" t="s">
        <v>9890</v>
      </c>
      <c r="G2845" s="472" t="s">
        <v>9490</v>
      </c>
      <c r="H2845" s="540">
        <v>7.0</v>
      </c>
      <c r="I2845" s="812" t="s">
        <v>2890</v>
      </c>
      <c r="L2845" s="292" t="s">
        <v>699</v>
      </c>
      <c r="N2845" s="143" t="s">
        <v>9885</v>
      </c>
      <c r="O2845" s="143" t="s">
        <v>9886</v>
      </c>
      <c r="P2845" s="587" t="s">
        <v>1432</v>
      </c>
    </row>
    <row r="2846" hidden="1">
      <c r="A2846" s="118">
        <v>8.0</v>
      </c>
      <c r="B2846" s="780" t="s">
        <v>9894</v>
      </c>
      <c r="C2846" s="781" t="s">
        <v>80</v>
      </c>
      <c r="D2846" s="772" t="s">
        <v>9895</v>
      </c>
      <c r="E2846" s="814" t="s">
        <v>9896</v>
      </c>
      <c r="F2846" s="781" t="s">
        <v>9897</v>
      </c>
      <c r="G2846" s="474">
        <v>46147.0</v>
      </c>
      <c r="H2846" s="472">
        <v>15.0</v>
      </c>
      <c r="I2846" s="812" t="s">
        <v>2890</v>
      </c>
      <c r="J2846" s="143" t="s">
        <v>9898</v>
      </c>
      <c r="K2846" s="571">
        <v>46147.0</v>
      </c>
      <c r="L2846" s="292" t="s">
        <v>778</v>
      </c>
      <c r="O2846" s="143" t="s">
        <v>9899</v>
      </c>
      <c r="P2846" s="587" t="s">
        <v>1432</v>
      </c>
    </row>
    <row r="2847" hidden="1">
      <c r="A2847" s="118">
        <v>9.0</v>
      </c>
      <c r="B2847" s="780" t="s">
        <v>9900</v>
      </c>
      <c r="C2847" s="781" t="s">
        <v>80</v>
      </c>
      <c r="D2847" s="772" t="s">
        <v>9901</v>
      </c>
      <c r="E2847" s="814" t="s">
        <v>9902</v>
      </c>
      <c r="F2847" s="781" t="s">
        <v>9897</v>
      </c>
      <c r="G2847" s="474">
        <v>46147.0</v>
      </c>
      <c r="H2847" s="472">
        <v>15.0</v>
      </c>
      <c r="I2847" s="812" t="s">
        <v>2890</v>
      </c>
      <c r="J2847" s="143" t="s">
        <v>9898</v>
      </c>
      <c r="K2847" s="571">
        <v>46147.0</v>
      </c>
      <c r="L2847" s="292" t="s">
        <v>778</v>
      </c>
      <c r="O2847" s="143" t="s">
        <v>9899</v>
      </c>
      <c r="P2847" s="587" t="s">
        <v>1432</v>
      </c>
    </row>
    <row r="2848" hidden="1">
      <c r="A2848" s="118">
        <v>10.0</v>
      </c>
      <c r="B2848" s="805" t="s">
        <v>9903</v>
      </c>
      <c r="C2848" s="781" t="s">
        <v>5789</v>
      </c>
      <c r="D2848" s="772" t="s">
        <v>9904</v>
      </c>
      <c r="E2848" s="814" t="s">
        <v>9905</v>
      </c>
      <c r="F2848" s="781" t="s">
        <v>9897</v>
      </c>
      <c r="G2848" s="474">
        <v>46147.0</v>
      </c>
      <c r="H2848" s="472">
        <v>15.0</v>
      </c>
      <c r="I2848" s="812" t="s">
        <v>2890</v>
      </c>
      <c r="J2848" s="143" t="s">
        <v>9898</v>
      </c>
      <c r="K2848" s="571">
        <v>46147.0</v>
      </c>
      <c r="L2848" s="292" t="s">
        <v>778</v>
      </c>
      <c r="O2848" s="143" t="s">
        <v>9899</v>
      </c>
      <c r="P2848" s="587" t="s">
        <v>1432</v>
      </c>
    </row>
    <row r="2849" hidden="1">
      <c r="A2849" s="118">
        <v>11.0</v>
      </c>
      <c r="B2849" s="805" t="s">
        <v>9906</v>
      </c>
      <c r="C2849" s="781" t="s">
        <v>80</v>
      </c>
      <c r="D2849" s="772" t="s">
        <v>9907</v>
      </c>
      <c r="E2849" s="814" t="s">
        <v>9908</v>
      </c>
      <c r="F2849" s="781" t="s">
        <v>9909</v>
      </c>
      <c r="G2849" s="431">
        <v>46208.0</v>
      </c>
      <c r="H2849" s="472">
        <v>17.0</v>
      </c>
      <c r="I2849" s="812" t="s">
        <v>2890</v>
      </c>
      <c r="J2849" s="143" t="s">
        <v>2541</v>
      </c>
      <c r="L2849" s="292" t="s">
        <v>51</v>
      </c>
      <c r="O2849" s="571">
        <v>46058.0</v>
      </c>
      <c r="P2849" s="587" t="s">
        <v>1432</v>
      </c>
    </row>
    <row r="2850" hidden="1">
      <c r="A2850" s="118">
        <v>12.0</v>
      </c>
      <c r="B2850" s="780" t="s">
        <v>9910</v>
      </c>
      <c r="C2850" s="781" t="s">
        <v>80</v>
      </c>
      <c r="D2850" s="772" t="s">
        <v>9911</v>
      </c>
      <c r="E2850" s="814" t="s">
        <v>9912</v>
      </c>
      <c r="F2850" s="781" t="s">
        <v>9909</v>
      </c>
      <c r="G2850" s="474">
        <v>46208.0</v>
      </c>
      <c r="H2850" s="472">
        <v>17.0</v>
      </c>
      <c r="I2850" s="812" t="s">
        <v>2890</v>
      </c>
      <c r="J2850" s="143" t="s">
        <v>2541</v>
      </c>
      <c r="L2850" s="292" t="s">
        <v>51</v>
      </c>
      <c r="O2850" s="571">
        <v>46058.0</v>
      </c>
      <c r="P2850" s="587" t="s">
        <v>1432</v>
      </c>
    </row>
    <row r="2851" hidden="1">
      <c r="A2851" s="118">
        <v>13.0</v>
      </c>
      <c r="B2851" s="780" t="s">
        <v>9913</v>
      </c>
      <c r="C2851" s="781" t="s">
        <v>80</v>
      </c>
      <c r="D2851" s="772" t="s">
        <v>9914</v>
      </c>
      <c r="E2851" s="814" t="s">
        <v>9915</v>
      </c>
      <c r="F2851" s="781" t="s">
        <v>9909</v>
      </c>
      <c r="G2851" s="474">
        <v>46208.0</v>
      </c>
      <c r="H2851" s="472">
        <v>17.0</v>
      </c>
      <c r="I2851" s="812" t="s">
        <v>2890</v>
      </c>
      <c r="J2851" s="143" t="s">
        <v>2541</v>
      </c>
      <c r="L2851" s="292" t="s">
        <v>51</v>
      </c>
      <c r="O2851" s="571">
        <v>46058.0</v>
      </c>
      <c r="P2851" s="587" t="s">
        <v>1432</v>
      </c>
    </row>
    <row r="2852" hidden="1">
      <c r="A2852" s="118">
        <v>14.0</v>
      </c>
      <c r="B2852" s="780" t="s">
        <v>9916</v>
      </c>
      <c r="C2852" s="781" t="s">
        <v>80</v>
      </c>
      <c r="D2852" s="772" t="s">
        <v>9917</v>
      </c>
      <c r="E2852" s="772" t="s">
        <v>9918</v>
      </c>
      <c r="F2852" s="781" t="s">
        <v>556</v>
      </c>
      <c r="G2852" s="815">
        <v>46361.0</v>
      </c>
      <c r="H2852" s="472">
        <v>22.0</v>
      </c>
      <c r="I2852" s="812" t="s">
        <v>2890</v>
      </c>
      <c r="J2852" s="143" t="s">
        <v>1696</v>
      </c>
      <c r="K2852" s="571">
        <v>57166.0</v>
      </c>
      <c r="L2852" s="492" t="s">
        <v>51</v>
      </c>
      <c r="N2852" s="143" t="s">
        <v>8685</v>
      </c>
      <c r="O2852" s="143" t="s">
        <v>9090</v>
      </c>
      <c r="P2852" s="587" t="s">
        <v>1432</v>
      </c>
    </row>
    <row r="2853" hidden="1">
      <c r="A2853" s="118">
        <v>15.0</v>
      </c>
      <c r="B2853" s="780" t="s">
        <v>9919</v>
      </c>
      <c r="C2853" s="781" t="s">
        <v>1185</v>
      </c>
      <c r="D2853" s="772" t="s">
        <v>9920</v>
      </c>
      <c r="E2853" s="772" t="s">
        <v>9921</v>
      </c>
      <c r="F2853" s="781" t="s">
        <v>25</v>
      </c>
      <c r="G2853" s="474">
        <v>46300.0</v>
      </c>
      <c r="H2853" s="472">
        <v>20.0</v>
      </c>
      <c r="I2853" s="812" t="s">
        <v>2890</v>
      </c>
      <c r="J2853" s="143" t="s">
        <v>51</v>
      </c>
      <c r="K2853" s="143" t="s">
        <v>9435</v>
      </c>
      <c r="L2853" s="492" t="s">
        <v>51</v>
      </c>
      <c r="O2853" s="571">
        <v>46178.0</v>
      </c>
      <c r="P2853" s="587" t="s">
        <v>1432</v>
      </c>
    </row>
    <row r="2854" hidden="1">
      <c r="A2854" s="118">
        <v>16.0</v>
      </c>
      <c r="B2854" s="780" t="s">
        <v>9922</v>
      </c>
      <c r="C2854" s="781" t="s">
        <v>80</v>
      </c>
      <c r="D2854" s="772" t="s">
        <v>9923</v>
      </c>
      <c r="E2854" s="772" t="s">
        <v>9924</v>
      </c>
      <c r="F2854" s="781" t="s">
        <v>8903</v>
      </c>
      <c r="G2854" s="474">
        <v>46208.0</v>
      </c>
      <c r="H2854" s="472">
        <v>17.0</v>
      </c>
      <c r="I2854" s="812" t="s">
        <v>2890</v>
      </c>
      <c r="K2854" s="571">
        <v>46270.0</v>
      </c>
      <c r="L2854" s="292" t="s">
        <v>374</v>
      </c>
      <c r="O2854" s="571">
        <v>46239.0</v>
      </c>
    </row>
    <row r="2855" hidden="1">
      <c r="A2855" s="118">
        <v>17.0</v>
      </c>
      <c r="B2855" s="780" t="s">
        <v>9925</v>
      </c>
      <c r="C2855" s="781" t="s">
        <v>1185</v>
      </c>
      <c r="D2855" s="772" t="s">
        <v>9926</v>
      </c>
      <c r="E2855" s="772" t="s">
        <v>9927</v>
      </c>
      <c r="F2855" s="781" t="s">
        <v>7992</v>
      </c>
      <c r="G2855" s="474">
        <v>46208.0</v>
      </c>
      <c r="H2855" s="472">
        <v>17.0</v>
      </c>
      <c r="I2855" s="812" t="s">
        <v>2890</v>
      </c>
      <c r="L2855" s="492" t="s">
        <v>51</v>
      </c>
      <c r="N2855" s="143" t="s">
        <v>9885</v>
      </c>
    </row>
    <row r="2856" hidden="1">
      <c r="A2856" s="118">
        <v>18.0</v>
      </c>
      <c r="B2856" s="805" t="s">
        <v>9928</v>
      </c>
      <c r="C2856" s="781" t="s">
        <v>80</v>
      </c>
      <c r="D2856" s="772" t="s">
        <v>9929</v>
      </c>
      <c r="E2856" s="772" t="s">
        <v>9930</v>
      </c>
      <c r="F2856" s="781" t="s">
        <v>535</v>
      </c>
      <c r="G2856" s="474">
        <v>46117.0</v>
      </c>
      <c r="H2856" s="472">
        <v>14.0</v>
      </c>
      <c r="I2856" s="812" t="s">
        <v>2890</v>
      </c>
      <c r="J2856" s="35" t="s">
        <v>9931</v>
      </c>
      <c r="K2856" s="758">
        <v>46058.0</v>
      </c>
      <c r="L2856" s="492" t="s">
        <v>4195</v>
      </c>
      <c r="O2856" s="143" t="s">
        <v>9932</v>
      </c>
      <c r="P2856" s="587" t="s">
        <v>1432</v>
      </c>
    </row>
    <row r="2857" hidden="1">
      <c r="A2857" s="118">
        <v>19.0</v>
      </c>
      <c r="B2857" s="780" t="s">
        <v>9933</v>
      </c>
      <c r="C2857" s="781" t="s">
        <v>80</v>
      </c>
      <c r="D2857" s="772" t="s">
        <v>9934</v>
      </c>
      <c r="E2857" s="803" t="s">
        <v>9935</v>
      </c>
      <c r="F2857" s="781" t="s">
        <v>9936</v>
      </c>
      <c r="G2857" s="474">
        <v>46208.0</v>
      </c>
      <c r="H2857" s="472">
        <v>17.0</v>
      </c>
      <c r="I2857" s="812" t="s">
        <v>2890</v>
      </c>
      <c r="J2857" s="35" t="s">
        <v>9931</v>
      </c>
      <c r="K2857" s="758">
        <v>46117.0</v>
      </c>
      <c r="L2857" s="292" t="s">
        <v>4195</v>
      </c>
      <c r="O2857" s="143" t="s">
        <v>9937</v>
      </c>
      <c r="P2857" s="587" t="s">
        <v>1432</v>
      </c>
    </row>
    <row r="2858" hidden="1">
      <c r="A2858" s="118">
        <v>20.0</v>
      </c>
      <c r="B2858" s="780" t="s">
        <v>9938</v>
      </c>
      <c r="C2858" s="781" t="s">
        <v>80</v>
      </c>
      <c r="D2858" s="772" t="s">
        <v>9939</v>
      </c>
      <c r="E2858" s="803" t="s">
        <v>9940</v>
      </c>
      <c r="F2858" s="781" t="s">
        <v>9936</v>
      </c>
      <c r="G2858" s="474">
        <v>46208.0</v>
      </c>
      <c r="H2858" s="472">
        <v>17.0</v>
      </c>
      <c r="I2858" s="813" t="s">
        <v>3231</v>
      </c>
      <c r="J2858" s="35" t="s">
        <v>9931</v>
      </c>
      <c r="K2858" s="758">
        <v>46117.0</v>
      </c>
      <c r="L2858" s="292" t="s">
        <v>4195</v>
      </c>
      <c r="O2858" s="143" t="s">
        <v>9937</v>
      </c>
      <c r="P2858" s="587" t="s">
        <v>1432</v>
      </c>
    </row>
    <row r="2859" hidden="1">
      <c r="A2859" s="118">
        <v>21.0</v>
      </c>
      <c r="B2859" s="780" t="s">
        <v>9941</v>
      </c>
      <c r="C2859" s="781" t="s">
        <v>80</v>
      </c>
      <c r="D2859" s="772" t="s">
        <v>9942</v>
      </c>
      <c r="E2859" s="816" t="s">
        <v>9943</v>
      </c>
      <c r="F2859" s="781" t="s">
        <v>1815</v>
      </c>
      <c r="G2859" s="474">
        <v>46178.0</v>
      </c>
      <c r="H2859" s="472">
        <v>16.0</v>
      </c>
      <c r="I2859" s="817" t="s">
        <v>9338</v>
      </c>
      <c r="J2859" s="756" t="s">
        <v>9944</v>
      </c>
      <c r="L2859" s="292" t="s">
        <v>374</v>
      </c>
      <c r="O2859" s="571">
        <v>46270.0</v>
      </c>
      <c r="P2859" s="587" t="s">
        <v>1432</v>
      </c>
    </row>
    <row r="2860" hidden="1">
      <c r="A2860" s="118">
        <v>22.0</v>
      </c>
      <c r="B2860" s="780" t="s">
        <v>9945</v>
      </c>
      <c r="C2860" s="781" t="s">
        <v>80</v>
      </c>
      <c r="D2860" s="772" t="s">
        <v>9946</v>
      </c>
      <c r="E2860" s="816" t="s">
        <v>9947</v>
      </c>
      <c r="F2860" s="781" t="s">
        <v>1815</v>
      </c>
      <c r="G2860" s="474">
        <v>46178.0</v>
      </c>
      <c r="H2860" s="472">
        <v>16.0</v>
      </c>
      <c r="I2860" s="817" t="s">
        <v>3465</v>
      </c>
      <c r="J2860" s="756" t="s">
        <v>9944</v>
      </c>
      <c r="L2860" s="292" t="s">
        <v>374</v>
      </c>
      <c r="O2860" s="571">
        <v>46270.0</v>
      </c>
      <c r="P2860" s="587" t="s">
        <v>1432</v>
      </c>
    </row>
    <row r="2861" hidden="1">
      <c r="A2861" s="118">
        <v>23.0</v>
      </c>
      <c r="B2861" s="780" t="s">
        <v>9948</v>
      </c>
      <c r="C2861" s="781" t="s">
        <v>80</v>
      </c>
      <c r="D2861" s="772" t="s">
        <v>9949</v>
      </c>
      <c r="E2861" s="772" t="s">
        <v>9950</v>
      </c>
      <c r="F2861" s="781" t="s">
        <v>9951</v>
      </c>
      <c r="G2861" s="474">
        <v>46239.0</v>
      </c>
      <c r="H2861" s="472">
        <v>18.0</v>
      </c>
      <c r="I2861" s="812" t="s">
        <v>2890</v>
      </c>
      <c r="K2861" s="571">
        <v>46239.0</v>
      </c>
      <c r="L2861" s="292" t="s">
        <v>374</v>
      </c>
      <c r="O2861" s="571">
        <v>46239.0</v>
      </c>
    </row>
    <row r="2862" hidden="1">
      <c r="A2862" s="118">
        <v>24.0</v>
      </c>
      <c r="B2862" s="780" t="s">
        <v>9952</v>
      </c>
      <c r="C2862" s="781" t="s">
        <v>80</v>
      </c>
      <c r="D2862" s="772" t="s">
        <v>9953</v>
      </c>
      <c r="E2862" s="787" t="s">
        <v>9954</v>
      </c>
      <c r="F2862" s="781" t="s">
        <v>9955</v>
      </c>
      <c r="G2862" s="474">
        <v>46270.0</v>
      </c>
      <c r="H2862" s="472">
        <v>19.0</v>
      </c>
      <c r="I2862" s="812" t="s">
        <v>2890</v>
      </c>
      <c r="J2862" s="143" t="s">
        <v>9944</v>
      </c>
      <c r="L2862" s="492" t="s">
        <v>4195</v>
      </c>
      <c r="N2862" s="143" t="s">
        <v>9956</v>
      </c>
      <c r="O2862" s="143" t="s">
        <v>9957</v>
      </c>
      <c r="P2862" s="587" t="s">
        <v>1432</v>
      </c>
    </row>
    <row r="2863" hidden="1">
      <c r="A2863" s="118">
        <v>25.0</v>
      </c>
      <c r="B2863" s="780" t="s">
        <v>9958</v>
      </c>
      <c r="C2863" s="781" t="s">
        <v>651</v>
      </c>
      <c r="D2863" s="772" t="s">
        <v>9959</v>
      </c>
      <c r="E2863" s="772" t="s">
        <v>9960</v>
      </c>
      <c r="F2863" s="781" t="s">
        <v>4779</v>
      </c>
      <c r="G2863" s="474">
        <v>46270.0</v>
      </c>
      <c r="H2863" s="472">
        <v>19.0</v>
      </c>
      <c r="I2863" s="812" t="s">
        <v>2890</v>
      </c>
      <c r="J2863" s="143" t="s">
        <v>9961</v>
      </c>
      <c r="L2863" s="492" t="s">
        <v>4195</v>
      </c>
      <c r="O2863" s="143" t="s">
        <v>9932</v>
      </c>
      <c r="P2863" s="587" t="s">
        <v>1432</v>
      </c>
    </row>
    <row r="2864" hidden="1">
      <c r="A2864" s="118">
        <v>26.0</v>
      </c>
      <c r="B2864" s="780" t="s">
        <v>9962</v>
      </c>
      <c r="C2864" s="781" t="s">
        <v>80</v>
      </c>
      <c r="D2864" s="772" t="s">
        <v>9963</v>
      </c>
      <c r="E2864" s="816" t="s">
        <v>9964</v>
      </c>
      <c r="F2864" s="781" t="s">
        <v>9965</v>
      </c>
      <c r="G2864" s="474">
        <v>46208.0</v>
      </c>
      <c r="H2864" s="472">
        <v>17.0</v>
      </c>
      <c r="I2864" s="812" t="s">
        <v>2890</v>
      </c>
      <c r="J2864" s="143" t="s">
        <v>9731</v>
      </c>
      <c r="K2864" s="143" t="s">
        <v>9435</v>
      </c>
      <c r="L2864" s="292" t="s">
        <v>51</v>
      </c>
      <c r="O2864" s="143" t="s">
        <v>9966</v>
      </c>
      <c r="P2864" s="587" t="s">
        <v>1432</v>
      </c>
    </row>
    <row r="2865" hidden="1">
      <c r="A2865" s="118">
        <v>27.0</v>
      </c>
      <c r="B2865" s="780" t="s">
        <v>9967</v>
      </c>
      <c r="C2865" s="781" t="s">
        <v>80</v>
      </c>
      <c r="D2865" s="772" t="s">
        <v>9968</v>
      </c>
      <c r="E2865" s="816" t="s">
        <v>9969</v>
      </c>
      <c r="F2865" s="781" t="s">
        <v>9965</v>
      </c>
      <c r="G2865" s="474">
        <v>46208.0</v>
      </c>
      <c r="H2865" s="472">
        <v>17.0</v>
      </c>
      <c r="I2865" s="812" t="s">
        <v>2890</v>
      </c>
      <c r="J2865" s="143" t="s">
        <v>9731</v>
      </c>
      <c r="K2865" s="143" t="s">
        <v>9435</v>
      </c>
      <c r="L2865" s="292" t="s">
        <v>51</v>
      </c>
      <c r="O2865" s="143" t="s">
        <v>9966</v>
      </c>
      <c r="P2865" s="587" t="s">
        <v>1432</v>
      </c>
    </row>
    <row r="2866" hidden="1">
      <c r="A2866" s="118">
        <v>28.0</v>
      </c>
      <c r="B2866" s="780" t="s">
        <v>9970</v>
      </c>
      <c r="C2866" s="781" t="s">
        <v>80</v>
      </c>
      <c r="D2866" s="772" t="s">
        <v>9971</v>
      </c>
      <c r="E2866" s="807" t="s">
        <v>9972</v>
      </c>
      <c r="F2866" s="781" t="s">
        <v>3928</v>
      </c>
      <c r="G2866" s="474">
        <v>46117.0</v>
      </c>
      <c r="H2866" s="472">
        <v>14.0</v>
      </c>
      <c r="I2866" s="812" t="s">
        <v>2890</v>
      </c>
      <c r="L2866" s="292" t="s">
        <v>9469</v>
      </c>
      <c r="O2866" s="530">
        <v>46270.0</v>
      </c>
    </row>
    <row r="2867" hidden="1">
      <c r="A2867" s="118">
        <v>29.0</v>
      </c>
      <c r="B2867" s="780" t="s">
        <v>9973</v>
      </c>
      <c r="C2867" s="781" t="s">
        <v>80</v>
      </c>
      <c r="D2867" s="772" t="s">
        <v>9974</v>
      </c>
      <c r="E2867" s="807" t="s">
        <v>9975</v>
      </c>
      <c r="F2867" s="781" t="s">
        <v>3928</v>
      </c>
      <c r="G2867" s="474">
        <v>46117.0</v>
      </c>
      <c r="H2867" s="472">
        <v>14.0</v>
      </c>
      <c r="I2867" s="812" t="s">
        <v>2890</v>
      </c>
      <c r="L2867" s="292" t="s">
        <v>9469</v>
      </c>
      <c r="O2867" s="530">
        <v>46270.0</v>
      </c>
    </row>
    <row r="2868" hidden="1">
      <c r="A2868" s="118">
        <v>30.0</v>
      </c>
      <c r="B2868" s="780" t="s">
        <v>9976</v>
      </c>
      <c r="C2868" s="781" t="s">
        <v>80</v>
      </c>
      <c r="D2868" s="772" t="s">
        <v>9977</v>
      </c>
      <c r="E2868" s="807" t="s">
        <v>9978</v>
      </c>
      <c r="F2868" s="781" t="s">
        <v>3928</v>
      </c>
      <c r="G2868" s="474">
        <v>46117.0</v>
      </c>
      <c r="H2868" s="472">
        <v>14.0</v>
      </c>
      <c r="I2868" s="812" t="s">
        <v>2890</v>
      </c>
      <c r="L2868" s="292" t="s">
        <v>9469</v>
      </c>
      <c r="O2868" s="530">
        <v>46270.0</v>
      </c>
    </row>
    <row r="2869" hidden="1">
      <c r="A2869" s="118">
        <v>31.0</v>
      </c>
      <c r="B2869" s="780" t="s">
        <v>9979</v>
      </c>
      <c r="C2869" s="781" t="s">
        <v>80</v>
      </c>
      <c r="D2869" s="772" t="s">
        <v>9980</v>
      </c>
      <c r="E2869" s="807" t="s">
        <v>9981</v>
      </c>
      <c r="F2869" s="781" t="s">
        <v>3928</v>
      </c>
      <c r="G2869" s="474">
        <v>46117.0</v>
      </c>
      <c r="H2869" s="472">
        <v>14.0</v>
      </c>
      <c r="I2869" s="812" t="s">
        <v>2890</v>
      </c>
      <c r="L2869" s="292" t="s">
        <v>9469</v>
      </c>
      <c r="O2869" s="530">
        <v>46270.0</v>
      </c>
    </row>
    <row r="2870" hidden="1">
      <c r="A2870" s="118">
        <v>32.0</v>
      </c>
      <c r="B2870" s="780" t="s">
        <v>9982</v>
      </c>
      <c r="C2870" s="781" t="s">
        <v>80</v>
      </c>
      <c r="D2870" s="772" t="s">
        <v>9983</v>
      </c>
      <c r="E2870" s="807" t="s">
        <v>9984</v>
      </c>
      <c r="F2870" s="781" t="s">
        <v>3928</v>
      </c>
      <c r="G2870" s="474">
        <v>46117.0</v>
      </c>
      <c r="H2870" s="472">
        <v>14.0</v>
      </c>
      <c r="I2870" s="812" t="s">
        <v>2890</v>
      </c>
      <c r="L2870" s="292" t="s">
        <v>9469</v>
      </c>
      <c r="O2870" s="530">
        <v>46270.0</v>
      </c>
    </row>
    <row r="2871" hidden="1">
      <c r="A2871" s="118">
        <v>33.0</v>
      </c>
      <c r="B2871" s="780" t="s">
        <v>9985</v>
      </c>
      <c r="C2871" s="781" t="s">
        <v>80</v>
      </c>
      <c r="D2871" s="772" t="s">
        <v>9986</v>
      </c>
      <c r="E2871" s="807" t="s">
        <v>9987</v>
      </c>
      <c r="F2871" s="781" t="s">
        <v>3583</v>
      </c>
      <c r="G2871" s="474">
        <v>46331.0</v>
      </c>
      <c r="H2871" s="472">
        <v>21.0</v>
      </c>
      <c r="I2871" s="812" t="s">
        <v>2890</v>
      </c>
      <c r="J2871" s="143" t="s">
        <v>2541</v>
      </c>
      <c r="L2871" s="292" t="s">
        <v>778</v>
      </c>
      <c r="O2871" s="143" t="s">
        <v>9966</v>
      </c>
    </row>
    <row r="2872" hidden="1">
      <c r="A2872" s="118">
        <v>34.0</v>
      </c>
      <c r="B2872" s="780" t="s">
        <v>9988</v>
      </c>
      <c r="C2872" s="781" t="s">
        <v>80</v>
      </c>
      <c r="D2872" s="772" t="s">
        <v>9989</v>
      </c>
      <c r="E2872" s="803" t="s">
        <v>9990</v>
      </c>
      <c r="F2872" s="781" t="s">
        <v>1873</v>
      </c>
      <c r="G2872" s="474">
        <v>46300.0</v>
      </c>
      <c r="H2872" s="472">
        <v>20.0</v>
      </c>
      <c r="I2872" s="813" t="s">
        <v>3231</v>
      </c>
      <c r="J2872" s="35" t="s">
        <v>9944</v>
      </c>
      <c r="L2872" s="292" t="s">
        <v>4195</v>
      </c>
      <c r="N2872" s="143" t="s">
        <v>9991</v>
      </c>
      <c r="O2872" s="143" t="s">
        <v>9992</v>
      </c>
      <c r="P2872" s="587" t="s">
        <v>1432</v>
      </c>
    </row>
    <row r="2873" hidden="1">
      <c r="A2873" s="118">
        <v>35.0</v>
      </c>
      <c r="B2873" s="780" t="s">
        <v>9993</v>
      </c>
      <c r="C2873" s="781" t="s">
        <v>80</v>
      </c>
      <c r="D2873" s="772" t="s">
        <v>9994</v>
      </c>
      <c r="E2873" s="803" t="s">
        <v>9995</v>
      </c>
      <c r="F2873" s="781" t="s">
        <v>1873</v>
      </c>
      <c r="G2873" s="474">
        <v>46300.0</v>
      </c>
      <c r="H2873" s="472">
        <v>20.0</v>
      </c>
      <c r="I2873" s="812" t="s">
        <v>2890</v>
      </c>
      <c r="J2873" s="35" t="s">
        <v>9944</v>
      </c>
      <c r="L2873" s="292" t="s">
        <v>4195</v>
      </c>
      <c r="N2873" s="143" t="s">
        <v>9991</v>
      </c>
      <c r="O2873" s="143" t="s">
        <v>9992</v>
      </c>
      <c r="P2873" s="587" t="s">
        <v>1432</v>
      </c>
    </row>
    <row r="2874" hidden="1">
      <c r="A2874" s="118">
        <v>36.0</v>
      </c>
      <c r="B2874" s="780" t="s">
        <v>9996</v>
      </c>
      <c r="C2874" s="781" t="s">
        <v>80</v>
      </c>
      <c r="D2874" s="772" t="s">
        <v>9997</v>
      </c>
      <c r="E2874" s="772" t="s">
        <v>9998</v>
      </c>
      <c r="F2874" s="781" t="s">
        <v>6336</v>
      </c>
      <c r="G2874" s="474">
        <v>46300.0</v>
      </c>
      <c r="H2874" s="472">
        <v>20.0</v>
      </c>
      <c r="I2874" s="812" t="s">
        <v>2890</v>
      </c>
      <c r="J2874" s="143" t="s">
        <v>9727</v>
      </c>
      <c r="K2874" s="571">
        <v>46058.0</v>
      </c>
      <c r="L2874" s="292" t="s">
        <v>374</v>
      </c>
      <c r="O2874" s="143" t="s">
        <v>9899</v>
      </c>
      <c r="P2874" s="587" t="s">
        <v>1432</v>
      </c>
    </row>
    <row r="2875" hidden="1">
      <c r="A2875" s="118">
        <v>37.0</v>
      </c>
      <c r="B2875" s="780" t="s">
        <v>9999</v>
      </c>
      <c r="C2875" s="781" t="s">
        <v>80</v>
      </c>
      <c r="D2875" s="772" t="s">
        <v>10000</v>
      </c>
      <c r="E2875" s="772" t="s">
        <v>10001</v>
      </c>
      <c r="F2875" s="781" t="s">
        <v>556</v>
      </c>
      <c r="G2875" s="474">
        <v>46300.0</v>
      </c>
      <c r="H2875" s="472">
        <v>20.0</v>
      </c>
      <c r="I2875" s="812" t="s">
        <v>2890</v>
      </c>
      <c r="J2875" s="143" t="s">
        <v>51</v>
      </c>
      <c r="K2875" s="143" t="s">
        <v>9435</v>
      </c>
      <c r="L2875" s="492" t="s">
        <v>51</v>
      </c>
      <c r="O2875" s="571">
        <v>46147.0</v>
      </c>
      <c r="P2875" s="587" t="s">
        <v>1432</v>
      </c>
    </row>
    <row r="2876" hidden="1">
      <c r="A2876" s="118">
        <v>38.0</v>
      </c>
      <c r="B2876" s="780" t="s">
        <v>10002</v>
      </c>
      <c r="C2876" s="781" t="s">
        <v>80</v>
      </c>
      <c r="D2876" s="772" t="s">
        <v>10003</v>
      </c>
      <c r="E2876" s="772" t="s">
        <v>10004</v>
      </c>
      <c r="F2876" s="781" t="s">
        <v>556</v>
      </c>
      <c r="G2876" s="474">
        <v>46300.0</v>
      </c>
      <c r="H2876" s="472">
        <v>20.0</v>
      </c>
      <c r="I2876" s="812" t="s">
        <v>2890</v>
      </c>
      <c r="J2876" s="35" t="s">
        <v>10005</v>
      </c>
      <c r="K2876" s="35" t="s">
        <v>9444</v>
      </c>
      <c r="L2876" s="492" t="s">
        <v>4195</v>
      </c>
      <c r="N2876" s="143" t="s">
        <v>10006</v>
      </c>
      <c r="O2876" s="143" t="s">
        <v>9090</v>
      </c>
      <c r="P2876" s="587" t="s">
        <v>1432</v>
      </c>
    </row>
    <row r="2877" hidden="1">
      <c r="A2877" s="118">
        <v>39.0</v>
      </c>
      <c r="B2877" s="780" t="s">
        <v>10007</v>
      </c>
      <c r="C2877" s="781" t="s">
        <v>80</v>
      </c>
      <c r="D2877" s="772" t="s">
        <v>10008</v>
      </c>
      <c r="E2877" s="772" t="s">
        <v>10009</v>
      </c>
      <c r="F2877" s="781" t="s">
        <v>556</v>
      </c>
      <c r="G2877" s="474">
        <v>46300.0</v>
      </c>
      <c r="H2877" s="472">
        <v>20.0</v>
      </c>
      <c r="I2877" s="812" t="s">
        <v>2890</v>
      </c>
      <c r="L2877" s="292" t="s">
        <v>374</v>
      </c>
      <c r="O2877" s="143" t="s">
        <v>10010</v>
      </c>
      <c r="P2877" s="587" t="s">
        <v>1432</v>
      </c>
    </row>
    <row r="2878" hidden="1">
      <c r="A2878" s="118">
        <v>40.0</v>
      </c>
      <c r="B2878" s="780" t="s">
        <v>10011</v>
      </c>
      <c r="C2878" s="781" t="s">
        <v>80</v>
      </c>
      <c r="D2878" s="772" t="s">
        <v>10012</v>
      </c>
      <c r="E2878" s="786" t="s">
        <v>10013</v>
      </c>
      <c r="F2878" s="781" t="s">
        <v>556</v>
      </c>
      <c r="G2878" s="474">
        <v>46300.0</v>
      </c>
      <c r="H2878" s="472">
        <v>20.0</v>
      </c>
      <c r="I2878" s="812" t="s">
        <v>2890</v>
      </c>
      <c r="J2878" s="143" t="s">
        <v>10014</v>
      </c>
      <c r="K2878" s="571">
        <v>46117.0</v>
      </c>
      <c r="L2878" s="492" t="s">
        <v>51</v>
      </c>
      <c r="N2878" s="143" t="s">
        <v>10015</v>
      </c>
      <c r="O2878" s="143" t="s">
        <v>9966</v>
      </c>
      <c r="P2878" s="587" t="s">
        <v>1432</v>
      </c>
    </row>
    <row r="2879" hidden="1">
      <c r="A2879" s="339" t="s">
        <v>10016</v>
      </c>
      <c r="Q2879" s="35"/>
      <c r="R2879" s="35"/>
      <c r="S2879" s="35"/>
      <c r="T2879" s="35"/>
      <c r="U2879" s="35"/>
      <c r="V2879" s="35"/>
      <c r="W2879" s="35"/>
      <c r="X2879" s="35"/>
      <c r="Y2879" s="35"/>
      <c r="Z2879" s="35"/>
      <c r="AA2879" s="35"/>
      <c r="AB2879" s="35"/>
      <c r="AC2879" s="35"/>
      <c r="AD2879" s="35"/>
      <c r="AE2879" s="35"/>
      <c r="AF2879" s="35"/>
    </row>
    <row r="2880" hidden="1">
      <c r="A2880" s="670" t="s">
        <v>47</v>
      </c>
      <c r="B2880" s="670" t="s">
        <v>7</v>
      </c>
      <c r="C2880" s="670" t="s">
        <v>9</v>
      </c>
      <c r="D2880" s="670" t="s">
        <v>10</v>
      </c>
      <c r="E2880" s="670" t="s">
        <v>11</v>
      </c>
      <c r="F2880" s="670" t="s">
        <v>12</v>
      </c>
      <c r="G2880" s="670" t="s">
        <v>2378</v>
      </c>
      <c r="H2880" s="670" t="s">
        <v>2681</v>
      </c>
      <c r="I2880" s="4" t="s">
        <v>2847</v>
      </c>
      <c r="J2880" s="8" t="s">
        <v>14</v>
      </c>
      <c r="K2880" s="9" t="s">
        <v>16</v>
      </c>
      <c r="L2880" s="9" t="s">
        <v>4330</v>
      </c>
      <c r="M2880" s="9" t="s">
        <v>18</v>
      </c>
      <c r="N2880" s="9" t="s">
        <v>19</v>
      </c>
      <c r="O2880" s="9" t="s">
        <v>20</v>
      </c>
      <c r="P2880" s="9" t="s">
        <v>21</v>
      </c>
      <c r="Q2880" s="35"/>
      <c r="R2880" s="35"/>
      <c r="S2880" s="35"/>
      <c r="T2880" s="35"/>
      <c r="U2880" s="35"/>
      <c r="V2880" s="35"/>
      <c r="W2880" s="35"/>
      <c r="X2880" s="35"/>
      <c r="Y2880" s="35"/>
      <c r="Z2880" s="35"/>
      <c r="AA2880" s="35"/>
      <c r="AB2880" s="35"/>
      <c r="AC2880" s="35"/>
      <c r="AD2880" s="35"/>
      <c r="AE2880" s="35"/>
      <c r="AF2880" s="35"/>
    </row>
    <row r="2881" hidden="1">
      <c r="A2881" s="471">
        <v>1.0</v>
      </c>
      <c r="B2881" s="470" t="s">
        <v>10017</v>
      </c>
      <c r="C2881" s="471" t="s">
        <v>80</v>
      </c>
      <c r="D2881" s="471" t="s">
        <v>10018</v>
      </c>
      <c r="E2881" s="615" t="s">
        <v>10019</v>
      </c>
      <c r="F2881" s="471" t="s">
        <v>3512</v>
      </c>
      <c r="G2881" s="818">
        <v>46178.0</v>
      </c>
      <c r="H2881" s="772">
        <v>11.0</v>
      </c>
      <c r="I2881" s="812" t="s">
        <v>2890</v>
      </c>
      <c r="L2881" s="292" t="s">
        <v>778</v>
      </c>
      <c r="O2881" s="143" t="s">
        <v>9966</v>
      </c>
    </row>
    <row r="2882" hidden="1">
      <c r="A2882" s="471">
        <v>2.0</v>
      </c>
      <c r="B2882" s="470" t="s">
        <v>10020</v>
      </c>
      <c r="C2882" s="471" t="s">
        <v>80</v>
      </c>
      <c r="D2882" s="471" t="s">
        <v>10021</v>
      </c>
      <c r="E2882" s="615" t="s">
        <v>10022</v>
      </c>
      <c r="F2882" s="471" t="s">
        <v>3512</v>
      </c>
      <c r="G2882" s="818">
        <v>46178.0</v>
      </c>
      <c r="H2882" s="772">
        <v>11.0</v>
      </c>
      <c r="I2882" s="812" t="s">
        <v>2890</v>
      </c>
      <c r="L2882" s="292" t="s">
        <v>778</v>
      </c>
      <c r="O2882" s="143" t="s">
        <v>9966</v>
      </c>
    </row>
    <row r="2883" hidden="1">
      <c r="A2883" s="471">
        <v>3.0</v>
      </c>
      <c r="B2883" s="470" t="s">
        <v>10023</v>
      </c>
      <c r="C2883" s="471" t="s">
        <v>80</v>
      </c>
      <c r="D2883" s="471" t="s">
        <v>10024</v>
      </c>
      <c r="E2883" s="615" t="s">
        <v>10025</v>
      </c>
      <c r="F2883" s="471" t="s">
        <v>3512</v>
      </c>
      <c r="G2883" s="818">
        <v>46178.0</v>
      </c>
      <c r="H2883" s="772">
        <v>11.0</v>
      </c>
      <c r="I2883" s="812" t="s">
        <v>2890</v>
      </c>
      <c r="L2883" s="292" t="s">
        <v>778</v>
      </c>
      <c r="O2883" s="143" t="s">
        <v>9966</v>
      </c>
    </row>
    <row r="2884" hidden="1">
      <c r="A2884" s="471">
        <v>4.0</v>
      </c>
      <c r="B2884" s="470" t="s">
        <v>10026</v>
      </c>
      <c r="C2884" s="471" t="s">
        <v>80</v>
      </c>
      <c r="D2884" s="471" t="s">
        <v>10027</v>
      </c>
      <c r="E2884" s="615" t="s">
        <v>10028</v>
      </c>
      <c r="F2884" s="471" t="s">
        <v>3512</v>
      </c>
      <c r="G2884" s="818">
        <v>46178.0</v>
      </c>
      <c r="H2884" s="772">
        <v>11.0</v>
      </c>
      <c r="I2884" s="812" t="s">
        <v>2890</v>
      </c>
      <c r="L2884" s="292" t="s">
        <v>778</v>
      </c>
      <c r="O2884" s="143" t="s">
        <v>9966</v>
      </c>
    </row>
    <row r="2885" hidden="1">
      <c r="A2885" s="471">
        <v>5.0</v>
      </c>
      <c r="B2885" s="470" t="s">
        <v>10029</v>
      </c>
      <c r="C2885" s="471" t="s">
        <v>80</v>
      </c>
      <c r="D2885" s="471" t="s">
        <v>10030</v>
      </c>
      <c r="E2885" s="615" t="s">
        <v>10031</v>
      </c>
      <c r="F2885" s="471" t="s">
        <v>3512</v>
      </c>
      <c r="G2885" s="818">
        <v>46178.0</v>
      </c>
      <c r="H2885" s="772">
        <v>11.0</v>
      </c>
      <c r="I2885" s="812" t="s">
        <v>2890</v>
      </c>
      <c r="L2885" s="292" t="s">
        <v>778</v>
      </c>
      <c r="O2885" s="143" t="s">
        <v>9966</v>
      </c>
    </row>
    <row r="2886" hidden="1">
      <c r="A2886" s="471">
        <v>6.0</v>
      </c>
      <c r="B2886" s="470" t="s">
        <v>10032</v>
      </c>
      <c r="C2886" s="471" t="s">
        <v>80</v>
      </c>
      <c r="D2886" s="471" t="s">
        <v>10033</v>
      </c>
      <c r="E2886" s="615" t="s">
        <v>10034</v>
      </c>
      <c r="F2886" s="471" t="s">
        <v>3512</v>
      </c>
      <c r="G2886" s="818">
        <v>46178.0</v>
      </c>
      <c r="H2886" s="772">
        <v>11.0</v>
      </c>
      <c r="I2886" s="812" t="s">
        <v>2890</v>
      </c>
      <c r="L2886" s="292" t="s">
        <v>778</v>
      </c>
      <c r="O2886" s="143" t="s">
        <v>9966</v>
      </c>
    </row>
    <row r="2887" hidden="1">
      <c r="A2887" s="471">
        <v>7.0</v>
      </c>
      <c r="B2887" s="470" t="s">
        <v>10035</v>
      </c>
      <c r="C2887" s="471" t="s">
        <v>80</v>
      </c>
      <c r="D2887" s="471" t="s">
        <v>10036</v>
      </c>
      <c r="E2887" s="615" t="s">
        <v>10037</v>
      </c>
      <c r="F2887" s="471" t="s">
        <v>3512</v>
      </c>
      <c r="G2887" s="818">
        <v>46178.0</v>
      </c>
      <c r="H2887" s="772">
        <v>11.0</v>
      </c>
      <c r="I2887" s="812" t="s">
        <v>2890</v>
      </c>
      <c r="L2887" s="292" t="s">
        <v>778</v>
      </c>
      <c r="O2887" s="143" t="s">
        <v>9966</v>
      </c>
    </row>
    <row r="2888" hidden="1">
      <c r="A2888" s="471">
        <v>8.0</v>
      </c>
      <c r="B2888" s="470" t="s">
        <v>10038</v>
      </c>
      <c r="C2888" s="471" t="s">
        <v>80</v>
      </c>
      <c r="D2888" s="471" t="s">
        <v>10039</v>
      </c>
      <c r="E2888" s="615" t="s">
        <v>10040</v>
      </c>
      <c r="F2888" s="471" t="s">
        <v>3512</v>
      </c>
      <c r="G2888" s="818">
        <v>46178.0</v>
      </c>
      <c r="H2888" s="772">
        <v>11.0</v>
      </c>
      <c r="I2888" s="812" t="s">
        <v>2890</v>
      </c>
      <c r="L2888" s="292" t="s">
        <v>778</v>
      </c>
      <c r="O2888" s="143" t="s">
        <v>9966</v>
      </c>
    </row>
    <row r="2889" hidden="1">
      <c r="A2889" s="471">
        <v>9.0</v>
      </c>
      <c r="B2889" s="470" t="s">
        <v>10041</v>
      </c>
      <c r="C2889" s="471" t="s">
        <v>80</v>
      </c>
      <c r="D2889" s="471" t="s">
        <v>10042</v>
      </c>
      <c r="E2889" s="615" t="s">
        <v>10043</v>
      </c>
      <c r="F2889" s="471" t="s">
        <v>3512</v>
      </c>
      <c r="G2889" s="818">
        <v>46178.0</v>
      </c>
      <c r="H2889" s="772">
        <v>11.0</v>
      </c>
      <c r="I2889" s="812" t="s">
        <v>2890</v>
      </c>
      <c r="L2889" s="292" t="s">
        <v>778</v>
      </c>
      <c r="O2889" s="143" t="s">
        <v>9966</v>
      </c>
    </row>
    <row r="2890" hidden="1">
      <c r="A2890" s="471">
        <v>10.0</v>
      </c>
      <c r="B2890" s="470" t="s">
        <v>10044</v>
      </c>
      <c r="C2890" s="471" t="s">
        <v>80</v>
      </c>
      <c r="D2890" s="471" t="s">
        <v>10045</v>
      </c>
      <c r="E2890" s="615" t="s">
        <v>10046</v>
      </c>
      <c r="F2890" s="471" t="s">
        <v>3512</v>
      </c>
      <c r="G2890" s="818">
        <v>46178.0</v>
      </c>
      <c r="H2890" s="772">
        <v>11.0</v>
      </c>
      <c r="I2890" s="812" t="s">
        <v>2890</v>
      </c>
      <c r="L2890" s="292" t="s">
        <v>778</v>
      </c>
      <c r="O2890" s="143" t="s">
        <v>9966</v>
      </c>
    </row>
    <row r="2891" hidden="1">
      <c r="A2891" s="471">
        <v>11.0</v>
      </c>
      <c r="B2891" s="470" t="s">
        <v>10047</v>
      </c>
      <c r="C2891" s="471" t="s">
        <v>80</v>
      </c>
      <c r="D2891" s="471" t="s">
        <v>10048</v>
      </c>
      <c r="E2891" s="615" t="s">
        <v>10049</v>
      </c>
      <c r="F2891" s="471" t="s">
        <v>3512</v>
      </c>
      <c r="G2891" s="818">
        <v>46178.0</v>
      </c>
      <c r="H2891" s="772">
        <v>11.0</v>
      </c>
      <c r="I2891" s="812" t="s">
        <v>2890</v>
      </c>
      <c r="L2891" s="292" t="s">
        <v>778</v>
      </c>
      <c r="O2891" s="143" t="s">
        <v>9966</v>
      </c>
    </row>
    <row r="2892" hidden="1">
      <c r="A2892" s="471">
        <v>12.0</v>
      </c>
      <c r="B2892" s="470" t="s">
        <v>10050</v>
      </c>
      <c r="C2892" s="471" t="s">
        <v>80</v>
      </c>
      <c r="D2892" s="471" t="s">
        <v>10051</v>
      </c>
      <c r="E2892" s="615" t="s">
        <v>10052</v>
      </c>
      <c r="F2892" s="471" t="s">
        <v>3512</v>
      </c>
      <c r="G2892" s="818">
        <v>46178.0</v>
      </c>
      <c r="H2892" s="772">
        <v>11.0</v>
      </c>
      <c r="I2892" s="812" t="s">
        <v>2890</v>
      </c>
      <c r="L2892" s="292" t="s">
        <v>778</v>
      </c>
      <c r="O2892" s="143" t="s">
        <v>9966</v>
      </c>
    </row>
    <row r="2893" hidden="1">
      <c r="A2893" s="471">
        <v>13.0</v>
      </c>
      <c r="B2893" s="470" t="s">
        <v>10053</v>
      </c>
      <c r="C2893" s="471" t="s">
        <v>80</v>
      </c>
      <c r="D2893" s="471" t="s">
        <v>10054</v>
      </c>
      <c r="E2893" s="615" t="s">
        <v>10055</v>
      </c>
      <c r="F2893" s="471" t="s">
        <v>3512</v>
      </c>
      <c r="G2893" s="818">
        <v>46178.0</v>
      </c>
      <c r="H2893" s="772">
        <v>11.0</v>
      </c>
      <c r="I2893" s="812" t="s">
        <v>2890</v>
      </c>
      <c r="L2893" s="292" t="s">
        <v>778</v>
      </c>
      <c r="O2893" s="143" t="s">
        <v>9966</v>
      </c>
    </row>
    <row r="2894" hidden="1">
      <c r="A2894" s="471">
        <v>14.0</v>
      </c>
      <c r="B2894" s="470" t="s">
        <v>10056</v>
      </c>
      <c r="C2894" s="471" t="s">
        <v>80</v>
      </c>
      <c r="D2894" s="471" t="s">
        <v>10057</v>
      </c>
      <c r="E2894" s="615" t="s">
        <v>10058</v>
      </c>
      <c r="F2894" s="471" t="s">
        <v>3512</v>
      </c>
      <c r="G2894" s="818">
        <v>46178.0</v>
      </c>
      <c r="H2894" s="772">
        <v>11.0</v>
      </c>
      <c r="I2894" s="812" t="s">
        <v>2890</v>
      </c>
      <c r="L2894" s="292" t="s">
        <v>778</v>
      </c>
      <c r="O2894" s="143" t="s">
        <v>9966</v>
      </c>
    </row>
    <row r="2895" hidden="1">
      <c r="A2895" s="471">
        <v>15.0</v>
      </c>
      <c r="B2895" s="470" t="s">
        <v>10059</v>
      </c>
      <c r="C2895" s="471" t="s">
        <v>80</v>
      </c>
      <c r="D2895" s="471" t="s">
        <v>10060</v>
      </c>
      <c r="E2895" s="615" t="s">
        <v>10061</v>
      </c>
      <c r="F2895" s="471" t="s">
        <v>3512</v>
      </c>
      <c r="G2895" s="818">
        <v>46178.0</v>
      </c>
      <c r="H2895" s="772">
        <v>11.0</v>
      </c>
      <c r="I2895" s="812" t="s">
        <v>2890</v>
      </c>
      <c r="L2895" s="292" t="s">
        <v>778</v>
      </c>
      <c r="O2895" s="571">
        <v>46270.0</v>
      </c>
    </row>
    <row r="2896" hidden="1">
      <c r="A2896" s="471">
        <v>16.0</v>
      </c>
      <c r="B2896" s="470" t="s">
        <v>10062</v>
      </c>
      <c r="C2896" s="471" t="s">
        <v>80</v>
      </c>
      <c r="D2896" s="471" t="s">
        <v>10063</v>
      </c>
      <c r="E2896" s="615" t="s">
        <v>10064</v>
      </c>
      <c r="F2896" s="471" t="s">
        <v>3512</v>
      </c>
      <c r="G2896" s="818">
        <v>46178.0</v>
      </c>
      <c r="H2896" s="772">
        <v>11.0</v>
      </c>
      <c r="I2896" s="812" t="s">
        <v>2890</v>
      </c>
      <c r="L2896" s="292" t="s">
        <v>778</v>
      </c>
      <c r="O2896" s="571">
        <v>46270.0</v>
      </c>
    </row>
    <row r="2897" hidden="1">
      <c r="A2897" s="339" t="s">
        <v>10065</v>
      </c>
    </row>
    <row r="2898" hidden="1">
      <c r="A2898" s="670" t="s">
        <v>47</v>
      </c>
      <c r="B2898" s="670" t="s">
        <v>7</v>
      </c>
      <c r="C2898" s="670" t="s">
        <v>9</v>
      </c>
      <c r="D2898" s="670" t="s">
        <v>10</v>
      </c>
      <c r="E2898" s="670" t="s">
        <v>11</v>
      </c>
      <c r="F2898" s="670" t="s">
        <v>12</v>
      </c>
      <c r="G2898" s="670" t="s">
        <v>2378</v>
      </c>
      <c r="H2898" s="670" t="s">
        <v>2681</v>
      </c>
      <c r="I2898" s="4" t="s">
        <v>2847</v>
      </c>
      <c r="J2898" s="8" t="s">
        <v>14</v>
      </c>
      <c r="K2898" s="9" t="s">
        <v>16</v>
      </c>
      <c r="L2898" s="9" t="s">
        <v>4330</v>
      </c>
      <c r="M2898" s="9" t="s">
        <v>18</v>
      </c>
      <c r="N2898" s="9" t="s">
        <v>19</v>
      </c>
      <c r="O2898" s="9" t="s">
        <v>20</v>
      </c>
      <c r="P2898" s="9" t="s">
        <v>21</v>
      </c>
      <c r="Q2898" s="35"/>
      <c r="R2898" s="35"/>
      <c r="S2898" s="35"/>
      <c r="T2898" s="35"/>
      <c r="U2898" s="35"/>
      <c r="V2898" s="35"/>
      <c r="W2898" s="35"/>
      <c r="X2898" s="35"/>
      <c r="Y2898" s="35"/>
      <c r="Z2898" s="35"/>
      <c r="AA2898" s="35"/>
      <c r="AB2898" s="35"/>
      <c r="AC2898" s="35"/>
      <c r="AD2898" s="35"/>
      <c r="AE2898" s="35"/>
      <c r="AF2898" s="35"/>
    </row>
    <row r="2899" hidden="1">
      <c r="A2899" s="526">
        <v>1.0</v>
      </c>
      <c r="B2899" s="527" t="s">
        <v>10066</v>
      </c>
      <c r="C2899" s="526" t="s">
        <v>80</v>
      </c>
      <c r="D2899" s="526" t="s">
        <v>10067</v>
      </c>
      <c r="E2899" s="526" t="s">
        <v>10068</v>
      </c>
      <c r="F2899" s="526" t="s">
        <v>349</v>
      </c>
      <c r="G2899" s="819">
        <v>46147.0</v>
      </c>
      <c r="H2899" s="770">
        <v>8.0</v>
      </c>
      <c r="I2899" s="574" t="s">
        <v>2890</v>
      </c>
      <c r="L2899" s="292" t="s">
        <v>51</v>
      </c>
      <c r="O2899" s="571">
        <v>46058.0</v>
      </c>
    </row>
    <row r="2900" hidden="1">
      <c r="A2900" s="526">
        <v>2.0</v>
      </c>
      <c r="B2900" s="527" t="s">
        <v>10069</v>
      </c>
      <c r="C2900" s="526" t="s">
        <v>80</v>
      </c>
      <c r="D2900" s="526" t="s">
        <v>10070</v>
      </c>
      <c r="E2900" s="526" t="s">
        <v>10071</v>
      </c>
      <c r="F2900" s="526" t="s">
        <v>10072</v>
      </c>
      <c r="G2900" s="819">
        <v>46178.0</v>
      </c>
      <c r="H2900" s="770">
        <v>9.0</v>
      </c>
      <c r="I2900" s="574" t="s">
        <v>2890</v>
      </c>
      <c r="L2900" s="292" t="s">
        <v>374</v>
      </c>
      <c r="O2900" s="571">
        <v>46058.0</v>
      </c>
      <c r="P2900" s="587" t="s">
        <v>1432</v>
      </c>
    </row>
    <row r="2901" hidden="1">
      <c r="A2901" s="471">
        <v>3.0</v>
      </c>
      <c r="B2901" s="470" t="s">
        <v>10073</v>
      </c>
      <c r="C2901" s="471" t="s">
        <v>2307</v>
      </c>
      <c r="D2901" s="471" t="s">
        <v>10074</v>
      </c>
      <c r="E2901" s="471" t="s">
        <v>10075</v>
      </c>
      <c r="F2901" s="471" t="s">
        <v>148</v>
      </c>
      <c r="G2901" s="820">
        <v>46027.0</v>
      </c>
      <c r="H2901" s="775">
        <v>4.0</v>
      </c>
      <c r="I2901" s="522" t="s">
        <v>10076</v>
      </c>
      <c r="L2901" s="292" t="s">
        <v>4195</v>
      </c>
      <c r="N2901" s="143" t="s">
        <v>10077</v>
      </c>
      <c r="O2901" s="143" t="s">
        <v>541</v>
      </c>
      <c r="P2901" s="587" t="s">
        <v>1432</v>
      </c>
    </row>
    <row r="2902" hidden="1">
      <c r="A2902" s="471">
        <v>4.0</v>
      </c>
      <c r="B2902" s="470" t="s">
        <v>10078</v>
      </c>
      <c r="C2902" s="471" t="s">
        <v>2307</v>
      </c>
      <c r="D2902" s="471" t="s">
        <v>10079</v>
      </c>
      <c r="E2902" s="471" t="s">
        <v>10080</v>
      </c>
      <c r="F2902" s="471" t="s">
        <v>4297</v>
      </c>
      <c r="G2902" s="820">
        <v>46027.0</v>
      </c>
      <c r="H2902" s="775">
        <v>4.0</v>
      </c>
      <c r="I2902" s="472" t="s">
        <v>2890</v>
      </c>
      <c r="L2902" s="292" t="s">
        <v>4195</v>
      </c>
      <c r="N2902" s="143" t="s">
        <v>9885</v>
      </c>
      <c r="O2902" s="143" t="s">
        <v>10081</v>
      </c>
      <c r="P2902" s="587" t="s">
        <v>1432</v>
      </c>
    </row>
    <row r="2903" hidden="1">
      <c r="A2903" s="471">
        <v>5.0</v>
      </c>
      <c r="B2903" s="470" t="s">
        <v>10082</v>
      </c>
      <c r="C2903" s="471" t="s">
        <v>2403</v>
      </c>
      <c r="D2903" s="471" t="s">
        <v>10083</v>
      </c>
      <c r="E2903" s="471" t="s">
        <v>10084</v>
      </c>
      <c r="F2903" s="471" t="s">
        <v>10085</v>
      </c>
      <c r="G2903" s="820">
        <v>46058.0</v>
      </c>
      <c r="H2903" s="775">
        <v>5.0</v>
      </c>
      <c r="I2903" s="522" t="s">
        <v>10086</v>
      </c>
      <c r="J2903" s="143" t="s">
        <v>4873</v>
      </c>
      <c r="L2903" s="292" t="s">
        <v>4195</v>
      </c>
      <c r="N2903" s="143" t="s">
        <v>10087</v>
      </c>
      <c r="O2903" s="143" t="s">
        <v>10088</v>
      </c>
      <c r="P2903" s="587" t="s">
        <v>1432</v>
      </c>
    </row>
    <row r="2904" hidden="1">
      <c r="A2904" s="471">
        <v>6.0</v>
      </c>
      <c r="B2904" s="470" t="s">
        <v>10089</v>
      </c>
      <c r="C2904" s="471" t="s">
        <v>8495</v>
      </c>
      <c r="D2904" s="471" t="s">
        <v>10090</v>
      </c>
      <c r="E2904" s="471" t="s">
        <v>10091</v>
      </c>
      <c r="F2904" s="471" t="s">
        <v>10092</v>
      </c>
      <c r="G2904" s="820">
        <v>46361.0</v>
      </c>
      <c r="H2904" s="772">
        <v>15.0</v>
      </c>
      <c r="I2904" s="522" t="s">
        <v>10093</v>
      </c>
      <c r="L2904" s="140"/>
      <c r="N2904" s="292" t="s">
        <v>10094</v>
      </c>
    </row>
    <row r="2905" hidden="1">
      <c r="A2905" s="471">
        <v>7.0</v>
      </c>
      <c r="B2905" s="470" t="s">
        <v>10095</v>
      </c>
      <c r="C2905" s="471" t="s">
        <v>8495</v>
      </c>
      <c r="D2905" s="471" t="s">
        <v>10096</v>
      </c>
      <c r="E2905" s="471" t="s">
        <v>10097</v>
      </c>
      <c r="F2905" s="471" t="s">
        <v>10098</v>
      </c>
      <c r="G2905" s="820">
        <v>46331.0</v>
      </c>
      <c r="H2905" s="772">
        <v>14.0</v>
      </c>
      <c r="I2905" s="522" t="s">
        <v>10099</v>
      </c>
      <c r="L2905" s="140"/>
      <c r="N2905" s="292" t="s">
        <v>10094</v>
      </c>
      <c r="P2905" s="587" t="s">
        <v>1432</v>
      </c>
    </row>
    <row r="2906" hidden="1">
      <c r="A2906" s="471">
        <v>8.0</v>
      </c>
      <c r="B2906" s="470" t="s">
        <v>10100</v>
      </c>
      <c r="C2906" s="471" t="s">
        <v>10101</v>
      </c>
      <c r="D2906" s="471" t="s">
        <v>10102</v>
      </c>
      <c r="E2906" s="471" t="s">
        <v>10103</v>
      </c>
      <c r="F2906" s="471" t="s">
        <v>10104</v>
      </c>
      <c r="G2906" s="812" t="s">
        <v>9899</v>
      </c>
      <c r="H2906" s="772">
        <v>16.0</v>
      </c>
      <c r="I2906" s="472" t="s">
        <v>2890</v>
      </c>
      <c r="L2906" s="140"/>
      <c r="N2906" s="292" t="s">
        <v>10094</v>
      </c>
      <c r="P2906" s="587" t="s">
        <v>1432</v>
      </c>
    </row>
    <row r="2907" hidden="1">
      <c r="A2907" s="471">
        <v>9.0</v>
      </c>
      <c r="B2907" s="470" t="s">
        <v>10105</v>
      </c>
      <c r="C2907" s="471" t="s">
        <v>5937</v>
      </c>
      <c r="D2907" s="471" t="s">
        <v>10106</v>
      </c>
      <c r="E2907" s="558" t="s">
        <v>10107</v>
      </c>
      <c r="F2907" s="471" t="s">
        <v>243</v>
      </c>
      <c r="G2907" s="820">
        <v>46331.0</v>
      </c>
      <c r="H2907" s="772">
        <v>14.0</v>
      </c>
      <c r="I2907" s="472" t="s">
        <v>2890</v>
      </c>
      <c r="J2907" s="143" t="s">
        <v>10014</v>
      </c>
      <c r="L2907" s="292" t="s">
        <v>374</v>
      </c>
      <c r="N2907" s="143" t="s">
        <v>10108</v>
      </c>
      <c r="O2907" s="763">
        <v>46028.0</v>
      </c>
      <c r="P2907" s="587" t="s">
        <v>1432</v>
      </c>
    </row>
    <row r="2908" hidden="1">
      <c r="A2908" s="471">
        <v>10.0</v>
      </c>
      <c r="B2908" s="470" t="s">
        <v>10109</v>
      </c>
      <c r="C2908" s="471" t="s">
        <v>5937</v>
      </c>
      <c r="D2908" s="471" t="s">
        <v>10110</v>
      </c>
      <c r="E2908" s="558" t="s">
        <v>10111</v>
      </c>
      <c r="F2908" s="471" t="s">
        <v>243</v>
      </c>
      <c r="G2908" s="820">
        <v>46331.0</v>
      </c>
      <c r="H2908" s="772">
        <v>14.0</v>
      </c>
      <c r="I2908" s="596" t="s">
        <v>3465</v>
      </c>
      <c r="J2908" s="143" t="s">
        <v>10014</v>
      </c>
      <c r="L2908" s="292" t="s">
        <v>374</v>
      </c>
      <c r="N2908" s="143" t="s">
        <v>10108</v>
      </c>
      <c r="O2908" s="763">
        <v>46028.0</v>
      </c>
      <c r="P2908" s="587" t="s">
        <v>1432</v>
      </c>
    </row>
    <row r="2909" hidden="1">
      <c r="A2909" s="471">
        <v>11.0</v>
      </c>
      <c r="B2909" s="470" t="s">
        <v>10112</v>
      </c>
      <c r="C2909" s="471" t="s">
        <v>1058</v>
      </c>
      <c r="D2909" s="471" t="s">
        <v>10113</v>
      </c>
      <c r="E2909" s="558" t="s">
        <v>10114</v>
      </c>
      <c r="F2909" s="471" t="s">
        <v>10115</v>
      </c>
      <c r="G2909" s="812" t="s">
        <v>9899</v>
      </c>
      <c r="H2909" s="772">
        <v>16.0</v>
      </c>
      <c r="I2909" s="522" t="s">
        <v>10086</v>
      </c>
      <c r="L2909" s="292" t="s">
        <v>4195</v>
      </c>
      <c r="N2909" s="143" t="s">
        <v>10116</v>
      </c>
      <c r="O2909" s="143" t="s">
        <v>9886</v>
      </c>
      <c r="P2909" s="587" t="s">
        <v>1432</v>
      </c>
    </row>
    <row r="2910" hidden="1">
      <c r="A2910" s="471">
        <v>12.0</v>
      </c>
      <c r="B2910" s="470" t="s">
        <v>10117</v>
      </c>
      <c r="C2910" s="471" t="s">
        <v>80</v>
      </c>
      <c r="D2910" s="471" t="s">
        <v>10118</v>
      </c>
      <c r="E2910" s="558" t="s">
        <v>10119</v>
      </c>
      <c r="F2910" s="471" t="s">
        <v>10115</v>
      </c>
      <c r="G2910" s="812" t="s">
        <v>9899</v>
      </c>
      <c r="H2910" s="772">
        <v>16.0</v>
      </c>
      <c r="I2910" s="522" t="s">
        <v>10120</v>
      </c>
      <c r="L2910" s="292" t="s">
        <v>4195</v>
      </c>
      <c r="N2910" s="143" t="s">
        <v>10116</v>
      </c>
      <c r="O2910" s="143" t="s">
        <v>9886</v>
      </c>
      <c r="P2910" s="587" t="s">
        <v>1432</v>
      </c>
    </row>
    <row r="2911" hidden="1">
      <c r="A2911" s="471">
        <v>13.0</v>
      </c>
      <c r="B2911" s="470" t="s">
        <v>10121</v>
      </c>
      <c r="C2911" s="471" t="s">
        <v>80</v>
      </c>
      <c r="D2911" s="471" t="s">
        <v>10122</v>
      </c>
      <c r="E2911" s="550" t="s">
        <v>10123</v>
      </c>
      <c r="F2911" s="471" t="s">
        <v>556</v>
      </c>
      <c r="G2911" s="820">
        <v>46300.0</v>
      </c>
      <c r="H2911" s="772">
        <v>13.0</v>
      </c>
      <c r="I2911" s="472" t="s">
        <v>2890</v>
      </c>
      <c r="J2911" s="143" t="s">
        <v>10014</v>
      </c>
      <c r="K2911" s="571">
        <v>46117.0</v>
      </c>
      <c r="L2911" s="292" t="s">
        <v>51</v>
      </c>
      <c r="N2911" s="292" t="s">
        <v>10124</v>
      </c>
      <c r="O2911" s="143" t="s">
        <v>9966</v>
      </c>
      <c r="P2911" s="587" t="s">
        <v>1432</v>
      </c>
    </row>
    <row r="2912" hidden="1">
      <c r="A2912" s="471">
        <v>14.0</v>
      </c>
      <c r="B2912" s="470" t="s">
        <v>10125</v>
      </c>
      <c r="C2912" s="471" t="s">
        <v>80</v>
      </c>
      <c r="D2912" s="471" t="s">
        <v>10126</v>
      </c>
      <c r="E2912" s="471" t="s">
        <v>10127</v>
      </c>
      <c r="F2912" s="471" t="s">
        <v>556</v>
      </c>
      <c r="G2912" s="820">
        <v>46300.0</v>
      </c>
      <c r="H2912" s="772">
        <v>13.0</v>
      </c>
      <c r="I2912" s="472" t="s">
        <v>2890</v>
      </c>
      <c r="J2912" s="143" t="s">
        <v>51</v>
      </c>
      <c r="K2912" s="571">
        <v>46147.0</v>
      </c>
      <c r="L2912" s="492" t="s">
        <v>51</v>
      </c>
      <c r="N2912" s="292"/>
      <c r="O2912" s="143" t="s">
        <v>10128</v>
      </c>
      <c r="P2912" s="587" t="s">
        <v>1432</v>
      </c>
    </row>
    <row r="2913" hidden="1">
      <c r="A2913" s="471">
        <v>15.0</v>
      </c>
      <c r="B2913" s="470" t="s">
        <v>10129</v>
      </c>
      <c r="C2913" s="471" t="s">
        <v>1185</v>
      </c>
      <c r="D2913" s="471" t="s">
        <v>10130</v>
      </c>
      <c r="E2913" s="471" t="s">
        <v>10131</v>
      </c>
      <c r="F2913" s="471" t="s">
        <v>556</v>
      </c>
      <c r="G2913" s="820">
        <v>46300.0</v>
      </c>
      <c r="H2913" s="772">
        <v>13.0</v>
      </c>
      <c r="I2913" s="522" t="s">
        <v>10076</v>
      </c>
      <c r="L2913" s="492" t="s">
        <v>4195</v>
      </c>
      <c r="N2913" s="143" t="s">
        <v>10132</v>
      </c>
      <c r="O2913" s="143" t="s">
        <v>10133</v>
      </c>
      <c r="P2913" s="587" t="s">
        <v>1432</v>
      </c>
    </row>
    <row r="2914" hidden="1">
      <c r="A2914" s="471">
        <v>16.0</v>
      </c>
      <c r="B2914" s="470" t="s">
        <v>10134</v>
      </c>
      <c r="C2914" s="471" t="s">
        <v>80</v>
      </c>
      <c r="D2914" s="471" t="s">
        <v>10135</v>
      </c>
      <c r="E2914" s="471" t="s">
        <v>10136</v>
      </c>
      <c r="F2914" s="471" t="s">
        <v>556</v>
      </c>
      <c r="G2914" s="820">
        <v>46300.0</v>
      </c>
      <c r="H2914" s="772">
        <v>13.0</v>
      </c>
      <c r="I2914" s="472" t="s">
        <v>2890</v>
      </c>
      <c r="J2914" s="143" t="s">
        <v>10137</v>
      </c>
      <c r="K2914" s="571">
        <v>46117.0</v>
      </c>
      <c r="L2914" s="292" t="s">
        <v>374</v>
      </c>
      <c r="O2914" s="143" t="s">
        <v>9899</v>
      </c>
      <c r="P2914" s="587" t="s">
        <v>1432</v>
      </c>
    </row>
    <row r="2915" hidden="1">
      <c r="A2915" s="471">
        <v>17.0</v>
      </c>
      <c r="B2915" s="470" t="s">
        <v>10138</v>
      </c>
      <c r="C2915" s="471" t="s">
        <v>80</v>
      </c>
      <c r="D2915" s="471" t="s">
        <v>10139</v>
      </c>
      <c r="E2915" s="471" t="s">
        <v>10140</v>
      </c>
      <c r="F2915" s="471" t="s">
        <v>556</v>
      </c>
      <c r="G2915" s="820">
        <v>46300.0</v>
      </c>
      <c r="H2915" s="772">
        <v>13.0</v>
      </c>
      <c r="I2915" s="522" t="s">
        <v>10076</v>
      </c>
      <c r="L2915" s="492" t="s">
        <v>4195</v>
      </c>
      <c r="N2915" s="143" t="s">
        <v>9991</v>
      </c>
      <c r="O2915" s="143" t="s">
        <v>10133</v>
      </c>
      <c r="P2915" s="587" t="s">
        <v>1432</v>
      </c>
    </row>
    <row r="2916" hidden="1">
      <c r="A2916" s="471">
        <v>18.0</v>
      </c>
      <c r="B2916" s="470" t="s">
        <v>10141</v>
      </c>
      <c r="C2916" s="471" t="s">
        <v>80</v>
      </c>
      <c r="D2916" s="471" t="s">
        <v>10142</v>
      </c>
      <c r="E2916" s="615" t="s">
        <v>10143</v>
      </c>
      <c r="F2916" s="471" t="s">
        <v>3512</v>
      </c>
      <c r="G2916" s="820">
        <v>46178.0</v>
      </c>
      <c r="H2916" s="775">
        <v>9.0</v>
      </c>
      <c r="I2916" s="472" t="s">
        <v>2890</v>
      </c>
      <c r="K2916" s="571">
        <v>46270.0</v>
      </c>
      <c r="L2916" s="292" t="s">
        <v>778</v>
      </c>
      <c r="O2916" s="143" t="s">
        <v>9966</v>
      </c>
    </row>
    <row r="2917" hidden="1">
      <c r="A2917" s="471">
        <v>19.0</v>
      </c>
      <c r="B2917" s="470" t="s">
        <v>10144</v>
      </c>
      <c r="C2917" s="471" t="s">
        <v>80</v>
      </c>
      <c r="D2917" s="471" t="s">
        <v>10145</v>
      </c>
      <c r="E2917" s="615" t="s">
        <v>10146</v>
      </c>
      <c r="F2917" s="471" t="s">
        <v>3512</v>
      </c>
      <c r="G2917" s="820">
        <v>46178.0</v>
      </c>
      <c r="H2917" s="775">
        <v>9.0</v>
      </c>
      <c r="I2917" s="522" t="s">
        <v>10120</v>
      </c>
      <c r="L2917" s="292" t="s">
        <v>778</v>
      </c>
      <c r="O2917" s="143" t="s">
        <v>9966</v>
      </c>
    </row>
    <row r="2918" hidden="1">
      <c r="A2918" s="471">
        <v>20.0</v>
      </c>
      <c r="B2918" s="470" t="s">
        <v>10147</v>
      </c>
      <c r="C2918" s="471" t="s">
        <v>80</v>
      </c>
      <c r="D2918" s="471" t="s">
        <v>10148</v>
      </c>
      <c r="E2918" s="615" t="s">
        <v>10149</v>
      </c>
      <c r="F2918" s="471" t="s">
        <v>3512</v>
      </c>
      <c r="G2918" s="820">
        <v>46178.0</v>
      </c>
      <c r="H2918" s="775">
        <v>9.0</v>
      </c>
      <c r="I2918" s="522" t="s">
        <v>10076</v>
      </c>
      <c r="L2918" s="292" t="s">
        <v>778</v>
      </c>
      <c r="O2918" s="143" t="s">
        <v>9966</v>
      </c>
    </row>
    <row r="2919" hidden="1">
      <c r="A2919" s="471">
        <v>21.0</v>
      </c>
      <c r="B2919" s="621" t="s">
        <v>10150</v>
      </c>
      <c r="C2919" s="471" t="s">
        <v>80</v>
      </c>
      <c r="D2919" s="471" t="s">
        <v>10151</v>
      </c>
      <c r="E2919" s="471" t="s">
        <v>10152</v>
      </c>
      <c r="F2919" s="471" t="s">
        <v>8888</v>
      </c>
      <c r="G2919" s="820">
        <v>46300.0</v>
      </c>
      <c r="H2919" s="772">
        <v>13.0</v>
      </c>
      <c r="I2919" s="522" t="s">
        <v>10093</v>
      </c>
      <c r="L2919" s="292" t="s">
        <v>778</v>
      </c>
      <c r="O2919" s="143" t="s">
        <v>10153</v>
      </c>
    </row>
    <row r="2920" hidden="1">
      <c r="A2920" s="471">
        <v>22.0</v>
      </c>
      <c r="B2920" s="470" t="s">
        <v>10154</v>
      </c>
      <c r="C2920" s="471" t="s">
        <v>80</v>
      </c>
      <c r="D2920" s="471" t="s">
        <v>10155</v>
      </c>
      <c r="E2920" s="471" t="s">
        <v>10156</v>
      </c>
      <c r="F2920" s="471" t="s">
        <v>556</v>
      </c>
      <c r="G2920" s="820">
        <v>46331.0</v>
      </c>
      <c r="H2920" s="772">
        <v>14.0</v>
      </c>
      <c r="I2920" s="522" t="s">
        <v>10157</v>
      </c>
      <c r="L2920" s="292" t="s">
        <v>374</v>
      </c>
      <c r="N2920" s="143"/>
      <c r="O2920" s="143" t="s">
        <v>10158</v>
      </c>
      <c r="P2920" s="587" t="s">
        <v>1432</v>
      </c>
    </row>
    <row r="2921" hidden="1">
      <c r="A2921" s="471">
        <v>23.0</v>
      </c>
      <c r="B2921" s="470" t="s">
        <v>10159</v>
      </c>
      <c r="C2921" s="471" t="s">
        <v>80</v>
      </c>
      <c r="D2921" s="471" t="s">
        <v>10160</v>
      </c>
      <c r="E2921" s="558" t="s">
        <v>10161</v>
      </c>
      <c r="F2921" s="471" t="s">
        <v>8318</v>
      </c>
      <c r="G2921" s="820">
        <v>46331.0</v>
      </c>
      <c r="H2921" s="772">
        <v>14.0</v>
      </c>
      <c r="I2921" s="472" t="s">
        <v>2890</v>
      </c>
      <c r="J2921" s="143" t="s">
        <v>2065</v>
      </c>
      <c r="K2921" s="571">
        <v>46270.0</v>
      </c>
      <c r="L2921" s="492" t="s">
        <v>51</v>
      </c>
      <c r="N2921" s="143" t="s">
        <v>10162</v>
      </c>
      <c r="O2921" s="143" t="s">
        <v>9090</v>
      </c>
      <c r="P2921" s="587" t="s">
        <v>1432</v>
      </c>
    </row>
    <row r="2922" hidden="1">
      <c r="A2922" s="471">
        <v>24.0</v>
      </c>
      <c r="B2922" s="470" t="s">
        <v>10163</v>
      </c>
      <c r="C2922" s="471" t="s">
        <v>80</v>
      </c>
      <c r="D2922" s="471" t="s">
        <v>10164</v>
      </c>
      <c r="E2922" s="558" t="s">
        <v>10165</v>
      </c>
      <c r="F2922" s="471" t="s">
        <v>8318</v>
      </c>
      <c r="G2922" s="820">
        <v>46331.0</v>
      </c>
      <c r="H2922" s="772">
        <v>14.0</v>
      </c>
      <c r="I2922" s="522" t="s">
        <v>10157</v>
      </c>
      <c r="J2922" s="143" t="s">
        <v>2065</v>
      </c>
      <c r="K2922" s="571">
        <v>46270.0</v>
      </c>
      <c r="L2922" s="492" t="s">
        <v>51</v>
      </c>
      <c r="N2922" s="143" t="s">
        <v>10162</v>
      </c>
      <c r="O2922" s="143" t="s">
        <v>9090</v>
      </c>
      <c r="P2922" s="587" t="s">
        <v>1432</v>
      </c>
    </row>
    <row r="2923" hidden="1">
      <c r="A2923" s="471">
        <v>25.0</v>
      </c>
      <c r="B2923" s="470" t="s">
        <v>10166</v>
      </c>
      <c r="C2923" s="471" t="s">
        <v>80</v>
      </c>
      <c r="D2923" s="471" t="s">
        <v>10167</v>
      </c>
      <c r="E2923" s="471" t="s">
        <v>10168</v>
      </c>
      <c r="F2923" s="471" t="s">
        <v>7987</v>
      </c>
      <c r="G2923" s="820">
        <v>46331.0</v>
      </c>
      <c r="H2923" s="772">
        <v>14.0</v>
      </c>
      <c r="I2923" s="472" t="s">
        <v>2890</v>
      </c>
      <c r="J2923" s="143" t="s">
        <v>10169</v>
      </c>
      <c r="K2923" s="530">
        <v>46331.0</v>
      </c>
      <c r="L2923" s="492" t="s">
        <v>374</v>
      </c>
      <c r="N2923" s="143" t="s">
        <v>10170</v>
      </c>
      <c r="O2923" s="143" t="s">
        <v>10171</v>
      </c>
      <c r="P2923" s="587" t="s">
        <v>1432</v>
      </c>
    </row>
    <row r="2924" hidden="1">
      <c r="A2924" s="471">
        <v>26.0</v>
      </c>
      <c r="B2924" s="470" t="s">
        <v>10172</v>
      </c>
      <c r="C2924" s="471" t="s">
        <v>80</v>
      </c>
      <c r="D2924" s="471" t="s">
        <v>10173</v>
      </c>
      <c r="E2924" s="615" t="s">
        <v>10174</v>
      </c>
      <c r="F2924" s="471" t="s">
        <v>3583</v>
      </c>
      <c r="G2924" s="820">
        <v>46178.0</v>
      </c>
      <c r="H2924" s="775">
        <v>9.0</v>
      </c>
      <c r="I2924" s="472" t="s">
        <v>10175</v>
      </c>
      <c r="L2924" s="292" t="s">
        <v>778</v>
      </c>
      <c r="M2924" s="143" t="s">
        <v>10176</v>
      </c>
      <c r="O2924" s="143" t="s">
        <v>10176</v>
      </c>
    </row>
    <row r="2925" hidden="1">
      <c r="A2925" s="471">
        <v>27.0</v>
      </c>
      <c r="B2925" s="470" t="s">
        <v>10177</v>
      </c>
      <c r="C2925" s="471" t="s">
        <v>651</v>
      </c>
      <c r="D2925" s="471" t="s">
        <v>10178</v>
      </c>
      <c r="E2925" s="471" t="s">
        <v>10179</v>
      </c>
      <c r="F2925" s="471" t="s">
        <v>4779</v>
      </c>
      <c r="G2925" s="820">
        <v>46331.0</v>
      </c>
      <c r="H2925" s="772">
        <v>14.0</v>
      </c>
      <c r="I2925" s="472" t="s">
        <v>2890</v>
      </c>
      <c r="J2925" s="143" t="s">
        <v>362</v>
      </c>
      <c r="K2925" s="571">
        <v>46178.0</v>
      </c>
      <c r="L2925" s="492" t="s">
        <v>51</v>
      </c>
      <c r="O2925" s="143" t="s">
        <v>9899</v>
      </c>
    </row>
    <row r="2926" hidden="1">
      <c r="A2926" s="471">
        <v>28.0</v>
      </c>
      <c r="B2926" s="470" t="s">
        <v>10180</v>
      </c>
      <c r="C2926" s="471" t="s">
        <v>651</v>
      </c>
      <c r="D2926" s="471" t="s">
        <v>10181</v>
      </c>
      <c r="E2926" s="471" t="s">
        <v>10182</v>
      </c>
      <c r="F2926" s="471" t="s">
        <v>4779</v>
      </c>
      <c r="G2926" s="820">
        <v>46331.0</v>
      </c>
      <c r="H2926" s="772">
        <v>14.0</v>
      </c>
      <c r="I2926" s="472" t="s">
        <v>2890</v>
      </c>
      <c r="L2926" s="492" t="s">
        <v>4195</v>
      </c>
      <c r="N2926" s="143" t="s">
        <v>10006</v>
      </c>
      <c r="O2926" s="143" t="s">
        <v>9992</v>
      </c>
      <c r="P2926" s="587" t="s">
        <v>1432</v>
      </c>
    </row>
    <row r="2927" hidden="1">
      <c r="A2927" s="471">
        <v>29.0</v>
      </c>
      <c r="B2927" s="470" t="s">
        <v>10183</v>
      </c>
      <c r="C2927" s="471" t="s">
        <v>80</v>
      </c>
      <c r="D2927" s="471" t="s">
        <v>10184</v>
      </c>
      <c r="E2927" s="558" t="s">
        <v>10185</v>
      </c>
      <c r="F2927" s="471" t="s">
        <v>4771</v>
      </c>
      <c r="G2927" s="820">
        <v>46361.0</v>
      </c>
      <c r="H2927" s="772">
        <v>15.0</v>
      </c>
      <c r="I2927" s="522" t="s">
        <v>10093</v>
      </c>
      <c r="L2927" s="292" t="s">
        <v>374</v>
      </c>
      <c r="N2927" s="143" t="s">
        <v>10186</v>
      </c>
      <c r="O2927" s="143" t="s">
        <v>208</v>
      </c>
      <c r="P2927" s="587" t="s">
        <v>1432</v>
      </c>
    </row>
    <row r="2928" hidden="1">
      <c r="A2928" s="471">
        <v>30.0</v>
      </c>
      <c r="B2928" s="470" t="s">
        <v>10187</v>
      </c>
      <c r="C2928" s="471" t="s">
        <v>80</v>
      </c>
      <c r="D2928" s="471" t="s">
        <v>10188</v>
      </c>
      <c r="E2928" s="558" t="s">
        <v>10189</v>
      </c>
      <c r="F2928" s="471" t="s">
        <v>4771</v>
      </c>
      <c r="G2928" s="820">
        <v>46361.0</v>
      </c>
      <c r="H2928" s="772">
        <v>15.0</v>
      </c>
      <c r="I2928" s="522" t="s">
        <v>10093</v>
      </c>
      <c r="L2928" s="292" t="s">
        <v>374</v>
      </c>
      <c r="O2928" s="143" t="s">
        <v>208</v>
      </c>
      <c r="P2928" s="587" t="s">
        <v>1432</v>
      </c>
    </row>
    <row r="2929" hidden="1">
      <c r="A2929" s="471">
        <v>31.0</v>
      </c>
      <c r="B2929" s="470" t="s">
        <v>10190</v>
      </c>
      <c r="C2929" s="471" t="s">
        <v>1185</v>
      </c>
      <c r="D2929" s="471" t="s">
        <v>10191</v>
      </c>
      <c r="E2929" s="471" t="s">
        <v>10192</v>
      </c>
      <c r="F2929" s="471" t="s">
        <v>25</v>
      </c>
      <c r="G2929" s="812" t="s">
        <v>9899</v>
      </c>
      <c r="H2929" s="772">
        <v>16.0</v>
      </c>
      <c r="I2929" s="522" t="s">
        <v>10086</v>
      </c>
      <c r="J2929" s="143" t="s">
        <v>10193</v>
      </c>
      <c r="L2929" s="292" t="s">
        <v>374</v>
      </c>
      <c r="N2929" s="143" t="s">
        <v>10186</v>
      </c>
      <c r="O2929" s="292" t="s">
        <v>10194</v>
      </c>
      <c r="P2929" s="587" t="s">
        <v>1432</v>
      </c>
    </row>
    <row r="2930" hidden="1">
      <c r="A2930" s="471">
        <v>32.0</v>
      </c>
      <c r="B2930" s="470" t="s">
        <v>10195</v>
      </c>
      <c r="C2930" s="471" t="s">
        <v>1185</v>
      </c>
      <c r="D2930" s="471" t="s">
        <v>10196</v>
      </c>
      <c r="E2930" s="615" t="s">
        <v>10197</v>
      </c>
      <c r="F2930" s="471" t="s">
        <v>3583</v>
      </c>
      <c r="G2930" s="820">
        <v>46208.0</v>
      </c>
      <c r="H2930" s="772">
        <v>10.0</v>
      </c>
      <c r="I2930" s="522" t="s">
        <v>10198</v>
      </c>
      <c r="L2930" s="292" t="s">
        <v>778</v>
      </c>
      <c r="M2930" s="143" t="s">
        <v>10176</v>
      </c>
      <c r="O2930" s="143" t="s">
        <v>10176</v>
      </c>
    </row>
    <row r="2931" hidden="1">
      <c r="A2931" s="471">
        <v>33.0</v>
      </c>
      <c r="B2931" s="470" t="s">
        <v>10199</v>
      </c>
      <c r="C2931" s="471" t="s">
        <v>1185</v>
      </c>
      <c r="D2931" s="471" t="s">
        <v>10200</v>
      </c>
      <c r="E2931" s="471" t="s">
        <v>10201</v>
      </c>
      <c r="F2931" s="471" t="s">
        <v>25</v>
      </c>
      <c r="G2931" s="812" t="s">
        <v>9899</v>
      </c>
      <c r="H2931" s="772">
        <v>16.0</v>
      </c>
      <c r="I2931" s="472" t="s">
        <v>2890</v>
      </c>
      <c r="L2931" s="492" t="s">
        <v>51</v>
      </c>
      <c r="O2931" s="143" t="s">
        <v>9966</v>
      </c>
      <c r="P2931" s="587" t="s">
        <v>1432</v>
      </c>
    </row>
    <row r="2932" hidden="1">
      <c r="A2932" s="471">
        <v>34.0</v>
      </c>
      <c r="B2932" s="470" t="s">
        <v>10202</v>
      </c>
      <c r="C2932" s="471" t="s">
        <v>651</v>
      </c>
      <c r="D2932" s="471" t="s">
        <v>10203</v>
      </c>
      <c r="E2932" s="471" t="s">
        <v>10204</v>
      </c>
      <c r="F2932" s="471" t="s">
        <v>4779</v>
      </c>
      <c r="G2932" s="812" t="s">
        <v>9899</v>
      </c>
      <c r="H2932" s="772">
        <v>16.0</v>
      </c>
      <c r="I2932" s="522" t="s">
        <v>10157</v>
      </c>
      <c r="L2932" s="492" t="s">
        <v>4195</v>
      </c>
      <c r="N2932" s="143" t="s">
        <v>10205</v>
      </c>
      <c r="O2932" s="143" t="s">
        <v>10206</v>
      </c>
      <c r="P2932" s="587" t="s">
        <v>1432</v>
      </c>
    </row>
    <row r="2933" hidden="1">
      <c r="A2933" s="471">
        <v>35.0</v>
      </c>
      <c r="B2933" s="470" t="s">
        <v>10207</v>
      </c>
      <c r="C2933" s="471" t="s">
        <v>80</v>
      </c>
      <c r="D2933" s="471" t="s">
        <v>10208</v>
      </c>
      <c r="E2933" s="615" t="s">
        <v>10209</v>
      </c>
      <c r="F2933" s="471" t="s">
        <v>3928</v>
      </c>
      <c r="G2933" s="820">
        <v>46239.0</v>
      </c>
      <c r="H2933" s="772">
        <v>11.0</v>
      </c>
      <c r="I2933" s="522" t="s">
        <v>10210</v>
      </c>
      <c r="K2933" s="571">
        <v>46058.0</v>
      </c>
      <c r="L2933" s="292"/>
      <c r="O2933" s="571">
        <v>46058.0</v>
      </c>
    </row>
    <row r="2934" hidden="1">
      <c r="A2934" s="471">
        <v>36.0</v>
      </c>
      <c r="B2934" s="470" t="s">
        <v>10211</v>
      </c>
      <c r="C2934" s="471" t="s">
        <v>80</v>
      </c>
      <c r="D2934" s="471" t="s">
        <v>10212</v>
      </c>
      <c r="E2934" s="615" t="s">
        <v>10213</v>
      </c>
      <c r="F2934" s="471" t="s">
        <v>3928</v>
      </c>
      <c r="G2934" s="820">
        <v>46208.0</v>
      </c>
      <c r="H2934" s="772">
        <v>10.0</v>
      </c>
      <c r="I2934" s="472" t="s">
        <v>2890</v>
      </c>
      <c r="L2934" s="292" t="s">
        <v>9469</v>
      </c>
      <c r="O2934" s="143" t="s">
        <v>10214</v>
      </c>
    </row>
    <row r="2935" hidden="1">
      <c r="A2935" s="471">
        <v>37.0</v>
      </c>
      <c r="B2935" s="470" t="s">
        <v>10215</v>
      </c>
      <c r="C2935" s="471" t="s">
        <v>80</v>
      </c>
      <c r="D2935" s="471" t="s">
        <v>10216</v>
      </c>
      <c r="E2935" s="615" t="s">
        <v>10217</v>
      </c>
      <c r="F2935" s="471" t="s">
        <v>3928</v>
      </c>
      <c r="G2935" s="820">
        <v>46208.0</v>
      </c>
      <c r="H2935" s="772">
        <v>10.0</v>
      </c>
      <c r="I2935" s="472" t="s">
        <v>2890</v>
      </c>
      <c r="L2935" s="292" t="s">
        <v>9469</v>
      </c>
      <c r="O2935" s="143" t="s">
        <v>10214</v>
      </c>
    </row>
    <row r="2936" hidden="1">
      <c r="A2936" s="471">
        <v>38.0</v>
      </c>
      <c r="B2936" s="470" t="s">
        <v>10218</v>
      </c>
      <c r="C2936" s="471" t="s">
        <v>80</v>
      </c>
      <c r="D2936" s="471" t="s">
        <v>10219</v>
      </c>
      <c r="E2936" s="615" t="s">
        <v>10220</v>
      </c>
      <c r="F2936" s="471" t="s">
        <v>3928</v>
      </c>
      <c r="G2936" s="820">
        <v>46208.0</v>
      </c>
      <c r="H2936" s="772">
        <v>10.0</v>
      </c>
      <c r="I2936" s="472" t="s">
        <v>2890</v>
      </c>
      <c r="L2936" s="292" t="s">
        <v>9469</v>
      </c>
      <c r="O2936" s="143" t="s">
        <v>10214</v>
      </c>
    </row>
    <row r="2937" hidden="1">
      <c r="A2937" s="471">
        <v>39.0</v>
      </c>
      <c r="B2937" s="470" t="s">
        <v>10221</v>
      </c>
      <c r="C2937" s="471" t="s">
        <v>80</v>
      </c>
      <c r="D2937" s="471" t="s">
        <v>10222</v>
      </c>
      <c r="E2937" s="615" t="s">
        <v>10223</v>
      </c>
      <c r="F2937" s="471" t="s">
        <v>3928</v>
      </c>
      <c r="G2937" s="820">
        <v>46208.0</v>
      </c>
      <c r="H2937" s="772">
        <v>10.0</v>
      </c>
      <c r="I2937" s="522" t="s">
        <v>10076</v>
      </c>
      <c r="L2937" s="292" t="s">
        <v>9469</v>
      </c>
      <c r="O2937" s="143" t="s">
        <v>10214</v>
      </c>
    </row>
    <row r="2938" hidden="1">
      <c r="A2938" s="471">
        <v>40.0</v>
      </c>
      <c r="B2938" s="470" t="s">
        <v>10224</v>
      </c>
      <c r="C2938" s="471" t="s">
        <v>80</v>
      </c>
      <c r="D2938" s="471" t="s">
        <v>10225</v>
      </c>
      <c r="E2938" s="471" t="s">
        <v>10226</v>
      </c>
      <c r="F2938" s="471" t="s">
        <v>556</v>
      </c>
      <c r="G2938" s="820">
        <v>46270.0</v>
      </c>
      <c r="H2938" s="772">
        <v>12.0</v>
      </c>
      <c r="I2938" s="522" t="s">
        <v>10157</v>
      </c>
      <c r="J2938" s="143" t="s">
        <v>2065</v>
      </c>
      <c r="K2938" s="571">
        <v>46178.0</v>
      </c>
      <c r="L2938" s="292" t="s">
        <v>374</v>
      </c>
      <c r="N2938" s="143" t="s">
        <v>10227</v>
      </c>
      <c r="O2938" s="143" t="s">
        <v>10171</v>
      </c>
      <c r="P2938" s="587" t="s">
        <v>1432</v>
      </c>
    </row>
    <row r="2939" hidden="1">
      <c r="A2939" s="339" t="s">
        <v>10228</v>
      </c>
      <c r="Q2939" s="35"/>
      <c r="R2939" s="35"/>
      <c r="S2939" s="35"/>
      <c r="T2939" s="35"/>
      <c r="U2939" s="35"/>
      <c r="V2939" s="35"/>
      <c r="W2939" s="35"/>
      <c r="X2939" s="35"/>
      <c r="Y2939" s="35"/>
      <c r="Z2939" s="35"/>
      <c r="AA2939" s="35"/>
      <c r="AB2939" s="35"/>
      <c r="AC2939" s="35"/>
      <c r="AD2939" s="35"/>
      <c r="AE2939" s="35"/>
      <c r="AF2939" s="35"/>
    </row>
    <row r="2940" hidden="1">
      <c r="A2940" s="670" t="s">
        <v>47</v>
      </c>
      <c r="B2940" s="670" t="s">
        <v>7</v>
      </c>
      <c r="C2940" s="670" t="s">
        <v>9</v>
      </c>
      <c r="D2940" s="670" t="s">
        <v>10</v>
      </c>
      <c r="E2940" s="670" t="s">
        <v>11</v>
      </c>
      <c r="F2940" s="670" t="s">
        <v>12</v>
      </c>
      <c r="G2940" s="670" t="s">
        <v>2378</v>
      </c>
      <c r="H2940" s="670" t="s">
        <v>2681</v>
      </c>
      <c r="I2940" s="4" t="s">
        <v>2847</v>
      </c>
      <c r="J2940" s="8" t="s">
        <v>14</v>
      </c>
      <c r="K2940" s="9" t="s">
        <v>16</v>
      </c>
      <c r="L2940" s="9" t="s">
        <v>4330</v>
      </c>
      <c r="M2940" s="9" t="s">
        <v>18</v>
      </c>
      <c r="N2940" s="9" t="s">
        <v>19</v>
      </c>
      <c r="O2940" s="9" t="s">
        <v>20</v>
      </c>
      <c r="P2940" s="9" t="s">
        <v>21</v>
      </c>
      <c r="Q2940" s="35"/>
      <c r="R2940" s="35"/>
      <c r="S2940" s="35"/>
      <c r="T2940" s="35"/>
      <c r="U2940" s="35"/>
      <c r="V2940" s="35"/>
      <c r="W2940" s="35"/>
      <c r="X2940" s="35"/>
      <c r="Y2940" s="35"/>
      <c r="Z2940" s="35"/>
      <c r="AA2940" s="35"/>
      <c r="AB2940" s="35"/>
      <c r="AC2940" s="35"/>
      <c r="AD2940" s="35"/>
      <c r="AE2940" s="35"/>
      <c r="AF2940" s="35"/>
    </row>
    <row r="2941" hidden="1">
      <c r="A2941" s="574">
        <v>1.0</v>
      </c>
      <c r="B2941" s="601" t="s">
        <v>10229</v>
      </c>
      <c r="C2941" s="738" t="s">
        <v>80</v>
      </c>
      <c r="D2941" s="574" t="s">
        <v>10230</v>
      </c>
      <c r="E2941" s="574" t="s">
        <v>10231</v>
      </c>
      <c r="F2941" s="778" t="s">
        <v>9083</v>
      </c>
      <c r="G2941" s="819">
        <v>46239.0</v>
      </c>
      <c r="H2941" s="770">
        <v>9.0</v>
      </c>
      <c r="I2941" s="809" t="s">
        <v>10232</v>
      </c>
      <c r="L2941" s="292" t="s">
        <v>374</v>
      </c>
      <c r="N2941" s="143"/>
      <c r="O2941" s="143" t="s">
        <v>9966</v>
      </c>
      <c r="P2941" s="587" t="s">
        <v>1432</v>
      </c>
    </row>
    <row r="2942" hidden="1">
      <c r="A2942" s="574">
        <v>2.0</v>
      </c>
      <c r="B2942" s="601" t="s">
        <v>10233</v>
      </c>
      <c r="C2942" s="738" t="s">
        <v>80</v>
      </c>
      <c r="D2942" s="574" t="s">
        <v>10234</v>
      </c>
      <c r="E2942" s="574" t="s">
        <v>10235</v>
      </c>
      <c r="F2942" s="778" t="s">
        <v>10236</v>
      </c>
      <c r="G2942" s="819">
        <v>46270.0</v>
      </c>
      <c r="H2942" s="738">
        <v>10.0</v>
      </c>
      <c r="I2942" s="811" t="s">
        <v>2890</v>
      </c>
      <c r="L2942" s="292" t="s">
        <v>51</v>
      </c>
      <c r="O2942" s="571">
        <v>46058.0</v>
      </c>
      <c r="P2942" s="587" t="s">
        <v>1432</v>
      </c>
    </row>
    <row r="2943" hidden="1">
      <c r="A2943" s="574">
        <v>3.0</v>
      </c>
      <c r="B2943" s="601" t="s">
        <v>10237</v>
      </c>
      <c r="C2943" s="738" t="s">
        <v>80</v>
      </c>
      <c r="D2943" s="574" t="s">
        <v>10238</v>
      </c>
      <c r="E2943" s="574" t="s">
        <v>10239</v>
      </c>
      <c r="F2943" s="778" t="s">
        <v>2019</v>
      </c>
      <c r="G2943" s="811" t="s">
        <v>375</v>
      </c>
      <c r="H2943" s="770">
        <v>-2.0</v>
      </c>
      <c r="I2943" s="811" t="s">
        <v>2890</v>
      </c>
      <c r="L2943" s="292" t="s">
        <v>4195</v>
      </c>
      <c r="O2943" s="726">
        <v>46117.0</v>
      </c>
    </row>
    <row r="2944" hidden="1">
      <c r="A2944" s="472">
        <v>4.0</v>
      </c>
      <c r="B2944" s="595" t="s">
        <v>10240</v>
      </c>
      <c r="C2944" s="741" t="s">
        <v>80</v>
      </c>
      <c r="D2944" s="472" t="s">
        <v>10241</v>
      </c>
      <c r="E2944" s="599" t="s">
        <v>10242</v>
      </c>
      <c r="F2944" s="781" t="s">
        <v>3583</v>
      </c>
      <c r="G2944" s="820">
        <v>46331.0</v>
      </c>
      <c r="H2944" s="772">
        <v>12.0</v>
      </c>
      <c r="I2944" s="812" t="s">
        <v>2890</v>
      </c>
      <c r="L2944" s="292" t="s">
        <v>778</v>
      </c>
      <c r="O2944" s="143" t="s">
        <v>10176</v>
      </c>
    </row>
    <row r="2945" hidden="1">
      <c r="A2945" s="472">
        <v>5.0</v>
      </c>
      <c r="B2945" s="595" t="s">
        <v>10243</v>
      </c>
      <c r="C2945" s="741" t="s">
        <v>80</v>
      </c>
      <c r="D2945" s="472" t="s">
        <v>10244</v>
      </c>
      <c r="E2945" s="599" t="s">
        <v>10245</v>
      </c>
      <c r="F2945" s="781" t="s">
        <v>3583</v>
      </c>
      <c r="G2945" s="820">
        <v>46331.0</v>
      </c>
      <c r="H2945" s="772">
        <v>12.0</v>
      </c>
      <c r="I2945" s="813" t="s">
        <v>10086</v>
      </c>
      <c r="L2945" s="292" t="s">
        <v>778</v>
      </c>
      <c r="O2945" s="143" t="s">
        <v>9966</v>
      </c>
    </row>
    <row r="2946" hidden="1">
      <c r="A2946" s="472">
        <v>6.0</v>
      </c>
      <c r="B2946" s="595" t="s">
        <v>10246</v>
      </c>
      <c r="C2946" s="741" t="s">
        <v>80</v>
      </c>
      <c r="D2946" s="472" t="s">
        <v>10247</v>
      </c>
      <c r="E2946" s="599" t="s">
        <v>10248</v>
      </c>
      <c r="F2946" s="781" t="s">
        <v>3583</v>
      </c>
      <c r="G2946" s="820">
        <v>46331.0</v>
      </c>
      <c r="H2946" s="772">
        <v>12.0</v>
      </c>
      <c r="I2946" s="813" t="s">
        <v>10086</v>
      </c>
      <c r="L2946" s="292" t="s">
        <v>778</v>
      </c>
      <c r="O2946" s="143" t="s">
        <v>9966</v>
      </c>
    </row>
    <row r="2947" hidden="1">
      <c r="A2947" s="472">
        <v>7.0</v>
      </c>
      <c r="B2947" s="595" t="s">
        <v>10249</v>
      </c>
      <c r="C2947" s="744" t="s">
        <v>8280</v>
      </c>
      <c r="D2947" s="472" t="s">
        <v>10250</v>
      </c>
      <c r="E2947" s="599" t="s">
        <v>10251</v>
      </c>
      <c r="F2947" s="781" t="s">
        <v>3583</v>
      </c>
      <c r="G2947" s="820">
        <v>46331.0</v>
      </c>
      <c r="H2947" s="772">
        <v>12.0</v>
      </c>
      <c r="I2947" s="812" t="s">
        <v>2890</v>
      </c>
      <c r="L2947" s="292" t="s">
        <v>778</v>
      </c>
      <c r="O2947" s="143" t="s">
        <v>10176</v>
      </c>
    </row>
    <row r="2948" hidden="1">
      <c r="A2948" s="472">
        <v>8.0</v>
      </c>
      <c r="B2948" s="595" t="s">
        <v>10252</v>
      </c>
      <c r="C2948" s="741" t="s">
        <v>80</v>
      </c>
      <c r="D2948" s="472" t="s">
        <v>10253</v>
      </c>
      <c r="E2948" s="599" t="s">
        <v>10254</v>
      </c>
      <c r="F2948" s="781" t="s">
        <v>3583</v>
      </c>
      <c r="G2948" s="820">
        <v>46331.0</v>
      </c>
      <c r="H2948" s="772">
        <v>12.0</v>
      </c>
      <c r="I2948" s="813" t="s">
        <v>10120</v>
      </c>
      <c r="L2948" s="292" t="s">
        <v>778</v>
      </c>
      <c r="O2948" s="143" t="s">
        <v>9966</v>
      </c>
    </row>
    <row r="2949" hidden="1">
      <c r="A2949" s="472">
        <v>9.0</v>
      </c>
      <c r="B2949" s="595" t="s">
        <v>10255</v>
      </c>
      <c r="C2949" s="741" t="s">
        <v>80</v>
      </c>
      <c r="D2949" s="472" t="s">
        <v>10256</v>
      </c>
      <c r="E2949" s="599" t="s">
        <v>10257</v>
      </c>
      <c r="F2949" s="781" t="s">
        <v>3928</v>
      </c>
      <c r="G2949" s="820">
        <v>46331.0</v>
      </c>
      <c r="H2949" s="772">
        <v>12.0</v>
      </c>
      <c r="I2949" s="813" t="s">
        <v>10086</v>
      </c>
      <c r="L2949" s="292" t="s">
        <v>9469</v>
      </c>
      <c r="O2949" s="143" t="s">
        <v>10214</v>
      </c>
    </row>
    <row r="2950" hidden="1">
      <c r="A2950" s="472">
        <v>10.0</v>
      </c>
      <c r="B2950" s="595" t="s">
        <v>10258</v>
      </c>
      <c r="C2950" s="741" t="s">
        <v>80</v>
      </c>
      <c r="D2950" s="472" t="s">
        <v>10259</v>
      </c>
      <c r="E2950" s="599" t="s">
        <v>10260</v>
      </c>
      <c r="F2950" s="781" t="s">
        <v>3928</v>
      </c>
      <c r="G2950" s="820">
        <v>46331.0</v>
      </c>
      <c r="H2950" s="772">
        <v>12.0</v>
      </c>
      <c r="I2950" s="813" t="s">
        <v>10086</v>
      </c>
      <c r="L2950" s="292" t="s">
        <v>9469</v>
      </c>
      <c r="O2950" s="143" t="s">
        <v>10214</v>
      </c>
    </row>
    <row r="2951" hidden="1">
      <c r="A2951" s="472">
        <v>11.0</v>
      </c>
      <c r="B2951" s="595" t="s">
        <v>10261</v>
      </c>
      <c r="C2951" s="741" t="s">
        <v>80</v>
      </c>
      <c r="D2951" s="472" t="s">
        <v>10262</v>
      </c>
      <c r="E2951" s="599" t="s">
        <v>10263</v>
      </c>
      <c r="F2951" s="781" t="s">
        <v>3928</v>
      </c>
      <c r="G2951" s="820">
        <v>46331.0</v>
      </c>
      <c r="H2951" s="772">
        <v>12.0</v>
      </c>
      <c r="I2951" s="813" t="s">
        <v>10086</v>
      </c>
      <c r="L2951" s="292" t="s">
        <v>9469</v>
      </c>
      <c r="O2951" s="143" t="s">
        <v>10214</v>
      </c>
    </row>
    <row r="2952" hidden="1">
      <c r="A2952" s="472">
        <v>12.0</v>
      </c>
      <c r="B2952" s="595" t="s">
        <v>10264</v>
      </c>
      <c r="C2952" s="741" t="s">
        <v>80</v>
      </c>
      <c r="D2952" s="472" t="s">
        <v>10265</v>
      </c>
      <c r="E2952" s="599" t="s">
        <v>10266</v>
      </c>
      <c r="F2952" s="781" t="s">
        <v>3928</v>
      </c>
      <c r="G2952" s="820">
        <v>46331.0</v>
      </c>
      <c r="H2952" s="772">
        <v>12.0</v>
      </c>
      <c r="I2952" s="813" t="s">
        <v>10099</v>
      </c>
      <c r="L2952" s="292" t="s">
        <v>9469</v>
      </c>
      <c r="O2952" s="143" t="s">
        <v>10214</v>
      </c>
    </row>
    <row r="2953" hidden="1">
      <c r="A2953" s="472">
        <v>13.0</v>
      </c>
      <c r="B2953" s="595" t="s">
        <v>10267</v>
      </c>
      <c r="C2953" s="741" t="s">
        <v>80</v>
      </c>
      <c r="D2953" s="472" t="s">
        <v>10268</v>
      </c>
      <c r="E2953" s="599" t="s">
        <v>10269</v>
      </c>
      <c r="F2953" s="781" t="s">
        <v>3928</v>
      </c>
      <c r="G2953" s="820">
        <v>46331.0</v>
      </c>
      <c r="H2953" s="772">
        <v>12.0</v>
      </c>
      <c r="I2953" s="813" t="s">
        <v>10093</v>
      </c>
      <c r="L2953" s="292" t="s">
        <v>9469</v>
      </c>
      <c r="O2953" s="143" t="s">
        <v>10214</v>
      </c>
    </row>
    <row r="2954" hidden="1">
      <c r="A2954" s="472">
        <v>14.0</v>
      </c>
      <c r="B2954" s="595" t="s">
        <v>10270</v>
      </c>
      <c r="C2954" s="741" t="s">
        <v>80</v>
      </c>
      <c r="D2954" s="472" t="s">
        <v>10271</v>
      </c>
      <c r="E2954" s="599" t="s">
        <v>10272</v>
      </c>
      <c r="F2954" s="781" t="s">
        <v>3928</v>
      </c>
      <c r="G2954" s="820">
        <v>46331.0</v>
      </c>
      <c r="H2954" s="772">
        <v>12.0</v>
      </c>
      <c r="I2954" s="812" t="s">
        <v>2890</v>
      </c>
      <c r="L2954" s="292" t="s">
        <v>9469</v>
      </c>
      <c r="O2954" s="143" t="s">
        <v>10214</v>
      </c>
    </row>
    <row r="2955" hidden="1">
      <c r="A2955" s="472">
        <v>15.0</v>
      </c>
      <c r="B2955" s="595" t="s">
        <v>10273</v>
      </c>
      <c r="C2955" s="741" t="s">
        <v>80</v>
      </c>
      <c r="D2955" s="472" t="s">
        <v>10274</v>
      </c>
      <c r="E2955" s="599" t="s">
        <v>10275</v>
      </c>
      <c r="F2955" s="781" t="s">
        <v>3928</v>
      </c>
      <c r="G2955" s="820">
        <v>46331.0</v>
      </c>
      <c r="H2955" s="772">
        <v>12.0</v>
      </c>
      <c r="I2955" s="813" t="s">
        <v>10086</v>
      </c>
      <c r="L2955" s="292" t="s">
        <v>9469</v>
      </c>
      <c r="O2955" s="143" t="s">
        <v>10214</v>
      </c>
    </row>
    <row r="2956" hidden="1">
      <c r="A2956" s="472">
        <v>16.0</v>
      </c>
      <c r="B2956" s="595" t="s">
        <v>10276</v>
      </c>
      <c r="C2956" s="645"/>
      <c r="D2956" s="472" t="s">
        <v>10277</v>
      </c>
      <c r="E2956" s="472" t="s">
        <v>10278</v>
      </c>
      <c r="F2956" s="645"/>
      <c r="G2956" s="645"/>
      <c r="H2956" s="645"/>
      <c r="I2956" s="812" t="s">
        <v>2890</v>
      </c>
      <c r="L2956" s="292" t="s">
        <v>374</v>
      </c>
      <c r="N2956" s="143" t="s">
        <v>10279</v>
      </c>
      <c r="O2956" s="143" t="s">
        <v>9435</v>
      </c>
    </row>
    <row r="2957" hidden="1">
      <c r="A2957" s="339" t="s">
        <v>10280</v>
      </c>
    </row>
    <row r="2958" hidden="1">
      <c r="A2958" s="670" t="s">
        <v>47</v>
      </c>
      <c r="B2958" s="670" t="s">
        <v>7</v>
      </c>
      <c r="C2958" s="670" t="s">
        <v>9</v>
      </c>
      <c r="D2958" s="670" t="s">
        <v>10</v>
      </c>
      <c r="E2958" s="670" t="s">
        <v>11</v>
      </c>
      <c r="F2958" s="670" t="s">
        <v>12</v>
      </c>
      <c r="G2958" s="670" t="s">
        <v>2378</v>
      </c>
      <c r="H2958" s="670" t="s">
        <v>2681</v>
      </c>
      <c r="I2958" s="4" t="s">
        <v>2847</v>
      </c>
      <c r="J2958" s="8" t="s">
        <v>14</v>
      </c>
      <c r="K2958" s="9" t="s">
        <v>16</v>
      </c>
      <c r="L2958" s="9" t="s">
        <v>4330</v>
      </c>
      <c r="M2958" s="9" t="s">
        <v>18</v>
      </c>
      <c r="N2958" s="9" t="s">
        <v>19</v>
      </c>
      <c r="O2958" s="9" t="s">
        <v>20</v>
      </c>
      <c r="P2958" s="9" t="s">
        <v>21</v>
      </c>
    </row>
    <row r="2959" ht="16.5" hidden="1" customHeight="1">
      <c r="A2959" s="821">
        <v>1.0</v>
      </c>
      <c r="B2959" s="822" t="s">
        <v>10281</v>
      </c>
      <c r="C2959" s="823" t="s">
        <v>80</v>
      </c>
      <c r="D2959" s="824" t="s">
        <v>10282</v>
      </c>
      <c r="E2959" s="824" t="s">
        <v>10283</v>
      </c>
      <c r="F2959" s="825" t="s">
        <v>928</v>
      </c>
      <c r="G2959" s="811" t="s">
        <v>9899</v>
      </c>
      <c r="H2959" s="738">
        <v>12.0</v>
      </c>
      <c r="I2959" s="495" t="s">
        <v>2890</v>
      </c>
      <c r="J2959" s="290"/>
      <c r="K2959" s="290"/>
      <c r="L2959" s="826" t="s">
        <v>4195</v>
      </c>
      <c r="M2959" s="290"/>
      <c r="N2959" s="290"/>
      <c r="O2959" s="754">
        <v>46270.0</v>
      </c>
      <c r="P2959" s="587" t="s">
        <v>1432</v>
      </c>
    </row>
    <row r="2960" ht="16.5" hidden="1" customHeight="1">
      <c r="A2960" s="134">
        <v>2.0</v>
      </c>
      <c r="B2960" s="827" t="s">
        <v>10284</v>
      </c>
      <c r="C2960" s="828"/>
      <c r="D2960" s="829" t="s">
        <v>10285</v>
      </c>
      <c r="E2960" s="829" t="s">
        <v>10286</v>
      </c>
      <c r="F2960" s="828"/>
      <c r="G2960" s="830"/>
      <c r="H2960" s="785"/>
      <c r="I2960" s="12" t="s">
        <v>2890</v>
      </c>
      <c r="J2960" s="143" t="s">
        <v>374</v>
      </c>
      <c r="K2960" s="571">
        <v>46058.0</v>
      </c>
      <c r="L2960" s="292" t="s">
        <v>51</v>
      </c>
      <c r="N2960" s="143" t="s">
        <v>10287</v>
      </c>
      <c r="O2960" s="571">
        <v>46117.0</v>
      </c>
    </row>
    <row r="2961" ht="16.5" hidden="1" customHeight="1">
      <c r="A2961" s="134">
        <v>3.0</v>
      </c>
      <c r="B2961" s="827" t="s">
        <v>10288</v>
      </c>
      <c r="C2961" s="831" t="s">
        <v>2307</v>
      </c>
      <c r="D2961" s="829" t="s">
        <v>10289</v>
      </c>
      <c r="E2961" s="829" t="s">
        <v>10290</v>
      </c>
      <c r="F2961" s="831" t="s">
        <v>3656</v>
      </c>
      <c r="G2961" s="820">
        <v>46178.0</v>
      </c>
      <c r="H2961" s="775">
        <v>5.0</v>
      </c>
      <c r="I2961" s="12" t="s">
        <v>2890</v>
      </c>
      <c r="L2961" s="292" t="s">
        <v>4195</v>
      </c>
      <c r="O2961" s="143" t="s">
        <v>10291</v>
      </c>
    </row>
    <row r="2962" ht="16.5" hidden="1" customHeight="1">
      <c r="A2962" s="134">
        <v>4.0</v>
      </c>
      <c r="B2962" s="827" t="s">
        <v>10292</v>
      </c>
      <c r="C2962" s="832" t="s">
        <v>80</v>
      </c>
      <c r="D2962" s="829" t="s">
        <v>10293</v>
      </c>
      <c r="E2962" s="833" t="s">
        <v>10294</v>
      </c>
      <c r="F2962" s="831" t="s">
        <v>9965</v>
      </c>
      <c r="G2962" s="820">
        <v>46178.0</v>
      </c>
      <c r="H2962" s="775">
        <v>5.0</v>
      </c>
      <c r="I2962" s="12" t="s">
        <v>2890</v>
      </c>
      <c r="L2962" s="292" t="s">
        <v>4195</v>
      </c>
      <c r="O2962" s="143" t="s">
        <v>10128</v>
      </c>
      <c r="P2962" s="587" t="s">
        <v>1432</v>
      </c>
    </row>
    <row r="2963" ht="16.5" hidden="1" customHeight="1">
      <c r="A2963" s="134">
        <v>5.0</v>
      </c>
      <c r="B2963" s="827" t="s">
        <v>10295</v>
      </c>
      <c r="C2963" s="831" t="s">
        <v>2307</v>
      </c>
      <c r="D2963" s="829" t="s">
        <v>10296</v>
      </c>
      <c r="E2963" s="829" t="s">
        <v>10297</v>
      </c>
      <c r="F2963" s="831" t="s">
        <v>10298</v>
      </c>
      <c r="G2963" s="820">
        <v>46117.0</v>
      </c>
      <c r="H2963" s="775">
        <v>3.0</v>
      </c>
      <c r="I2963" s="12" t="s">
        <v>2890</v>
      </c>
      <c r="L2963" s="292" t="s">
        <v>4195</v>
      </c>
      <c r="O2963" s="143" t="s">
        <v>10088</v>
      </c>
      <c r="P2963" s="587" t="s">
        <v>1432</v>
      </c>
    </row>
    <row r="2964" ht="16.5" hidden="1" customHeight="1">
      <c r="A2964" s="134">
        <v>6.0</v>
      </c>
      <c r="B2964" s="827" t="s">
        <v>580</v>
      </c>
      <c r="C2964" s="832" t="s">
        <v>80</v>
      </c>
      <c r="D2964" s="829" t="s">
        <v>10299</v>
      </c>
      <c r="E2964" s="829" t="s">
        <v>581</v>
      </c>
      <c r="F2964" s="831" t="s">
        <v>556</v>
      </c>
      <c r="G2964" s="812" t="s">
        <v>9899</v>
      </c>
      <c r="H2964" s="775">
        <v>-18.0</v>
      </c>
      <c r="I2964" s="12" t="s">
        <v>2890</v>
      </c>
      <c r="J2964" s="143" t="s">
        <v>51</v>
      </c>
      <c r="K2964" s="571">
        <v>46270.0</v>
      </c>
      <c r="L2964" s="492" t="s">
        <v>51</v>
      </c>
      <c r="O2964" s="143" t="s">
        <v>10128</v>
      </c>
      <c r="P2964" s="587" t="s">
        <v>1432</v>
      </c>
    </row>
    <row r="2965" ht="16.5" hidden="1" customHeight="1">
      <c r="A2965" s="134">
        <v>7.0</v>
      </c>
      <c r="B2965" s="827" t="s">
        <v>10300</v>
      </c>
      <c r="C2965" s="832" t="s">
        <v>80</v>
      </c>
      <c r="D2965" s="829" t="s">
        <v>10301</v>
      </c>
      <c r="E2965" s="829" t="s">
        <v>10302</v>
      </c>
      <c r="F2965" s="831" t="s">
        <v>556</v>
      </c>
      <c r="G2965" s="812" t="s">
        <v>9090</v>
      </c>
      <c r="H2965" s="772">
        <v>14.0</v>
      </c>
      <c r="I2965" s="12" t="s">
        <v>2890</v>
      </c>
      <c r="L2965" s="492" t="s">
        <v>4195</v>
      </c>
      <c r="O2965" s="143" t="s">
        <v>10291</v>
      </c>
      <c r="P2965" s="587" t="s">
        <v>1432</v>
      </c>
    </row>
    <row r="2966" ht="16.5" hidden="1" customHeight="1">
      <c r="A2966" s="134">
        <v>8.0</v>
      </c>
      <c r="B2966" s="827" t="s">
        <v>10303</v>
      </c>
      <c r="C2966" s="831" t="s">
        <v>8280</v>
      </c>
      <c r="D2966" s="829" t="s">
        <v>10304</v>
      </c>
      <c r="E2966" s="829" t="s">
        <v>10305</v>
      </c>
      <c r="F2966" s="831" t="s">
        <v>556</v>
      </c>
      <c r="G2966" s="812" t="s">
        <v>9090</v>
      </c>
      <c r="H2966" s="772">
        <v>14.0</v>
      </c>
      <c r="I2966" s="12" t="s">
        <v>2890</v>
      </c>
      <c r="J2966" s="143" t="s">
        <v>10306</v>
      </c>
      <c r="K2966" s="143" t="s">
        <v>9090</v>
      </c>
      <c r="L2966" s="492" t="s">
        <v>374</v>
      </c>
      <c r="N2966" s="143" t="s">
        <v>10307</v>
      </c>
      <c r="O2966" s="143" t="s">
        <v>10194</v>
      </c>
      <c r="P2966" s="587" t="s">
        <v>1432</v>
      </c>
    </row>
    <row r="2967" ht="16.5" hidden="1" customHeight="1">
      <c r="A2967" s="134">
        <v>9.0</v>
      </c>
      <c r="B2967" s="827" t="s">
        <v>10308</v>
      </c>
      <c r="C2967" s="832" t="s">
        <v>80</v>
      </c>
      <c r="D2967" s="829" t="s">
        <v>10309</v>
      </c>
      <c r="E2967" s="829" t="s">
        <v>10310</v>
      </c>
      <c r="F2967" s="831" t="s">
        <v>556</v>
      </c>
      <c r="G2967" s="812" t="s">
        <v>9090</v>
      </c>
      <c r="H2967" s="772">
        <v>14.0</v>
      </c>
      <c r="I2967" s="544" t="s">
        <v>3465</v>
      </c>
      <c r="J2967" s="143" t="s">
        <v>51</v>
      </c>
      <c r="K2967" s="143" t="s">
        <v>9899</v>
      </c>
      <c r="L2967" s="492" t="s">
        <v>51</v>
      </c>
      <c r="O2967" s="143" t="s">
        <v>10171</v>
      </c>
      <c r="P2967" s="587" t="s">
        <v>1432</v>
      </c>
    </row>
    <row r="2968" ht="16.5" hidden="1" customHeight="1">
      <c r="A2968" s="134">
        <v>10.0</v>
      </c>
      <c r="B2968" s="827" t="s">
        <v>10311</v>
      </c>
      <c r="C2968" s="832" t="s">
        <v>80</v>
      </c>
      <c r="D2968" s="829" t="s">
        <v>10312</v>
      </c>
      <c r="E2968" s="829" t="s">
        <v>10313</v>
      </c>
      <c r="F2968" s="831" t="s">
        <v>10314</v>
      </c>
      <c r="G2968" s="812" t="s">
        <v>9090</v>
      </c>
      <c r="H2968" s="772">
        <v>14.0</v>
      </c>
      <c r="I2968" s="12" t="s">
        <v>2890</v>
      </c>
      <c r="L2968" s="492" t="s">
        <v>4195</v>
      </c>
      <c r="O2968" s="143" t="s">
        <v>9090</v>
      </c>
      <c r="P2968" s="587" t="s">
        <v>1432</v>
      </c>
    </row>
    <row r="2969" ht="16.5" hidden="1" customHeight="1">
      <c r="A2969" s="134">
        <v>11.0</v>
      </c>
      <c r="B2969" s="827" t="s">
        <v>10315</v>
      </c>
      <c r="C2969" s="831" t="s">
        <v>80</v>
      </c>
      <c r="D2969" s="829" t="s">
        <v>10316</v>
      </c>
      <c r="E2969" s="829" t="s">
        <v>10317</v>
      </c>
      <c r="F2969" s="831" t="s">
        <v>160</v>
      </c>
      <c r="G2969" s="812" t="s">
        <v>9090</v>
      </c>
      <c r="H2969" s="772">
        <v>14.0</v>
      </c>
      <c r="I2969" s="12" t="s">
        <v>2890</v>
      </c>
      <c r="J2969" s="143" t="s">
        <v>10306</v>
      </c>
      <c r="K2969" s="143" t="s">
        <v>9090</v>
      </c>
      <c r="L2969" s="492" t="s">
        <v>374</v>
      </c>
      <c r="N2969" s="143" t="s">
        <v>10318</v>
      </c>
      <c r="O2969" s="143" t="s">
        <v>10319</v>
      </c>
      <c r="P2969" s="587" t="s">
        <v>1432</v>
      </c>
    </row>
    <row r="2970" ht="16.5" hidden="1" customHeight="1">
      <c r="A2970" s="134">
        <v>12.0</v>
      </c>
      <c r="B2970" s="827" t="s">
        <v>10320</v>
      </c>
      <c r="C2970" s="832" t="s">
        <v>80</v>
      </c>
      <c r="D2970" s="829" t="s">
        <v>10321</v>
      </c>
      <c r="E2970" s="829" t="s">
        <v>10322</v>
      </c>
      <c r="F2970" s="831" t="s">
        <v>10323</v>
      </c>
      <c r="G2970" s="812" t="s">
        <v>9090</v>
      </c>
      <c r="H2970" s="772">
        <v>14.0</v>
      </c>
      <c r="I2970" s="12" t="s">
        <v>2890</v>
      </c>
      <c r="L2970" s="492" t="s">
        <v>51</v>
      </c>
      <c r="O2970" s="143" t="s">
        <v>10171</v>
      </c>
      <c r="P2970" s="587" t="s">
        <v>1432</v>
      </c>
    </row>
    <row r="2971" ht="16.5" hidden="1" customHeight="1">
      <c r="A2971" s="134">
        <v>13.0</v>
      </c>
      <c r="B2971" s="827" t="s">
        <v>10324</v>
      </c>
      <c r="C2971" s="831" t="s">
        <v>80</v>
      </c>
      <c r="D2971" s="829" t="s">
        <v>10325</v>
      </c>
      <c r="E2971" s="834" t="s">
        <v>10326</v>
      </c>
      <c r="F2971" s="831" t="s">
        <v>3928</v>
      </c>
      <c r="G2971" s="812" t="s">
        <v>9090</v>
      </c>
      <c r="H2971" s="772">
        <v>14.0</v>
      </c>
      <c r="I2971" s="12" t="s">
        <v>2890</v>
      </c>
      <c r="L2971" s="292" t="s">
        <v>9469</v>
      </c>
      <c r="O2971" s="143" t="s">
        <v>10327</v>
      </c>
    </row>
    <row r="2972" ht="16.5" hidden="1" customHeight="1">
      <c r="A2972" s="134">
        <v>14.0</v>
      </c>
      <c r="B2972" s="827" t="s">
        <v>10328</v>
      </c>
      <c r="C2972" s="832" t="s">
        <v>80</v>
      </c>
      <c r="D2972" s="829" t="s">
        <v>10329</v>
      </c>
      <c r="E2972" s="834" t="s">
        <v>10330</v>
      </c>
      <c r="F2972" s="831" t="s">
        <v>3928</v>
      </c>
      <c r="G2972" s="812" t="s">
        <v>9090</v>
      </c>
      <c r="H2972" s="772">
        <v>14.0</v>
      </c>
      <c r="I2972" s="12" t="s">
        <v>2890</v>
      </c>
      <c r="L2972" s="292" t="s">
        <v>9469</v>
      </c>
      <c r="O2972" s="143" t="s">
        <v>10327</v>
      </c>
    </row>
    <row r="2973" ht="16.5" hidden="1" customHeight="1">
      <c r="A2973" s="134">
        <v>15.0</v>
      </c>
      <c r="B2973" s="827" t="s">
        <v>10331</v>
      </c>
      <c r="C2973" s="832" t="s">
        <v>80</v>
      </c>
      <c r="D2973" s="829" t="s">
        <v>10332</v>
      </c>
      <c r="E2973" s="834" t="s">
        <v>10333</v>
      </c>
      <c r="F2973" s="831" t="s">
        <v>3928</v>
      </c>
      <c r="G2973" s="812" t="s">
        <v>9090</v>
      </c>
      <c r="H2973" s="772">
        <v>14.0</v>
      </c>
      <c r="I2973" s="12" t="s">
        <v>2890</v>
      </c>
      <c r="L2973" s="292" t="s">
        <v>9469</v>
      </c>
      <c r="O2973" s="530">
        <v>46270.0</v>
      </c>
    </row>
    <row r="2974" ht="16.5" hidden="1" customHeight="1">
      <c r="A2974" s="134">
        <v>16.0</v>
      </c>
      <c r="B2974" s="827" t="s">
        <v>10334</v>
      </c>
      <c r="C2974" s="832" t="s">
        <v>80</v>
      </c>
      <c r="D2974" s="829" t="s">
        <v>10335</v>
      </c>
      <c r="E2974" s="834" t="s">
        <v>10336</v>
      </c>
      <c r="F2974" s="831" t="s">
        <v>3928</v>
      </c>
      <c r="G2974" s="812" t="s">
        <v>9090</v>
      </c>
      <c r="H2974" s="772">
        <v>14.0</v>
      </c>
      <c r="I2974" s="12" t="s">
        <v>2890</v>
      </c>
      <c r="L2974" s="292" t="s">
        <v>9469</v>
      </c>
      <c r="O2974" s="143" t="s">
        <v>10327</v>
      </c>
    </row>
    <row r="2975" ht="16.5" hidden="1" customHeight="1">
      <c r="A2975" s="134">
        <v>17.0</v>
      </c>
      <c r="B2975" s="827" t="s">
        <v>10337</v>
      </c>
      <c r="C2975" s="832" t="s">
        <v>80</v>
      </c>
      <c r="D2975" s="829" t="s">
        <v>10338</v>
      </c>
      <c r="E2975" s="834" t="s">
        <v>10339</v>
      </c>
      <c r="F2975" s="831" t="s">
        <v>3928</v>
      </c>
      <c r="G2975" s="812" t="s">
        <v>9090</v>
      </c>
      <c r="H2975" s="772">
        <v>14.0</v>
      </c>
      <c r="I2975" s="12" t="s">
        <v>2890</v>
      </c>
      <c r="L2975" s="292" t="s">
        <v>9469</v>
      </c>
      <c r="O2975" s="835">
        <v>46178.0</v>
      </c>
    </row>
    <row r="2976" ht="16.5" hidden="1" customHeight="1">
      <c r="A2976" s="134">
        <v>18.0</v>
      </c>
      <c r="B2976" s="827" t="s">
        <v>10340</v>
      </c>
      <c r="C2976" s="832" t="s">
        <v>80</v>
      </c>
      <c r="D2976" s="829" t="s">
        <v>10341</v>
      </c>
      <c r="E2976" s="834" t="s">
        <v>10342</v>
      </c>
      <c r="F2976" s="831" t="s">
        <v>3928</v>
      </c>
      <c r="G2976" s="812" t="s">
        <v>9090</v>
      </c>
      <c r="H2976" s="772">
        <v>14.0</v>
      </c>
      <c r="I2976" s="12" t="s">
        <v>2890</v>
      </c>
      <c r="L2976" s="292" t="s">
        <v>9469</v>
      </c>
      <c r="O2976" s="143" t="s">
        <v>10327</v>
      </c>
    </row>
    <row r="2977" ht="16.5" hidden="1" customHeight="1">
      <c r="A2977" s="134">
        <v>19.0</v>
      </c>
      <c r="B2977" s="827" t="s">
        <v>10343</v>
      </c>
      <c r="C2977" s="832" t="s">
        <v>651</v>
      </c>
      <c r="D2977" s="829" t="s">
        <v>10344</v>
      </c>
      <c r="E2977" s="829" t="s">
        <v>10345</v>
      </c>
      <c r="F2977" s="831" t="s">
        <v>4779</v>
      </c>
      <c r="G2977" s="812" t="s">
        <v>10346</v>
      </c>
      <c r="H2977" s="772">
        <v>16.0</v>
      </c>
      <c r="I2977" s="836" t="s">
        <v>3043</v>
      </c>
      <c r="L2977" s="492" t="s">
        <v>4195</v>
      </c>
      <c r="O2977" s="143" t="s">
        <v>10347</v>
      </c>
      <c r="P2977" s="587" t="s">
        <v>1432</v>
      </c>
    </row>
    <row r="2978" ht="16.5" hidden="1" customHeight="1">
      <c r="A2978" s="134">
        <v>20.0</v>
      </c>
      <c r="B2978" s="827" t="s">
        <v>10348</v>
      </c>
      <c r="C2978" s="832" t="s">
        <v>80</v>
      </c>
      <c r="D2978" s="829" t="s">
        <v>10349</v>
      </c>
      <c r="E2978" s="837" t="s">
        <v>10350</v>
      </c>
      <c r="F2978" s="831" t="s">
        <v>9767</v>
      </c>
      <c r="G2978" s="812" t="s">
        <v>10346</v>
      </c>
      <c r="H2978" s="772">
        <v>16.0</v>
      </c>
      <c r="I2978" s="836" t="s">
        <v>5364</v>
      </c>
      <c r="L2978" s="292" t="s">
        <v>4195</v>
      </c>
      <c r="O2978" s="143" t="s">
        <v>10351</v>
      </c>
      <c r="P2978" s="587" t="s">
        <v>1432</v>
      </c>
    </row>
    <row r="2979" ht="16.5" hidden="1" customHeight="1">
      <c r="A2979" s="134">
        <v>21.0</v>
      </c>
      <c r="B2979" s="827" t="s">
        <v>10352</v>
      </c>
      <c r="C2979" s="832" t="s">
        <v>80</v>
      </c>
      <c r="D2979" s="829" t="s">
        <v>10353</v>
      </c>
      <c r="E2979" s="837" t="s">
        <v>10354</v>
      </c>
      <c r="F2979" s="831" t="s">
        <v>9767</v>
      </c>
      <c r="G2979" s="812" t="s">
        <v>10346</v>
      </c>
      <c r="H2979" s="772">
        <v>16.0</v>
      </c>
      <c r="I2979" s="12" t="s">
        <v>2890</v>
      </c>
      <c r="L2979" s="292" t="s">
        <v>4195</v>
      </c>
      <c r="O2979" s="143" t="s">
        <v>10351</v>
      </c>
      <c r="P2979" s="587" t="s">
        <v>1432</v>
      </c>
    </row>
    <row r="2980" ht="16.5" hidden="1" customHeight="1">
      <c r="A2980" s="134">
        <v>22.0</v>
      </c>
      <c r="B2980" s="827" t="s">
        <v>10355</v>
      </c>
      <c r="C2980" s="832" t="s">
        <v>80</v>
      </c>
      <c r="D2980" s="829" t="s">
        <v>10356</v>
      </c>
      <c r="E2980" s="837" t="s">
        <v>10357</v>
      </c>
      <c r="F2980" s="831" t="s">
        <v>7169</v>
      </c>
      <c r="G2980" s="812" t="s">
        <v>10346</v>
      </c>
      <c r="H2980" s="772">
        <v>16.0</v>
      </c>
      <c r="I2980" s="12" t="s">
        <v>2890</v>
      </c>
      <c r="J2980" s="143" t="s">
        <v>2065</v>
      </c>
      <c r="K2980" s="143" t="s">
        <v>9090</v>
      </c>
      <c r="L2980" s="292" t="s">
        <v>51</v>
      </c>
      <c r="O2980" s="143" t="s">
        <v>10176</v>
      </c>
      <c r="P2980" s="587" t="s">
        <v>1432</v>
      </c>
    </row>
    <row r="2981" ht="16.5" hidden="1" customHeight="1">
      <c r="A2981" s="134">
        <v>23.0</v>
      </c>
      <c r="B2981" s="827" t="s">
        <v>10358</v>
      </c>
      <c r="C2981" s="832" t="s">
        <v>80</v>
      </c>
      <c r="D2981" s="829" t="s">
        <v>10359</v>
      </c>
      <c r="E2981" s="837" t="s">
        <v>10360</v>
      </c>
      <c r="F2981" s="831" t="s">
        <v>7169</v>
      </c>
      <c r="G2981" s="812" t="s">
        <v>10346</v>
      </c>
      <c r="H2981" s="772">
        <v>16.0</v>
      </c>
      <c r="I2981" s="12" t="s">
        <v>2890</v>
      </c>
      <c r="J2981" s="143" t="s">
        <v>2065</v>
      </c>
      <c r="K2981" s="143" t="s">
        <v>9090</v>
      </c>
      <c r="L2981" s="292" t="s">
        <v>51</v>
      </c>
      <c r="O2981" s="143" t="s">
        <v>10176</v>
      </c>
      <c r="P2981" s="587" t="s">
        <v>1432</v>
      </c>
    </row>
    <row r="2982" ht="16.5" hidden="1" customHeight="1">
      <c r="A2982" s="134">
        <v>24.0</v>
      </c>
      <c r="B2982" s="827" t="s">
        <v>10361</v>
      </c>
      <c r="C2982" s="832" t="s">
        <v>651</v>
      </c>
      <c r="D2982" s="829" t="s">
        <v>10362</v>
      </c>
      <c r="E2982" s="829" t="s">
        <v>10363</v>
      </c>
      <c r="F2982" s="831" t="s">
        <v>1391</v>
      </c>
      <c r="G2982" s="812" t="s">
        <v>10346</v>
      </c>
      <c r="H2982" s="772">
        <v>16.0</v>
      </c>
      <c r="I2982" s="544" t="s">
        <v>3465</v>
      </c>
      <c r="J2982" s="143" t="s">
        <v>10364</v>
      </c>
      <c r="K2982" s="143" t="s">
        <v>9090</v>
      </c>
      <c r="L2982" s="492" t="s">
        <v>374</v>
      </c>
      <c r="N2982" s="143"/>
      <c r="O2982" s="143" t="s">
        <v>10176</v>
      </c>
      <c r="P2982" s="587" t="s">
        <v>1432</v>
      </c>
    </row>
    <row r="2983" ht="16.5" hidden="1" customHeight="1">
      <c r="A2983" s="134">
        <v>25.0</v>
      </c>
      <c r="B2983" s="827" t="s">
        <v>10365</v>
      </c>
      <c r="C2983" s="831" t="s">
        <v>10366</v>
      </c>
      <c r="D2983" s="829" t="s">
        <v>10367</v>
      </c>
      <c r="E2983" s="829" t="s">
        <v>10368</v>
      </c>
      <c r="F2983" s="831" t="s">
        <v>25</v>
      </c>
      <c r="G2983" s="820">
        <v>46300.0</v>
      </c>
      <c r="H2983" s="775">
        <v>9.0</v>
      </c>
      <c r="I2983" s="12" t="s">
        <v>2890</v>
      </c>
      <c r="L2983" s="492" t="s">
        <v>51</v>
      </c>
      <c r="O2983" s="143" t="s">
        <v>9899</v>
      </c>
      <c r="P2983" s="587" t="s">
        <v>1432</v>
      </c>
    </row>
    <row r="2984" ht="16.5" hidden="1" customHeight="1">
      <c r="A2984" s="134">
        <v>26.0</v>
      </c>
      <c r="B2984" s="827" t="s">
        <v>10369</v>
      </c>
      <c r="C2984" s="831" t="s">
        <v>10370</v>
      </c>
      <c r="D2984" s="829" t="s">
        <v>10371</v>
      </c>
      <c r="E2984" s="829" t="s">
        <v>10372</v>
      </c>
      <c r="F2984" s="831" t="s">
        <v>10373</v>
      </c>
      <c r="G2984" s="812" t="s">
        <v>10346</v>
      </c>
      <c r="H2984" s="772">
        <v>16.0</v>
      </c>
      <c r="I2984" s="12" t="s">
        <v>2890</v>
      </c>
      <c r="L2984" s="492" t="s">
        <v>4195</v>
      </c>
      <c r="O2984" s="143" t="s">
        <v>10374</v>
      </c>
      <c r="P2984" s="587" t="s">
        <v>1432</v>
      </c>
    </row>
    <row r="2985" ht="16.5" hidden="1" customHeight="1">
      <c r="A2985" s="134">
        <v>27.0</v>
      </c>
      <c r="B2985" s="827" t="s">
        <v>10375</v>
      </c>
      <c r="C2985" s="832" t="s">
        <v>80</v>
      </c>
      <c r="D2985" s="829" t="s">
        <v>10376</v>
      </c>
      <c r="E2985" s="829" t="s">
        <v>10377</v>
      </c>
      <c r="F2985" s="831" t="s">
        <v>556</v>
      </c>
      <c r="G2985" s="812" t="s">
        <v>10171</v>
      </c>
      <c r="H2985" s="772">
        <v>17.0</v>
      </c>
      <c r="I2985" s="12" t="s">
        <v>2890</v>
      </c>
      <c r="J2985" s="143" t="s">
        <v>10193</v>
      </c>
      <c r="L2985" s="492" t="s">
        <v>374</v>
      </c>
      <c r="N2985" s="143" t="s">
        <v>10307</v>
      </c>
      <c r="O2985" s="143" t="s">
        <v>10194</v>
      </c>
      <c r="P2985" s="587" t="s">
        <v>1432</v>
      </c>
    </row>
    <row r="2986" ht="16.5" hidden="1" customHeight="1">
      <c r="A2986" s="134">
        <v>28.0</v>
      </c>
      <c r="B2986" s="827" t="s">
        <v>10378</v>
      </c>
      <c r="C2986" s="832" t="s">
        <v>80</v>
      </c>
      <c r="D2986" s="829" t="s">
        <v>10379</v>
      </c>
      <c r="E2986" s="829" t="s">
        <v>10380</v>
      </c>
      <c r="F2986" s="831" t="s">
        <v>556</v>
      </c>
      <c r="G2986" s="812" t="s">
        <v>10171</v>
      </c>
      <c r="H2986" s="772">
        <v>17.0</v>
      </c>
      <c r="I2986" s="12" t="s">
        <v>2890</v>
      </c>
      <c r="L2986" s="492" t="s">
        <v>51</v>
      </c>
      <c r="O2986" s="143" t="s">
        <v>9966</v>
      </c>
      <c r="P2986" s="587" t="s">
        <v>1432</v>
      </c>
    </row>
    <row r="2987" ht="16.5" hidden="1" customHeight="1">
      <c r="A2987" s="134">
        <v>29.0</v>
      </c>
      <c r="B2987" s="827" t="s">
        <v>10381</v>
      </c>
      <c r="C2987" s="832" t="s">
        <v>80</v>
      </c>
      <c r="D2987" s="829" t="s">
        <v>10382</v>
      </c>
      <c r="E2987" s="833" t="s">
        <v>10383</v>
      </c>
      <c r="F2987" s="831" t="s">
        <v>243</v>
      </c>
      <c r="G2987" s="812" t="s">
        <v>10171</v>
      </c>
      <c r="H2987" s="772">
        <v>17.0</v>
      </c>
      <c r="I2987" s="12" t="s">
        <v>2890</v>
      </c>
      <c r="J2987" s="143" t="s">
        <v>10384</v>
      </c>
      <c r="K2987" s="143" t="s">
        <v>9090</v>
      </c>
      <c r="L2987" s="292" t="s">
        <v>374</v>
      </c>
      <c r="N2987" s="143" t="s">
        <v>10385</v>
      </c>
      <c r="O2987" s="143" t="s">
        <v>10319</v>
      </c>
      <c r="P2987" s="587" t="s">
        <v>1432</v>
      </c>
    </row>
    <row r="2988" ht="16.5" hidden="1" customHeight="1">
      <c r="A2988" s="134">
        <v>30.0</v>
      </c>
      <c r="B2988" s="827" t="s">
        <v>10386</v>
      </c>
      <c r="C2988" s="832" t="s">
        <v>80</v>
      </c>
      <c r="D2988" s="829" t="s">
        <v>10387</v>
      </c>
      <c r="E2988" s="833" t="s">
        <v>10388</v>
      </c>
      <c r="F2988" s="831" t="s">
        <v>243</v>
      </c>
      <c r="G2988" s="812" t="s">
        <v>10171</v>
      </c>
      <c r="H2988" s="772">
        <v>17.0</v>
      </c>
      <c r="I2988" s="12" t="s">
        <v>2890</v>
      </c>
      <c r="J2988" s="143" t="s">
        <v>10384</v>
      </c>
      <c r="K2988" s="143" t="s">
        <v>9090</v>
      </c>
      <c r="L2988" s="292" t="s">
        <v>374</v>
      </c>
      <c r="N2988" s="143" t="s">
        <v>10385</v>
      </c>
      <c r="O2988" s="143" t="s">
        <v>10319</v>
      </c>
      <c r="P2988" s="587" t="s">
        <v>1432</v>
      </c>
    </row>
    <row r="2989" ht="16.5" hidden="1" customHeight="1">
      <c r="A2989" s="134">
        <v>31.0</v>
      </c>
      <c r="B2989" s="827" t="s">
        <v>10389</v>
      </c>
      <c r="C2989" s="832" t="s">
        <v>80</v>
      </c>
      <c r="D2989" s="829" t="s">
        <v>10390</v>
      </c>
      <c r="E2989" s="833" t="s">
        <v>10391</v>
      </c>
      <c r="F2989" s="831" t="s">
        <v>6336</v>
      </c>
      <c r="G2989" s="812" t="s">
        <v>10171</v>
      </c>
      <c r="H2989" s="772">
        <v>17.0</v>
      </c>
      <c r="I2989" s="12" t="s">
        <v>2890</v>
      </c>
      <c r="L2989" s="292" t="s">
        <v>4195</v>
      </c>
      <c r="O2989" s="143" t="s">
        <v>10347</v>
      </c>
      <c r="P2989" s="587" t="s">
        <v>1432</v>
      </c>
    </row>
    <row r="2990" ht="16.5" hidden="1" customHeight="1">
      <c r="A2990" s="134">
        <v>32.0</v>
      </c>
      <c r="B2990" s="827" t="s">
        <v>10392</v>
      </c>
      <c r="C2990" s="832" t="s">
        <v>80</v>
      </c>
      <c r="D2990" s="829" t="s">
        <v>10393</v>
      </c>
      <c r="E2990" s="833" t="s">
        <v>10394</v>
      </c>
      <c r="F2990" s="831" t="s">
        <v>6336</v>
      </c>
      <c r="G2990" s="812" t="s">
        <v>10171</v>
      </c>
      <c r="H2990" s="772">
        <v>17.0</v>
      </c>
      <c r="I2990" s="12" t="s">
        <v>2890</v>
      </c>
      <c r="L2990" s="292" t="s">
        <v>4195</v>
      </c>
      <c r="O2990" s="143" t="s">
        <v>10347</v>
      </c>
      <c r="P2990" s="587" t="s">
        <v>1432</v>
      </c>
    </row>
    <row r="2991" ht="16.5" hidden="1" customHeight="1">
      <c r="A2991" s="134">
        <v>33.0</v>
      </c>
      <c r="B2991" s="827" t="s">
        <v>10395</v>
      </c>
      <c r="C2991" s="832" t="s">
        <v>80</v>
      </c>
      <c r="D2991" s="829" t="s">
        <v>10396</v>
      </c>
      <c r="E2991" s="833" t="s">
        <v>10397</v>
      </c>
      <c r="F2991" s="831" t="s">
        <v>1370</v>
      </c>
      <c r="G2991" s="812" t="s">
        <v>10171</v>
      </c>
      <c r="H2991" s="772">
        <v>17.0</v>
      </c>
      <c r="I2991" s="12" t="s">
        <v>2890</v>
      </c>
      <c r="J2991" s="143" t="s">
        <v>10398</v>
      </c>
      <c r="K2991" s="571">
        <v>46239.0</v>
      </c>
      <c r="L2991" s="292" t="s">
        <v>51</v>
      </c>
      <c r="O2991" s="143" t="s">
        <v>10194</v>
      </c>
      <c r="P2991" s="587" t="s">
        <v>1432</v>
      </c>
    </row>
    <row r="2992" ht="16.5" hidden="1" customHeight="1">
      <c r="A2992" s="134">
        <v>34.0</v>
      </c>
      <c r="B2992" s="827" t="s">
        <v>10399</v>
      </c>
      <c r="C2992" s="832" t="s">
        <v>80</v>
      </c>
      <c r="D2992" s="829" t="s">
        <v>10400</v>
      </c>
      <c r="E2992" s="833" t="s">
        <v>10401</v>
      </c>
      <c r="F2992" s="831" t="s">
        <v>1370</v>
      </c>
      <c r="G2992" s="812" t="s">
        <v>10171</v>
      </c>
      <c r="H2992" s="772">
        <v>17.0</v>
      </c>
      <c r="I2992" s="12" t="s">
        <v>2890</v>
      </c>
      <c r="J2992" s="143" t="s">
        <v>10398</v>
      </c>
      <c r="K2992" s="571">
        <v>46239.0</v>
      </c>
      <c r="L2992" s="292" t="s">
        <v>51</v>
      </c>
      <c r="O2992" s="143" t="s">
        <v>10194</v>
      </c>
      <c r="P2992" s="587" t="s">
        <v>1432</v>
      </c>
    </row>
    <row r="2993" ht="16.5" hidden="1" customHeight="1">
      <c r="A2993" s="134">
        <v>35.0</v>
      </c>
      <c r="B2993" s="827" t="s">
        <v>10402</v>
      </c>
      <c r="C2993" s="831" t="s">
        <v>9128</v>
      </c>
      <c r="D2993" s="829" t="s">
        <v>10403</v>
      </c>
      <c r="E2993" s="829" t="s">
        <v>10404</v>
      </c>
      <c r="F2993" s="831" t="s">
        <v>10405</v>
      </c>
      <c r="G2993" s="812" t="s">
        <v>10346</v>
      </c>
      <c r="H2993" s="772">
        <v>16.0</v>
      </c>
      <c r="I2993" s="12" t="s">
        <v>2890</v>
      </c>
      <c r="L2993" s="492" t="s">
        <v>4195</v>
      </c>
      <c r="O2993" s="143" t="s">
        <v>10374</v>
      </c>
      <c r="P2993" s="587" t="s">
        <v>1432</v>
      </c>
    </row>
    <row r="2994" ht="16.5" hidden="1" customHeight="1">
      <c r="A2994" s="134">
        <v>36.0</v>
      </c>
      <c r="B2994" s="827" t="s">
        <v>10406</v>
      </c>
      <c r="C2994" s="832" t="s">
        <v>80</v>
      </c>
      <c r="D2994" s="829" t="s">
        <v>10407</v>
      </c>
      <c r="E2994" s="829" t="s">
        <v>10408</v>
      </c>
      <c r="F2994" s="831" t="s">
        <v>10409</v>
      </c>
      <c r="G2994" s="812" t="s">
        <v>10171</v>
      </c>
      <c r="H2994" s="772">
        <v>17.0</v>
      </c>
      <c r="I2994" s="12" t="s">
        <v>2890</v>
      </c>
      <c r="J2994" s="143" t="s">
        <v>10193</v>
      </c>
      <c r="L2994" s="492" t="s">
        <v>374</v>
      </c>
      <c r="N2994" s="143" t="s">
        <v>10318</v>
      </c>
      <c r="O2994" s="143" t="s">
        <v>10153</v>
      </c>
      <c r="P2994" s="587" t="s">
        <v>1432</v>
      </c>
    </row>
    <row r="2995" ht="16.5" hidden="1" customHeight="1">
      <c r="A2995" s="134">
        <v>37.0</v>
      </c>
      <c r="B2995" s="827" t="s">
        <v>10410</v>
      </c>
      <c r="C2995" s="832" t="s">
        <v>651</v>
      </c>
      <c r="D2995" s="829" t="s">
        <v>10411</v>
      </c>
      <c r="E2995" s="829" t="s">
        <v>10412</v>
      </c>
      <c r="F2995" s="831" t="s">
        <v>4779</v>
      </c>
      <c r="G2995" s="812" t="s">
        <v>10413</v>
      </c>
      <c r="H2995" s="772">
        <v>18.0</v>
      </c>
      <c r="I2995" s="12" t="s">
        <v>2890</v>
      </c>
      <c r="J2995" s="143" t="s">
        <v>362</v>
      </c>
      <c r="K2995" s="571">
        <v>46270.0</v>
      </c>
      <c r="L2995" s="292" t="s">
        <v>51</v>
      </c>
      <c r="O2995" s="143" t="s">
        <v>10171</v>
      </c>
    </row>
    <row r="2996" ht="16.5" hidden="1" customHeight="1">
      <c r="A2996" s="134">
        <v>38.0</v>
      </c>
      <c r="B2996" s="827" t="s">
        <v>10414</v>
      </c>
      <c r="C2996" s="832" t="s">
        <v>651</v>
      </c>
      <c r="D2996" s="829" t="s">
        <v>10415</v>
      </c>
      <c r="E2996" s="829" t="s">
        <v>10416</v>
      </c>
      <c r="F2996" s="831" t="s">
        <v>4779</v>
      </c>
      <c r="G2996" s="812" t="s">
        <v>10413</v>
      </c>
      <c r="H2996" s="772">
        <v>18.0</v>
      </c>
      <c r="I2996" s="12" t="s">
        <v>2890</v>
      </c>
      <c r="L2996" s="492" t="s">
        <v>4195</v>
      </c>
      <c r="O2996" s="143" t="s">
        <v>10171</v>
      </c>
      <c r="P2996" s="587" t="s">
        <v>1432</v>
      </c>
    </row>
    <row r="2997" ht="16.5" hidden="1" customHeight="1">
      <c r="A2997" s="134">
        <v>39.0</v>
      </c>
      <c r="B2997" s="827" t="s">
        <v>10417</v>
      </c>
      <c r="C2997" s="832" t="s">
        <v>80</v>
      </c>
      <c r="D2997" s="829" t="s">
        <v>10418</v>
      </c>
      <c r="E2997" s="833" t="s">
        <v>10419</v>
      </c>
      <c r="F2997" s="831" t="s">
        <v>10420</v>
      </c>
      <c r="G2997" s="812" t="s">
        <v>9966</v>
      </c>
      <c r="H2997" s="772">
        <v>19.0</v>
      </c>
      <c r="I2997" s="12" t="s">
        <v>2890</v>
      </c>
      <c r="J2997" s="143" t="s">
        <v>10193</v>
      </c>
      <c r="L2997" s="292" t="s">
        <v>374</v>
      </c>
      <c r="N2997" s="143" t="s">
        <v>10170</v>
      </c>
      <c r="O2997" s="143" t="s">
        <v>10421</v>
      </c>
      <c r="P2997" s="587" t="s">
        <v>1432</v>
      </c>
    </row>
    <row r="2998" ht="16.5" hidden="1" customHeight="1">
      <c r="A2998" s="134">
        <v>40.0</v>
      </c>
      <c r="B2998" s="827" t="s">
        <v>10422</v>
      </c>
      <c r="C2998" s="832" t="s">
        <v>80</v>
      </c>
      <c r="D2998" s="829" t="s">
        <v>10423</v>
      </c>
      <c r="E2998" s="833" t="s">
        <v>10424</v>
      </c>
      <c r="F2998" s="831" t="s">
        <v>10425</v>
      </c>
      <c r="G2998" s="812" t="s">
        <v>9966</v>
      </c>
      <c r="H2998" s="772">
        <v>19.0</v>
      </c>
      <c r="I2998" s="12" t="s">
        <v>2890</v>
      </c>
      <c r="J2998" s="143" t="s">
        <v>10193</v>
      </c>
      <c r="L2998" s="292" t="s">
        <v>374</v>
      </c>
      <c r="O2998" s="143" t="s">
        <v>10421</v>
      </c>
      <c r="P2998" s="587" t="s">
        <v>1432</v>
      </c>
    </row>
    <row r="2999" hidden="1">
      <c r="A2999" s="339" t="s">
        <v>10426</v>
      </c>
      <c r="Q2999" s="35"/>
      <c r="R2999" s="35"/>
      <c r="S2999" s="35"/>
      <c r="T2999" s="35"/>
      <c r="U2999" s="35"/>
      <c r="V2999" s="35"/>
      <c r="W2999" s="35"/>
      <c r="X2999" s="35"/>
      <c r="Y2999" s="35"/>
      <c r="Z2999" s="35"/>
      <c r="AA2999" s="35"/>
      <c r="AB2999" s="35"/>
      <c r="AC2999" s="35"/>
      <c r="AD2999" s="35"/>
      <c r="AE2999" s="35"/>
      <c r="AF2999" s="35"/>
    </row>
    <row r="3000" hidden="1">
      <c r="A3000" s="670" t="s">
        <v>47</v>
      </c>
      <c r="B3000" s="670" t="s">
        <v>7</v>
      </c>
      <c r="C3000" s="670" t="s">
        <v>9</v>
      </c>
      <c r="D3000" s="670" t="s">
        <v>10</v>
      </c>
      <c r="E3000" s="670" t="s">
        <v>11</v>
      </c>
      <c r="F3000" s="670" t="s">
        <v>12</v>
      </c>
      <c r="G3000" s="670" t="s">
        <v>2378</v>
      </c>
      <c r="H3000" s="670" t="s">
        <v>2681</v>
      </c>
      <c r="I3000" s="4" t="s">
        <v>2847</v>
      </c>
      <c r="J3000" s="8" t="s">
        <v>14</v>
      </c>
      <c r="K3000" s="9" t="s">
        <v>16</v>
      </c>
      <c r="L3000" s="9" t="s">
        <v>4330</v>
      </c>
      <c r="M3000" s="9" t="s">
        <v>18</v>
      </c>
      <c r="N3000" s="9" t="s">
        <v>19</v>
      </c>
      <c r="O3000" s="9" t="s">
        <v>20</v>
      </c>
      <c r="P3000" s="9" t="s">
        <v>21</v>
      </c>
      <c r="Q3000" s="35"/>
      <c r="R3000" s="35"/>
      <c r="S3000" s="35"/>
      <c r="T3000" s="35"/>
      <c r="U3000" s="35"/>
      <c r="V3000" s="35"/>
      <c r="W3000" s="35"/>
      <c r="X3000" s="35"/>
      <c r="Y3000" s="35"/>
      <c r="Z3000" s="35"/>
      <c r="AA3000" s="35"/>
      <c r="AB3000" s="35"/>
      <c r="AC3000" s="35"/>
      <c r="AD3000" s="35"/>
      <c r="AE3000" s="35"/>
      <c r="AF3000" s="35"/>
    </row>
    <row r="3001" hidden="1">
      <c r="A3001" s="128">
        <v>1.0</v>
      </c>
      <c r="B3001" s="535" t="s">
        <v>10427</v>
      </c>
      <c r="C3001" s="128" t="s">
        <v>80</v>
      </c>
      <c r="D3001" s="128" t="s">
        <v>10428</v>
      </c>
      <c r="E3001" s="128" t="s">
        <v>10429</v>
      </c>
      <c r="F3001" s="128" t="s">
        <v>9560</v>
      </c>
      <c r="G3001" s="782" t="s">
        <v>10413</v>
      </c>
      <c r="H3001" s="620">
        <v>17.0</v>
      </c>
      <c r="I3001" s="128" t="s">
        <v>2890</v>
      </c>
      <c r="L3001" s="292" t="s">
        <v>374</v>
      </c>
      <c r="N3001" s="143" t="s">
        <v>10430</v>
      </c>
      <c r="O3001" s="571">
        <v>46118.0</v>
      </c>
      <c r="P3001" s="587" t="s">
        <v>1432</v>
      </c>
    </row>
    <row r="3002" hidden="1">
      <c r="A3002" s="128">
        <v>2.0</v>
      </c>
      <c r="B3002" s="535" t="s">
        <v>10431</v>
      </c>
      <c r="C3002" s="128" t="s">
        <v>80</v>
      </c>
      <c r="D3002" s="128" t="s">
        <v>10432</v>
      </c>
      <c r="E3002" s="128" t="s">
        <v>10433</v>
      </c>
      <c r="F3002" s="128" t="s">
        <v>25</v>
      </c>
      <c r="G3002" s="782" t="s">
        <v>10413</v>
      </c>
      <c r="H3002" s="620">
        <v>17.0</v>
      </c>
      <c r="I3002" s="630" t="s">
        <v>10086</v>
      </c>
      <c r="J3002" s="12" t="s">
        <v>51</v>
      </c>
      <c r="K3002" s="143" t="s">
        <v>10133</v>
      </c>
      <c r="L3002" s="292" t="s">
        <v>51</v>
      </c>
      <c r="O3002" s="143" t="s">
        <v>9966</v>
      </c>
      <c r="P3002" s="587" t="s">
        <v>1432</v>
      </c>
    </row>
    <row r="3003" hidden="1">
      <c r="A3003" s="128">
        <v>3.0</v>
      </c>
      <c r="B3003" s="535" t="s">
        <v>10434</v>
      </c>
      <c r="C3003" s="128" t="s">
        <v>80</v>
      </c>
      <c r="D3003" s="128" t="s">
        <v>10435</v>
      </c>
      <c r="E3003" s="128" t="s">
        <v>10436</v>
      </c>
      <c r="F3003" s="128" t="s">
        <v>10437</v>
      </c>
      <c r="G3003" s="782" t="s">
        <v>9966</v>
      </c>
      <c r="H3003" s="620">
        <v>18.0</v>
      </c>
      <c r="I3003" s="630" t="s">
        <v>9194</v>
      </c>
      <c r="L3003" s="292" t="s">
        <v>778</v>
      </c>
      <c r="O3003" s="143" t="s">
        <v>10153</v>
      </c>
    </row>
    <row r="3004" hidden="1">
      <c r="A3004" s="128">
        <v>4.0</v>
      </c>
      <c r="B3004" s="535" t="s">
        <v>10438</v>
      </c>
      <c r="C3004" s="128" t="s">
        <v>80</v>
      </c>
      <c r="D3004" s="128" t="s">
        <v>10439</v>
      </c>
      <c r="E3004" s="547" t="s">
        <v>10440</v>
      </c>
      <c r="F3004" s="128" t="s">
        <v>10441</v>
      </c>
      <c r="G3004" s="782" t="s">
        <v>10442</v>
      </c>
      <c r="H3004" s="620">
        <v>19.0</v>
      </c>
      <c r="I3004" s="128" t="s">
        <v>2890</v>
      </c>
      <c r="L3004" s="292" t="s">
        <v>778</v>
      </c>
      <c r="O3004" s="143" t="s">
        <v>10153</v>
      </c>
    </row>
    <row r="3005" hidden="1">
      <c r="A3005" s="128">
        <v>5.0</v>
      </c>
      <c r="B3005" s="535" t="s">
        <v>10443</v>
      </c>
      <c r="C3005" s="128" t="s">
        <v>80</v>
      </c>
      <c r="D3005" s="128" t="s">
        <v>10444</v>
      </c>
      <c r="E3005" s="547" t="s">
        <v>10445</v>
      </c>
      <c r="F3005" s="128" t="s">
        <v>10441</v>
      </c>
      <c r="G3005" s="782" t="s">
        <v>10442</v>
      </c>
      <c r="H3005" s="620">
        <v>19.0</v>
      </c>
      <c r="I3005" s="630" t="s">
        <v>10086</v>
      </c>
      <c r="L3005" s="292" t="s">
        <v>778</v>
      </c>
      <c r="O3005" s="143" t="s">
        <v>10153</v>
      </c>
    </row>
    <row r="3006" hidden="1">
      <c r="A3006" s="128">
        <v>6.0</v>
      </c>
      <c r="B3006" s="535" t="s">
        <v>10446</v>
      </c>
      <c r="C3006" s="128" t="s">
        <v>80</v>
      </c>
      <c r="D3006" s="128" t="s">
        <v>10447</v>
      </c>
      <c r="E3006" s="548" t="s">
        <v>10448</v>
      </c>
      <c r="F3006" s="128" t="s">
        <v>10449</v>
      </c>
      <c r="G3006" s="782" t="s">
        <v>10442</v>
      </c>
      <c r="H3006" s="620">
        <v>19.0</v>
      </c>
      <c r="I3006" s="37" t="s">
        <v>3465</v>
      </c>
      <c r="J3006" s="143" t="s">
        <v>10169</v>
      </c>
      <c r="K3006" s="571">
        <v>46361.0</v>
      </c>
      <c r="L3006" s="292" t="s">
        <v>51</v>
      </c>
      <c r="O3006" s="143" t="s">
        <v>10153</v>
      </c>
      <c r="P3006" s="587" t="s">
        <v>1432</v>
      </c>
    </row>
    <row r="3007" hidden="1">
      <c r="A3007" s="128">
        <v>7.0</v>
      </c>
      <c r="B3007" s="535" t="s">
        <v>10450</v>
      </c>
      <c r="C3007" s="128" t="s">
        <v>80</v>
      </c>
      <c r="D3007" s="128" t="s">
        <v>10451</v>
      </c>
      <c r="E3007" s="548" t="s">
        <v>10452</v>
      </c>
      <c r="F3007" s="128" t="s">
        <v>9965</v>
      </c>
      <c r="G3007" s="782" t="s">
        <v>10442</v>
      </c>
      <c r="H3007" s="620">
        <v>19.0</v>
      </c>
      <c r="I3007" s="128" t="s">
        <v>2890</v>
      </c>
      <c r="J3007" s="143" t="s">
        <v>10169</v>
      </c>
      <c r="K3007" s="571">
        <v>46361.0</v>
      </c>
      <c r="L3007" s="292" t="s">
        <v>51</v>
      </c>
      <c r="O3007" s="143" t="s">
        <v>10153</v>
      </c>
      <c r="P3007" s="587" t="s">
        <v>1432</v>
      </c>
    </row>
    <row r="3008" hidden="1">
      <c r="A3008" s="128">
        <v>8.0</v>
      </c>
      <c r="B3008" s="535" t="s">
        <v>10453</v>
      </c>
      <c r="C3008" s="128" t="s">
        <v>8475</v>
      </c>
      <c r="D3008" s="128" t="s">
        <v>10454</v>
      </c>
      <c r="E3008" s="128" t="s">
        <v>10455</v>
      </c>
      <c r="F3008" s="128" t="s">
        <v>10456</v>
      </c>
      <c r="G3008" s="782" t="s">
        <v>10442</v>
      </c>
      <c r="H3008" s="620">
        <v>19.0</v>
      </c>
      <c r="I3008" s="630" t="s">
        <v>10086</v>
      </c>
      <c r="L3008" s="292" t="s">
        <v>4195</v>
      </c>
      <c r="O3008" s="143" t="s">
        <v>10291</v>
      </c>
      <c r="P3008" s="587" t="s">
        <v>1432</v>
      </c>
    </row>
    <row r="3009" hidden="1">
      <c r="A3009" s="339" t="s">
        <v>10457</v>
      </c>
    </row>
    <row r="3010" hidden="1">
      <c r="A3010" s="670" t="s">
        <v>47</v>
      </c>
      <c r="B3010" s="670" t="s">
        <v>7</v>
      </c>
      <c r="C3010" s="670" t="s">
        <v>9</v>
      </c>
      <c r="D3010" s="670" t="s">
        <v>10</v>
      </c>
      <c r="E3010" s="670" t="s">
        <v>11</v>
      </c>
      <c r="F3010" s="670" t="s">
        <v>12</v>
      </c>
      <c r="G3010" s="670" t="s">
        <v>2378</v>
      </c>
      <c r="H3010" s="670" t="s">
        <v>2681</v>
      </c>
      <c r="I3010" s="4" t="s">
        <v>2847</v>
      </c>
      <c r="J3010" s="8" t="s">
        <v>14</v>
      </c>
      <c r="K3010" s="9" t="s">
        <v>16</v>
      </c>
      <c r="L3010" s="9" t="s">
        <v>4330</v>
      </c>
      <c r="M3010" s="9" t="s">
        <v>18</v>
      </c>
      <c r="N3010" s="9" t="s">
        <v>19</v>
      </c>
      <c r="O3010" s="9" t="s">
        <v>20</v>
      </c>
      <c r="P3010" s="9" t="s">
        <v>21</v>
      </c>
    </row>
    <row r="3011" hidden="1">
      <c r="A3011" s="821">
        <v>1.0</v>
      </c>
      <c r="B3011" s="838" t="s">
        <v>10458</v>
      </c>
      <c r="C3011" s="823" t="s">
        <v>80</v>
      </c>
      <c r="D3011" s="823" t="s">
        <v>10459</v>
      </c>
      <c r="E3011" s="823" t="s">
        <v>10460</v>
      </c>
      <c r="F3011" s="825" t="s">
        <v>10461</v>
      </c>
      <c r="G3011" s="839" t="s">
        <v>9070</v>
      </c>
      <c r="H3011" s="840">
        <v>-9.0</v>
      </c>
      <c r="I3011" s="809" t="s">
        <v>10086</v>
      </c>
      <c r="J3011" s="143" t="s">
        <v>10462</v>
      </c>
      <c r="L3011" s="292" t="s">
        <v>778</v>
      </c>
      <c r="O3011" s="143" t="s">
        <v>9899</v>
      </c>
    </row>
    <row r="3012" hidden="1">
      <c r="A3012" s="821">
        <v>2.0</v>
      </c>
      <c r="B3012" s="838" t="s">
        <v>10463</v>
      </c>
      <c r="C3012" s="823" t="s">
        <v>80</v>
      </c>
      <c r="D3012" s="823" t="s">
        <v>10464</v>
      </c>
      <c r="E3012" s="823" t="s">
        <v>10465</v>
      </c>
      <c r="F3012" s="825" t="s">
        <v>1294</v>
      </c>
      <c r="G3012" s="841" t="s">
        <v>10346</v>
      </c>
      <c r="H3012" s="839">
        <v>13.0</v>
      </c>
      <c r="I3012" s="809" t="s">
        <v>10086</v>
      </c>
      <c r="J3012" s="143" t="s">
        <v>10462</v>
      </c>
      <c r="L3012" s="292" t="s">
        <v>778</v>
      </c>
      <c r="O3012" s="143" t="s">
        <v>9899</v>
      </c>
    </row>
    <row r="3013" hidden="1">
      <c r="A3013" s="821">
        <v>3.0</v>
      </c>
      <c r="B3013" s="838" t="s">
        <v>10466</v>
      </c>
      <c r="C3013" s="823" t="s">
        <v>80</v>
      </c>
      <c r="D3013" s="823" t="s">
        <v>10467</v>
      </c>
      <c r="E3013" s="823" t="s">
        <v>10468</v>
      </c>
      <c r="F3013" s="825" t="s">
        <v>349</v>
      </c>
      <c r="G3013" s="841" t="s">
        <v>10346</v>
      </c>
      <c r="H3013" s="839">
        <v>13.0</v>
      </c>
      <c r="I3013" s="809" t="s">
        <v>10086</v>
      </c>
      <c r="L3013" s="292" t="s">
        <v>778</v>
      </c>
      <c r="O3013" s="143" t="s">
        <v>9899</v>
      </c>
    </row>
    <row r="3014" hidden="1">
      <c r="A3014" s="134">
        <v>4.0</v>
      </c>
      <c r="B3014" s="842" t="s">
        <v>10469</v>
      </c>
      <c r="C3014" s="832" t="s">
        <v>80</v>
      </c>
      <c r="D3014" s="832" t="s">
        <v>10470</v>
      </c>
      <c r="E3014" s="832" t="s">
        <v>10471</v>
      </c>
      <c r="F3014" s="831" t="s">
        <v>556</v>
      </c>
      <c r="G3014" s="69" t="s">
        <v>10442</v>
      </c>
      <c r="H3014" s="64">
        <v>17.0</v>
      </c>
      <c r="I3014" s="812" t="s">
        <v>2890</v>
      </c>
      <c r="J3014" s="143" t="s">
        <v>10472</v>
      </c>
      <c r="L3014" s="292" t="s">
        <v>374</v>
      </c>
      <c r="N3014" s="143" t="s">
        <v>10473</v>
      </c>
      <c r="O3014" s="143" t="s">
        <v>10194</v>
      </c>
      <c r="P3014" s="587" t="s">
        <v>1432</v>
      </c>
    </row>
    <row r="3015" hidden="1">
      <c r="A3015" s="134">
        <v>5.0</v>
      </c>
      <c r="B3015" s="842" t="s">
        <v>10474</v>
      </c>
      <c r="C3015" s="832" t="s">
        <v>80</v>
      </c>
      <c r="D3015" s="832" t="s">
        <v>10475</v>
      </c>
      <c r="E3015" s="832" t="s">
        <v>10476</v>
      </c>
      <c r="F3015" s="831" t="s">
        <v>556</v>
      </c>
      <c r="G3015" s="69" t="s">
        <v>10442</v>
      </c>
      <c r="H3015" s="64">
        <v>17.0</v>
      </c>
      <c r="I3015" s="813" t="s">
        <v>10086</v>
      </c>
      <c r="L3015" s="292" t="s">
        <v>51</v>
      </c>
      <c r="N3015" s="143" t="s">
        <v>10477</v>
      </c>
      <c r="O3015" s="143" t="s">
        <v>10194</v>
      </c>
      <c r="P3015" s="587" t="s">
        <v>1432</v>
      </c>
    </row>
    <row r="3016" hidden="1">
      <c r="A3016" s="134">
        <v>6.0</v>
      </c>
      <c r="B3016" s="842" t="s">
        <v>10478</v>
      </c>
      <c r="C3016" s="832" t="s">
        <v>80</v>
      </c>
      <c r="D3016" s="832" t="s">
        <v>10479</v>
      </c>
      <c r="E3016" s="832" t="s">
        <v>10480</v>
      </c>
      <c r="F3016" s="831" t="s">
        <v>556</v>
      </c>
      <c r="G3016" s="69" t="s">
        <v>10442</v>
      </c>
      <c r="H3016" s="64">
        <v>17.0</v>
      </c>
      <c r="I3016" s="813" t="s">
        <v>10086</v>
      </c>
      <c r="L3016" s="292" t="s">
        <v>4195</v>
      </c>
      <c r="O3016" s="143" t="s">
        <v>10291</v>
      </c>
      <c r="P3016" s="587" t="s">
        <v>1432</v>
      </c>
    </row>
    <row r="3017" hidden="1">
      <c r="A3017" s="134">
        <v>7.0</v>
      </c>
      <c r="B3017" s="842" t="s">
        <v>10481</v>
      </c>
      <c r="C3017" s="832" t="s">
        <v>80</v>
      </c>
      <c r="D3017" s="832" t="s">
        <v>10482</v>
      </c>
      <c r="E3017" s="832" t="s">
        <v>10483</v>
      </c>
      <c r="F3017" s="831" t="s">
        <v>556</v>
      </c>
      <c r="G3017" s="69" t="s">
        <v>10442</v>
      </c>
      <c r="H3017" s="64">
        <v>17.0</v>
      </c>
      <c r="I3017" s="813" t="s">
        <v>10086</v>
      </c>
      <c r="L3017" s="292" t="s">
        <v>374</v>
      </c>
      <c r="O3017" s="843" t="s">
        <v>10319</v>
      </c>
      <c r="P3017" s="587" t="s">
        <v>1432</v>
      </c>
    </row>
    <row r="3018" hidden="1">
      <c r="A3018" s="134">
        <v>8.0</v>
      </c>
      <c r="B3018" s="842" t="s">
        <v>10484</v>
      </c>
      <c r="C3018" s="832" t="s">
        <v>80</v>
      </c>
      <c r="D3018" s="832" t="s">
        <v>10485</v>
      </c>
      <c r="E3018" s="832" t="s">
        <v>10486</v>
      </c>
      <c r="F3018" s="831" t="s">
        <v>10487</v>
      </c>
      <c r="G3018" s="69" t="s">
        <v>10176</v>
      </c>
      <c r="H3018" s="64">
        <v>18.0</v>
      </c>
      <c r="I3018" s="812" t="s">
        <v>2890</v>
      </c>
      <c r="L3018" s="292" t="s">
        <v>51</v>
      </c>
      <c r="O3018" s="143" t="s">
        <v>10153</v>
      </c>
      <c r="P3018" s="587" t="s">
        <v>1432</v>
      </c>
    </row>
    <row r="3019" hidden="1">
      <c r="A3019" s="134">
        <v>9.0</v>
      </c>
      <c r="B3019" s="842" t="s">
        <v>10488</v>
      </c>
      <c r="C3019" s="832" t="s">
        <v>80</v>
      </c>
      <c r="D3019" s="832" t="s">
        <v>10489</v>
      </c>
      <c r="E3019" s="832" t="s">
        <v>10490</v>
      </c>
      <c r="F3019" s="831" t="s">
        <v>10491</v>
      </c>
      <c r="G3019" s="69" t="s">
        <v>10176</v>
      </c>
      <c r="H3019" s="64">
        <v>18.0</v>
      </c>
      <c r="I3019" s="813" t="s">
        <v>10086</v>
      </c>
      <c r="L3019" s="292" t="s">
        <v>778</v>
      </c>
      <c r="O3019" s="143" t="s">
        <v>10176</v>
      </c>
    </row>
    <row r="3020" hidden="1">
      <c r="A3020" s="134">
        <v>10.0</v>
      </c>
      <c r="B3020" s="842" t="s">
        <v>10492</v>
      </c>
      <c r="C3020" s="832" t="s">
        <v>80</v>
      </c>
      <c r="D3020" s="832" t="s">
        <v>10493</v>
      </c>
      <c r="E3020" s="832" t="s">
        <v>10494</v>
      </c>
      <c r="F3020" s="831" t="s">
        <v>3088</v>
      </c>
      <c r="G3020" s="69" t="s">
        <v>10176</v>
      </c>
      <c r="H3020" s="64">
        <v>18.0</v>
      </c>
      <c r="I3020" s="812" t="s">
        <v>2890</v>
      </c>
      <c r="J3020" s="143" t="s">
        <v>10495</v>
      </c>
      <c r="K3020" s="571">
        <v>46361.0</v>
      </c>
      <c r="L3020" s="292" t="s">
        <v>374</v>
      </c>
      <c r="O3020" s="143" t="s">
        <v>9966</v>
      </c>
    </row>
    <row r="3021" hidden="1">
      <c r="A3021" s="134">
        <v>11.0</v>
      </c>
      <c r="B3021" s="842" t="s">
        <v>10496</v>
      </c>
      <c r="C3021" s="832" t="s">
        <v>80</v>
      </c>
      <c r="D3021" s="832" t="s">
        <v>10497</v>
      </c>
      <c r="E3021" s="832" t="s">
        <v>10498</v>
      </c>
      <c r="F3021" s="831" t="s">
        <v>8140</v>
      </c>
      <c r="G3021" s="69" t="s">
        <v>10442</v>
      </c>
      <c r="H3021" s="64">
        <v>17.0</v>
      </c>
      <c r="I3021" s="813" t="s">
        <v>10086</v>
      </c>
      <c r="L3021" s="292" t="s">
        <v>51</v>
      </c>
      <c r="O3021" s="143" t="s">
        <v>10176</v>
      </c>
      <c r="P3021" s="587" t="s">
        <v>1432</v>
      </c>
    </row>
    <row r="3022" hidden="1">
      <c r="A3022" s="134">
        <v>12.0</v>
      </c>
      <c r="B3022" s="842" t="s">
        <v>10499</v>
      </c>
      <c r="C3022" s="832" t="s">
        <v>80</v>
      </c>
      <c r="D3022" s="832" t="s">
        <v>10500</v>
      </c>
      <c r="E3022" s="844" t="s">
        <v>10501</v>
      </c>
      <c r="F3022" s="831" t="s">
        <v>4297</v>
      </c>
      <c r="G3022" s="69" t="s">
        <v>10442</v>
      </c>
      <c r="H3022" s="64">
        <v>17.0</v>
      </c>
      <c r="I3022" s="813" t="s">
        <v>10086</v>
      </c>
      <c r="J3022" s="34" t="s">
        <v>10502</v>
      </c>
      <c r="K3022" s="19"/>
      <c r="L3022" s="12" t="s">
        <v>374</v>
      </c>
      <c r="M3022" s="19"/>
      <c r="N3022" s="34" t="s">
        <v>10503</v>
      </c>
      <c r="O3022" s="148">
        <v>46362.0</v>
      </c>
      <c r="P3022" s="587" t="s">
        <v>1432</v>
      </c>
    </row>
    <row r="3023" hidden="1">
      <c r="A3023" s="134">
        <v>13.0</v>
      </c>
      <c r="B3023" s="842" t="s">
        <v>10504</v>
      </c>
      <c r="C3023" s="832" t="s">
        <v>80</v>
      </c>
      <c r="D3023" s="832" t="s">
        <v>10505</v>
      </c>
      <c r="E3023" s="844" t="s">
        <v>10506</v>
      </c>
      <c r="F3023" s="831" t="s">
        <v>4297</v>
      </c>
      <c r="G3023" s="69" t="s">
        <v>10442</v>
      </c>
      <c r="H3023" s="64">
        <v>17.0</v>
      </c>
      <c r="I3023" s="812" t="s">
        <v>2890</v>
      </c>
      <c r="J3023" s="34" t="s">
        <v>10502</v>
      </c>
      <c r="K3023" s="19"/>
      <c r="L3023" s="12" t="s">
        <v>374</v>
      </c>
      <c r="M3023" s="19"/>
      <c r="N3023" s="34" t="s">
        <v>10503</v>
      </c>
      <c r="O3023" s="148">
        <v>46362.0</v>
      </c>
      <c r="P3023" s="19"/>
    </row>
    <row r="3024" hidden="1">
      <c r="A3024" s="134">
        <v>14.0</v>
      </c>
      <c r="B3024" s="842" t="s">
        <v>10507</v>
      </c>
      <c r="C3024" s="832" t="s">
        <v>80</v>
      </c>
      <c r="D3024" s="832" t="s">
        <v>10508</v>
      </c>
      <c r="E3024" s="845" t="s">
        <v>10509</v>
      </c>
      <c r="F3024" s="831" t="s">
        <v>3583</v>
      </c>
      <c r="G3024" s="69" t="s">
        <v>541</v>
      </c>
      <c r="H3024" s="64">
        <v>12.0</v>
      </c>
      <c r="I3024" s="812" t="s">
        <v>2890</v>
      </c>
      <c r="J3024" s="19"/>
      <c r="K3024" s="19"/>
      <c r="L3024" s="12" t="s">
        <v>778</v>
      </c>
      <c r="M3024" s="19"/>
      <c r="N3024" s="19"/>
      <c r="O3024" s="34" t="s">
        <v>9966</v>
      </c>
      <c r="P3024" s="19"/>
    </row>
    <row r="3025" hidden="1">
      <c r="A3025" s="134">
        <v>15.0</v>
      </c>
      <c r="B3025" s="842" t="s">
        <v>10510</v>
      </c>
      <c r="C3025" s="832" t="s">
        <v>80</v>
      </c>
      <c r="D3025" s="832" t="s">
        <v>10511</v>
      </c>
      <c r="E3025" s="846" t="s">
        <v>10512</v>
      </c>
      <c r="F3025" s="831" t="s">
        <v>10513</v>
      </c>
      <c r="G3025" s="69" t="s">
        <v>10194</v>
      </c>
      <c r="H3025" s="64">
        <v>19.0</v>
      </c>
      <c r="I3025" s="813" t="s">
        <v>10086</v>
      </c>
      <c r="J3025" s="34" t="s">
        <v>2541</v>
      </c>
      <c r="K3025" s="19"/>
      <c r="L3025" s="12" t="s">
        <v>778</v>
      </c>
      <c r="M3025" s="19"/>
      <c r="N3025" s="19"/>
      <c r="O3025" s="148">
        <v>46118.0</v>
      </c>
      <c r="P3025" s="19"/>
    </row>
    <row r="3026" hidden="1">
      <c r="A3026" s="134">
        <v>16.0</v>
      </c>
      <c r="B3026" s="842" t="s">
        <v>10514</v>
      </c>
      <c r="C3026" s="832" t="s">
        <v>80</v>
      </c>
      <c r="D3026" s="832" t="s">
        <v>10515</v>
      </c>
      <c r="E3026" s="846" t="s">
        <v>10516</v>
      </c>
      <c r="F3026" s="831" t="s">
        <v>10513</v>
      </c>
      <c r="G3026" s="69" t="s">
        <v>10194</v>
      </c>
      <c r="H3026" s="64">
        <v>19.0</v>
      </c>
      <c r="I3026" s="812" t="s">
        <v>2890</v>
      </c>
      <c r="J3026" s="34" t="s">
        <v>2541</v>
      </c>
      <c r="K3026" s="19"/>
      <c r="L3026" s="12" t="s">
        <v>778</v>
      </c>
      <c r="M3026" s="19"/>
      <c r="N3026" s="19"/>
      <c r="O3026" s="148">
        <v>46118.0</v>
      </c>
      <c r="P3026" s="19"/>
    </row>
    <row r="3027" hidden="1">
      <c r="A3027" s="134">
        <v>17.0</v>
      </c>
      <c r="B3027" s="842" t="s">
        <v>10517</v>
      </c>
      <c r="C3027" s="832" t="s">
        <v>80</v>
      </c>
      <c r="D3027" s="832" t="s">
        <v>10518</v>
      </c>
      <c r="E3027" s="845" t="s">
        <v>10519</v>
      </c>
      <c r="F3027" s="831" t="s">
        <v>3583</v>
      </c>
      <c r="G3027" s="207" t="s">
        <v>10171</v>
      </c>
      <c r="H3027" s="64">
        <v>14.0</v>
      </c>
      <c r="I3027" s="813" t="s">
        <v>10086</v>
      </c>
      <c r="J3027" s="34" t="s">
        <v>2541</v>
      </c>
      <c r="K3027" s="19"/>
      <c r="L3027" s="12" t="s">
        <v>778</v>
      </c>
      <c r="M3027" s="19"/>
      <c r="N3027" s="19"/>
      <c r="O3027" s="34" t="s">
        <v>10520</v>
      </c>
      <c r="P3027" s="19"/>
    </row>
    <row r="3028" hidden="1">
      <c r="A3028" s="134">
        <v>18.0</v>
      </c>
      <c r="B3028" s="842" t="s">
        <v>10521</v>
      </c>
      <c r="C3028" s="831" t="s">
        <v>2307</v>
      </c>
      <c r="D3028" s="832" t="s">
        <v>10522</v>
      </c>
      <c r="E3028" s="832" t="s">
        <v>10523</v>
      </c>
      <c r="F3028" s="831" t="s">
        <v>10409</v>
      </c>
      <c r="G3028" s="69" t="s">
        <v>9899</v>
      </c>
      <c r="H3028" s="847">
        <v>9.0</v>
      </c>
      <c r="I3028" s="813" t="s">
        <v>10086</v>
      </c>
      <c r="J3028" s="19"/>
      <c r="K3028" s="19"/>
      <c r="L3028" s="12" t="s">
        <v>4195</v>
      </c>
      <c r="M3028" s="19"/>
      <c r="N3028" s="19"/>
      <c r="O3028" s="34" t="s">
        <v>10524</v>
      </c>
      <c r="P3028" s="587" t="s">
        <v>1432</v>
      </c>
    </row>
    <row r="3029" hidden="1">
      <c r="A3029" s="134">
        <v>19.0</v>
      </c>
      <c r="B3029" s="842" t="s">
        <v>10525</v>
      </c>
      <c r="C3029" s="832" t="s">
        <v>651</v>
      </c>
      <c r="D3029" s="832" t="s">
        <v>10526</v>
      </c>
      <c r="E3029" s="832" t="s">
        <v>10527</v>
      </c>
      <c r="F3029" s="831" t="s">
        <v>4779</v>
      </c>
      <c r="G3029" s="69" t="s">
        <v>10421</v>
      </c>
      <c r="H3029" s="64">
        <v>21.0</v>
      </c>
      <c r="I3029" s="812" t="s">
        <v>2890</v>
      </c>
      <c r="J3029" s="19"/>
      <c r="K3029" s="19"/>
      <c r="L3029" s="12" t="s">
        <v>374</v>
      </c>
      <c r="M3029" s="19"/>
      <c r="N3029" s="34"/>
      <c r="O3029" s="34" t="s">
        <v>98</v>
      </c>
      <c r="P3029" s="587" t="s">
        <v>1432</v>
      </c>
    </row>
    <row r="3030" hidden="1">
      <c r="A3030" s="134">
        <v>20.0</v>
      </c>
      <c r="B3030" s="842" t="s">
        <v>10528</v>
      </c>
      <c r="C3030" s="832" t="s">
        <v>80</v>
      </c>
      <c r="D3030" s="832" t="s">
        <v>10529</v>
      </c>
      <c r="E3030" s="832" t="s">
        <v>10530</v>
      </c>
      <c r="F3030" s="831" t="s">
        <v>556</v>
      </c>
      <c r="G3030" s="69" t="s">
        <v>10421</v>
      </c>
      <c r="H3030" s="64">
        <v>21.0</v>
      </c>
      <c r="I3030" s="812" t="s">
        <v>2890</v>
      </c>
      <c r="J3030" s="34" t="s">
        <v>51</v>
      </c>
      <c r="K3030" s="34" t="s">
        <v>10442</v>
      </c>
      <c r="L3030" s="12" t="s">
        <v>51</v>
      </c>
      <c r="M3030" s="19"/>
      <c r="N3030" s="34" t="s">
        <v>10531</v>
      </c>
      <c r="O3030" s="148">
        <v>46059.0</v>
      </c>
      <c r="P3030" s="587" t="s">
        <v>1432</v>
      </c>
    </row>
    <row r="3031" hidden="1">
      <c r="A3031" s="134">
        <v>21.0</v>
      </c>
      <c r="B3031" s="842" t="s">
        <v>10532</v>
      </c>
      <c r="C3031" s="832" t="s">
        <v>80</v>
      </c>
      <c r="D3031" s="832" t="s">
        <v>10533</v>
      </c>
      <c r="E3031" s="832" t="s">
        <v>10534</v>
      </c>
      <c r="F3031" s="831" t="s">
        <v>10535</v>
      </c>
      <c r="G3031" s="69" t="s">
        <v>10421</v>
      </c>
      <c r="H3031" s="64">
        <v>21.0</v>
      </c>
      <c r="I3031" s="812" t="s">
        <v>2890</v>
      </c>
      <c r="J3031" s="383" t="s">
        <v>2541</v>
      </c>
      <c r="K3031" s="19"/>
      <c r="L3031" s="12" t="s">
        <v>778</v>
      </c>
      <c r="M3031" s="19"/>
      <c r="N3031" s="19"/>
      <c r="O3031" s="148">
        <v>46087.0</v>
      </c>
      <c r="P3031" s="19"/>
    </row>
    <row r="3032" hidden="1">
      <c r="A3032" s="134">
        <v>22.0</v>
      </c>
      <c r="B3032" s="842" t="s">
        <v>10536</v>
      </c>
      <c r="C3032" s="832" t="s">
        <v>80</v>
      </c>
      <c r="D3032" s="832" t="s">
        <v>10537</v>
      </c>
      <c r="E3032" s="832" t="s">
        <v>10538</v>
      </c>
      <c r="F3032" s="831" t="s">
        <v>9745</v>
      </c>
      <c r="G3032" s="69" t="s">
        <v>10421</v>
      </c>
      <c r="H3032" s="64">
        <v>21.0</v>
      </c>
      <c r="I3032" s="812" t="s">
        <v>2890</v>
      </c>
      <c r="J3032" s="26" t="s">
        <v>51</v>
      </c>
      <c r="K3032" s="19"/>
      <c r="L3032" s="12" t="s">
        <v>4195</v>
      </c>
      <c r="M3032" s="19"/>
      <c r="N3032" s="19"/>
      <c r="O3032" s="34" t="s">
        <v>10539</v>
      </c>
      <c r="P3032" s="587" t="s">
        <v>1432</v>
      </c>
    </row>
    <row r="3033" hidden="1">
      <c r="A3033" s="134">
        <v>23.0</v>
      </c>
      <c r="B3033" s="842" t="s">
        <v>10540</v>
      </c>
      <c r="C3033" s="832" t="s">
        <v>80</v>
      </c>
      <c r="D3033" s="832" t="s">
        <v>10541</v>
      </c>
      <c r="E3033" s="845" t="s">
        <v>10542</v>
      </c>
      <c r="F3033" s="831" t="s">
        <v>3928</v>
      </c>
      <c r="G3033" s="69" t="s">
        <v>9966</v>
      </c>
      <c r="H3033" s="64">
        <v>16.0</v>
      </c>
      <c r="I3033" s="813" t="s">
        <v>10086</v>
      </c>
      <c r="J3033" s="19"/>
      <c r="K3033" s="19"/>
      <c r="L3033" s="12" t="s">
        <v>9469</v>
      </c>
      <c r="M3033" s="19"/>
      <c r="N3033" s="19"/>
      <c r="O3033" s="478">
        <v>46270.0</v>
      </c>
      <c r="P3033" s="19"/>
    </row>
    <row r="3034" hidden="1">
      <c r="A3034" s="134">
        <v>24.0</v>
      </c>
      <c r="B3034" s="842" t="s">
        <v>10543</v>
      </c>
      <c r="C3034" s="832" t="s">
        <v>80</v>
      </c>
      <c r="D3034" s="832" t="s">
        <v>10544</v>
      </c>
      <c r="E3034" s="832" t="s">
        <v>10545</v>
      </c>
      <c r="F3034" s="831" t="s">
        <v>25</v>
      </c>
      <c r="G3034" s="69" t="s">
        <v>541</v>
      </c>
      <c r="H3034" s="64">
        <v>12.0</v>
      </c>
      <c r="I3034" s="812" t="s">
        <v>2890</v>
      </c>
      <c r="J3034" s="19"/>
      <c r="K3034" s="19"/>
      <c r="L3034" s="12" t="s">
        <v>374</v>
      </c>
      <c r="M3034" s="19"/>
      <c r="N3034" s="19"/>
      <c r="O3034" s="148">
        <v>46087.0</v>
      </c>
      <c r="P3034" s="587" t="s">
        <v>1432</v>
      </c>
    </row>
    <row r="3035" hidden="1">
      <c r="A3035" s="339" t="s">
        <v>10546</v>
      </c>
      <c r="Q3035" s="35"/>
      <c r="R3035" s="35"/>
      <c r="S3035" s="35"/>
      <c r="T3035" s="35"/>
      <c r="U3035" s="35"/>
      <c r="V3035" s="35"/>
      <c r="W3035" s="35"/>
      <c r="X3035" s="35"/>
      <c r="Y3035" s="35"/>
      <c r="Z3035" s="35"/>
      <c r="AA3035" s="35"/>
      <c r="AB3035" s="35"/>
      <c r="AC3035" s="35"/>
      <c r="AD3035" s="35"/>
      <c r="AE3035" s="35"/>
      <c r="AF3035" s="35"/>
    </row>
    <row r="3036" hidden="1">
      <c r="A3036" s="670" t="s">
        <v>47</v>
      </c>
      <c r="B3036" s="670" t="s">
        <v>7</v>
      </c>
      <c r="C3036" s="670" t="s">
        <v>9</v>
      </c>
      <c r="D3036" s="670" t="s">
        <v>10</v>
      </c>
      <c r="E3036" s="670" t="s">
        <v>11</v>
      </c>
      <c r="F3036" s="670" t="s">
        <v>12</v>
      </c>
      <c r="G3036" s="670" t="s">
        <v>2378</v>
      </c>
      <c r="H3036" s="670" t="s">
        <v>2681</v>
      </c>
      <c r="I3036" s="4" t="s">
        <v>2847</v>
      </c>
      <c r="J3036" s="8" t="s">
        <v>14</v>
      </c>
      <c r="K3036" s="9" t="s">
        <v>16</v>
      </c>
      <c r="L3036" s="9" t="s">
        <v>4330</v>
      </c>
      <c r="M3036" s="9" t="s">
        <v>18</v>
      </c>
      <c r="N3036" s="9" t="s">
        <v>19</v>
      </c>
      <c r="O3036" s="9" t="s">
        <v>20</v>
      </c>
      <c r="P3036" s="9" t="s">
        <v>21</v>
      </c>
      <c r="Q3036" s="35"/>
      <c r="R3036" s="35"/>
      <c r="S3036" s="35"/>
      <c r="T3036" s="35"/>
      <c r="U3036" s="35"/>
      <c r="V3036" s="35"/>
      <c r="W3036" s="35"/>
      <c r="X3036" s="35"/>
      <c r="Y3036" s="35"/>
      <c r="Z3036" s="35"/>
      <c r="AA3036" s="35"/>
      <c r="AB3036" s="35"/>
      <c r="AC3036" s="35"/>
      <c r="AD3036" s="35"/>
      <c r="AE3036" s="35"/>
      <c r="AF3036" s="35"/>
    </row>
    <row r="3037" hidden="1">
      <c r="A3037" s="526">
        <v>1.0</v>
      </c>
      <c r="B3037" s="527" t="s">
        <v>10547</v>
      </c>
      <c r="C3037" s="526" t="s">
        <v>80</v>
      </c>
      <c r="D3037" s="526" t="s">
        <v>10548</v>
      </c>
      <c r="E3037" s="615" t="s">
        <v>10549</v>
      </c>
      <c r="F3037" s="526" t="s">
        <v>3583</v>
      </c>
      <c r="G3037" s="778" t="s">
        <v>10550</v>
      </c>
      <c r="H3037" s="172">
        <v>16.0</v>
      </c>
      <c r="I3037" s="809" t="s">
        <v>10551</v>
      </c>
      <c r="L3037" s="292" t="s">
        <v>778</v>
      </c>
      <c r="O3037" s="143" t="s">
        <v>9090</v>
      </c>
    </row>
    <row r="3038" hidden="1">
      <c r="A3038" s="526">
        <v>2.0</v>
      </c>
      <c r="B3038" s="527" t="s">
        <v>10552</v>
      </c>
      <c r="C3038" s="526" t="s">
        <v>80</v>
      </c>
      <c r="D3038" s="526" t="s">
        <v>10553</v>
      </c>
      <c r="E3038" s="526" t="s">
        <v>10460</v>
      </c>
      <c r="F3038" s="526" t="s">
        <v>10461</v>
      </c>
      <c r="G3038" s="64" t="s">
        <v>9070</v>
      </c>
      <c r="H3038" s="847">
        <v>-13.0</v>
      </c>
      <c r="I3038" s="811" t="s">
        <v>2890</v>
      </c>
      <c r="L3038" s="292" t="s">
        <v>778</v>
      </c>
      <c r="O3038" s="571">
        <v>46361.0</v>
      </c>
    </row>
    <row r="3039" hidden="1">
      <c r="A3039" s="471">
        <v>3.0</v>
      </c>
      <c r="B3039" s="470" t="s">
        <v>10554</v>
      </c>
      <c r="C3039" s="471" t="s">
        <v>2307</v>
      </c>
      <c r="D3039" s="471" t="s">
        <v>10555</v>
      </c>
      <c r="E3039" s="471" t="s">
        <v>10556</v>
      </c>
      <c r="F3039" s="471" t="s">
        <v>4297</v>
      </c>
      <c r="G3039" s="781" t="s">
        <v>10346</v>
      </c>
      <c r="H3039" s="847">
        <v>9.0</v>
      </c>
      <c r="I3039" s="813" t="s">
        <v>5364</v>
      </c>
      <c r="J3039" s="19"/>
      <c r="K3039" s="19"/>
      <c r="L3039" s="12" t="s">
        <v>4195</v>
      </c>
      <c r="M3039" s="19"/>
      <c r="N3039" s="19"/>
      <c r="O3039" s="34" t="s">
        <v>10557</v>
      </c>
      <c r="P3039" s="587" t="s">
        <v>1432</v>
      </c>
    </row>
    <row r="3040" hidden="1">
      <c r="A3040" s="471">
        <v>4.0</v>
      </c>
      <c r="B3040" s="470" t="s">
        <v>10558</v>
      </c>
      <c r="C3040" s="471" t="s">
        <v>2307</v>
      </c>
      <c r="D3040" s="471" t="s">
        <v>10559</v>
      </c>
      <c r="E3040" s="471" t="s">
        <v>10560</v>
      </c>
      <c r="F3040" s="471" t="s">
        <v>148</v>
      </c>
      <c r="G3040" s="781" t="s">
        <v>10171</v>
      </c>
      <c r="H3040" s="64">
        <v>10.0</v>
      </c>
      <c r="I3040" s="817" t="s">
        <v>3465</v>
      </c>
      <c r="J3040" s="19"/>
      <c r="K3040" s="19"/>
      <c r="L3040" s="12" t="s">
        <v>4195</v>
      </c>
      <c r="M3040" s="19"/>
      <c r="N3040" s="19"/>
      <c r="O3040" s="34" t="s">
        <v>10561</v>
      </c>
      <c r="P3040" s="587" t="s">
        <v>1432</v>
      </c>
    </row>
    <row r="3041" hidden="1">
      <c r="A3041" s="471">
        <v>5.0</v>
      </c>
      <c r="B3041" s="470" t="s">
        <v>10562</v>
      </c>
      <c r="C3041" s="471" t="s">
        <v>651</v>
      </c>
      <c r="D3041" s="471" t="s">
        <v>10563</v>
      </c>
      <c r="E3041" s="471" t="s">
        <v>10564</v>
      </c>
      <c r="F3041" s="471" t="s">
        <v>4779</v>
      </c>
      <c r="G3041" s="781" t="s">
        <v>9966</v>
      </c>
      <c r="H3041" s="64">
        <v>12.0</v>
      </c>
      <c r="I3041" s="813" t="s">
        <v>10093</v>
      </c>
      <c r="J3041" s="12" t="s">
        <v>362</v>
      </c>
      <c r="K3041" s="34" t="s">
        <v>9090</v>
      </c>
      <c r="L3041" s="12" t="s">
        <v>51</v>
      </c>
      <c r="M3041" s="19"/>
      <c r="N3041" s="19"/>
      <c r="O3041" s="34" t="s">
        <v>9966</v>
      </c>
      <c r="P3041" s="587" t="s">
        <v>1432</v>
      </c>
    </row>
    <row r="3042" hidden="1">
      <c r="A3042" s="471">
        <v>6.0</v>
      </c>
      <c r="B3042" s="470" t="s">
        <v>10565</v>
      </c>
      <c r="C3042" s="471" t="s">
        <v>2403</v>
      </c>
      <c r="D3042" s="471" t="s">
        <v>10566</v>
      </c>
      <c r="E3042" s="471" t="s">
        <v>10567</v>
      </c>
      <c r="F3042" s="471" t="s">
        <v>2403</v>
      </c>
      <c r="G3042" s="162" t="s">
        <v>541</v>
      </c>
      <c r="H3042" s="847">
        <v>8.0</v>
      </c>
      <c r="I3042" s="813" t="s">
        <v>4698</v>
      </c>
      <c r="J3042" s="19"/>
      <c r="K3042" s="19"/>
      <c r="L3042" s="12" t="s">
        <v>4195</v>
      </c>
      <c r="M3042" s="19"/>
      <c r="N3042" s="19"/>
      <c r="O3042" s="34" t="s">
        <v>10568</v>
      </c>
      <c r="P3042" s="587" t="s">
        <v>1432</v>
      </c>
    </row>
    <row r="3043" hidden="1">
      <c r="A3043" s="471">
        <v>7.0</v>
      </c>
      <c r="B3043" s="621" t="s">
        <v>10569</v>
      </c>
      <c r="C3043" s="471" t="s">
        <v>80</v>
      </c>
      <c r="D3043" s="471" t="s">
        <v>10570</v>
      </c>
      <c r="E3043" s="471" t="s">
        <v>10571</v>
      </c>
      <c r="F3043" s="471" t="s">
        <v>5593</v>
      </c>
      <c r="G3043" s="162" t="s">
        <v>10572</v>
      </c>
      <c r="H3043" s="64">
        <v>18.0</v>
      </c>
      <c r="I3043" s="812" t="s">
        <v>2890</v>
      </c>
      <c r="J3043" s="19"/>
      <c r="K3043" s="19"/>
      <c r="L3043" s="12" t="s">
        <v>778</v>
      </c>
      <c r="M3043" s="19"/>
      <c r="N3043" s="19"/>
      <c r="O3043" s="34" t="s">
        <v>10573</v>
      </c>
      <c r="P3043" s="19"/>
    </row>
    <row r="3044" hidden="1">
      <c r="A3044" s="471">
        <v>8.0</v>
      </c>
      <c r="B3044" s="470" t="s">
        <v>10574</v>
      </c>
      <c r="C3044" s="471" t="s">
        <v>2403</v>
      </c>
      <c r="D3044" s="471" t="s">
        <v>10575</v>
      </c>
      <c r="E3044" s="471" t="s">
        <v>10576</v>
      </c>
      <c r="F3044" s="471" t="s">
        <v>10577</v>
      </c>
      <c r="G3044" s="162" t="s">
        <v>10346</v>
      </c>
      <c r="H3044" s="847">
        <v>9.0</v>
      </c>
      <c r="I3044" s="812" t="s">
        <v>2890</v>
      </c>
      <c r="J3044" s="19"/>
      <c r="K3044" s="19"/>
      <c r="L3044" s="12" t="s">
        <v>699</v>
      </c>
      <c r="M3044" s="19"/>
      <c r="N3044" s="34"/>
      <c r="O3044" s="34" t="s">
        <v>10578</v>
      </c>
      <c r="P3044" s="587" t="s">
        <v>1432</v>
      </c>
    </row>
    <row r="3045" hidden="1">
      <c r="A3045" s="471">
        <v>9.0</v>
      </c>
      <c r="B3045" s="470" t="s">
        <v>10579</v>
      </c>
      <c r="C3045" s="471" t="s">
        <v>2307</v>
      </c>
      <c r="D3045" s="471" t="s">
        <v>10580</v>
      </c>
      <c r="E3045" s="471" t="s">
        <v>10581</v>
      </c>
      <c r="F3045" s="471" t="s">
        <v>10577</v>
      </c>
      <c r="G3045" s="162" t="s">
        <v>10346</v>
      </c>
      <c r="H3045" s="847">
        <v>9.0</v>
      </c>
      <c r="I3045" s="812" t="s">
        <v>2890</v>
      </c>
      <c r="J3045" s="19"/>
      <c r="K3045" s="19"/>
      <c r="L3045" s="12" t="s">
        <v>699</v>
      </c>
      <c r="M3045" s="19"/>
      <c r="N3045" s="19"/>
      <c r="O3045" s="34" t="s">
        <v>10578</v>
      </c>
      <c r="P3045" s="587" t="s">
        <v>1432</v>
      </c>
    </row>
    <row r="3046" hidden="1">
      <c r="A3046" s="471">
        <v>10.0</v>
      </c>
      <c r="B3046" s="470" t="s">
        <v>10582</v>
      </c>
      <c r="C3046" s="471" t="s">
        <v>2307</v>
      </c>
      <c r="D3046" s="471" t="s">
        <v>10583</v>
      </c>
      <c r="E3046" s="471" t="s">
        <v>10584</v>
      </c>
      <c r="F3046" s="471" t="s">
        <v>2307</v>
      </c>
      <c r="G3046" s="848">
        <v>46361.0</v>
      </c>
      <c r="H3046" s="847">
        <v>4.0</v>
      </c>
      <c r="I3046" s="812" t="s">
        <v>2890</v>
      </c>
      <c r="J3046" s="19"/>
      <c r="K3046" s="19"/>
      <c r="L3046" s="12" t="s">
        <v>4195</v>
      </c>
      <c r="M3046" s="19"/>
      <c r="N3046" s="19"/>
      <c r="O3046" s="34" t="s">
        <v>10561</v>
      </c>
      <c r="P3046" s="587" t="s">
        <v>1432</v>
      </c>
    </row>
    <row r="3047" hidden="1">
      <c r="A3047" s="471">
        <v>11.0</v>
      </c>
      <c r="B3047" s="470" t="s">
        <v>10585</v>
      </c>
      <c r="C3047" s="471" t="s">
        <v>2403</v>
      </c>
      <c r="D3047" s="471" t="s">
        <v>10586</v>
      </c>
      <c r="E3047" s="471" t="s">
        <v>10587</v>
      </c>
      <c r="F3047" s="471" t="s">
        <v>9068</v>
      </c>
      <c r="G3047" s="848">
        <v>46361.0</v>
      </c>
      <c r="H3047" s="847">
        <v>4.0</v>
      </c>
      <c r="I3047" s="813" t="s">
        <v>10198</v>
      </c>
      <c r="J3047" s="19"/>
      <c r="K3047" s="19"/>
      <c r="L3047" s="12" t="s">
        <v>4195</v>
      </c>
      <c r="M3047" s="19"/>
      <c r="N3047" s="19"/>
      <c r="O3047" s="34" t="s">
        <v>10561</v>
      </c>
      <c r="P3047" s="587" t="s">
        <v>1432</v>
      </c>
    </row>
    <row r="3048" hidden="1">
      <c r="A3048" s="471">
        <v>12.0</v>
      </c>
      <c r="B3048" s="470" t="s">
        <v>10588</v>
      </c>
      <c r="C3048" s="471" t="s">
        <v>80</v>
      </c>
      <c r="D3048" s="471" t="s">
        <v>10589</v>
      </c>
      <c r="E3048" s="471" t="s">
        <v>10590</v>
      </c>
      <c r="F3048" s="471" t="s">
        <v>10591</v>
      </c>
      <c r="G3048" s="69" t="s">
        <v>10194</v>
      </c>
      <c r="H3048" s="64">
        <v>15.0</v>
      </c>
      <c r="I3048" s="812" t="s">
        <v>2890</v>
      </c>
      <c r="J3048" s="19"/>
      <c r="K3048" s="19"/>
      <c r="L3048" s="12" t="s">
        <v>374</v>
      </c>
      <c r="M3048" s="19"/>
      <c r="N3048" s="19"/>
      <c r="O3048" s="23">
        <v>46028.0</v>
      </c>
      <c r="P3048" s="587" t="s">
        <v>1432</v>
      </c>
    </row>
    <row r="3049" hidden="1">
      <c r="A3049" s="471">
        <v>13.0</v>
      </c>
      <c r="B3049" s="470" t="s">
        <v>10592</v>
      </c>
      <c r="C3049" s="471" t="s">
        <v>80</v>
      </c>
      <c r="D3049" s="471" t="s">
        <v>10593</v>
      </c>
      <c r="E3049" s="471" t="s">
        <v>10594</v>
      </c>
      <c r="F3049" s="471" t="s">
        <v>586</v>
      </c>
      <c r="G3049" s="69" t="s">
        <v>10442</v>
      </c>
      <c r="H3049" s="64">
        <v>13.0</v>
      </c>
      <c r="I3049" s="812" t="s">
        <v>2890</v>
      </c>
      <c r="J3049" s="19"/>
      <c r="K3049" s="19"/>
      <c r="L3049" s="12" t="s">
        <v>51</v>
      </c>
      <c r="M3049" s="19"/>
      <c r="N3049" s="19"/>
      <c r="O3049" s="34" t="s">
        <v>10153</v>
      </c>
      <c r="P3049" s="587" t="s">
        <v>1432</v>
      </c>
    </row>
    <row r="3050" hidden="1">
      <c r="A3050" s="471">
        <v>14.0</v>
      </c>
      <c r="B3050" s="470" t="s">
        <v>10595</v>
      </c>
      <c r="C3050" s="471" t="s">
        <v>651</v>
      </c>
      <c r="D3050" s="471" t="s">
        <v>10596</v>
      </c>
      <c r="E3050" s="471" t="s">
        <v>10597</v>
      </c>
      <c r="F3050" s="471" t="s">
        <v>4779</v>
      </c>
      <c r="G3050" s="69" t="s">
        <v>10176</v>
      </c>
      <c r="H3050" s="64">
        <v>14.0</v>
      </c>
      <c r="I3050" s="812" t="s">
        <v>2890</v>
      </c>
      <c r="J3050" s="19"/>
      <c r="K3050" s="19"/>
      <c r="L3050" s="12" t="s">
        <v>4195</v>
      </c>
      <c r="M3050" s="19"/>
      <c r="N3050" s="19"/>
      <c r="O3050" s="34" t="s">
        <v>10351</v>
      </c>
      <c r="P3050" s="587" t="s">
        <v>1432</v>
      </c>
    </row>
    <row r="3051" hidden="1">
      <c r="A3051" s="471">
        <v>15.0</v>
      </c>
      <c r="B3051" s="470" t="s">
        <v>10598</v>
      </c>
      <c r="C3051" s="471" t="s">
        <v>1185</v>
      </c>
      <c r="D3051" s="471" t="s">
        <v>10599</v>
      </c>
      <c r="E3051" s="471" t="s">
        <v>10600</v>
      </c>
      <c r="F3051" s="471" t="s">
        <v>10601</v>
      </c>
      <c r="G3051" s="69" t="s">
        <v>10346</v>
      </c>
      <c r="H3051" s="847">
        <v>9.0</v>
      </c>
      <c r="I3051" s="817" t="s">
        <v>3465</v>
      </c>
      <c r="J3051" s="34" t="s">
        <v>10602</v>
      </c>
      <c r="K3051" s="34" t="s">
        <v>10442</v>
      </c>
      <c r="L3051" s="12" t="s">
        <v>374</v>
      </c>
      <c r="M3051" s="19"/>
      <c r="N3051" s="19"/>
      <c r="O3051" s="34" t="s">
        <v>10520</v>
      </c>
      <c r="P3051" s="19"/>
    </row>
    <row r="3052" hidden="1">
      <c r="A3052" s="471">
        <v>16.0</v>
      </c>
      <c r="B3052" s="470" t="s">
        <v>10603</v>
      </c>
      <c r="C3052" s="471" t="s">
        <v>80</v>
      </c>
      <c r="D3052" s="471" t="s">
        <v>10604</v>
      </c>
      <c r="E3052" s="625" t="s">
        <v>10605</v>
      </c>
      <c r="F3052" s="471" t="s">
        <v>10513</v>
      </c>
      <c r="G3052" s="69" t="s">
        <v>10550</v>
      </c>
      <c r="H3052" s="64">
        <v>16.0</v>
      </c>
      <c r="I3052" s="813" t="s">
        <v>5364</v>
      </c>
      <c r="J3052" s="19"/>
      <c r="K3052" s="19"/>
      <c r="L3052" s="12" t="s">
        <v>778</v>
      </c>
      <c r="M3052" s="19"/>
      <c r="N3052" s="19"/>
      <c r="O3052" s="148">
        <v>46118.0</v>
      </c>
      <c r="P3052" s="19"/>
    </row>
    <row r="3053" hidden="1">
      <c r="A3053" s="471">
        <v>17.0</v>
      </c>
      <c r="B3053" s="470" t="s">
        <v>10606</v>
      </c>
      <c r="C3053" s="471" t="s">
        <v>80</v>
      </c>
      <c r="D3053" s="471" t="s">
        <v>10607</v>
      </c>
      <c r="E3053" s="625" t="s">
        <v>10608</v>
      </c>
      <c r="F3053" s="471" t="s">
        <v>10513</v>
      </c>
      <c r="G3053" s="69" t="s">
        <v>10550</v>
      </c>
      <c r="H3053" s="64">
        <v>16.0</v>
      </c>
      <c r="I3053" s="812" t="s">
        <v>2890</v>
      </c>
      <c r="J3053" s="19"/>
      <c r="K3053" s="19"/>
      <c r="L3053" s="12" t="s">
        <v>778</v>
      </c>
      <c r="M3053" s="19"/>
      <c r="N3053" s="19"/>
      <c r="O3053" s="148">
        <v>46118.0</v>
      </c>
      <c r="P3053" s="19"/>
    </row>
    <row r="3054" hidden="1">
      <c r="A3054" s="471">
        <v>18.0</v>
      </c>
      <c r="B3054" s="470" t="s">
        <v>10609</v>
      </c>
      <c r="C3054" s="471" t="s">
        <v>80</v>
      </c>
      <c r="D3054" s="471" t="s">
        <v>10610</v>
      </c>
      <c r="E3054" s="471" t="s">
        <v>10611</v>
      </c>
      <c r="F3054" s="471" t="s">
        <v>8679</v>
      </c>
      <c r="G3054" s="162" t="s">
        <v>10572</v>
      </c>
      <c r="H3054" s="64">
        <v>18.0</v>
      </c>
      <c r="I3054" s="812" t="s">
        <v>2890</v>
      </c>
      <c r="J3054" s="19"/>
      <c r="K3054" s="19"/>
      <c r="L3054" s="12" t="s">
        <v>778</v>
      </c>
      <c r="M3054" s="19"/>
      <c r="N3054" s="19"/>
      <c r="O3054" s="148">
        <v>46148.0</v>
      </c>
      <c r="P3054" s="19"/>
    </row>
    <row r="3055" hidden="1">
      <c r="A3055" s="471">
        <v>19.0</v>
      </c>
      <c r="B3055" s="470" t="s">
        <v>10612</v>
      </c>
      <c r="C3055" s="471" t="s">
        <v>80</v>
      </c>
      <c r="D3055" s="471" t="s">
        <v>10613</v>
      </c>
      <c r="E3055" s="471" t="s">
        <v>10614</v>
      </c>
      <c r="F3055" s="471" t="s">
        <v>8679</v>
      </c>
      <c r="G3055" s="162" t="s">
        <v>10572</v>
      </c>
      <c r="H3055" s="64">
        <v>18.0</v>
      </c>
      <c r="I3055" s="812" t="s">
        <v>2890</v>
      </c>
      <c r="J3055" s="19"/>
      <c r="K3055" s="19"/>
      <c r="L3055" s="12" t="s">
        <v>778</v>
      </c>
      <c r="M3055" s="19"/>
      <c r="N3055" s="19"/>
      <c r="O3055" s="148">
        <v>46148.0</v>
      </c>
      <c r="P3055" s="19"/>
    </row>
    <row r="3056" hidden="1">
      <c r="A3056" s="471">
        <v>20.0</v>
      </c>
      <c r="B3056" s="470" t="s">
        <v>10615</v>
      </c>
      <c r="C3056" s="471" t="s">
        <v>80</v>
      </c>
      <c r="D3056" s="471" t="s">
        <v>10616</v>
      </c>
      <c r="E3056" s="471" t="s">
        <v>10617</v>
      </c>
      <c r="F3056" s="471" t="s">
        <v>10618</v>
      </c>
      <c r="G3056" s="162" t="s">
        <v>10572</v>
      </c>
      <c r="H3056" s="64">
        <v>18.0</v>
      </c>
      <c r="I3056" s="812" t="s">
        <v>2890</v>
      </c>
      <c r="J3056" s="34" t="s">
        <v>2541</v>
      </c>
      <c r="K3056" s="19"/>
      <c r="L3056" s="12" t="s">
        <v>778</v>
      </c>
      <c r="M3056" s="19"/>
      <c r="N3056" s="19"/>
      <c r="O3056" s="34" t="s">
        <v>10520</v>
      </c>
      <c r="P3056" s="19"/>
    </row>
    <row r="3057" hidden="1">
      <c r="A3057" s="471">
        <v>21.0</v>
      </c>
      <c r="B3057" s="470" t="s">
        <v>10619</v>
      </c>
      <c r="C3057" s="471" t="s">
        <v>80</v>
      </c>
      <c r="D3057" s="471" t="s">
        <v>10620</v>
      </c>
      <c r="E3057" s="471" t="s">
        <v>10621</v>
      </c>
      <c r="F3057" s="471" t="s">
        <v>9387</v>
      </c>
      <c r="G3057" s="162" t="s">
        <v>10153</v>
      </c>
      <c r="H3057" s="64">
        <v>19.0</v>
      </c>
      <c r="I3057" s="812" t="s">
        <v>2890</v>
      </c>
      <c r="J3057" s="19"/>
      <c r="K3057" s="19"/>
      <c r="L3057" s="12" t="s">
        <v>4195</v>
      </c>
      <c r="M3057" s="19"/>
      <c r="N3057" s="19"/>
      <c r="O3057" s="34" t="s">
        <v>10520</v>
      </c>
      <c r="P3057" s="587" t="s">
        <v>1432</v>
      </c>
    </row>
    <row r="3058" hidden="1">
      <c r="A3058" s="471">
        <v>22.0</v>
      </c>
      <c r="B3058" s="470" t="s">
        <v>10622</v>
      </c>
      <c r="C3058" s="471" t="s">
        <v>80</v>
      </c>
      <c r="D3058" s="471" t="s">
        <v>10623</v>
      </c>
      <c r="E3058" s="615" t="s">
        <v>10624</v>
      </c>
      <c r="F3058" s="471" t="s">
        <v>3583</v>
      </c>
      <c r="G3058" s="162" t="s">
        <v>10176</v>
      </c>
      <c r="H3058" s="64">
        <v>14.0</v>
      </c>
      <c r="I3058" s="812" t="s">
        <v>2890</v>
      </c>
      <c r="J3058" s="19"/>
      <c r="K3058" s="19"/>
      <c r="L3058" s="12" t="s">
        <v>778</v>
      </c>
      <c r="M3058" s="19"/>
      <c r="N3058" s="19"/>
      <c r="O3058" s="148">
        <v>46028.0</v>
      </c>
      <c r="P3058" s="19"/>
    </row>
    <row r="3059" hidden="1">
      <c r="A3059" s="471">
        <v>23.0</v>
      </c>
      <c r="B3059" s="470" t="s">
        <v>10625</v>
      </c>
      <c r="C3059" s="471" t="s">
        <v>5937</v>
      </c>
      <c r="D3059" s="471" t="s">
        <v>10626</v>
      </c>
      <c r="E3059" s="558" t="s">
        <v>10627</v>
      </c>
      <c r="F3059" s="471" t="s">
        <v>243</v>
      </c>
      <c r="G3059" s="162" t="s">
        <v>10153</v>
      </c>
      <c r="H3059" s="64">
        <v>19.0</v>
      </c>
      <c r="I3059" s="812" t="s">
        <v>2890</v>
      </c>
      <c r="J3059" s="19"/>
      <c r="K3059" s="19"/>
      <c r="L3059" s="12" t="s">
        <v>4195</v>
      </c>
      <c r="M3059" s="19"/>
      <c r="N3059" s="19"/>
      <c r="O3059" s="71">
        <v>46059.0</v>
      </c>
      <c r="P3059" s="587" t="s">
        <v>1432</v>
      </c>
    </row>
    <row r="3060" hidden="1">
      <c r="A3060" s="471">
        <v>24.0</v>
      </c>
      <c r="B3060" s="470" t="s">
        <v>10628</v>
      </c>
      <c r="C3060" s="471" t="s">
        <v>5937</v>
      </c>
      <c r="D3060" s="471" t="s">
        <v>10629</v>
      </c>
      <c r="E3060" s="558" t="s">
        <v>10630</v>
      </c>
      <c r="F3060" s="471" t="s">
        <v>243</v>
      </c>
      <c r="G3060" s="162" t="s">
        <v>10153</v>
      </c>
      <c r="H3060" s="64">
        <v>19.0</v>
      </c>
      <c r="I3060" s="812" t="s">
        <v>2890</v>
      </c>
      <c r="J3060" s="19"/>
      <c r="K3060" s="19"/>
      <c r="L3060" s="12" t="s">
        <v>4195</v>
      </c>
      <c r="M3060" s="19"/>
      <c r="N3060" s="19"/>
      <c r="O3060" s="71">
        <v>46059.0</v>
      </c>
      <c r="P3060" s="587" t="s">
        <v>1432</v>
      </c>
    </row>
    <row r="3061" hidden="1">
      <c r="A3061" s="339" t="s">
        <v>10631</v>
      </c>
    </row>
    <row r="3062" hidden="1">
      <c r="A3062" s="670" t="s">
        <v>47</v>
      </c>
      <c r="B3062" s="670" t="s">
        <v>7</v>
      </c>
      <c r="C3062" s="670" t="s">
        <v>9</v>
      </c>
      <c r="D3062" s="670" t="s">
        <v>10</v>
      </c>
      <c r="E3062" s="670" t="s">
        <v>11</v>
      </c>
      <c r="F3062" s="670" t="s">
        <v>12</v>
      </c>
      <c r="G3062" s="670" t="s">
        <v>2378</v>
      </c>
      <c r="H3062" s="670" t="s">
        <v>2681</v>
      </c>
      <c r="I3062" s="4" t="s">
        <v>2847</v>
      </c>
      <c r="J3062" s="8" t="s">
        <v>14</v>
      </c>
      <c r="K3062" s="9" t="s">
        <v>16</v>
      </c>
      <c r="L3062" s="9" t="s">
        <v>4330</v>
      </c>
      <c r="M3062" s="9" t="s">
        <v>18</v>
      </c>
      <c r="N3062" s="9" t="s">
        <v>19</v>
      </c>
      <c r="O3062" s="9" t="s">
        <v>20</v>
      </c>
      <c r="P3062" s="9" t="s">
        <v>21</v>
      </c>
    </row>
    <row r="3063" hidden="1">
      <c r="A3063" s="760">
        <v>1.0</v>
      </c>
      <c r="B3063" s="849" t="s">
        <v>10632</v>
      </c>
      <c r="C3063" s="850"/>
      <c r="D3063" s="778" t="s">
        <v>10633</v>
      </c>
      <c r="E3063" s="778" t="s">
        <v>10634</v>
      </c>
      <c r="F3063" s="850"/>
      <c r="G3063" s="851">
        <v>46207.0</v>
      </c>
      <c r="H3063" s="852">
        <v>-35.0</v>
      </c>
      <c r="I3063" s="853" t="s">
        <v>2890</v>
      </c>
      <c r="L3063" s="292" t="s">
        <v>51</v>
      </c>
      <c r="O3063" s="143" t="s">
        <v>10153</v>
      </c>
    </row>
    <row r="3064" hidden="1">
      <c r="A3064" s="760">
        <v>2.0</v>
      </c>
      <c r="B3064" s="854" t="s">
        <v>10635</v>
      </c>
      <c r="C3064" s="778" t="s">
        <v>80</v>
      </c>
      <c r="D3064" s="778" t="s">
        <v>10636</v>
      </c>
      <c r="E3064" s="778" t="s">
        <v>10637</v>
      </c>
      <c r="F3064" s="778" t="s">
        <v>2019</v>
      </c>
      <c r="G3064" s="853" t="s">
        <v>10194</v>
      </c>
      <c r="H3064" s="855">
        <v>11.0</v>
      </c>
      <c r="I3064" s="809" t="s">
        <v>10093</v>
      </c>
      <c r="J3064" s="19"/>
      <c r="K3064" s="19"/>
      <c r="L3064" s="12" t="s">
        <v>4195</v>
      </c>
      <c r="M3064" s="19"/>
      <c r="N3064" s="19"/>
      <c r="O3064" s="34" t="s">
        <v>10374</v>
      </c>
      <c r="P3064" s="587" t="s">
        <v>1432</v>
      </c>
    </row>
    <row r="3065" hidden="1">
      <c r="A3065" s="760">
        <v>3.0</v>
      </c>
      <c r="B3065" s="854" t="s">
        <v>10638</v>
      </c>
      <c r="C3065" s="778" t="s">
        <v>80</v>
      </c>
      <c r="D3065" s="778" t="s">
        <v>10639</v>
      </c>
      <c r="E3065" s="853" t="s">
        <v>10640</v>
      </c>
      <c r="F3065" s="778" t="s">
        <v>2120</v>
      </c>
      <c r="G3065" s="853" t="s">
        <v>10550</v>
      </c>
      <c r="H3065" s="855">
        <v>12.0</v>
      </c>
      <c r="I3065" s="809" t="s">
        <v>10641</v>
      </c>
      <c r="J3065" s="19"/>
      <c r="K3065" s="19"/>
      <c r="L3065" s="12" t="s">
        <v>374</v>
      </c>
      <c r="M3065" s="19"/>
      <c r="N3065" s="19"/>
      <c r="O3065" s="34" t="s">
        <v>10171</v>
      </c>
      <c r="P3065" s="587" t="s">
        <v>1432</v>
      </c>
    </row>
    <row r="3066" hidden="1">
      <c r="A3066" s="760">
        <v>4.0</v>
      </c>
      <c r="B3066" s="854" t="s">
        <v>10642</v>
      </c>
      <c r="C3066" s="778" t="s">
        <v>80</v>
      </c>
      <c r="D3066" s="778" t="s">
        <v>10643</v>
      </c>
      <c r="E3066" s="778" t="s">
        <v>10644</v>
      </c>
      <c r="F3066" s="778" t="s">
        <v>718</v>
      </c>
      <c r="G3066" s="853" t="s">
        <v>10194</v>
      </c>
      <c r="H3066" s="855">
        <v>11.0</v>
      </c>
      <c r="I3066" s="853" t="s">
        <v>2890</v>
      </c>
      <c r="J3066" s="34" t="s">
        <v>2541</v>
      </c>
      <c r="K3066" s="19"/>
      <c r="L3066" s="12" t="s">
        <v>9573</v>
      </c>
      <c r="M3066" s="19"/>
      <c r="N3066" s="34" t="s">
        <v>10645</v>
      </c>
      <c r="O3066" s="148">
        <v>46240.0</v>
      </c>
      <c r="P3066" s="19"/>
    </row>
    <row r="3067" hidden="1">
      <c r="A3067" s="118">
        <v>5.0</v>
      </c>
      <c r="B3067" s="856" t="s">
        <v>10646</v>
      </c>
      <c r="C3067" s="781" t="s">
        <v>2307</v>
      </c>
      <c r="D3067" s="781" t="s">
        <v>10647</v>
      </c>
      <c r="E3067" s="781" t="s">
        <v>10648</v>
      </c>
      <c r="F3067" s="781" t="s">
        <v>667</v>
      </c>
      <c r="G3067" s="857" t="s">
        <v>10413</v>
      </c>
      <c r="H3067" s="858">
        <v>7.0</v>
      </c>
      <c r="I3067" s="857" t="s">
        <v>2890</v>
      </c>
      <c r="J3067" s="19"/>
      <c r="K3067" s="19"/>
      <c r="L3067" s="12" t="s">
        <v>4195</v>
      </c>
      <c r="M3067" s="19"/>
      <c r="N3067" s="19"/>
      <c r="O3067" s="34" t="s">
        <v>10524</v>
      </c>
      <c r="P3067" s="587" t="s">
        <v>1432</v>
      </c>
    </row>
    <row r="3068" hidden="1">
      <c r="A3068" s="118">
        <v>6.0</v>
      </c>
      <c r="B3068" s="856" t="s">
        <v>10649</v>
      </c>
      <c r="C3068" s="781" t="s">
        <v>80</v>
      </c>
      <c r="D3068" s="781" t="s">
        <v>10650</v>
      </c>
      <c r="E3068" s="859" t="s">
        <v>10651</v>
      </c>
      <c r="F3068" s="781" t="s">
        <v>8373</v>
      </c>
      <c r="G3068" s="860">
        <v>46028.0</v>
      </c>
      <c r="H3068" s="861">
        <v>20.0</v>
      </c>
      <c r="I3068" s="857" t="s">
        <v>2890</v>
      </c>
      <c r="J3068" s="34" t="s">
        <v>2541</v>
      </c>
      <c r="K3068" s="34" t="s">
        <v>10442</v>
      </c>
      <c r="L3068" s="12" t="s">
        <v>374</v>
      </c>
      <c r="M3068" s="19"/>
      <c r="N3068" s="19"/>
      <c r="O3068" s="34" t="s">
        <v>10652</v>
      </c>
      <c r="P3068" s="19"/>
    </row>
    <row r="3069" hidden="1">
      <c r="A3069" s="118">
        <v>7.0</v>
      </c>
      <c r="B3069" s="856" t="s">
        <v>10653</v>
      </c>
      <c r="C3069" s="781" t="s">
        <v>80</v>
      </c>
      <c r="D3069" s="781" t="s">
        <v>10654</v>
      </c>
      <c r="E3069" s="859" t="s">
        <v>10655</v>
      </c>
      <c r="F3069" s="781" t="s">
        <v>8373</v>
      </c>
      <c r="G3069" s="860">
        <v>46028.0</v>
      </c>
      <c r="H3069" s="861">
        <v>20.0</v>
      </c>
      <c r="I3069" s="857" t="s">
        <v>2890</v>
      </c>
      <c r="J3069" s="34" t="s">
        <v>2541</v>
      </c>
      <c r="K3069" s="34" t="s">
        <v>10442</v>
      </c>
      <c r="L3069" s="12" t="s">
        <v>374</v>
      </c>
      <c r="M3069" s="19"/>
      <c r="N3069" s="19"/>
      <c r="O3069" s="34" t="s">
        <v>10652</v>
      </c>
      <c r="P3069" s="587" t="s">
        <v>1432</v>
      </c>
    </row>
    <row r="3070" hidden="1">
      <c r="A3070" s="118">
        <v>8.0</v>
      </c>
      <c r="B3070" s="856" t="s">
        <v>10656</v>
      </c>
      <c r="C3070" s="781" t="s">
        <v>80</v>
      </c>
      <c r="D3070" s="781" t="s">
        <v>10657</v>
      </c>
      <c r="E3070" s="859" t="s">
        <v>10658</v>
      </c>
      <c r="F3070" s="781" t="s">
        <v>8373</v>
      </c>
      <c r="G3070" s="860">
        <v>46028.0</v>
      </c>
      <c r="H3070" s="861">
        <v>20.0</v>
      </c>
      <c r="I3070" s="857" t="s">
        <v>2890</v>
      </c>
      <c r="J3070" s="34" t="s">
        <v>2541</v>
      </c>
      <c r="K3070" s="34" t="s">
        <v>10442</v>
      </c>
      <c r="L3070" s="12" t="s">
        <v>374</v>
      </c>
      <c r="M3070" s="19"/>
      <c r="N3070" s="19"/>
      <c r="O3070" s="34" t="s">
        <v>10652</v>
      </c>
      <c r="P3070" s="587" t="s">
        <v>1432</v>
      </c>
    </row>
    <row r="3071" hidden="1">
      <c r="A3071" s="118">
        <v>9.0</v>
      </c>
      <c r="B3071" s="862" t="s">
        <v>10659</v>
      </c>
      <c r="C3071" s="781" t="s">
        <v>80</v>
      </c>
      <c r="D3071" s="781" t="s">
        <v>10660</v>
      </c>
      <c r="E3071" s="781" t="s">
        <v>10661</v>
      </c>
      <c r="F3071" s="781" t="s">
        <v>3157</v>
      </c>
      <c r="G3071" s="857" t="s">
        <v>10520</v>
      </c>
      <c r="H3071" s="861">
        <v>18.0</v>
      </c>
      <c r="I3071" s="857" t="s">
        <v>2890</v>
      </c>
      <c r="J3071" s="34" t="s">
        <v>2541</v>
      </c>
      <c r="K3071" s="34" t="s">
        <v>9966</v>
      </c>
      <c r="L3071" s="12" t="s">
        <v>374</v>
      </c>
      <c r="M3071" s="19"/>
      <c r="N3071" s="19"/>
      <c r="O3071" s="23">
        <v>46240.0</v>
      </c>
      <c r="P3071" s="587" t="s">
        <v>1432</v>
      </c>
    </row>
    <row r="3072" hidden="1">
      <c r="A3072" s="118">
        <v>10.0</v>
      </c>
      <c r="B3072" s="862" t="s">
        <v>10662</v>
      </c>
      <c r="C3072" s="781" t="s">
        <v>5789</v>
      </c>
      <c r="D3072" s="781" t="s">
        <v>10663</v>
      </c>
      <c r="E3072" s="781" t="s">
        <v>10664</v>
      </c>
      <c r="F3072" s="781" t="s">
        <v>5235</v>
      </c>
      <c r="G3072" s="857" t="s">
        <v>10421</v>
      </c>
      <c r="H3072" s="861">
        <v>13.0</v>
      </c>
      <c r="I3072" s="857" t="s">
        <v>2890</v>
      </c>
      <c r="J3072" s="34" t="s">
        <v>2541</v>
      </c>
      <c r="K3072" s="19"/>
      <c r="L3072" s="12" t="s">
        <v>778</v>
      </c>
      <c r="M3072" s="19"/>
      <c r="N3072" s="19"/>
      <c r="O3072" s="148">
        <v>46148.0</v>
      </c>
      <c r="P3072" s="19"/>
    </row>
    <row r="3073" hidden="1">
      <c r="A3073" s="118">
        <v>11.0</v>
      </c>
      <c r="B3073" s="863" t="s">
        <v>10665</v>
      </c>
      <c r="C3073" s="781" t="s">
        <v>1185</v>
      </c>
      <c r="D3073" s="781" t="s">
        <v>10666</v>
      </c>
      <c r="E3073" s="781" t="s">
        <v>10667</v>
      </c>
      <c r="F3073" s="781" t="s">
        <v>25</v>
      </c>
      <c r="G3073" s="857" t="s">
        <v>10421</v>
      </c>
      <c r="H3073" s="861">
        <v>13.0</v>
      </c>
      <c r="I3073" s="813" t="s">
        <v>4339</v>
      </c>
      <c r="J3073" s="19"/>
      <c r="K3073" s="19"/>
      <c r="L3073" s="12" t="s">
        <v>374</v>
      </c>
      <c r="M3073" s="19"/>
      <c r="N3073" s="19"/>
      <c r="O3073" s="129" t="s">
        <v>10319</v>
      </c>
      <c r="P3073" s="19"/>
    </row>
    <row r="3074" hidden="1">
      <c r="A3074" s="118">
        <v>12.0</v>
      </c>
      <c r="B3074" s="863" t="s">
        <v>10668</v>
      </c>
      <c r="C3074" s="781" t="s">
        <v>1185</v>
      </c>
      <c r="D3074" s="781" t="s">
        <v>10669</v>
      </c>
      <c r="E3074" s="781" t="s">
        <v>10670</v>
      </c>
      <c r="F3074" s="781" t="s">
        <v>25</v>
      </c>
      <c r="G3074" s="857" t="s">
        <v>10421</v>
      </c>
      <c r="H3074" s="861">
        <v>13.0</v>
      </c>
      <c r="I3074" s="857" t="s">
        <v>2890</v>
      </c>
      <c r="J3074" s="19"/>
      <c r="K3074" s="19"/>
      <c r="L3074" s="12" t="s">
        <v>4195</v>
      </c>
      <c r="M3074" s="19"/>
      <c r="N3074" s="19"/>
      <c r="O3074" s="34" t="s">
        <v>10539</v>
      </c>
      <c r="P3074" s="19"/>
    </row>
    <row r="3075" hidden="1">
      <c r="A3075" s="118">
        <v>13.0</v>
      </c>
      <c r="B3075" s="863" t="s">
        <v>10671</v>
      </c>
      <c r="C3075" s="781" t="s">
        <v>1185</v>
      </c>
      <c r="D3075" s="781" t="s">
        <v>10672</v>
      </c>
      <c r="E3075" s="781" t="s">
        <v>10673</v>
      </c>
      <c r="F3075" s="781" t="s">
        <v>25</v>
      </c>
      <c r="G3075" s="857" t="s">
        <v>10421</v>
      </c>
      <c r="H3075" s="861">
        <v>13.0</v>
      </c>
      <c r="I3075" s="857" t="s">
        <v>2890</v>
      </c>
      <c r="J3075" s="34" t="s">
        <v>2541</v>
      </c>
      <c r="K3075" s="34" t="s">
        <v>9966</v>
      </c>
      <c r="L3075" s="12" t="s">
        <v>374</v>
      </c>
      <c r="M3075" s="19"/>
      <c r="N3075" s="19"/>
      <c r="O3075" s="148">
        <v>46059.0</v>
      </c>
      <c r="P3075" s="19"/>
    </row>
    <row r="3076" hidden="1">
      <c r="A3076" s="118">
        <v>14.0</v>
      </c>
      <c r="B3076" s="863" t="s">
        <v>10674</v>
      </c>
      <c r="C3076" s="781" t="s">
        <v>1185</v>
      </c>
      <c r="D3076" s="781" t="s">
        <v>10675</v>
      </c>
      <c r="E3076" s="781" t="s">
        <v>10676</v>
      </c>
      <c r="F3076" s="781" t="s">
        <v>25</v>
      </c>
      <c r="G3076" s="860">
        <v>46028.0</v>
      </c>
      <c r="H3076" s="861">
        <v>20.0</v>
      </c>
      <c r="I3076" s="857" t="s">
        <v>2890</v>
      </c>
      <c r="J3076" s="19"/>
      <c r="K3076" s="19"/>
      <c r="L3076" s="12" t="s">
        <v>4195</v>
      </c>
      <c r="M3076" s="19"/>
      <c r="N3076" s="19"/>
      <c r="O3076" s="34" t="s">
        <v>10677</v>
      </c>
      <c r="P3076" s="19"/>
    </row>
    <row r="3077" hidden="1">
      <c r="A3077" s="118">
        <v>15.0</v>
      </c>
      <c r="B3077" s="864" t="s">
        <v>10678</v>
      </c>
      <c r="C3077" s="781" t="s">
        <v>2403</v>
      </c>
      <c r="D3077" s="781" t="s">
        <v>10679</v>
      </c>
      <c r="E3077" s="781" t="s">
        <v>10680</v>
      </c>
      <c r="F3077" s="781" t="s">
        <v>9068</v>
      </c>
      <c r="G3077" s="857" t="s">
        <v>9090</v>
      </c>
      <c r="H3077" s="858">
        <v>3.0</v>
      </c>
      <c r="I3077" s="813" t="s">
        <v>10198</v>
      </c>
      <c r="J3077" s="19"/>
      <c r="K3077" s="19"/>
      <c r="L3077" s="12" t="s">
        <v>4195</v>
      </c>
      <c r="M3077" s="19"/>
      <c r="N3077" s="19"/>
      <c r="O3077" s="34" t="s">
        <v>10568</v>
      </c>
      <c r="P3077" s="587" t="s">
        <v>1432</v>
      </c>
    </row>
    <row r="3078" hidden="1">
      <c r="A3078" s="118">
        <v>16.0</v>
      </c>
      <c r="B3078" s="856" t="s">
        <v>10681</v>
      </c>
      <c r="C3078" s="781" t="s">
        <v>80</v>
      </c>
      <c r="D3078" s="781" t="s">
        <v>10682</v>
      </c>
      <c r="E3078" s="781" t="s">
        <v>10683</v>
      </c>
      <c r="F3078" s="781" t="s">
        <v>10684</v>
      </c>
      <c r="G3078" s="857" t="s">
        <v>10572</v>
      </c>
      <c r="H3078" s="861">
        <v>14.0</v>
      </c>
      <c r="I3078" s="857" t="s">
        <v>2890</v>
      </c>
      <c r="J3078" s="19"/>
      <c r="K3078" s="19"/>
      <c r="L3078" s="12" t="s">
        <v>4195</v>
      </c>
      <c r="M3078" s="19"/>
      <c r="N3078" s="19"/>
      <c r="O3078" s="34" t="s">
        <v>10685</v>
      </c>
      <c r="P3078" s="587" t="s">
        <v>1432</v>
      </c>
    </row>
    <row r="3079" hidden="1">
      <c r="A3079" s="118">
        <v>17.0</v>
      </c>
      <c r="B3079" s="856" t="s">
        <v>10686</v>
      </c>
      <c r="C3079" s="781" t="s">
        <v>80</v>
      </c>
      <c r="D3079" s="781" t="s">
        <v>10687</v>
      </c>
      <c r="E3079" s="781" t="s">
        <v>10688</v>
      </c>
      <c r="F3079" s="781" t="s">
        <v>10689</v>
      </c>
      <c r="G3079" s="857" t="s">
        <v>10572</v>
      </c>
      <c r="H3079" s="861">
        <v>14.0</v>
      </c>
      <c r="I3079" s="813" t="s">
        <v>10690</v>
      </c>
      <c r="J3079" s="34" t="s">
        <v>10691</v>
      </c>
      <c r="K3079" s="34" t="s">
        <v>10153</v>
      </c>
      <c r="L3079" s="12" t="s">
        <v>374</v>
      </c>
      <c r="M3079" s="19"/>
      <c r="N3079" s="19"/>
      <c r="O3079" s="23">
        <v>46118.0</v>
      </c>
      <c r="P3079" s="587" t="s">
        <v>1432</v>
      </c>
    </row>
    <row r="3080" ht="18.0" hidden="1" customHeight="1">
      <c r="A3080" s="118">
        <v>18.0</v>
      </c>
      <c r="B3080" s="856" t="s">
        <v>10692</v>
      </c>
      <c r="C3080" s="781" t="s">
        <v>80</v>
      </c>
      <c r="D3080" s="781" t="s">
        <v>10693</v>
      </c>
      <c r="E3080" s="865" t="s">
        <v>10694</v>
      </c>
      <c r="F3080" s="781" t="s">
        <v>3928</v>
      </c>
      <c r="G3080" s="857" t="s">
        <v>10421</v>
      </c>
      <c r="H3080" s="861">
        <v>13.0</v>
      </c>
      <c r="I3080" s="857" t="s">
        <v>2890</v>
      </c>
      <c r="J3080" s="19"/>
      <c r="K3080" s="19"/>
      <c r="L3080" s="12" t="s">
        <v>9469</v>
      </c>
      <c r="M3080" s="19"/>
      <c r="N3080" s="19"/>
      <c r="O3080" s="34" t="s">
        <v>10695</v>
      </c>
      <c r="P3080" s="19"/>
    </row>
    <row r="3081" ht="18.0" hidden="1" customHeight="1">
      <c r="A3081" s="118">
        <v>19.0</v>
      </c>
      <c r="B3081" s="856" t="s">
        <v>10696</v>
      </c>
      <c r="C3081" s="781" t="s">
        <v>80</v>
      </c>
      <c r="D3081" s="781" t="s">
        <v>10697</v>
      </c>
      <c r="E3081" s="865" t="s">
        <v>10698</v>
      </c>
      <c r="F3081" s="781" t="s">
        <v>3928</v>
      </c>
      <c r="G3081" s="857" t="s">
        <v>10421</v>
      </c>
      <c r="H3081" s="861">
        <v>13.0</v>
      </c>
      <c r="I3081" s="813" t="s">
        <v>10093</v>
      </c>
      <c r="J3081" s="19"/>
      <c r="K3081" s="19"/>
      <c r="L3081" s="12" t="s">
        <v>9469</v>
      </c>
      <c r="M3081" s="19"/>
      <c r="N3081" s="19"/>
      <c r="O3081" s="34" t="s">
        <v>10695</v>
      </c>
      <c r="P3081" s="19"/>
    </row>
    <row r="3082" ht="18.0" hidden="1" customHeight="1">
      <c r="A3082" s="118">
        <v>20.0</v>
      </c>
      <c r="B3082" s="856" t="s">
        <v>10699</v>
      </c>
      <c r="C3082" s="781" t="s">
        <v>80</v>
      </c>
      <c r="D3082" s="781" t="s">
        <v>10700</v>
      </c>
      <c r="E3082" s="865" t="s">
        <v>10701</v>
      </c>
      <c r="F3082" s="781" t="s">
        <v>3928</v>
      </c>
      <c r="G3082" s="857" t="s">
        <v>10421</v>
      </c>
      <c r="H3082" s="861">
        <v>13.0</v>
      </c>
      <c r="I3082" s="813" t="s">
        <v>10093</v>
      </c>
      <c r="J3082" s="19"/>
      <c r="K3082" s="19"/>
      <c r="L3082" s="12" t="s">
        <v>9469</v>
      </c>
      <c r="M3082" s="19"/>
      <c r="N3082" s="19"/>
      <c r="O3082" s="34" t="s">
        <v>10695</v>
      </c>
      <c r="P3082" s="19"/>
    </row>
    <row r="3083" ht="18.0" hidden="1" customHeight="1">
      <c r="A3083" s="118">
        <v>21.0</v>
      </c>
      <c r="B3083" s="863" t="s">
        <v>10702</v>
      </c>
      <c r="C3083" s="781" t="s">
        <v>80</v>
      </c>
      <c r="D3083" s="781" t="s">
        <v>10703</v>
      </c>
      <c r="E3083" s="865" t="s">
        <v>10704</v>
      </c>
      <c r="F3083" s="781" t="s">
        <v>3928</v>
      </c>
      <c r="G3083" s="857" t="s">
        <v>10421</v>
      </c>
      <c r="H3083" s="861">
        <v>13.0</v>
      </c>
      <c r="I3083" s="857" t="s">
        <v>2890</v>
      </c>
      <c r="J3083" s="19"/>
      <c r="K3083" s="19"/>
      <c r="L3083" s="12" t="s">
        <v>9469</v>
      </c>
      <c r="M3083" s="19"/>
      <c r="N3083" s="19"/>
      <c r="O3083" s="34" t="s">
        <v>10695</v>
      </c>
      <c r="P3083" s="19"/>
    </row>
    <row r="3084" ht="18.0" hidden="1" customHeight="1">
      <c r="A3084" s="118">
        <v>22.0</v>
      </c>
      <c r="B3084" s="863" t="s">
        <v>10705</v>
      </c>
      <c r="C3084" s="781" t="s">
        <v>80</v>
      </c>
      <c r="D3084" s="781" t="s">
        <v>10706</v>
      </c>
      <c r="E3084" s="866" t="s">
        <v>10707</v>
      </c>
      <c r="F3084" s="781" t="s">
        <v>3928</v>
      </c>
      <c r="G3084" s="857" t="s">
        <v>10421</v>
      </c>
      <c r="H3084" s="861">
        <v>13.0</v>
      </c>
      <c r="I3084" s="857" t="s">
        <v>2890</v>
      </c>
      <c r="J3084" s="19"/>
      <c r="K3084" s="19"/>
      <c r="L3084" s="12" t="s">
        <v>9469</v>
      </c>
      <c r="M3084" s="19"/>
      <c r="N3084" s="19"/>
      <c r="O3084" s="34" t="s">
        <v>10695</v>
      </c>
      <c r="P3084" s="19"/>
    </row>
    <row r="3085" hidden="1">
      <c r="A3085" s="118">
        <v>23.0</v>
      </c>
      <c r="B3085" s="867" t="s">
        <v>10708</v>
      </c>
      <c r="C3085" s="781" t="s">
        <v>80</v>
      </c>
      <c r="D3085" s="781" t="s">
        <v>10709</v>
      </c>
      <c r="E3085" s="865" t="s">
        <v>10710</v>
      </c>
      <c r="F3085" s="781" t="s">
        <v>3928</v>
      </c>
      <c r="G3085" s="857" t="s">
        <v>10421</v>
      </c>
      <c r="H3085" s="861">
        <v>13.0</v>
      </c>
      <c r="I3085" s="813" t="s">
        <v>10093</v>
      </c>
      <c r="J3085" s="19"/>
      <c r="K3085" s="19"/>
      <c r="L3085" s="12" t="s">
        <v>9469</v>
      </c>
      <c r="M3085" s="19"/>
      <c r="N3085" s="19"/>
      <c r="O3085" s="34" t="s">
        <v>10695</v>
      </c>
      <c r="P3085" s="19"/>
    </row>
    <row r="3086" hidden="1">
      <c r="A3086" s="118">
        <v>24.0</v>
      </c>
      <c r="B3086" s="863" t="s">
        <v>10711</v>
      </c>
      <c r="C3086" s="781" t="s">
        <v>80</v>
      </c>
      <c r="D3086" s="781" t="s">
        <v>10712</v>
      </c>
      <c r="E3086" s="866" t="s">
        <v>10713</v>
      </c>
      <c r="F3086" s="781" t="s">
        <v>3928</v>
      </c>
      <c r="G3086" s="857" t="s">
        <v>10421</v>
      </c>
      <c r="H3086" s="861">
        <v>13.0</v>
      </c>
      <c r="I3086" s="857" t="s">
        <v>2890</v>
      </c>
      <c r="J3086" s="19"/>
      <c r="K3086" s="19"/>
      <c r="L3086" s="12" t="s">
        <v>9469</v>
      </c>
      <c r="M3086" s="19"/>
      <c r="N3086" s="19"/>
      <c r="O3086" s="34" t="s">
        <v>10695</v>
      </c>
      <c r="P3086" s="19"/>
    </row>
    <row r="3087" hidden="1">
      <c r="A3087" s="118">
        <v>25.0</v>
      </c>
      <c r="B3087" s="863" t="s">
        <v>10714</v>
      </c>
      <c r="C3087" s="781" t="s">
        <v>80</v>
      </c>
      <c r="D3087" s="781" t="s">
        <v>10715</v>
      </c>
      <c r="E3087" s="865" t="s">
        <v>10716</v>
      </c>
      <c r="F3087" s="781" t="s">
        <v>3928</v>
      </c>
      <c r="G3087" s="857" t="s">
        <v>10421</v>
      </c>
      <c r="H3087" s="861">
        <v>13.0</v>
      </c>
      <c r="I3087" s="813" t="s">
        <v>3043</v>
      </c>
      <c r="J3087" s="19"/>
      <c r="K3087" s="19"/>
      <c r="L3087" s="12" t="s">
        <v>9469</v>
      </c>
      <c r="M3087" s="19"/>
      <c r="N3087" s="19"/>
      <c r="O3087" s="34" t="s">
        <v>10695</v>
      </c>
      <c r="P3087" s="19"/>
    </row>
    <row r="3088" hidden="1">
      <c r="A3088" s="118">
        <v>26.0</v>
      </c>
      <c r="B3088" s="863" t="s">
        <v>10717</v>
      </c>
      <c r="C3088" s="781" t="s">
        <v>651</v>
      </c>
      <c r="D3088" s="781" t="s">
        <v>10718</v>
      </c>
      <c r="E3088" s="781" t="s">
        <v>10719</v>
      </c>
      <c r="F3088" s="781" t="s">
        <v>2040</v>
      </c>
      <c r="G3088" s="857" t="s">
        <v>10319</v>
      </c>
      <c r="H3088" s="861">
        <v>16.0</v>
      </c>
      <c r="I3088" s="813" t="s">
        <v>3043</v>
      </c>
      <c r="J3088" s="34" t="s">
        <v>10720</v>
      </c>
      <c r="K3088" s="34" t="s">
        <v>10176</v>
      </c>
      <c r="L3088" s="12" t="s">
        <v>51</v>
      </c>
      <c r="M3088" s="19"/>
      <c r="N3088" s="19"/>
      <c r="O3088" s="148">
        <v>46118.0</v>
      </c>
      <c r="P3088" s="19"/>
    </row>
    <row r="3089" hidden="1">
      <c r="A3089" s="118">
        <v>27.0</v>
      </c>
      <c r="B3089" s="863" t="s">
        <v>10721</v>
      </c>
      <c r="C3089" s="781" t="s">
        <v>80</v>
      </c>
      <c r="D3089" s="781" t="s">
        <v>10722</v>
      </c>
      <c r="E3089" s="781" t="s">
        <v>10723</v>
      </c>
      <c r="F3089" s="781" t="s">
        <v>10724</v>
      </c>
      <c r="G3089" s="857" t="s">
        <v>10319</v>
      </c>
      <c r="H3089" s="861">
        <v>16.0</v>
      </c>
      <c r="I3089" s="857" t="s">
        <v>2890</v>
      </c>
      <c r="J3089" s="19"/>
      <c r="K3089" s="19"/>
      <c r="L3089" s="12" t="s">
        <v>51</v>
      </c>
      <c r="M3089" s="19"/>
      <c r="N3089" s="19"/>
      <c r="O3089" s="148">
        <v>46059.0</v>
      </c>
      <c r="P3089" s="587" t="s">
        <v>1432</v>
      </c>
    </row>
    <row r="3090" hidden="1">
      <c r="A3090" s="118">
        <v>28.0</v>
      </c>
      <c r="B3090" s="856" t="s">
        <v>10725</v>
      </c>
      <c r="C3090" s="781" t="s">
        <v>80</v>
      </c>
      <c r="D3090" s="781" t="s">
        <v>10726</v>
      </c>
      <c r="E3090" s="781" t="s">
        <v>10727</v>
      </c>
      <c r="F3090" s="781" t="s">
        <v>9657</v>
      </c>
      <c r="G3090" s="857" t="s">
        <v>10520</v>
      </c>
      <c r="H3090" s="861">
        <v>18.0</v>
      </c>
      <c r="I3090" s="813" t="s">
        <v>10093</v>
      </c>
      <c r="J3090" s="34" t="s">
        <v>10691</v>
      </c>
      <c r="K3090" s="34" t="s">
        <v>10153</v>
      </c>
      <c r="L3090" s="12" t="s">
        <v>374</v>
      </c>
      <c r="M3090" s="19"/>
      <c r="N3090" s="19"/>
      <c r="O3090" s="148">
        <v>46118.0</v>
      </c>
      <c r="P3090" s="587" t="s">
        <v>1432</v>
      </c>
    </row>
    <row r="3091" hidden="1">
      <c r="A3091" s="118">
        <v>29.0</v>
      </c>
      <c r="B3091" s="856" t="s">
        <v>10728</v>
      </c>
      <c r="C3091" s="781" t="s">
        <v>80</v>
      </c>
      <c r="D3091" s="781" t="s">
        <v>10729</v>
      </c>
      <c r="E3091" s="781" t="s">
        <v>10730</v>
      </c>
      <c r="F3091" s="781" t="s">
        <v>9657</v>
      </c>
      <c r="G3091" s="857" t="s">
        <v>10520</v>
      </c>
      <c r="H3091" s="861">
        <v>18.0</v>
      </c>
      <c r="I3091" s="857" t="s">
        <v>2890</v>
      </c>
      <c r="J3091" s="34" t="s">
        <v>10691</v>
      </c>
      <c r="K3091" s="34" t="s">
        <v>10153</v>
      </c>
      <c r="L3091" s="12" t="s">
        <v>374</v>
      </c>
      <c r="M3091" s="19"/>
      <c r="N3091" s="19"/>
      <c r="O3091" s="148">
        <v>46118.0</v>
      </c>
      <c r="P3091" s="587" t="s">
        <v>1432</v>
      </c>
    </row>
    <row r="3092" hidden="1">
      <c r="A3092" s="118">
        <v>30.0</v>
      </c>
      <c r="B3092" s="856" t="s">
        <v>10731</v>
      </c>
      <c r="C3092" s="781" t="s">
        <v>80</v>
      </c>
      <c r="D3092" s="781" t="s">
        <v>10732</v>
      </c>
      <c r="E3092" s="781" t="s">
        <v>10733</v>
      </c>
      <c r="F3092" s="781" t="s">
        <v>10734</v>
      </c>
      <c r="G3092" s="857" t="s">
        <v>10520</v>
      </c>
      <c r="H3092" s="861">
        <v>18.0</v>
      </c>
      <c r="I3092" s="857" t="s">
        <v>2890</v>
      </c>
      <c r="J3092" s="19"/>
      <c r="K3092" s="19"/>
      <c r="L3092" s="12" t="s">
        <v>51</v>
      </c>
      <c r="M3092" s="19"/>
      <c r="N3092" s="34"/>
      <c r="O3092" s="148">
        <v>46332.0</v>
      </c>
      <c r="P3092" s="587" t="s">
        <v>1432</v>
      </c>
    </row>
    <row r="3093" hidden="1">
      <c r="A3093" s="118">
        <v>31.0</v>
      </c>
      <c r="B3093" s="856" t="s">
        <v>10735</v>
      </c>
      <c r="C3093" s="781" t="s">
        <v>80</v>
      </c>
      <c r="D3093" s="781" t="s">
        <v>10736</v>
      </c>
      <c r="E3093" s="781" t="s">
        <v>10737</v>
      </c>
      <c r="F3093" s="781" t="s">
        <v>10738</v>
      </c>
      <c r="G3093" s="857" t="s">
        <v>10739</v>
      </c>
      <c r="H3093" s="861">
        <v>19.0</v>
      </c>
      <c r="I3093" s="813" t="s">
        <v>3043</v>
      </c>
      <c r="J3093" s="19"/>
      <c r="K3093" s="19"/>
      <c r="L3093" s="12" t="s">
        <v>4195</v>
      </c>
      <c r="M3093" s="19"/>
      <c r="N3093" s="19"/>
      <c r="O3093" s="34" t="s">
        <v>10685</v>
      </c>
      <c r="P3093" s="587" t="s">
        <v>1432</v>
      </c>
    </row>
    <row r="3094" hidden="1">
      <c r="A3094" s="118">
        <v>32.0</v>
      </c>
      <c r="B3094" s="856" t="s">
        <v>10740</v>
      </c>
      <c r="C3094" s="781" t="s">
        <v>80</v>
      </c>
      <c r="D3094" s="781" t="s">
        <v>10741</v>
      </c>
      <c r="E3094" s="781" t="s">
        <v>10742</v>
      </c>
      <c r="F3094" s="781" t="s">
        <v>556</v>
      </c>
      <c r="G3094" s="857" t="s">
        <v>10739</v>
      </c>
      <c r="H3094" s="861">
        <v>19.0</v>
      </c>
      <c r="I3094" s="813" t="s">
        <v>10690</v>
      </c>
      <c r="J3094" s="19"/>
      <c r="K3094" s="19"/>
      <c r="L3094" s="12" t="s">
        <v>4195</v>
      </c>
      <c r="M3094" s="19"/>
      <c r="N3094" s="19"/>
      <c r="O3094" s="71">
        <v>46059.0</v>
      </c>
      <c r="P3094" s="587" t="s">
        <v>1432</v>
      </c>
    </row>
    <row r="3095" hidden="1">
      <c r="A3095" s="118">
        <v>33.0</v>
      </c>
      <c r="B3095" s="856" t="s">
        <v>10743</v>
      </c>
      <c r="C3095" s="781" t="s">
        <v>80</v>
      </c>
      <c r="D3095" s="781" t="s">
        <v>10744</v>
      </c>
      <c r="E3095" s="857" t="s">
        <v>10745</v>
      </c>
      <c r="F3095" s="781" t="s">
        <v>3157</v>
      </c>
      <c r="G3095" s="860">
        <v>46028.0</v>
      </c>
      <c r="H3095" s="861">
        <v>20.0</v>
      </c>
      <c r="I3095" s="857" t="s">
        <v>2890</v>
      </c>
      <c r="J3095" s="19"/>
      <c r="K3095" s="19"/>
      <c r="L3095" s="12" t="s">
        <v>4195</v>
      </c>
      <c r="M3095" s="19"/>
      <c r="N3095" s="19"/>
      <c r="O3095" s="71">
        <v>46059.0</v>
      </c>
      <c r="P3095" s="587" t="s">
        <v>1432</v>
      </c>
    </row>
    <row r="3096" hidden="1">
      <c r="A3096" s="118">
        <v>34.0</v>
      </c>
      <c r="B3096" s="856" t="s">
        <v>10746</v>
      </c>
      <c r="C3096" s="781" t="s">
        <v>80</v>
      </c>
      <c r="D3096" s="781" t="s">
        <v>10747</v>
      </c>
      <c r="E3096" s="865" t="s">
        <v>10748</v>
      </c>
      <c r="F3096" s="781" t="s">
        <v>3928</v>
      </c>
      <c r="G3096" s="857" t="s">
        <v>10153</v>
      </c>
      <c r="H3096" s="861">
        <v>15.0</v>
      </c>
      <c r="I3096" s="857" t="s">
        <v>2890</v>
      </c>
      <c r="J3096" s="19"/>
      <c r="K3096" s="19"/>
      <c r="L3096" s="12" t="s">
        <v>9469</v>
      </c>
      <c r="M3096" s="19"/>
      <c r="N3096" s="19"/>
      <c r="O3096" s="478">
        <v>46028.0</v>
      </c>
      <c r="P3096" s="19"/>
    </row>
    <row r="3097" hidden="1">
      <c r="A3097" s="118">
        <v>35.0</v>
      </c>
      <c r="B3097" s="856" t="s">
        <v>10749</v>
      </c>
      <c r="C3097" s="781" t="s">
        <v>80</v>
      </c>
      <c r="D3097" s="781" t="s">
        <v>10750</v>
      </c>
      <c r="E3097" s="865" t="s">
        <v>10751</v>
      </c>
      <c r="F3097" s="781" t="s">
        <v>3928</v>
      </c>
      <c r="G3097" s="857" t="s">
        <v>10153</v>
      </c>
      <c r="H3097" s="861">
        <v>15.0</v>
      </c>
      <c r="I3097" s="857" t="s">
        <v>2890</v>
      </c>
      <c r="J3097" s="19"/>
      <c r="K3097" s="19"/>
      <c r="L3097" s="12" t="s">
        <v>9469</v>
      </c>
      <c r="M3097" s="19"/>
      <c r="N3097" s="19"/>
      <c r="O3097" s="478">
        <v>46028.0</v>
      </c>
      <c r="P3097" s="19"/>
    </row>
    <row r="3098" hidden="1">
      <c r="A3098" s="118">
        <v>36.0</v>
      </c>
      <c r="B3098" s="856" t="s">
        <v>10752</v>
      </c>
      <c r="C3098" s="781" t="s">
        <v>80</v>
      </c>
      <c r="D3098" s="781" t="s">
        <v>10753</v>
      </c>
      <c r="E3098" s="865" t="s">
        <v>10754</v>
      </c>
      <c r="F3098" s="781" t="s">
        <v>3928</v>
      </c>
      <c r="G3098" s="857" t="s">
        <v>10153</v>
      </c>
      <c r="H3098" s="861">
        <v>15.0</v>
      </c>
      <c r="I3098" s="857" t="s">
        <v>2890</v>
      </c>
      <c r="J3098" s="19"/>
      <c r="K3098" s="19"/>
      <c r="L3098" s="12" t="s">
        <v>9469</v>
      </c>
      <c r="M3098" s="19"/>
      <c r="N3098" s="19"/>
      <c r="O3098" s="478">
        <v>46028.0</v>
      </c>
      <c r="P3098" s="19"/>
    </row>
    <row r="3099" hidden="1">
      <c r="A3099" s="118">
        <v>37.0</v>
      </c>
      <c r="B3099" s="856" t="s">
        <v>10755</v>
      </c>
      <c r="C3099" s="781" t="s">
        <v>80</v>
      </c>
      <c r="D3099" s="781" t="s">
        <v>10756</v>
      </c>
      <c r="E3099" s="865" t="s">
        <v>10757</v>
      </c>
      <c r="F3099" s="781" t="s">
        <v>3928</v>
      </c>
      <c r="G3099" s="857" t="s">
        <v>10153</v>
      </c>
      <c r="H3099" s="861">
        <v>15.0</v>
      </c>
      <c r="I3099" s="857" t="s">
        <v>2890</v>
      </c>
      <c r="J3099" s="19"/>
      <c r="K3099" s="19"/>
      <c r="L3099" s="12" t="s">
        <v>9469</v>
      </c>
      <c r="M3099" s="19"/>
      <c r="N3099" s="19"/>
      <c r="O3099" s="478">
        <v>46028.0</v>
      </c>
      <c r="P3099" s="19"/>
    </row>
    <row r="3100" hidden="1">
      <c r="A3100" s="118">
        <v>38.0</v>
      </c>
      <c r="B3100" s="856" t="s">
        <v>10758</v>
      </c>
      <c r="C3100" s="781" t="s">
        <v>80</v>
      </c>
      <c r="D3100" s="781" t="s">
        <v>10759</v>
      </c>
      <c r="E3100" s="865" t="s">
        <v>10760</v>
      </c>
      <c r="F3100" s="781" t="s">
        <v>3928</v>
      </c>
      <c r="G3100" s="857" t="s">
        <v>10153</v>
      </c>
      <c r="H3100" s="861">
        <v>15.0</v>
      </c>
      <c r="I3100" s="813" t="s">
        <v>10198</v>
      </c>
      <c r="J3100" s="19"/>
      <c r="K3100" s="19"/>
      <c r="L3100" s="12" t="s">
        <v>9469</v>
      </c>
      <c r="M3100" s="19"/>
      <c r="N3100" s="19"/>
      <c r="O3100" s="478">
        <v>46028.0</v>
      </c>
      <c r="P3100" s="19"/>
    </row>
    <row r="3101" hidden="1">
      <c r="A3101" s="118">
        <v>39.0</v>
      </c>
      <c r="B3101" s="856" t="s">
        <v>10761</v>
      </c>
      <c r="C3101" s="781" t="s">
        <v>80</v>
      </c>
      <c r="D3101" s="781" t="s">
        <v>10762</v>
      </c>
      <c r="E3101" s="865" t="s">
        <v>10763</v>
      </c>
      <c r="F3101" s="781" t="s">
        <v>3928</v>
      </c>
      <c r="G3101" s="857" t="s">
        <v>10153</v>
      </c>
      <c r="H3101" s="861">
        <v>15.0</v>
      </c>
      <c r="I3101" s="813" t="s">
        <v>10198</v>
      </c>
      <c r="J3101" s="19"/>
      <c r="K3101" s="19"/>
      <c r="L3101" s="12" t="s">
        <v>9469</v>
      </c>
      <c r="M3101" s="19"/>
      <c r="N3101" s="19"/>
      <c r="O3101" s="478">
        <v>46028.0</v>
      </c>
      <c r="P3101" s="19"/>
    </row>
    <row r="3102" hidden="1">
      <c r="A3102" s="118">
        <v>40.0</v>
      </c>
      <c r="B3102" s="856" t="s">
        <v>10764</v>
      </c>
      <c r="C3102" s="781" t="s">
        <v>80</v>
      </c>
      <c r="D3102" s="781" t="s">
        <v>10765</v>
      </c>
      <c r="E3102" s="865" t="s">
        <v>10766</v>
      </c>
      <c r="F3102" s="781" t="s">
        <v>3928</v>
      </c>
      <c r="G3102" s="857" t="s">
        <v>10153</v>
      </c>
      <c r="H3102" s="861">
        <v>15.0</v>
      </c>
      <c r="I3102" s="857" t="s">
        <v>2890</v>
      </c>
      <c r="J3102" s="19"/>
      <c r="K3102" s="19"/>
      <c r="L3102" s="12" t="s">
        <v>9469</v>
      </c>
      <c r="M3102" s="19"/>
      <c r="N3102" s="19"/>
      <c r="O3102" s="478">
        <v>46028.0</v>
      </c>
      <c r="P3102" s="19"/>
    </row>
    <row r="3103" hidden="1">
      <c r="A3103" s="118">
        <v>41.0</v>
      </c>
      <c r="B3103" s="856" t="s">
        <v>10767</v>
      </c>
      <c r="C3103" s="781" t="s">
        <v>80</v>
      </c>
      <c r="D3103" s="781" t="s">
        <v>10768</v>
      </c>
      <c r="E3103" s="865" t="s">
        <v>10769</v>
      </c>
      <c r="F3103" s="781" t="s">
        <v>3928</v>
      </c>
      <c r="G3103" s="857" t="s">
        <v>10153</v>
      </c>
      <c r="H3103" s="861">
        <v>15.0</v>
      </c>
      <c r="I3103" s="857" t="s">
        <v>2890</v>
      </c>
      <c r="J3103" s="19"/>
      <c r="K3103" s="19"/>
      <c r="L3103" s="12" t="s">
        <v>9469</v>
      </c>
      <c r="M3103" s="19"/>
      <c r="N3103" s="19"/>
      <c r="O3103" s="478">
        <v>46028.0</v>
      </c>
      <c r="P3103" s="19"/>
    </row>
    <row r="3104" hidden="1">
      <c r="A3104" s="118">
        <v>42.0</v>
      </c>
      <c r="B3104" s="856" t="s">
        <v>10770</v>
      </c>
      <c r="C3104" s="781" t="s">
        <v>80</v>
      </c>
      <c r="D3104" s="781" t="s">
        <v>10771</v>
      </c>
      <c r="E3104" s="865" t="s">
        <v>10772</v>
      </c>
      <c r="F3104" s="781" t="s">
        <v>5809</v>
      </c>
      <c r="G3104" s="857" t="s">
        <v>10153</v>
      </c>
      <c r="H3104" s="861">
        <v>15.0</v>
      </c>
      <c r="I3104" s="813" t="s">
        <v>10198</v>
      </c>
      <c r="J3104" s="19"/>
      <c r="K3104" s="19"/>
      <c r="L3104" s="12" t="s">
        <v>9469</v>
      </c>
      <c r="M3104" s="19"/>
      <c r="N3104" s="19"/>
      <c r="O3104" s="34" t="s">
        <v>10773</v>
      </c>
      <c r="P3104" s="19"/>
    </row>
    <row r="3105" hidden="1">
      <c r="A3105" s="118">
        <v>43.0</v>
      </c>
      <c r="B3105" s="856" t="s">
        <v>10774</v>
      </c>
      <c r="C3105" s="781" t="s">
        <v>80</v>
      </c>
      <c r="D3105" s="781" t="s">
        <v>10775</v>
      </c>
      <c r="E3105" s="865" t="s">
        <v>10776</v>
      </c>
      <c r="F3105" s="781" t="s">
        <v>5809</v>
      </c>
      <c r="G3105" s="857" t="s">
        <v>10153</v>
      </c>
      <c r="H3105" s="861">
        <v>15.0</v>
      </c>
      <c r="I3105" s="813" t="s">
        <v>10093</v>
      </c>
      <c r="J3105" s="19"/>
      <c r="K3105" s="19"/>
      <c r="L3105" s="12" t="s">
        <v>9469</v>
      </c>
      <c r="M3105" s="19"/>
      <c r="N3105" s="19"/>
      <c r="O3105" s="34" t="s">
        <v>10773</v>
      </c>
      <c r="P3105" s="19"/>
    </row>
    <row r="3106" hidden="1">
      <c r="A3106" s="118">
        <v>44.0</v>
      </c>
      <c r="B3106" s="856" t="s">
        <v>10777</v>
      </c>
      <c r="C3106" s="781" t="s">
        <v>80</v>
      </c>
      <c r="D3106" s="781" t="s">
        <v>10778</v>
      </c>
      <c r="E3106" s="865" t="s">
        <v>10779</v>
      </c>
      <c r="F3106" s="781" t="s">
        <v>5809</v>
      </c>
      <c r="G3106" s="857" t="s">
        <v>10153</v>
      </c>
      <c r="H3106" s="861">
        <v>15.0</v>
      </c>
      <c r="I3106" s="857" t="s">
        <v>2890</v>
      </c>
      <c r="J3106" s="19"/>
      <c r="K3106" s="19"/>
      <c r="L3106" s="12" t="s">
        <v>9469</v>
      </c>
      <c r="M3106" s="19"/>
      <c r="N3106" s="19"/>
      <c r="O3106" s="34" t="s">
        <v>10773</v>
      </c>
      <c r="P3106" s="19"/>
    </row>
    <row r="3107" hidden="1">
      <c r="A3107" s="118">
        <v>45.0</v>
      </c>
      <c r="B3107" s="856" t="s">
        <v>10780</v>
      </c>
      <c r="C3107" s="781" t="s">
        <v>80</v>
      </c>
      <c r="D3107" s="781" t="s">
        <v>10781</v>
      </c>
      <c r="E3107" s="865" t="s">
        <v>10782</v>
      </c>
      <c r="F3107" s="781" t="s">
        <v>5809</v>
      </c>
      <c r="G3107" s="857" t="s">
        <v>10153</v>
      </c>
      <c r="H3107" s="861">
        <v>15.0</v>
      </c>
      <c r="I3107" s="813" t="s">
        <v>10783</v>
      </c>
      <c r="J3107" s="19"/>
      <c r="K3107" s="19"/>
      <c r="L3107" s="12" t="s">
        <v>9469</v>
      </c>
      <c r="M3107" s="19"/>
      <c r="N3107" s="19"/>
      <c r="O3107" s="34" t="s">
        <v>10773</v>
      </c>
      <c r="P3107" s="19"/>
    </row>
    <row r="3108" hidden="1">
      <c r="A3108" s="118">
        <v>46.0</v>
      </c>
      <c r="B3108" s="856" t="s">
        <v>10784</v>
      </c>
      <c r="C3108" s="781" t="s">
        <v>80</v>
      </c>
      <c r="D3108" s="781" t="s">
        <v>10785</v>
      </c>
      <c r="E3108" s="865" t="s">
        <v>10786</v>
      </c>
      <c r="F3108" s="781" t="s">
        <v>5809</v>
      </c>
      <c r="G3108" s="857" t="s">
        <v>10153</v>
      </c>
      <c r="H3108" s="861">
        <v>15.0</v>
      </c>
      <c r="I3108" s="857" t="s">
        <v>2890</v>
      </c>
      <c r="J3108" s="19"/>
      <c r="K3108" s="19"/>
      <c r="L3108" s="12" t="s">
        <v>9469</v>
      </c>
      <c r="M3108" s="19"/>
      <c r="N3108" s="19"/>
      <c r="O3108" s="34" t="s">
        <v>10773</v>
      </c>
      <c r="P3108" s="19"/>
    </row>
    <row r="3109" hidden="1">
      <c r="A3109" s="118">
        <v>47.0</v>
      </c>
      <c r="B3109" s="856" t="s">
        <v>10787</v>
      </c>
      <c r="C3109" s="781" t="s">
        <v>80</v>
      </c>
      <c r="D3109" s="781" t="s">
        <v>10788</v>
      </c>
      <c r="E3109" s="865" t="s">
        <v>10789</v>
      </c>
      <c r="F3109" s="781" t="s">
        <v>5809</v>
      </c>
      <c r="G3109" s="857" t="s">
        <v>10153</v>
      </c>
      <c r="H3109" s="861">
        <v>15.0</v>
      </c>
      <c r="I3109" s="857" t="s">
        <v>2890</v>
      </c>
      <c r="J3109" s="19"/>
      <c r="K3109" s="19"/>
      <c r="L3109" s="12" t="s">
        <v>9469</v>
      </c>
      <c r="M3109" s="19"/>
      <c r="N3109" s="19"/>
      <c r="O3109" s="34" t="s">
        <v>10773</v>
      </c>
      <c r="P3109" s="19"/>
    </row>
    <row r="3110" hidden="1">
      <c r="A3110" s="118">
        <v>48.0</v>
      </c>
      <c r="B3110" s="856" t="s">
        <v>10790</v>
      </c>
      <c r="C3110" s="781" t="s">
        <v>80</v>
      </c>
      <c r="D3110" s="781" t="s">
        <v>10791</v>
      </c>
      <c r="E3110" s="865" t="s">
        <v>10792</v>
      </c>
      <c r="F3110" s="781" t="s">
        <v>3583</v>
      </c>
      <c r="G3110" s="857" t="s">
        <v>10153</v>
      </c>
      <c r="H3110" s="861">
        <v>15.0</v>
      </c>
      <c r="I3110" s="857" t="s">
        <v>2890</v>
      </c>
      <c r="J3110" s="34" t="s">
        <v>2541</v>
      </c>
      <c r="K3110" s="148">
        <v>46028.0</v>
      </c>
      <c r="L3110" s="12" t="s">
        <v>778</v>
      </c>
      <c r="M3110" s="19"/>
      <c r="N3110" s="19"/>
      <c r="O3110" s="148">
        <v>46028.0</v>
      </c>
      <c r="P3110" s="19"/>
    </row>
    <row r="3111" hidden="1">
      <c r="A3111" s="339" t="s">
        <v>10793</v>
      </c>
    </row>
    <row r="3112" hidden="1">
      <c r="A3112" s="670" t="s">
        <v>47</v>
      </c>
      <c r="B3112" s="670" t="s">
        <v>7</v>
      </c>
      <c r="C3112" s="670" t="s">
        <v>9</v>
      </c>
      <c r="D3112" s="670" t="s">
        <v>10</v>
      </c>
      <c r="E3112" s="670" t="s">
        <v>11</v>
      </c>
      <c r="F3112" s="670" t="s">
        <v>12</v>
      </c>
      <c r="G3112" s="670" t="s">
        <v>2378</v>
      </c>
      <c r="H3112" s="670" t="s">
        <v>2681</v>
      </c>
      <c r="I3112" s="4" t="s">
        <v>2847</v>
      </c>
      <c r="J3112" s="8" t="s">
        <v>14</v>
      </c>
      <c r="K3112" s="9" t="s">
        <v>16</v>
      </c>
      <c r="L3112" s="9" t="s">
        <v>4330</v>
      </c>
      <c r="M3112" s="9" t="s">
        <v>18</v>
      </c>
      <c r="N3112" s="9" t="s">
        <v>19</v>
      </c>
      <c r="O3112" s="9" t="s">
        <v>20</v>
      </c>
      <c r="P3112" s="9" t="s">
        <v>21</v>
      </c>
    </row>
    <row r="3113" hidden="1">
      <c r="A3113" s="118">
        <v>1.0</v>
      </c>
      <c r="B3113" s="854" t="s">
        <v>10794</v>
      </c>
      <c r="C3113" s="778" t="s">
        <v>80</v>
      </c>
      <c r="D3113" s="778" t="s">
        <v>10795</v>
      </c>
      <c r="E3113" s="778" t="s">
        <v>10796</v>
      </c>
      <c r="F3113" s="778" t="s">
        <v>10797</v>
      </c>
      <c r="G3113" s="857" t="s">
        <v>10520</v>
      </c>
      <c r="H3113" s="868">
        <v>5.0</v>
      </c>
      <c r="I3113" s="869" t="s">
        <v>2890</v>
      </c>
      <c r="J3113" s="143" t="s">
        <v>4783</v>
      </c>
      <c r="K3113" s="143" t="s">
        <v>10572</v>
      </c>
      <c r="L3113" s="292" t="s">
        <v>51</v>
      </c>
      <c r="O3113" s="143" t="s">
        <v>10520</v>
      </c>
      <c r="P3113" s="587" t="s">
        <v>1432</v>
      </c>
    </row>
    <row r="3114" hidden="1">
      <c r="A3114" s="118">
        <v>2.0</v>
      </c>
      <c r="B3114" s="854" t="s">
        <v>10798</v>
      </c>
      <c r="C3114" s="870"/>
      <c r="D3114" s="778" t="s">
        <v>10799</v>
      </c>
      <c r="E3114" s="778" t="s">
        <v>10800</v>
      </c>
      <c r="F3114" s="870"/>
      <c r="G3114" s="871"/>
      <c r="H3114" s="872"/>
      <c r="I3114" s="869" t="s">
        <v>2890</v>
      </c>
      <c r="J3114" s="19"/>
      <c r="K3114" s="19"/>
      <c r="L3114" s="12" t="s">
        <v>51</v>
      </c>
      <c r="M3114" s="19"/>
      <c r="N3114" s="34" t="s">
        <v>10801</v>
      </c>
      <c r="O3114" s="148">
        <v>46179.0</v>
      </c>
      <c r="P3114" s="19"/>
    </row>
    <row r="3115" hidden="1">
      <c r="A3115" s="118">
        <v>3.0</v>
      </c>
      <c r="B3115" s="863" t="s">
        <v>10802</v>
      </c>
      <c r="C3115" s="857" t="s">
        <v>651</v>
      </c>
      <c r="D3115" s="781" t="s">
        <v>10803</v>
      </c>
      <c r="E3115" s="781" t="s">
        <v>10804</v>
      </c>
      <c r="F3115" s="781" t="s">
        <v>4779</v>
      </c>
      <c r="G3115" s="857" t="s">
        <v>10194</v>
      </c>
      <c r="H3115" s="868">
        <v>-2.0</v>
      </c>
      <c r="I3115" s="873" t="s">
        <v>2890</v>
      </c>
      <c r="J3115" s="34" t="s">
        <v>10691</v>
      </c>
      <c r="K3115" s="34" t="s">
        <v>10572</v>
      </c>
      <c r="L3115" s="12" t="s">
        <v>374</v>
      </c>
      <c r="M3115" s="19"/>
      <c r="N3115" s="19"/>
      <c r="O3115" s="148">
        <v>46118.0</v>
      </c>
      <c r="P3115" s="587" t="s">
        <v>1432</v>
      </c>
    </row>
    <row r="3116" hidden="1">
      <c r="A3116" s="118">
        <v>4.0</v>
      </c>
      <c r="B3116" s="863" t="s">
        <v>10805</v>
      </c>
      <c r="C3116" s="781" t="s">
        <v>1058</v>
      </c>
      <c r="D3116" s="781" t="s">
        <v>10806</v>
      </c>
      <c r="E3116" s="781" t="s">
        <v>10807</v>
      </c>
      <c r="F3116" s="781" t="s">
        <v>2631</v>
      </c>
      <c r="G3116" s="857" t="s">
        <v>10739</v>
      </c>
      <c r="H3116" s="868">
        <v>6.0</v>
      </c>
      <c r="I3116" s="873" t="s">
        <v>2890</v>
      </c>
      <c r="J3116" s="34" t="s">
        <v>51</v>
      </c>
      <c r="K3116" s="34" t="s">
        <v>10153</v>
      </c>
      <c r="L3116" s="12" t="s">
        <v>51</v>
      </c>
      <c r="M3116" s="19"/>
      <c r="N3116" s="19"/>
      <c r="O3116" s="148">
        <v>46059.0</v>
      </c>
      <c r="P3116" s="587" t="s">
        <v>1432</v>
      </c>
    </row>
    <row r="3117" hidden="1">
      <c r="A3117" s="118">
        <v>5.0</v>
      </c>
      <c r="B3117" s="863" t="s">
        <v>10808</v>
      </c>
      <c r="C3117" s="857" t="s">
        <v>651</v>
      </c>
      <c r="D3117" s="781" t="s">
        <v>10809</v>
      </c>
      <c r="E3117" s="781" t="s">
        <v>10810</v>
      </c>
      <c r="F3117" s="781" t="s">
        <v>160</v>
      </c>
      <c r="G3117" s="857" t="s">
        <v>10153</v>
      </c>
      <c r="H3117" s="868">
        <v>2.0</v>
      </c>
      <c r="I3117" s="874" t="s">
        <v>5364</v>
      </c>
      <c r="J3117" s="19"/>
      <c r="K3117" s="19"/>
      <c r="L3117" s="12" t="s">
        <v>778</v>
      </c>
      <c r="M3117" s="19"/>
      <c r="N3117" s="19"/>
      <c r="O3117" s="34" t="s">
        <v>98</v>
      </c>
      <c r="P3117" s="19"/>
    </row>
    <row r="3118" hidden="1">
      <c r="A3118" s="118">
        <v>6.0</v>
      </c>
      <c r="B3118" s="863" t="s">
        <v>10811</v>
      </c>
      <c r="C3118" s="781" t="s">
        <v>2403</v>
      </c>
      <c r="D3118" s="781" t="s">
        <v>10812</v>
      </c>
      <c r="E3118" s="781" t="s">
        <v>10813</v>
      </c>
      <c r="F3118" s="781" t="s">
        <v>148</v>
      </c>
      <c r="G3118" s="857" t="s">
        <v>10442</v>
      </c>
      <c r="H3118" s="868">
        <v>-4.0</v>
      </c>
      <c r="I3118" s="873" t="s">
        <v>2890</v>
      </c>
      <c r="J3118" s="34" t="s">
        <v>2065</v>
      </c>
      <c r="K3118" s="34" t="s">
        <v>10814</v>
      </c>
      <c r="L3118" s="12" t="s">
        <v>699</v>
      </c>
      <c r="M3118" s="19"/>
      <c r="N3118" s="19"/>
      <c r="O3118" s="34" t="s">
        <v>10815</v>
      </c>
      <c r="P3118" s="587" t="s">
        <v>1432</v>
      </c>
    </row>
    <row r="3119" hidden="1">
      <c r="A3119" s="118">
        <v>7.0</v>
      </c>
      <c r="B3119" s="805" t="s">
        <v>10816</v>
      </c>
      <c r="C3119" s="857" t="s">
        <v>80</v>
      </c>
      <c r="D3119" s="781" t="s">
        <v>10817</v>
      </c>
      <c r="E3119" s="781" t="s">
        <v>10818</v>
      </c>
      <c r="F3119" s="781" t="s">
        <v>5229</v>
      </c>
      <c r="G3119" s="860">
        <v>46059.0</v>
      </c>
      <c r="H3119" s="868">
        <v>8.0</v>
      </c>
      <c r="I3119" s="873" t="s">
        <v>2890</v>
      </c>
      <c r="J3119" s="19"/>
      <c r="K3119" s="19"/>
      <c r="L3119" s="12" t="s">
        <v>699</v>
      </c>
      <c r="M3119" s="19"/>
      <c r="N3119" s="19"/>
      <c r="O3119" s="71">
        <v>46059.0</v>
      </c>
      <c r="P3119" s="19"/>
    </row>
    <row r="3120" hidden="1">
      <c r="A3120" s="118">
        <v>8.0</v>
      </c>
      <c r="B3120" s="863" t="s">
        <v>10819</v>
      </c>
      <c r="C3120" s="781" t="s">
        <v>2307</v>
      </c>
      <c r="D3120" s="781" t="s">
        <v>10820</v>
      </c>
      <c r="E3120" s="781" t="s">
        <v>10821</v>
      </c>
      <c r="F3120" s="781" t="s">
        <v>148</v>
      </c>
      <c r="G3120" s="857" t="s">
        <v>10442</v>
      </c>
      <c r="H3120" s="868">
        <v>-4.0</v>
      </c>
      <c r="I3120" s="873" t="s">
        <v>2890</v>
      </c>
      <c r="J3120" s="34" t="s">
        <v>2065</v>
      </c>
      <c r="K3120" s="34" t="s">
        <v>10814</v>
      </c>
      <c r="L3120" s="12" t="s">
        <v>699</v>
      </c>
      <c r="M3120" s="19"/>
      <c r="N3120" s="19"/>
      <c r="O3120" s="34" t="s">
        <v>10815</v>
      </c>
      <c r="P3120" s="587" t="s">
        <v>1432</v>
      </c>
    </row>
    <row r="3121" hidden="1">
      <c r="A3121" s="118">
        <v>9.0</v>
      </c>
      <c r="B3121" s="863" t="s">
        <v>10822</v>
      </c>
      <c r="C3121" s="781" t="s">
        <v>2403</v>
      </c>
      <c r="D3121" s="781" t="s">
        <v>10823</v>
      </c>
      <c r="E3121" s="781" t="s">
        <v>10824</v>
      </c>
      <c r="F3121" s="781" t="s">
        <v>10577</v>
      </c>
      <c r="G3121" s="857" t="s">
        <v>10194</v>
      </c>
      <c r="H3121" s="868">
        <v>-2.0</v>
      </c>
      <c r="I3121" s="873" t="s">
        <v>2890</v>
      </c>
      <c r="J3121" s="19"/>
      <c r="K3121" s="19"/>
      <c r="L3121" s="12" t="s">
        <v>699</v>
      </c>
      <c r="M3121" s="19"/>
      <c r="N3121" s="19"/>
      <c r="O3121" s="34" t="s">
        <v>10825</v>
      </c>
      <c r="P3121" s="587" t="s">
        <v>1432</v>
      </c>
    </row>
    <row r="3122" hidden="1">
      <c r="A3122" s="118">
        <v>10.0</v>
      </c>
      <c r="B3122" s="863" t="s">
        <v>10826</v>
      </c>
      <c r="C3122" s="781" t="s">
        <v>2403</v>
      </c>
      <c r="D3122" s="781" t="s">
        <v>10827</v>
      </c>
      <c r="E3122" s="781" t="s">
        <v>10828</v>
      </c>
      <c r="F3122" s="781" t="s">
        <v>9068</v>
      </c>
      <c r="G3122" s="857" t="s">
        <v>10572</v>
      </c>
      <c r="H3122" s="868">
        <v>1.0</v>
      </c>
      <c r="I3122" s="873" t="s">
        <v>2890</v>
      </c>
      <c r="J3122" s="19"/>
      <c r="K3122" s="19"/>
      <c r="L3122" s="12" t="s">
        <v>699</v>
      </c>
      <c r="M3122" s="19"/>
      <c r="N3122" s="19"/>
      <c r="O3122" s="34" t="s">
        <v>10561</v>
      </c>
      <c r="P3122" s="587" t="s">
        <v>1432</v>
      </c>
    </row>
    <row r="3123" hidden="1">
      <c r="A3123" s="118">
        <v>11.0</v>
      </c>
      <c r="B3123" s="863" t="s">
        <v>10829</v>
      </c>
      <c r="C3123" s="781" t="s">
        <v>2307</v>
      </c>
      <c r="D3123" s="781" t="s">
        <v>10830</v>
      </c>
      <c r="E3123" s="781" t="s">
        <v>10831</v>
      </c>
      <c r="F3123" s="781" t="s">
        <v>10832</v>
      </c>
      <c r="G3123" s="857" t="s">
        <v>10572</v>
      </c>
      <c r="H3123" s="868">
        <v>1.0</v>
      </c>
      <c r="I3123" s="873" t="s">
        <v>2890</v>
      </c>
      <c r="J3123" s="19"/>
      <c r="K3123" s="19"/>
      <c r="L3123" s="12" t="s">
        <v>699</v>
      </c>
      <c r="M3123" s="19"/>
      <c r="N3123" s="19"/>
      <c r="O3123" s="34" t="s">
        <v>10557</v>
      </c>
      <c r="P3123" s="587" t="s">
        <v>1432</v>
      </c>
    </row>
    <row r="3124" hidden="1">
      <c r="A3124" s="118">
        <v>12.0</v>
      </c>
      <c r="B3124" s="863" t="s">
        <v>10833</v>
      </c>
      <c r="C3124" s="781" t="s">
        <v>2403</v>
      </c>
      <c r="D3124" s="781" t="s">
        <v>10834</v>
      </c>
      <c r="E3124" s="781" t="s">
        <v>10835</v>
      </c>
      <c r="F3124" s="781" t="s">
        <v>10836</v>
      </c>
      <c r="G3124" s="857" t="s">
        <v>10153</v>
      </c>
      <c r="H3124" s="868">
        <v>2.0</v>
      </c>
      <c r="I3124" s="875" t="s">
        <v>3465</v>
      </c>
      <c r="J3124" s="19"/>
      <c r="K3124" s="19"/>
      <c r="L3124" s="12" t="s">
        <v>699</v>
      </c>
      <c r="M3124" s="19"/>
      <c r="N3124" s="19"/>
      <c r="O3124" s="34" t="s">
        <v>10652</v>
      </c>
      <c r="P3124" s="19"/>
    </row>
    <row r="3125" hidden="1">
      <c r="A3125" s="118">
        <v>13.0</v>
      </c>
      <c r="B3125" s="863" t="s">
        <v>10837</v>
      </c>
      <c r="C3125" s="781" t="s">
        <v>1185</v>
      </c>
      <c r="D3125" s="781" t="s">
        <v>10838</v>
      </c>
      <c r="E3125" s="781" t="s">
        <v>10839</v>
      </c>
      <c r="F3125" s="781" t="s">
        <v>25</v>
      </c>
      <c r="G3125" s="860">
        <v>46028.0</v>
      </c>
      <c r="H3125" s="868">
        <v>7.0</v>
      </c>
      <c r="I3125" s="874" t="s">
        <v>10093</v>
      </c>
      <c r="J3125" s="34" t="s">
        <v>10840</v>
      </c>
      <c r="K3125" s="19"/>
      <c r="L3125" s="12" t="s">
        <v>374</v>
      </c>
      <c r="M3125" s="19"/>
      <c r="N3125" s="19"/>
      <c r="O3125" s="23">
        <v>46240.0</v>
      </c>
      <c r="P3125" s="19"/>
    </row>
    <row r="3126" hidden="1">
      <c r="A3126" s="118">
        <v>14.0</v>
      </c>
      <c r="B3126" s="863" t="s">
        <v>10841</v>
      </c>
      <c r="C3126" s="781" t="s">
        <v>1185</v>
      </c>
      <c r="D3126" s="781" t="s">
        <v>10842</v>
      </c>
      <c r="E3126" s="781" t="s">
        <v>10843</v>
      </c>
      <c r="F3126" s="781" t="s">
        <v>25</v>
      </c>
      <c r="G3126" s="860">
        <v>46028.0</v>
      </c>
      <c r="H3126" s="868">
        <v>7.0</v>
      </c>
      <c r="I3126" s="873" t="s">
        <v>2890</v>
      </c>
      <c r="J3126" s="34" t="s">
        <v>1696</v>
      </c>
      <c r="K3126" s="34" t="s">
        <v>98</v>
      </c>
      <c r="L3126" s="12" t="s">
        <v>51</v>
      </c>
      <c r="M3126" s="19"/>
      <c r="N3126" s="19"/>
      <c r="O3126" s="148">
        <v>46118.0</v>
      </c>
      <c r="P3126" s="587" t="s">
        <v>1432</v>
      </c>
    </row>
    <row r="3127" hidden="1">
      <c r="A3127" s="118">
        <v>15.0</v>
      </c>
      <c r="B3127" s="863" t="s">
        <v>10844</v>
      </c>
      <c r="C3127" s="781" t="s">
        <v>1185</v>
      </c>
      <c r="D3127" s="781" t="s">
        <v>10845</v>
      </c>
      <c r="E3127" s="781" t="s">
        <v>10846</v>
      </c>
      <c r="F3127" s="781" t="s">
        <v>25</v>
      </c>
      <c r="G3127" s="860">
        <v>46028.0</v>
      </c>
      <c r="H3127" s="868">
        <v>7.0</v>
      </c>
      <c r="I3127" s="873" t="s">
        <v>2890</v>
      </c>
      <c r="J3127" s="19"/>
      <c r="K3127" s="19"/>
      <c r="L3127" s="12" t="s">
        <v>4195</v>
      </c>
      <c r="M3127" s="19"/>
      <c r="N3127" s="19"/>
      <c r="O3127" s="148">
        <v>46118.0</v>
      </c>
      <c r="P3127" s="19"/>
    </row>
    <row r="3128" hidden="1">
      <c r="A3128" s="118">
        <v>16.0</v>
      </c>
      <c r="B3128" s="805" t="s">
        <v>10847</v>
      </c>
      <c r="C3128" s="781" t="s">
        <v>80</v>
      </c>
      <c r="D3128" s="781" t="s">
        <v>10848</v>
      </c>
      <c r="E3128" s="781" t="s">
        <v>10849</v>
      </c>
      <c r="F3128" s="781" t="s">
        <v>3157</v>
      </c>
      <c r="G3128" s="860">
        <v>46028.0</v>
      </c>
      <c r="H3128" s="868">
        <v>7.0</v>
      </c>
      <c r="I3128" s="874" t="s">
        <v>10690</v>
      </c>
      <c r="J3128" s="34" t="s">
        <v>10840</v>
      </c>
      <c r="K3128" s="19"/>
      <c r="L3128" s="12" t="s">
        <v>374</v>
      </c>
      <c r="M3128" s="19"/>
      <c r="N3128" s="19"/>
      <c r="O3128" s="148">
        <v>46118.0</v>
      </c>
      <c r="P3128" s="587" t="s">
        <v>1432</v>
      </c>
    </row>
    <row r="3129" hidden="1">
      <c r="A3129" s="118">
        <v>17.0</v>
      </c>
      <c r="B3129" s="863" t="s">
        <v>10850</v>
      </c>
      <c r="C3129" s="781" t="s">
        <v>80</v>
      </c>
      <c r="D3129" s="781" t="s">
        <v>10851</v>
      </c>
      <c r="E3129" s="781" t="s">
        <v>10852</v>
      </c>
      <c r="F3129" s="781" t="s">
        <v>556</v>
      </c>
      <c r="G3129" s="860">
        <v>46028.0</v>
      </c>
      <c r="H3129" s="868">
        <v>7.0</v>
      </c>
      <c r="I3129" s="873" t="s">
        <v>2890</v>
      </c>
      <c r="J3129" s="34" t="s">
        <v>51</v>
      </c>
      <c r="K3129" s="34" t="s">
        <v>98</v>
      </c>
      <c r="L3129" s="12" t="s">
        <v>51</v>
      </c>
      <c r="M3129" s="19"/>
      <c r="N3129" s="19"/>
      <c r="O3129" s="148">
        <v>46118.0</v>
      </c>
      <c r="P3129" s="587" t="s">
        <v>1432</v>
      </c>
    </row>
    <row r="3130" hidden="1">
      <c r="A3130" s="118">
        <v>18.0</v>
      </c>
      <c r="B3130" s="863" t="s">
        <v>10853</v>
      </c>
      <c r="C3130" s="781" t="s">
        <v>80</v>
      </c>
      <c r="D3130" s="781" t="s">
        <v>10854</v>
      </c>
      <c r="E3130" s="781" t="s">
        <v>10855</v>
      </c>
      <c r="F3130" s="781" t="s">
        <v>10856</v>
      </c>
      <c r="G3130" s="860">
        <v>46028.0</v>
      </c>
      <c r="H3130" s="868">
        <v>7.0</v>
      </c>
      <c r="I3130" s="873" t="s">
        <v>2890</v>
      </c>
      <c r="J3130" s="19"/>
      <c r="K3130" s="19"/>
      <c r="L3130" s="12" t="s">
        <v>778</v>
      </c>
      <c r="M3130" s="19"/>
      <c r="N3130" s="19"/>
      <c r="O3130" s="148">
        <v>46271.0</v>
      </c>
      <c r="P3130" s="587" t="s">
        <v>1432</v>
      </c>
    </row>
    <row r="3131" hidden="1">
      <c r="A3131" s="118">
        <v>19.0</v>
      </c>
      <c r="B3131" s="863" t="s">
        <v>10857</v>
      </c>
      <c r="C3131" s="781" t="s">
        <v>80</v>
      </c>
      <c r="D3131" s="781" t="s">
        <v>10858</v>
      </c>
      <c r="E3131" s="781" t="s">
        <v>10859</v>
      </c>
      <c r="F3131" s="781" t="s">
        <v>556</v>
      </c>
      <c r="G3131" s="860">
        <v>46059.0</v>
      </c>
      <c r="H3131" s="868">
        <v>8.0</v>
      </c>
      <c r="I3131" s="873" t="s">
        <v>2890</v>
      </c>
      <c r="J3131" s="19"/>
      <c r="K3131" s="19"/>
      <c r="L3131" s="12" t="s">
        <v>4195</v>
      </c>
      <c r="M3131" s="19"/>
      <c r="N3131" s="19"/>
      <c r="O3131" s="71">
        <v>46028.0</v>
      </c>
      <c r="P3131" s="587" t="s">
        <v>1432</v>
      </c>
    </row>
    <row r="3132" hidden="1">
      <c r="A3132" s="118">
        <v>20.0</v>
      </c>
      <c r="B3132" s="863" t="s">
        <v>10860</v>
      </c>
      <c r="C3132" s="781" t="s">
        <v>80</v>
      </c>
      <c r="D3132" s="781" t="s">
        <v>10861</v>
      </c>
      <c r="E3132" s="781" t="s">
        <v>10862</v>
      </c>
      <c r="F3132" s="781" t="s">
        <v>10863</v>
      </c>
      <c r="G3132" s="860">
        <v>46059.0</v>
      </c>
      <c r="H3132" s="868">
        <v>8.0</v>
      </c>
      <c r="I3132" s="873" t="s">
        <v>2890</v>
      </c>
      <c r="J3132" s="34" t="s">
        <v>10840</v>
      </c>
      <c r="K3132" s="34" t="s">
        <v>10319</v>
      </c>
      <c r="L3132" s="12" t="s">
        <v>374</v>
      </c>
      <c r="M3132" s="19"/>
      <c r="N3132" s="19"/>
      <c r="O3132" s="23">
        <v>46118.0</v>
      </c>
      <c r="P3132" s="587" t="s">
        <v>1432</v>
      </c>
    </row>
    <row r="3133" hidden="1">
      <c r="A3133" s="118">
        <v>21.0</v>
      </c>
      <c r="B3133" s="863" t="s">
        <v>10864</v>
      </c>
      <c r="C3133" s="781" t="s">
        <v>80</v>
      </c>
      <c r="D3133" s="781" t="s">
        <v>10865</v>
      </c>
      <c r="E3133" s="781" t="s">
        <v>10866</v>
      </c>
      <c r="F3133" s="781" t="s">
        <v>1025</v>
      </c>
      <c r="G3133" s="860">
        <v>46087.0</v>
      </c>
      <c r="H3133" s="868">
        <v>9.0</v>
      </c>
      <c r="I3133" s="873" t="s">
        <v>2890</v>
      </c>
      <c r="J3133" s="34" t="s">
        <v>1696</v>
      </c>
      <c r="K3133" s="34" t="s">
        <v>10520</v>
      </c>
      <c r="L3133" s="12" t="s">
        <v>51</v>
      </c>
      <c r="M3133" s="19"/>
      <c r="N3133" s="19"/>
      <c r="O3133" s="148">
        <v>46240.0</v>
      </c>
      <c r="P3133" s="587" t="s">
        <v>1432</v>
      </c>
    </row>
    <row r="3134" hidden="1">
      <c r="A3134" s="118">
        <v>22.0</v>
      </c>
      <c r="B3134" s="863" t="s">
        <v>10867</v>
      </c>
      <c r="C3134" s="781" t="s">
        <v>80</v>
      </c>
      <c r="D3134" s="781" t="s">
        <v>10868</v>
      </c>
      <c r="E3134" s="876" t="s">
        <v>10869</v>
      </c>
      <c r="F3134" s="781" t="s">
        <v>3583</v>
      </c>
      <c r="G3134" s="857" t="s">
        <v>10319</v>
      </c>
      <c r="H3134" s="868">
        <v>3.0</v>
      </c>
      <c r="I3134" s="873" t="s">
        <v>2890</v>
      </c>
      <c r="J3134" s="19"/>
      <c r="K3134" s="19"/>
      <c r="L3134" s="12" t="s">
        <v>778</v>
      </c>
      <c r="M3134" s="19"/>
      <c r="N3134" s="19"/>
      <c r="O3134" s="148">
        <v>46240.0</v>
      </c>
      <c r="P3134" s="19"/>
    </row>
    <row r="3135" hidden="1">
      <c r="A3135" s="118">
        <v>23.0</v>
      </c>
      <c r="B3135" s="863" t="s">
        <v>10870</v>
      </c>
      <c r="C3135" s="781" t="s">
        <v>80</v>
      </c>
      <c r="D3135" s="781" t="s">
        <v>10871</v>
      </c>
      <c r="E3135" s="877" t="s">
        <v>10872</v>
      </c>
      <c r="F3135" s="781" t="s">
        <v>3583</v>
      </c>
      <c r="G3135" s="857" t="s">
        <v>10319</v>
      </c>
      <c r="H3135" s="868">
        <v>3.0</v>
      </c>
      <c r="I3135" s="857" t="s">
        <v>2890</v>
      </c>
      <c r="J3135" s="19"/>
      <c r="K3135" s="19"/>
      <c r="L3135" s="12" t="s">
        <v>778</v>
      </c>
      <c r="M3135" s="19"/>
      <c r="N3135" s="19"/>
      <c r="O3135" s="148">
        <v>46240.0</v>
      </c>
      <c r="P3135" s="19"/>
    </row>
    <row r="3136" hidden="1">
      <c r="A3136" s="118">
        <v>24.0</v>
      </c>
      <c r="B3136" s="863" t="s">
        <v>10873</v>
      </c>
      <c r="C3136" s="781" t="s">
        <v>80</v>
      </c>
      <c r="D3136" s="781" t="s">
        <v>10874</v>
      </c>
      <c r="E3136" s="876" t="s">
        <v>10875</v>
      </c>
      <c r="F3136" s="781" t="s">
        <v>3583</v>
      </c>
      <c r="G3136" s="857" t="s">
        <v>10319</v>
      </c>
      <c r="H3136" s="868">
        <v>3.0</v>
      </c>
      <c r="I3136" s="873" t="s">
        <v>2890</v>
      </c>
      <c r="J3136" s="19"/>
      <c r="K3136" s="19"/>
      <c r="L3136" s="12" t="s">
        <v>778</v>
      </c>
      <c r="M3136" s="19"/>
      <c r="N3136" s="19"/>
      <c r="O3136" s="148">
        <v>46301.0</v>
      </c>
      <c r="P3136" s="19"/>
    </row>
    <row r="3137" hidden="1">
      <c r="A3137" s="118">
        <v>25.0</v>
      </c>
      <c r="B3137" s="863" t="s">
        <v>10876</v>
      </c>
      <c r="C3137" s="781" t="s">
        <v>2307</v>
      </c>
      <c r="D3137" s="781" t="s">
        <v>10877</v>
      </c>
      <c r="E3137" s="878" t="s">
        <v>10878</v>
      </c>
      <c r="F3137" s="781" t="s">
        <v>3583</v>
      </c>
      <c r="G3137" s="857" t="s">
        <v>10319</v>
      </c>
      <c r="H3137" s="868">
        <v>3.0</v>
      </c>
      <c r="I3137" s="873" t="s">
        <v>2890</v>
      </c>
      <c r="J3137" s="19"/>
      <c r="K3137" s="19"/>
      <c r="L3137" s="12" t="s">
        <v>778</v>
      </c>
      <c r="M3137" s="19"/>
      <c r="N3137" s="19"/>
      <c r="O3137" s="148">
        <v>46271.0</v>
      </c>
      <c r="P3137" s="19"/>
    </row>
    <row r="3138" hidden="1">
      <c r="A3138" s="118">
        <v>26.0</v>
      </c>
      <c r="B3138" s="863" t="s">
        <v>10879</v>
      </c>
      <c r="C3138" s="781" t="s">
        <v>8280</v>
      </c>
      <c r="D3138" s="781" t="s">
        <v>10880</v>
      </c>
      <c r="E3138" s="879" t="s">
        <v>10881</v>
      </c>
      <c r="F3138" s="781" t="s">
        <v>3583</v>
      </c>
      <c r="G3138" s="857" t="s">
        <v>10319</v>
      </c>
      <c r="H3138" s="868">
        <v>3.0</v>
      </c>
      <c r="I3138" s="873" t="s">
        <v>2890</v>
      </c>
      <c r="J3138" s="19"/>
      <c r="K3138" s="19"/>
      <c r="L3138" s="12" t="s">
        <v>778</v>
      </c>
      <c r="M3138" s="19"/>
      <c r="N3138" s="19"/>
      <c r="O3138" s="148">
        <v>46301.0</v>
      </c>
      <c r="P3138" s="19"/>
    </row>
    <row r="3139" hidden="1">
      <c r="A3139" s="118">
        <v>27.0</v>
      </c>
      <c r="B3139" s="863" t="s">
        <v>10882</v>
      </c>
      <c r="C3139" s="781" t="s">
        <v>80</v>
      </c>
      <c r="D3139" s="781" t="s">
        <v>10883</v>
      </c>
      <c r="E3139" s="781" t="s">
        <v>10884</v>
      </c>
      <c r="F3139" s="781" t="s">
        <v>556</v>
      </c>
      <c r="G3139" s="860">
        <v>46087.0</v>
      </c>
      <c r="H3139" s="868">
        <v>9.0</v>
      </c>
      <c r="I3139" s="875" t="s">
        <v>3465</v>
      </c>
      <c r="J3139" s="19"/>
      <c r="K3139" s="19"/>
      <c r="L3139" s="12" t="s">
        <v>4195</v>
      </c>
      <c r="M3139" s="19"/>
      <c r="N3139" s="34" t="s">
        <v>10885</v>
      </c>
      <c r="O3139" s="148">
        <v>46087.0</v>
      </c>
      <c r="P3139" s="19"/>
    </row>
    <row r="3140" hidden="1">
      <c r="A3140" s="118">
        <v>28.0</v>
      </c>
      <c r="B3140" s="863" t="s">
        <v>10886</v>
      </c>
      <c r="C3140" s="781" t="s">
        <v>80</v>
      </c>
      <c r="D3140" s="781" t="s">
        <v>10887</v>
      </c>
      <c r="E3140" s="876" t="s">
        <v>10888</v>
      </c>
      <c r="F3140" s="781" t="s">
        <v>8668</v>
      </c>
      <c r="G3140" s="857" t="s">
        <v>98</v>
      </c>
      <c r="H3140" s="868">
        <v>4.0</v>
      </c>
      <c r="I3140" s="873" t="s">
        <v>2890</v>
      </c>
      <c r="J3140" s="19"/>
      <c r="K3140" s="19"/>
      <c r="L3140" s="12" t="s">
        <v>3099</v>
      </c>
      <c r="M3140" s="19"/>
      <c r="N3140" s="19"/>
      <c r="O3140" s="34" t="s">
        <v>10889</v>
      </c>
      <c r="P3140" s="19"/>
    </row>
    <row r="3141" hidden="1">
      <c r="A3141" s="118">
        <v>29.0</v>
      </c>
      <c r="B3141" s="863" t="s">
        <v>10890</v>
      </c>
      <c r="C3141" s="781" t="s">
        <v>80</v>
      </c>
      <c r="D3141" s="781" t="s">
        <v>10891</v>
      </c>
      <c r="E3141" s="876" t="s">
        <v>10892</v>
      </c>
      <c r="F3141" s="781" t="s">
        <v>8668</v>
      </c>
      <c r="G3141" s="857" t="s">
        <v>98</v>
      </c>
      <c r="H3141" s="868">
        <v>4.0</v>
      </c>
      <c r="I3141" s="873" t="s">
        <v>2890</v>
      </c>
      <c r="J3141" s="19"/>
      <c r="K3141" s="19"/>
      <c r="L3141" s="12" t="s">
        <v>3099</v>
      </c>
      <c r="M3141" s="19"/>
      <c r="N3141" s="19"/>
      <c r="O3141" s="34" t="s">
        <v>10889</v>
      </c>
      <c r="P3141" s="19"/>
    </row>
    <row r="3142" hidden="1">
      <c r="A3142" s="118">
        <v>30.0</v>
      </c>
      <c r="B3142" s="863" t="s">
        <v>10893</v>
      </c>
      <c r="C3142" s="781" t="s">
        <v>80</v>
      </c>
      <c r="D3142" s="781" t="s">
        <v>10894</v>
      </c>
      <c r="E3142" s="876" t="s">
        <v>10895</v>
      </c>
      <c r="F3142" s="781" t="s">
        <v>8668</v>
      </c>
      <c r="G3142" s="857" t="s">
        <v>98</v>
      </c>
      <c r="H3142" s="868">
        <v>4.0</v>
      </c>
      <c r="I3142" s="873" t="s">
        <v>2890</v>
      </c>
      <c r="J3142" s="19"/>
      <c r="K3142" s="19"/>
      <c r="L3142" s="12" t="s">
        <v>3099</v>
      </c>
      <c r="M3142" s="19"/>
      <c r="N3142" s="19"/>
      <c r="O3142" s="34" t="s">
        <v>10889</v>
      </c>
      <c r="P3142" s="19"/>
    </row>
    <row r="3143" hidden="1">
      <c r="A3143" s="118">
        <v>31.0</v>
      </c>
      <c r="B3143" s="863" t="s">
        <v>10896</v>
      </c>
      <c r="C3143" s="781" t="s">
        <v>80</v>
      </c>
      <c r="D3143" s="781" t="s">
        <v>10897</v>
      </c>
      <c r="E3143" s="876" t="s">
        <v>10898</v>
      </c>
      <c r="F3143" s="781" t="s">
        <v>8668</v>
      </c>
      <c r="G3143" s="857" t="s">
        <v>98</v>
      </c>
      <c r="H3143" s="868">
        <v>4.0</v>
      </c>
      <c r="I3143" s="873" t="s">
        <v>2890</v>
      </c>
      <c r="J3143" s="19"/>
      <c r="K3143" s="19"/>
      <c r="L3143" s="12" t="s">
        <v>3099</v>
      </c>
      <c r="M3143" s="19"/>
      <c r="N3143" s="19"/>
      <c r="O3143" s="34" t="s">
        <v>10889</v>
      </c>
      <c r="P3143" s="19"/>
    </row>
    <row r="3144" hidden="1">
      <c r="A3144" s="118">
        <v>32.0</v>
      </c>
      <c r="B3144" s="863" t="s">
        <v>10899</v>
      </c>
      <c r="C3144" s="781" t="s">
        <v>80</v>
      </c>
      <c r="D3144" s="781" t="s">
        <v>10900</v>
      </c>
      <c r="E3144" s="876" t="s">
        <v>10901</v>
      </c>
      <c r="F3144" s="781" t="s">
        <v>8668</v>
      </c>
      <c r="G3144" s="857" t="s">
        <v>98</v>
      </c>
      <c r="H3144" s="868">
        <v>4.0</v>
      </c>
      <c r="I3144" s="873" t="s">
        <v>2890</v>
      </c>
      <c r="J3144" s="19"/>
      <c r="K3144" s="19"/>
      <c r="L3144" s="12" t="s">
        <v>3099</v>
      </c>
      <c r="M3144" s="19"/>
      <c r="N3144" s="19"/>
      <c r="O3144" s="34" t="s">
        <v>10889</v>
      </c>
      <c r="P3144" s="19"/>
    </row>
    <row r="3145" hidden="1">
      <c r="A3145" s="118">
        <v>33.0</v>
      </c>
      <c r="B3145" s="863" t="s">
        <v>10902</v>
      </c>
      <c r="C3145" s="781" t="s">
        <v>80</v>
      </c>
      <c r="D3145" s="781" t="s">
        <v>10903</v>
      </c>
      <c r="E3145" s="876" t="s">
        <v>10904</v>
      </c>
      <c r="F3145" s="781" t="s">
        <v>8668</v>
      </c>
      <c r="G3145" s="857" t="s">
        <v>98</v>
      </c>
      <c r="H3145" s="868">
        <v>4.0</v>
      </c>
      <c r="I3145" s="874" t="s">
        <v>10093</v>
      </c>
      <c r="J3145" s="19"/>
      <c r="K3145" s="19"/>
      <c r="L3145" s="12" t="s">
        <v>3099</v>
      </c>
      <c r="M3145" s="19"/>
      <c r="N3145" s="19"/>
      <c r="O3145" s="34" t="s">
        <v>10889</v>
      </c>
      <c r="P3145" s="19"/>
    </row>
    <row r="3146" hidden="1">
      <c r="A3146" s="118">
        <v>34.0</v>
      </c>
      <c r="B3146" s="863" t="s">
        <v>10905</v>
      </c>
      <c r="C3146" s="781" t="s">
        <v>80</v>
      </c>
      <c r="D3146" s="781" t="s">
        <v>10906</v>
      </c>
      <c r="E3146" s="876" t="s">
        <v>10907</v>
      </c>
      <c r="F3146" s="781" t="s">
        <v>8668</v>
      </c>
      <c r="G3146" s="857" t="s">
        <v>98</v>
      </c>
      <c r="H3146" s="868">
        <v>4.0</v>
      </c>
      <c r="I3146" s="873" t="s">
        <v>2890</v>
      </c>
      <c r="J3146" s="19"/>
      <c r="K3146" s="19"/>
      <c r="L3146" s="12" t="s">
        <v>3099</v>
      </c>
      <c r="M3146" s="19"/>
      <c r="N3146" s="19"/>
      <c r="O3146" s="34" t="s">
        <v>10889</v>
      </c>
      <c r="P3146" s="19"/>
    </row>
    <row r="3147" hidden="1">
      <c r="A3147" s="118">
        <v>35.0</v>
      </c>
      <c r="B3147" s="863" t="s">
        <v>10908</v>
      </c>
      <c r="C3147" s="781" t="s">
        <v>80</v>
      </c>
      <c r="D3147" s="781" t="s">
        <v>10909</v>
      </c>
      <c r="E3147" s="876" t="s">
        <v>10910</v>
      </c>
      <c r="F3147" s="781" t="s">
        <v>8668</v>
      </c>
      <c r="G3147" s="857" t="s">
        <v>98</v>
      </c>
      <c r="H3147" s="868">
        <v>4.0</v>
      </c>
      <c r="I3147" s="873" t="s">
        <v>2890</v>
      </c>
      <c r="J3147" s="19"/>
      <c r="K3147" s="19"/>
      <c r="L3147" s="12" t="s">
        <v>3099</v>
      </c>
      <c r="M3147" s="19"/>
      <c r="N3147" s="19"/>
      <c r="O3147" s="34" t="s">
        <v>10889</v>
      </c>
      <c r="P3147" s="19"/>
    </row>
    <row r="3148" hidden="1">
      <c r="A3148" s="118">
        <v>36.0</v>
      </c>
      <c r="B3148" s="863" t="s">
        <v>10911</v>
      </c>
      <c r="C3148" s="781" t="s">
        <v>80</v>
      </c>
      <c r="D3148" s="781" t="s">
        <v>10912</v>
      </c>
      <c r="E3148" s="876" t="s">
        <v>10913</v>
      </c>
      <c r="F3148" s="781" t="s">
        <v>8668</v>
      </c>
      <c r="G3148" s="857" t="s">
        <v>98</v>
      </c>
      <c r="H3148" s="868">
        <v>4.0</v>
      </c>
      <c r="I3148" s="873" t="s">
        <v>2890</v>
      </c>
      <c r="J3148" s="19"/>
      <c r="K3148" s="19"/>
      <c r="L3148" s="12" t="s">
        <v>3099</v>
      </c>
      <c r="M3148" s="19"/>
      <c r="N3148" s="19"/>
      <c r="O3148" s="34" t="s">
        <v>10889</v>
      </c>
      <c r="P3148" s="19"/>
    </row>
    <row r="3149" hidden="1">
      <c r="A3149" s="118">
        <v>37.0</v>
      </c>
      <c r="B3149" s="863" t="s">
        <v>10914</v>
      </c>
      <c r="C3149" s="781" t="s">
        <v>80</v>
      </c>
      <c r="D3149" s="781" t="s">
        <v>10915</v>
      </c>
      <c r="E3149" s="876" t="s">
        <v>10916</v>
      </c>
      <c r="F3149" s="781" t="s">
        <v>8668</v>
      </c>
      <c r="G3149" s="857" t="s">
        <v>98</v>
      </c>
      <c r="H3149" s="868">
        <v>4.0</v>
      </c>
      <c r="I3149" s="873" t="s">
        <v>2890</v>
      </c>
      <c r="J3149" s="19"/>
      <c r="K3149" s="19"/>
      <c r="L3149" s="12" t="s">
        <v>3099</v>
      </c>
      <c r="M3149" s="19"/>
      <c r="N3149" s="19"/>
      <c r="O3149" s="34" t="s">
        <v>10889</v>
      </c>
      <c r="P3149" s="19"/>
    </row>
    <row r="3150" hidden="1">
      <c r="A3150" s="118">
        <v>38.0</v>
      </c>
      <c r="B3150" s="863" t="s">
        <v>10917</v>
      </c>
      <c r="C3150" s="781" t="s">
        <v>80</v>
      </c>
      <c r="D3150" s="781" t="s">
        <v>10918</v>
      </c>
      <c r="E3150" s="876" t="s">
        <v>10919</v>
      </c>
      <c r="F3150" s="781" t="s">
        <v>8668</v>
      </c>
      <c r="G3150" s="857" t="s">
        <v>98</v>
      </c>
      <c r="H3150" s="868">
        <v>4.0</v>
      </c>
      <c r="I3150" s="873" t="s">
        <v>2890</v>
      </c>
      <c r="J3150" s="19"/>
      <c r="K3150" s="19"/>
      <c r="L3150" s="12" t="s">
        <v>3099</v>
      </c>
      <c r="M3150" s="19"/>
      <c r="N3150" s="19"/>
      <c r="O3150" s="34" t="s">
        <v>10889</v>
      </c>
      <c r="P3150" s="19"/>
    </row>
    <row r="3151" hidden="1">
      <c r="A3151" s="118">
        <v>39.0</v>
      </c>
      <c r="B3151" s="863" t="s">
        <v>10920</v>
      </c>
      <c r="C3151" s="781" t="s">
        <v>80</v>
      </c>
      <c r="D3151" s="781" t="s">
        <v>10921</v>
      </c>
      <c r="E3151" s="876" t="s">
        <v>10922</v>
      </c>
      <c r="F3151" s="781" t="s">
        <v>8668</v>
      </c>
      <c r="G3151" s="857" t="s">
        <v>98</v>
      </c>
      <c r="H3151" s="868">
        <v>4.0</v>
      </c>
      <c r="I3151" s="873" t="s">
        <v>2890</v>
      </c>
      <c r="J3151" s="19"/>
      <c r="K3151" s="19"/>
      <c r="L3151" s="12" t="s">
        <v>3099</v>
      </c>
      <c r="M3151" s="19"/>
      <c r="N3151" s="19"/>
      <c r="O3151" s="34" t="s">
        <v>10889</v>
      </c>
      <c r="P3151" s="19"/>
    </row>
    <row r="3152" hidden="1">
      <c r="A3152" s="118">
        <v>40.0</v>
      </c>
      <c r="B3152" s="863" t="s">
        <v>10923</v>
      </c>
      <c r="C3152" s="781" t="s">
        <v>80</v>
      </c>
      <c r="D3152" s="781" t="s">
        <v>10924</v>
      </c>
      <c r="E3152" s="876" t="s">
        <v>10925</v>
      </c>
      <c r="F3152" s="781" t="s">
        <v>8668</v>
      </c>
      <c r="G3152" s="857" t="s">
        <v>98</v>
      </c>
      <c r="H3152" s="868">
        <v>4.0</v>
      </c>
      <c r="I3152" s="873" t="s">
        <v>2890</v>
      </c>
      <c r="J3152" s="19"/>
      <c r="K3152" s="19"/>
      <c r="L3152" s="12" t="s">
        <v>3099</v>
      </c>
      <c r="M3152" s="19"/>
      <c r="N3152" s="19"/>
      <c r="O3152" s="34" t="s">
        <v>10889</v>
      </c>
      <c r="P3152" s="19"/>
    </row>
    <row r="3153" hidden="1">
      <c r="A3153" s="118">
        <v>41.0</v>
      </c>
      <c r="B3153" s="863" t="s">
        <v>10926</v>
      </c>
      <c r="C3153" s="781" t="s">
        <v>80</v>
      </c>
      <c r="D3153" s="781" t="s">
        <v>10927</v>
      </c>
      <c r="E3153" s="876" t="s">
        <v>10928</v>
      </c>
      <c r="F3153" s="781" t="s">
        <v>8668</v>
      </c>
      <c r="G3153" s="857" t="s">
        <v>98</v>
      </c>
      <c r="H3153" s="868">
        <v>4.0</v>
      </c>
      <c r="I3153" s="874" t="s">
        <v>10093</v>
      </c>
      <c r="J3153" s="19"/>
      <c r="K3153" s="19"/>
      <c r="L3153" s="12" t="s">
        <v>3099</v>
      </c>
      <c r="M3153" s="19"/>
      <c r="N3153" s="19"/>
      <c r="O3153" s="34" t="s">
        <v>10889</v>
      </c>
      <c r="P3153" s="19"/>
    </row>
    <row r="3154" hidden="1">
      <c r="A3154" s="118">
        <v>42.0</v>
      </c>
      <c r="B3154" s="863" t="s">
        <v>10929</v>
      </c>
      <c r="C3154" s="781" t="s">
        <v>80</v>
      </c>
      <c r="D3154" s="781" t="s">
        <v>10930</v>
      </c>
      <c r="E3154" s="876" t="s">
        <v>10931</v>
      </c>
      <c r="F3154" s="781" t="s">
        <v>8668</v>
      </c>
      <c r="G3154" s="857" t="s">
        <v>98</v>
      </c>
      <c r="H3154" s="868">
        <v>4.0</v>
      </c>
      <c r="I3154" s="873" t="s">
        <v>2890</v>
      </c>
      <c r="J3154" s="19"/>
      <c r="K3154" s="19"/>
      <c r="L3154" s="12" t="s">
        <v>3099</v>
      </c>
      <c r="M3154" s="19"/>
      <c r="N3154" s="19"/>
      <c r="O3154" s="34" t="s">
        <v>10889</v>
      </c>
      <c r="P3154" s="19"/>
    </row>
    <row r="3155" hidden="1">
      <c r="A3155" s="118">
        <v>43.0</v>
      </c>
      <c r="B3155" s="863" t="s">
        <v>10932</v>
      </c>
      <c r="C3155" s="781" t="s">
        <v>80</v>
      </c>
      <c r="D3155" s="781" t="s">
        <v>10933</v>
      </c>
      <c r="E3155" s="781" t="s">
        <v>10934</v>
      </c>
      <c r="F3155" s="781" t="s">
        <v>10935</v>
      </c>
      <c r="G3155" s="860">
        <v>46087.0</v>
      </c>
      <c r="H3155" s="868">
        <v>9.0</v>
      </c>
      <c r="I3155" s="873" t="s">
        <v>2890</v>
      </c>
      <c r="J3155" s="34" t="s">
        <v>10840</v>
      </c>
      <c r="K3155" s="34" t="s">
        <v>10936</v>
      </c>
      <c r="L3155" s="12" t="s">
        <v>374</v>
      </c>
      <c r="M3155" s="19"/>
      <c r="N3155" s="19"/>
      <c r="O3155" s="148">
        <v>46028.0</v>
      </c>
      <c r="P3155" s="587" t="s">
        <v>1432</v>
      </c>
    </row>
    <row r="3156" hidden="1">
      <c r="A3156" s="118">
        <v>44.0</v>
      </c>
      <c r="B3156" s="863" t="s">
        <v>10937</v>
      </c>
      <c r="C3156" s="781" t="s">
        <v>80</v>
      </c>
      <c r="D3156" s="781" t="s">
        <v>10938</v>
      </c>
      <c r="E3156" s="781" t="s">
        <v>10939</v>
      </c>
      <c r="F3156" s="782" t="s">
        <v>10940</v>
      </c>
      <c r="G3156" s="860">
        <v>46087.0</v>
      </c>
      <c r="H3156" s="868">
        <v>9.0</v>
      </c>
      <c r="I3156" s="873" t="s">
        <v>2890</v>
      </c>
      <c r="J3156" s="19"/>
      <c r="K3156" s="19"/>
      <c r="L3156" s="12" t="s">
        <v>778</v>
      </c>
      <c r="M3156" s="19"/>
      <c r="N3156" s="34" t="s">
        <v>10941</v>
      </c>
      <c r="O3156" s="34" t="s">
        <v>10652</v>
      </c>
      <c r="P3156" s="19"/>
    </row>
    <row r="3157" hidden="1">
      <c r="A3157" s="118">
        <v>45.0</v>
      </c>
      <c r="B3157" s="863" t="s">
        <v>10942</v>
      </c>
      <c r="C3157" s="781" t="s">
        <v>80</v>
      </c>
      <c r="D3157" s="781" t="s">
        <v>10943</v>
      </c>
      <c r="E3157" s="781" t="s">
        <v>10944</v>
      </c>
      <c r="F3157" s="781" t="s">
        <v>8903</v>
      </c>
      <c r="G3157" s="860">
        <v>46087.0</v>
      </c>
      <c r="H3157" s="868">
        <v>9.0</v>
      </c>
      <c r="I3157" s="874" t="s">
        <v>10093</v>
      </c>
      <c r="J3157" s="19"/>
      <c r="K3157" s="19"/>
      <c r="L3157" s="12" t="s">
        <v>778</v>
      </c>
      <c r="M3157" s="19"/>
      <c r="N3157" s="19"/>
      <c r="O3157" s="148">
        <v>46179.0</v>
      </c>
      <c r="P3157" s="19"/>
    </row>
    <row r="3158" hidden="1">
      <c r="A3158" s="118">
        <v>46.0</v>
      </c>
      <c r="B3158" s="863" t="s">
        <v>10945</v>
      </c>
      <c r="C3158" s="781" t="s">
        <v>80</v>
      </c>
      <c r="D3158" s="781" t="s">
        <v>10946</v>
      </c>
      <c r="E3158" s="781" t="s">
        <v>10947</v>
      </c>
      <c r="F3158" s="781" t="s">
        <v>10856</v>
      </c>
      <c r="G3158" s="860">
        <v>46087.0</v>
      </c>
      <c r="H3158" s="868">
        <v>9.0</v>
      </c>
      <c r="I3158" s="873" t="s">
        <v>2890</v>
      </c>
      <c r="J3158" s="19"/>
      <c r="K3158" s="19"/>
      <c r="L3158" s="12" t="s">
        <v>778</v>
      </c>
      <c r="M3158" s="19"/>
      <c r="N3158" s="19"/>
      <c r="O3158" s="34" t="s">
        <v>10652</v>
      </c>
      <c r="P3158" s="19"/>
    </row>
    <row r="3159" hidden="1">
      <c r="A3159" s="118">
        <v>47.0</v>
      </c>
      <c r="B3159" s="863" t="s">
        <v>10948</v>
      </c>
      <c r="C3159" s="781" t="s">
        <v>80</v>
      </c>
      <c r="D3159" s="781" t="s">
        <v>10949</v>
      </c>
      <c r="E3159" s="781" t="s">
        <v>10950</v>
      </c>
      <c r="F3159" s="781" t="s">
        <v>556</v>
      </c>
      <c r="G3159" s="860">
        <v>46087.0</v>
      </c>
      <c r="H3159" s="868">
        <v>9.0</v>
      </c>
      <c r="I3159" s="873" t="s">
        <v>2890</v>
      </c>
      <c r="J3159" s="19"/>
      <c r="K3159" s="19"/>
      <c r="L3159" s="12" t="s">
        <v>51</v>
      </c>
      <c r="M3159" s="19"/>
      <c r="N3159" s="19"/>
      <c r="O3159" s="148">
        <v>46148.0</v>
      </c>
      <c r="P3159" s="587" t="s">
        <v>1432</v>
      </c>
    </row>
    <row r="3160" hidden="1">
      <c r="A3160" s="118">
        <v>48.0</v>
      </c>
      <c r="B3160" s="863" t="s">
        <v>10951</v>
      </c>
      <c r="C3160" s="781" t="s">
        <v>80</v>
      </c>
      <c r="D3160" s="781" t="s">
        <v>10952</v>
      </c>
      <c r="E3160" s="880" t="s">
        <v>10953</v>
      </c>
      <c r="F3160" s="781" t="s">
        <v>556</v>
      </c>
      <c r="G3160" s="860">
        <v>46087.0</v>
      </c>
      <c r="H3160" s="868">
        <v>9.0</v>
      </c>
      <c r="I3160" s="873" t="s">
        <v>2890</v>
      </c>
      <c r="J3160" s="19"/>
      <c r="K3160" s="19"/>
      <c r="L3160" s="12" t="s">
        <v>4195</v>
      </c>
      <c r="M3160" s="19"/>
      <c r="N3160" s="19"/>
      <c r="O3160" s="71">
        <v>46271.0</v>
      </c>
      <c r="P3160" s="587" t="s">
        <v>1432</v>
      </c>
    </row>
    <row r="3161" ht="14.25" hidden="1" customHeight="1">
      <c r="A3161" s="118">
        <v>49.0</v>
      </c>
      <c r="B3161" s="863" t="s">
        <v>10954</v>
      </c>
      <c r="C3161" s="781" t="s">
        <v>80</v>
      </c>
      <c r="D3161" s="781" t="s">
        <v>10955</v>
      </c>
      <c r="E3161" s="881" t="s">
        <v>10956</v>
      </c>
      <c r="F3161" s="781" t="s">
        <v>556</v>
      </c>
      <c r="G3161" s="860">
        <v>46087.0</v>
      </c>
      <c r="H3161" s="868">
        <v>9.0</v>
      </c>
      <c r="I3161" s="875" t="s">
        <v>3465</v>
      </c>
      <c r="J3161" s="34" t="s">
        <v>10957</v>
      </c>
      <c r="K3161" s="19"/>
      <c r="L3161" s="12" t="s">
        <v>374</v>
      </c>
      <c r="M3161" s="19"/>
      <c r="N3161" s="19"/>
      <c r="O3161" s="34" t="s">
        <v>10958</v>
      </c>
      <c r="P3161" s="19"/>
    </row>
    <row r="3162" hidden="1">
      <c r="A3162" s="118">
        <v>50.0</v>
      </c>
      <c r="B3162" s="863" t="s">
        <v>10959</v>
      </c>
      <c r="C3162" s="781" t="s">
        <v>80</v>
      </c>
      <c r="D3162" s="781" t="s">
        <v>10960</v>
      </c>
      <c r="E3162" s="881" t="s">
        <v>10961</v>
      </c>
      <c r="F3162" s="781" t="s">
        <v>556</v>
      </c>
      <c r="G3162" s="860">
        <v>46118.0</v>
      </c>
      <c r="H3162" s="882">
        <v>10.0</v>
      </c>
      <c r="I3162" s="873" t="s">
        <v>2890</v>
      </c>
      <c r="J3162" s="19"/>
      <c r="K3162" s="19"/>
      <c r="L3162" s="12" t="s">
        <v>51</v>
      </c>
      <c r="M3162" s="19"/>
      <c r="N3162" s="19"/>
      <c r="O3162" s="148">
        <v>46118.0</v>
      </c>
      <c r="P3162" s="587" t="s">
        <v>1432</v>
      </c>
    </row>
    <row r="3163" hidden="1">
      <c r="A3163" s="118">
        <v>51.0</v>
      </c>
      <c r="B3163" s="863" t="s">
        <v>10962</v>
      </c>
      <c r="C3163" s="781" t="s">
        <v>80</v>
      </c>
      <c r="D3163" s="781" t="s">
        <v>10963</v>
      </c>
      <c r="E3163" s="881" t="s">
        <v>10964</v>
      </c>
      <c r="F3163" s="781" t="s">
        <v>556</v>
      </c>
      <c r="G3163" s="860">
        <v>46118.0</v>
      </c>
      <c r="H3163" s="882">
        <v>10.0</v>
      </c>
      <c r="I3163" s="873" t="s">
        <v>2890</v>
      </c>
      <c r="J3163" s="19"/>
      <c r="K3163" s="19"/>
      <c r="L3163" s="12" t="s">
        <v>4195</v>
      </c>
      <c r="M3163" s="19"/>
      <c r="N3163" s="19"/>
      <c r="O3163" s="71">
        <v>46148.0</v>
      </c>
      <c r="P3163" s="34" t="s">
        <v>10965</v>
      </c>
    </row>
    <row r="3164" hidden="1">
      <c r="A3164" s="118">
        <v>52.0</v>
      </c>
      <c r="B3164" s="863" t="s">
        <v>10966</v>
      </c>
      <c r="C3164" s="781" t="s">
        <v>80</v>
      </c>
      <c r="D3164" s="781" t="s">
        <v>10967</v>
      </c>
      <c r="E3164" s="883" t="s">
        <v>10968</v>
      </c>
      <c r="F3164" s="781" t="s">
        <v>10314</v>
      </c>
      <c r="G3164" s="860">
        <v>46118.0</v>
      </c>
      <c r="H3164" s="882">
        <v>10.0</v>
      </c>
      <c r="I3164" s="873" t="s">
        <v>2890</v>
      </c>
      <c r="J3164" s="19"/>
      <c r="K3164" s="19"/>
      <c r="L3164" s="12" t="s">
        <v>51</v>
      </c>
      <c r="M3164" s="19"/>
      <c r="N3164" s="19"/>
      <c r="O3164" s="34" t="s">
        <v>10652</v>
      </c>
      <c r="P3164" s="587" t="s">
        <v>1432</v>
      </c>
    </row>
    <row r="3165" hidden="1">
      <c r="A3165" s="118">
        <v>53.0</v>
      </c>
      <c r="B3165" s="863" t="s">
        <v>10969</v>
      </c>
      <c r="C3165" s="781" t="s">
        <v>80</v>
      </c>
      <c r="D3165" s="781" t="s">
        <v>10970</v>
      </c>
      <c r="E3165" s="883" t="s">
        <v>10971</v>
      </c>
      <c r="F3165" s="781" t="s">
        <v>10314</v>
      </c>
      <c r="G3165" s="860">
        <v>46118.0</v>
      </c>
      <c r="H3165" s="882">
        <v>10.0</v>
      </c>
      <c r="I3165" s="873" t="s">
        <v>2890</v>
      </c>
      <c r="J3165" s="19"/>
      <c r="K3165" s="19"/>
      <c r="L3165" s="12" t="s">
        <v>51</v>
      </c>
      <c r="M3165" s="19"/>
      <c r="N3165" s="19"/>
      <c r="O3165" s="34" t="s">
        <v>10652</v>
      </c>
      <c r="P3165" s="587" t="s">
        <v>1432</v>
      </c>
    </row>
    <row r="3166" hidden="1">
      <c r="A3166" s="118">
        <v>54.0</v>
      </c>
      <c r="B3166" s="863" t="s">
        <v>10972</v>
      </c>
      <c r="C3166" s="781" t="s">
        <v>80</v>
      </c>
      <c r="D3166" s="781" t="s">
        <v>10973</v>
      </c>
      <c r="E3166" s="884" t="s">
        <v>10974</v>
      </c>
      <c r="F3166" s="781" t="s">
        <v>10975</v>
      </c>
      <c r="G3166" s="860">
        <v>46118.0</v>
      </c>
      <c r="H3166" s="882">
        <v>10.0</v>
      </c>
      <c r="I3166" s="874" t="s">
        <v>10093</v>
      </c>
      <c r="J3166" s="34" t="s">
        <v>10957</v>
      </c>
      <c r="K3166" s="34" t="s">
        <v>10520</v>
      </c>
      <c r="L3166" s="12" t="s">
        <v>374</v>
      </c>
      <c r="M3166" s="19"/>
      <c r="N3166" s="19"/>
      <c r="O3166" s="148">
        <v>46179.0</v>
      </c>
      <c r="P3166" s="19"/>
    </row>
    <row r="3167" hidden="1">
      <c r="A3167" s="118">
        <v>55.0</v>
      </c>
      <c r="B3167" s="863" t="s">
        <v>10976</v>
      </c>
      <c r="C3167" s="781" t="s">
        <v>80</v>
      </c>
      <c r="D3167" s="781" t="s">
        <v>10977</v>
      </c>
      <c r="E3167" s="884" t="s">
        <v>10978</v>
      </c>
      <c r="F3167" s="781" t="s">
        <v>10975</v>
      </c>
      <c r="G3167" s="860">
        <v>46118.0</v>
      </c>
      <c r="H3167" s="882">
        <v>10.0</v>
      </c>
      <c r="I3167" s="873" t="s">
        <v>2890</v>
      </c>
      <c r="J3167" s="34" t="s">
        <v>10957</v>
      </c>
      <c r="K3167" s="34" t="s">
        <v>10979</v>
      </c>
      <c r="L3167" s="12" t="s">
        <v>374</v>
      </c>
      <c r="M3167" s="19"/>
      <c r="N3167" s="19"/>
      <c r="O3167" s="148">
        <v>46179.0</v>
      </c>
      <c r="P3167" s="587" t="s">
        <v>1432</v>
      </c>
    </row>
    <row r="3168" hidden="1">
      <c r="A3168" s="118">
        <v>56.0</v>
      </c>
      <c r="B3168" s="863" t="s">
        <v>10980</v>
      </c>
      <c r="C3168" s="781" t="s">
        <v>80</v>
      </c>
      <c r="D3168" s="781" t="s">
        <v>10981</v>
      </c>
      <c r="E3168" s="781" t="s">
        <v>10982</v>
      </c>
      <c r="F3168" s="781" t="s">
        <v>10983</v>
      </c>
      <c r="G3168" s="860">
        <v>46148.0</v>
      </c>
      <c r="H3168" s="882">
        <v>11.0</v>
      </c>
      <c r="I3168" s="873" t="s">
        <v>2890</v>
      </c>
      <c r="J3168" s="34" t="s">
        <v>10957</v>
      </c>
      <c r="K3168" s="34" t="s">
        <v>10520</v>
      </c>
      <c r="L3168" s="12" t="s">
        <v>374</v>
      </c>
      <c r="M3168" s="19"/>
      <c r="N3168" s="19"/>
      <c r="O3168" s="23">
        <v>46271.0</v>
      </c>
      <c r="P3168" s="587" t="s">
        <v>1432</v>
      </c>
    </row>
    <row r="3169" hidden="1">
      <c r="A3169" s="118">
        <v>57.0</v>
      </c>
      <c r="B3169" s="863" t="s">
        <v>10984</v>
      </c>
      <c r="C3169" s="781" t="s">
        <v>80</v>
      </c>
      <c r="D3169" s="781" t="s">
        <v>10985</v>
      </c>
      <c r="E3169" s="885" t="s">
        <v>10986</v>
      </c>
      <c r="F3169" s="781" t="s">
        <v>10987</v>
      </c>
      <c r="G3169" s="860">
        <v>46179.0</v>
      </c>
      <c r="H3169" s="882">
        <v>12.0</v>
      </c>
      <c r="I3169" s="873" t="s">
        <v>2890</v>
      </c>
      <c r="J3169" s="19"/>
      <c r="K3169" s="19"/>
      <c r="L3169" s="12" t="s">
        <v>4195</v>
      </c>
      <c r="M3169" s="19"/>
      <c r="N3169" s="34"/>
      <c r="O3169" s="34" t="s">
        <v>10988</v>
      </c>
      <c r="P3169" s="587" t="s">
        <v>1432</v>
      </c>
    </row>
    <row r="3170" hidden="1">
      <c r="A3170" s="118">
        <v>58.0</v>
      </c>
      <c r="B3170" s="863" t="s">
        <v>10989</v>
      </c>
      <c r="C3170" s="781" t="s">
        <v>80</v>
      </c>
      <c r="D3170" s="781" t="s">
        <v>10990</v>
      </c>
      <c r="E3170" s="885" t="s">
        <v>10991</v>
      </c>
      <c r="F3170" s="781" t="s">
        <v>10987</v>
      </c>
      <c r="G3170" s="860">
        <v>46179.0</v>
      </c>
      <c r="H3170" s="882">
        <v>12.0</v>
      </c>
      <c r="I3170" s="873" t="s">
        <v>2890</v>
      </c>
      <c r="J3170" s="19"/>
      <c r="K3170" s="19"/>
      <c r="L3170" s="12" t="s">
        <v>4195</v>
      </c>
      <c r="M3170" s="19"/>
      <c r="N3170" s="34"/>
      <c r="O3170" s="34" t="s">
        <v>10988</v>
      </c>
      <c r="P3170" s="587" t="s">
        <v>1432</v>
      </c>
    </row>
    <row r="3171" hidden="1">
      <c r="A3171" s="118">
        <v>59.0</v>
      </c>
      <c r="B3171" s="863" t="s">
        <v>10992</v>
      </c>
      <c r="C3171" s="781" t="s">
        <v>80</v>
      </c>
      <c r="D3171" s="781" t="s">
        <v>10993</v>
      </c>
      <c r="E3171" s="886" t="s">
        <v>10994</v>
      </c>
      <c r="F3171" s="781" t="s">
        <v>10995</v>
      </c>
      <c r="G3171" s="860">
        <v>46179.0</v>
      </c>
      <c r="H3171" s="882">
        <v>12.0</v>
      </c>
      <c r="I3171" s="875" t="s">
        <v>9308</v>
      </c>
      <c r="J3171" s="19"/>
      <c r="K3171" s="19"/>
      <c r="L3171" s="12" t="s">
        <v>51</v>
      </c>
      <c r="M3171" s="19"/>
      <c r="N3171" s="19"/>
      <c r="O3171" s="148">
        <v>46271.0</v>
      </c>
      <c r="P3171" s="587" t="s">
        <v>1432</v>
      </c>
    </row>
    <row r="3172" hidden="1">
      <c r="A3172" s="118">
        <v>60.0</v>
      </c>
      <c r="B3172" s="863" t="s">
        <v>10996</v>
      </c>
      <c r="C3172" s="781" t="s">
        <v>80</v>
      </c>
      <c r="D3172" s="781" t="s">
        <v>10997</v>
      </c>
      <c r="E3172" s="886" t="s">
        <v>10998</v>
      </c>
      <c r="F3172" s="781" t="s">
        <v>10995</v>
      </c>
      <c r="G3172" s="860">
        <v>46179.0</v>
      </c>
      <c r="H3172" s="882">
        <v>12.0</v>
      </c>
      <c r="I3172" s="874" t="s">
        <v>10093</v>
      </c>
      <c r="J3172" s="19"/>
      <c r="K3172" s="19"/>
      <c r="L3172" s="12" t="s">
        <v>51</v>
      </c>
      <c r="M3172" s="19"/>
      <c r="N3172" s="19"/>
      <c r="O3172" s="148">
        <v>46271.0</v>
      </c>
      <c r="P3172" s="587" t="s">
        <v>1432</v>
      </c>
    </row>
    <row r="3173" hidden="1">
      <c r="A3173" s="118">
        <v>61.0</v>
      </c>
      <c r="B3173" s="805" t="s">
        <v>10999</v>
      </c>
      <c r="C3173" s="781" t="s">
        <v>80</v>
      </c>
      <c r="D3173" s="781" t="s">
        <v>11000</v>
      </c>
      <c r="E3173" s="781" t="s">
        <v>11001</v>
      </c>
      <c r="F3173" s="781" t="s">
        <v>11002</v>
      </c>
      <c r="G3173" s="887">
        <v>46118.0</v>
      </c>
      <c r="H3173" s="882">
        <v>10.0</v>
      </c>
      <c r="I3173" s="873" t="s">
        <v>2890</v>
      </c>
      <c r="J3173" s="19"/>
      <c r="K3173" s="19"/>
      <c r="L3173" s="12" t="s">
        <v>778</v>
      </c>
      <c r="M3173" s="19"/>
      <c r="N3173" s="19"/>
      <c r="O3173" s="148">
        <v>46271.0</v>
      </c>
      <c r="P3173" s="19"/>
    </row>
    <row r="3174" hidden="1">
      <c r="A3174" s="118">
        <v>62.0</v>
      </c>
      <c r="B3174" s="863" t="s">
        <v>11003</v>
      </c>
      <c r="C3174" s="781" t="s">
        <v>651</v>
      </c>
      <c r="D3174" s="781" t="s">
        <v>11004</v>
      </c>
      <c r="E3174" s="781" t="s">
        <v>11005</v>
      </c>
      <c r="F3174" s="781" t="s">
        <v>11006</v>
      </c>
      <c r="G3174" s="860">
        <v>46179.0</v>
      </c>
      <c r="H3174" s="882">
        <v>12.0</v>
      </c>
      <c r="I3174" s="874" t="s">
        <v>10198</v>
      </c>
      <c r="J3174" s="19"/>
      <c r="K3174" s="19"/>
      <c r="L3174" s="12" t="s">
        <v>51</v>
      </c>
      <c r="M3174" s="19"/>
      <c r="N3174" s="34" t="s">
        <v>11007</v>
      </c>
      <c r="O3174" s="34" t="s">
        <v>11008</v>
      </c>
      <c r="P3174" s="587" t="s">
        <v>1432</v>
      </c>
    </row>
    <row r="3175" hidden="1">
      <c r="A3175" s="118">
        <v>63.0</v>
      </c>
      <c r="B3175" s="863" t="s">
        <v>11009</v>
      </c>
      <c r="C3175" s="781" t="s">
        <v>80</v>
      </c>
      <c r="D3175" s="781" t="s">
        <v>11010</v>
      </c>
      <c r="E3175" s="781" t="s">
        <v>11011</v>
      </c>
      <c r="F3175" s="781" t="s">
        <v>11012</v>
      </c>
      <c r="G3175" s="860">
        <v>46179.0</v>
      </c>
      <c r="H3175" s="882">
        <v>12.0</v>
      </c>
      <c r="I3175" s="873" t="s">
        <v>2890</v>
      </c>
      <c r="J3175" s="19"/>
      <c r="K3175" s="19"/>
      <c r="L3175" s="12" t="s">
        <v>778</v>
      </c>
      <c r="M3175" s="19"/>
      <c r="N3175" s="19"/>
      <c r="O3175" s="148">
        <v>46240.0</v>
      </c>
      <c r="P3175" s="19"/>
    </row>
    <row r="3176" hidden="1">
      <c r="A3176" s="118">
        <v>64.0</v>
      </c>
      <c r="B3176" s="863" t="s">
        <v>11013</v>
      </c>
      <c r="C3176" s="781" t="s">
        <v>80</v>
      </c>
      <c r="D3176" s="781" t="s">
        <v>11014</v>
      </c>
      <c r="E3176" s="876" t="s">
        <v>11015</v>
      </c>
      <c r="F3176" s="781" t="s">
        <v>3583</v>
      </c>
      <c r="G3176" s="860">
        <v>46209.0</v>
      </c>
      <c r="H3176" s="882">
        <v>13.0</v>
      </c>
      <c r="I3176" s="873" t="s">
        <v>2890</v>
      </c>
      <c r="J3176" s="19"/>
      <c r="K3176" s="19"/>
      <c r="L3176" s="12" t="s">
        <v>778</v>
      </c>
      <c r="M3176" s="19"/>
      <c r="N3176" s="19"/>
      <c r="O3176" s="34" t="s">
        <v>11016</v>
      </c>
      <c r="P3176" s="19"/>
    </row>
    <row r="3177" hidden="1">
      <c r="A3177" s="118">
        <v>65.0</v>
      </c>
      <c r="B3177" s="863" t="s">
        <v>11017</v>
      </c>
      <c r="C3177" s="781" t="s">
        <v>80</v>
      </c>
      <c r="D3177" s="781" t="s">
        <v>11018</v>
      </c>
      <c r="E3177" s="876" t="s">
        <v>11019</v>
      </c>
      <c r="F3177" s="781" t="s">
        <v>3583</v>
      </c>
      <c r="G3177" s="860">
        <v>46209.0</v>
      </c>
      <c r="H3177" s="882">
        <v>13.0</v>
      </c>
      <c r="I3177" s="873" t="s">
        <v>2890</v>
      </c>
      <c r="J3177" s="19"/>
      <c r="K3177" s="19"/>
      <c r="L3177" s="12" t="s">
        <v>778</v>
      </c>
      <c r="M3177" s="19"/>
      <c r="N3177" s="19"/>
      <c r="O3177" s="148">
        <v>46240.0</v>
      </c>
      <c r="P3177" s="19"/>
    </row>
    <row r="3178" hidden="1">
      <c r="A3178" s="118">
        <v>66.0</v>
      </c>
      <c r="B3178" s="863" t="s">
        <v>11020</v>
      </c>
      <c r="C3178" s="781" t="s">
        <v>80</v>
      </c>
      <c r="D3178" s="781" t="s">
        <v>11021</v>
      </c>
      <c r="E3178" s="781" t="s">
        <v>11022</v>
      </c>
      <c r="F3178" s="781" t="s">
        <v>4314</v>
      </c>
      <c r="G3178" s="860">
        <v>46209.0</v>
      </c>
      <c r="H3178" s="882">
        <v>13.0</v>
      </c>
      <c r="I3178" s="874" t="s">
        <v>10093</v>
      </c>
      <c r="J3178" s="19"/>
      <c r="K3178" s="19"/>
      <c r="L3178" s="12" t="s">
        <v>4195</v>
      </c>
      <c r="M3178" s="19"/>
      <c r="N3178" s="19"/>
      <c r="O3178" s="71">
        <v>46271.0</v>
      </c>
      <c r="P3178" s="19"/>
    </row>
    <row r="3179" hidden="1">
      <c r="A3179" s="118">
        <v>67.0</v>
      </c>
      <c r="B3179" s="863" t="s">
        <v>11023</v>
      </c>
      <c r="C3179" s="781" t="s">
        <v>80</v>
      </c>
      <c r="D3179" s="781" t="s">
        <v>11024</v>
      </c>
      <c r="E3179" s="885" t="s">
        <v>11025</v>
      </c>
      <c r="F3179" s="781" t="s">
        <v>2019</v>
      </c>
      <c r="G3179" s="860">
        <v>46179.0</v>
      </c>
      <c r="H3179" s="882">
        <v>12.0</v>
      </c>
      <c r="I3179" s="874" t="s">
        <v>3231</v>
      </c>
      <c r="J3179" s="34" t="s">
        <v>11026</v>
      </c>
      <c r="K3179" s="19"/>
      <c r="L3179" s="12" t="s">
        <v>374</v>
      </c>
      <c r="M3179" s="19"/>
      <c r="N3179" s="19"/>
      <c r="O3179" s="34" t="s">
        <v>10652</v>
      </c>
      <c r="P3179" s="19"/>
    </row>
    <row r="3180" hidden="1">
      <c r="A3180" s="118">
        <v>68.0</v>
      </c>
      <c r="B3180" s="863" t="s">
        <v>11027</v>
      </c>
      <c r="C3180" s="781" t="s">
        <v>80</v>
      </c>
      <c r="D3180" s="781" t="s">
        <v>11028</v>
      </c>
      <c r="E3180" s="885" t="s">
        <v>11029</v>
      </c>
      <c r="F3180" s="781" t="s">
        <v>2019</v>
      </c>
      <c r="G3180" s="860">
        <v>46179.0</v>
      </c>
      <c r="H3180" s="882">
        <v>12.0</v>
      </c>
      <c r="I3180" s="873" t="s">
        <v>2890</v>
      </c>
      <c r="J3180" s="34" t="s">
        <v>11026</v>
      </c>
      <c r="K3180" s="19"/>
      <c r="L3180" s="12" t="s">
        <v>374</v>
      </c>
      <c r="M3180" s="19"/>
      <c r="N3180" s="19"/>
      <c r="O3180" s="34" t="s">
        <v>10652</v>
      </c>
      <c r="P3180" s="19"/>
    </row>
    <row r="3181" hidden="1">
      <c r="A3181" s="118">
        <v>69.0</v>
      </c>
      <c r="B3181" s="863" t="s">
        <v>11030</v>
      </c>
      <c r="C3181" s="781" t="s">
        <v>80</v>
      </c>
      <c r="D3181" s="781" t="s">
        <v>11031</v>
      </c>
      <c r="E3181" s="876" t="s">
        <v>11032</v>
      </c>
      <c r="F3181" s="781" t="s">
        <v>3928</v>
      </c>
      <c r="G3181" s="860">
        <v>46059.0</v>
      </c>
      <c r="H3181" s="868">
        <v>8.0</v>
      </c>
      <c r="I3181" s="873" t="s">
        <v>2890</v>
      </c>
      <c r="J3181" s="19"/>
      <c r="K3181" s="19"/>
      <c r="L3181" s="12" t="s">
        <v>3099</v>
      </c>
      <c r="M3181" s="19"/>
      <c r="N3181" s="19"/>
      <c r="O3181" s="148">
        <v>46362.0</v>
      </c>
      <c r="P3181" s="19"/>
    </row>
    <row r="3182" hidden="1">
      <c r="A3182" s="118">
        <v>70.0</v>
      </c>
      <c r="B3182" s="863" t="s">
        <v>11033</v>
      </c>
      <c r="C3182" s="781" t="s">
        <v>80</v>
      </c>
      <c r="D3182" s="781" t="s">
        <v>11034</v>
      </c>
      <c r="E3182" s="876" t="s">
        <v>11035</v>
      </c>
      <c r="F3182" s="781" t="s">
        <v>3928</v>
      </c>
      <c r="G3182" s="860">
        <v>46059.0</v>
      </c>
      <c r="H3182" s="868">
        <v>8.0</v>
      </c>
      <c r="I3182" s="873" t="s">
        <v>2890</v>
      </c>
      <c r="J3182" s="19"/>
      <c r="K3182" s="19"/>
      <c r="L3182" s="12" t="s">
        <v>3099</v>
      </c>
      <c r="M3182" s="19"/>
      <c r="N3182" s="19"/>
      <c r="O3182" s="148">
        <v>46362.0</v>
      </c>
      <c r="P3182" s="19"/>
    </row>
    <row r="3183" hidden="1">
      <c r="A3183" s="118">
        <v>71.0</v>
      </c>
      <c r="B3183" s="863" t="s">
        <v>11036</v>
      </c>
      <c r="C3183" s="781" t="s">
        <v>80</v>
      </c>
      <c r="D3183" s="781" t="s">
        <v>11037</v>
      </c>
      <c r="E3183" s="876" t="s">
        <v>11038</v>
      </c>
      <c r="F3183" s="781" t="s">
        <v>3928</v>
      </c>
      <c r="G3183" s="860">
        <v>46059.0</v>
      </c>
      <c r="H3183" s="868">
        <v>8.0</v>
      </c>
      <c r="I3183" s="874" t="s">
        <v>3231</v>
      </c>
      <c r="J3183" s="19"/>
      <c r="K3183" s="19"/>
      <c r="L3183" s="12" t="s">
        <v>3099</v>
      </c>
      <c r="M3183" s="19"/>
      <c r="N3183" s="19"/>
      <c r="O3183" s="148">
        <v>46362.0</v>
      </c>
      <c r="P3183" s="19"/>
    </row>
    <row r="3184" hidden="1">
      <c r="A3184" s="118">
        <v>74.0</v>
      </c>
      <c r="B3184" s="863" t="s">
        <v>11039</v>
      </c>
      <c r="C3184" s="781" t="s">
        <v>80</v>
      </c>
      <c r="D3184" s="781" t="s">
        <v>11040</v>
      </c>
      <c r="E3184" s="876" t="s">
        <v>11041</v>
      </c>
      <c r="F3184" s="781" t="s">
        <v>3928</v>
      </c>
      <c r="G3184" s="860">
        <v>46059.0</v>
      </c>
      <c r="H3184" s="868">
        <v>8.0</v>
      </c>
      <c r="I3184" s="874" t="s">
        <v>10093</v>
      </c>
      <c r="J3184" s="19"/>
      <c r="K3184" s="19"/>
      <c r="L3184" s="12" t="s">
        <v>3099</v>
      </c>
      <c r="M3184" s="19"/>
      <c r="N3184" s="19"/>
      <c r="O3184" s="478">
        <v>46028.0</v>
      </c>
      <c r="P3184" s="19"/>
    </row>
    <row r="3185" hidden="1">
      <c r="A3185" s="118">
        <v>72.0</v>
      </c>
      <c r="B3185" s="863" t="s">
        <v>11042</v>
      </c>
      <c r="C3185" s="781" t="s">
        <v>80</v>
      </c>
      <c r="D3185" s="781" t="s">
        <v>11043</v>
      </c>
      <c r="E3185" s="876" t="s">
        <v>11044</v>
      </c>
      <c r="F3185" s="781" t="s">
        <v>3928</v>
      </c>
      <c r="G3185" s="860">
        <v>46059.0</v>
      </c>
      <c r="H3185" s="868">
        <v>8.0</v>
      </c>
      <c r="I3185" s="873" t="s">
        <v>2890</v>
      </c>
      <c r="J3185" s="19"/>
      <c r="K3185" s="19"/>
      <c r="L3185" s="12" t="s">
        <v>3099</v>
      </c>
      <c r="M3185" s="19"/>
      <c r="N3185" s="19"/>
      <c r="O3185" s="478">
        <v>46028.0</v>
      </c>
      <c r="P3185" s="19"/>
    </row>
    <row r="3186" hidden="1">
      <c r="A3186" s="118">
        <v>73.0</v>
      </c>
      <c r="B3186" s="863" t="s">
        <v>11045</v>
      </c>
      <c r="C3186" s="781" t="s">
        <v>80</v>
      </c>
      <c r="D3186" s="781" t="s">
        <v>11046</v>
      </c>
      <c r="E3186" s="876" t="s">
        <v>11047</v>
      </c>
      <c r="F3186" s="781" t="s">
        <v>3928</v>
      </c>
      <c r="G3186" s="860">
        <v>46059.0</v>
      </c>
      <c r="H3186" s="868">
        <v>8.0</v>
      </c>
      <c r="I3186" s="873" t="s">
        <v>2890</v>
      </c>
      <c r="J3186" s="19"/>
      <c r="K3186" s="19"/>
      <c r="L3186" s="12" t="s">
        <v>3099</v>
      </c>
      <c r="M3186" s="19"/>
      <c r="N3186" s="19"/>
      <c r="O3186" s="478">
        <v>46028.0</v>
      </c>
      <c r="P3186" s="19"/>
    </row>
    <row r="3187" hidden="1">
      <c r="A3187" s="118">
        <v>75.0</v>
      </c>
      <c r="B3187" s="863" t="s">
        <v>11048</v>
      </c>
      <c r="C3187" s="781" t="s">
        <v>80</v>
      </c>
      <c r="D3187" s="781" t="s">
        <v>11049</v>
      </c>
      <c r="E3187" s="876" t="s">
        <v>11050</v>
      </c>
      <c r="F3187" s="781" t="s">
        <v>3928</v>
      </c>
      <c r="G3187" s="860">
        <v>46059.0</v>
      </c>
      <c r="H3187" s="868">
        <v>8.0</v>
      </c>
      <c r="I3187" s="873" t="s">
        <v>2890</v>
      </c>
      <c r="J3187" s="19"/>
      <c r="K3187" s="19"/>
      <c r="L3187" s="12" t="s">
        <v>3099</v>
      </c>
      <c r="M3187" s="19"/>
      <c r="N3187" s="19"/>
      <c r="O3187" s="148">
        <v>46362.0</v>
      </c>
      <c r="P3187" s="19"/>
    </row>
    <row r="3188" hidden="1">
      <c r="A3188" s="118">
        <v>76.0</v>
      </c>
      <c r="B3188" s="888" t="s">
        <v>11051</v>
      </c>
      <c r="C3188" s="781" t="s">
        <v>80</v>
      </c>
      <c r="D3188" s="781" t="s">
        <v>11052</v>
      </c>
      <c r="E3188" s="876" t="s">
        <v>11053</v>
      </c>
      <c r="F3188" s="781" t="s">
        <v>3928</v>
      </c>
      <c r="G3188" s="860">
        <v>46059.0</v>
      </c>
      <c r="H3188" s="868">
        <v>8.0</v>
      </c>
      <c r="I3188" s="873" t="s">
        <v>2890</v>
      </c>
      <c r="J3188" s="19"/>
      <c r="K3188" s="19"/>
      <c r="L3188" s="12" t="s">
        <v>3099</v>
      </c>
      <c r="M3188" s="19"/>
      <c r="N3188" s="19"/>
      <c r="O3188" s="148">
        <v>46362.0</v>
      </c>
      <c r="P3188" s="19"/>
    </row>
    <row r="3189" hidden="1">
      <c r="A3189" s="118">
        <v>77.0</v>
      </c>
      <c r="B3189" s="863" t="s">
        <v>11054</v>
      </c>
      <c r="C3189" s="781" t="s">
        <v>80</v>
      </c>
      <c r="D3189" s="781" t="s">
        <v>11055</v>
      </c>
      <c r="E3189" s="876" t="s">
        <v>11056</v>
      </c>
      <c r="F3189" s="781" t="s">
        <v>3928</v>
      </c>
      <c r="G3189" s="860">
        <v>46059.0</v>
      </c>
      <c r="H3189" s="868">
        <v>8.0</v>
      </c>
      <c r="I3189" s="873" t="s">
        <v>2890</v>
      </c>
      <c r="J3189" s="19"/>
      <c r="K3189" s="19"/>
      <c r="L3189" s="12" t="s">
        <v>3099</v>
      </c>
      <c r="M3189" s="19"/>
      <c r="N3189" s="19"/>
      <c r="O3189" s="148">
        <v>46362.0</v>
      </c>
      <c r="P3189" s="19"/>
    </row>
    <row r="3190" hidden="1">
      <c r="A3190" s="118">
        <v>78.0</v>
      </c>
      <c r="B3190" s="863" t="s">
        <v>11057</v>
      </c>
      <c r="C3190" s="781" t="s">
        <v>80</v>
      </c>
      <c r="D3190" s="781" t="s">
        <v>11058</v>
      </c>
      <c r="E3190" s="876" t="s">
        <v>11059</v>
      </c>
      <c r="F3190" s="781" t="s">
        <v>3928</v>
      </c>
      <c r="G3190" s="860">
        <v>46059.0</v>
      </c>
      <c r="H3190" s="868">
        <v>8.0</v>
      </c>
      <c r="I3190" s="874" t="s">
        <v>10093</v>
      </c>
      <c r="J3190" s="19"/>
      <c r="K3190" s="19"/>
      <c r="L3190" s="12" t="s">
        <v>3099</v>
      </c>
      <c r="M3190" s="19"/>
      <c r="N3190" s="19"/>
      <c r="O3190" s="148">
        <v>46362.0</v>
      </c>
      <c r="P3190" s="19"/>
    </row>
    <row r="3191" hidden="1">
      <c r="A3191" s="118">
        <v>79.0</v>
      </c>
      <c r="B3191" s="863" t="s">
        <v>11060</v>
      </c>
      <c r="C3191" s="781" t="s">
        <v>80</v>
      </c>
      <c r="D3191" s="781" t="s">
        <v>11061</v>
      </c>
      <c r="E3191" s="876" t="s">
        <v>11062</v>
      </c>
      <c r="F3191" s="781" t="s">
        <v>3928</v>
      </c>
      <c r="G3191" s="860">
        <v>46059.0</v>
      </c>
      <c r="H3191" s="868">
        <v>8.0</v>
      </c>
      <c r="I3191" s="874" t="s">
        <v>10093</v>
      </c>
      <c r="J3191" s="19"/>
      <c r="K3191" s="19"/>
      <c r="L3191" s="12" t="s">
        <v>3099</v>
      </c>
      <c r="M3191" s="19"/>
      <c r="N3191" s="19"/>
      <c r="O3191" s="148">
        <v>46362.0</v>
      </c>
      <c r="P3191" s="19"/>
    </row>
    <row r="3192" hidden="1">
      <c r="A3192" s="118">
        <v>80.0</v>
      </c>
      <c r="B3192" s="863" t="s">
        <v>11063</v>
      </c>
      <c r="C3192" s="781" t="s">
        <v>80</v>
      </c>
      <c r="D3192" s="781" t="s">
        <v>11064</v>
      </c>
      <c r="E3192" s="876" t="s">
        <v>11065</v>
      </c>
      <c r="F3192" s="781" t="s">
        <v>3928</v>
      </c>
      <c r="G3192" s="860">
        <v>46059.0</v>
      </c>
      <c r="H3192" s="868">
        <v>8.0</v>
      </c>
      <c r="I3192" s="873" t="s">
        <v>2890</v>
      </c>
      <c r="J3192" s="19"/>
      <c r="K3192" s="19"/>
      <c r="L3192" s="12" t="s">
        <v>3099</v>
      </c>
      <c r="M3192" s="19"/>
      <c r="N3192" s="19"/>
      <c r="O3192" s="148">
        <v>46362.0</v>
      </c>
      <c r="P3192" s="19"/>
    </row>
    <row r="3193" hidden="1">
      <c r="A3193" s="339" t="s">
        <v>11066</v>
      </c>
    </row>
    <row r="3194" hidden="1">
      <c r="A3194" s="670" t="s">
        <v>47</v>
      </c>
      <c r="B3194" s="670" t="s">
        <v>7</v>
      </c>
      <c r="C3194" s="670" t="s">
        <v>9</v>
      </c>
      <c r="D3194" s="670" t="s">
        <v>10</v>
      </c>
      <c r="E3194" s="670" t="s">
        <v>11</v>
      </c>
      <c r="F3194" s="670" t="s">
        <v>12</v>
      </c>
      <c r="G3194" s="670" t="s">
        <v>2378</v>
      </c>
      <c r="H3194" s="670" t="s">
        <v>2681</v>
      </c>
      <c r="I3194" s="4" t="s">
        <v>2847</v>
      </c>
      <c r="J3194" s="8" t="s">
        <v>14</v>
      </c>
      <c r="K3194" s="9" t="s">
        <v>16</v>
      </c>
      <c r="L3194" s="9" t="s">
        <v>4330</v>
      </c>
      <c r="M3194" s="9" t="s">
        <v>18</v>
      </c>
      <c r="N3194" s="9" t="s">
        <v>19</v>
      </c>
      <c r="O3194" s="9" t="s">
        <v>20</v>
      </c>
      <c r="P3194" s="9" t="s">
        <v>21</v>
      </c>
    </row>
    <row r="3195" hidden="1">
      <c r="A3195" s="118">
        <v>1.0</v>
      </c>
      <c r="B3195" s="889" t="s">
        <v>11067</v>
      </c>
      <c r="C3195" s="869" t="s">
        <v>80</v>
      </c>
      <c r="D3195" s="778" t="s">
        <v>11068</v>
      </c>
      <c r="E3195" s="853" t="s">
        <v>11069</v>
      </c>
      <c r="F3195" s="890" t="s">
        <v>5196</v>
      </c>
      <c r="G3195" s="891">
        <v>46178.0</v>
      </c>
      <c r="H3195" s="778">
        <v>10.0</v>
      </c>
      <c r="I3195" s="809" t="s">
        <v>10093</v>
      </c>
      <c r="J3195" s="19"/>
      <c r="K3195" s="19"/>
      <c r="L3195" s="12" t="s">
        <v>4195</v>
      </c>
      <c r="M3195" s="19"/>
      <c r="N3195" s="19"/>
      <c r="O3195" s="71">
        <v>46059.0</v>
      </c>
      <c r="P3195" s="19"/>
    </row>
    <row r="3196" hidden="1">
      <c r="A3196" s="118">
        <v>2.0</v>
      </c>
      <c r="B3196" s="889" t="s">
        <v>11070</v>
      </c>
      <c r="C3196" s="869" t="s">
        <v>80</v>
      </c>
      <c r="D3196" s="778" t="s">
        <v>11071</v>
      </c>
      <c r="E3196" s="877" t="s">
        <v>11072</v>
      </c>
      <c r="F3196" s="890" t="s">
        <v>3583</v>
      </c>
      <c r="G3196" s="891">
        <v>46182.0</v>
      </c>
      <c r="H3196" s="778">
        <v>14.0</v>
      </c>
      <c r="I3196" s="853" t="s">
        <v>2890</v>
      </c>
      <c r="J3196" s="19"/>
      <c r="K3196" s="19"/>
      <c r="L3196" s="12" t="s">
        <v>778</v>
      </c>
      <c r="M3196" s="19"/>
      <c r="N3196" s="19"/>
      <c r="O3196" s="148">
        <v>46301.0</v>
      </c>
      <c r="P3196" s="19"/>
    </row>
    <row r="3197" hidden="1">
      <c r="A3197" s="118">
        <v>3.0</v>
      </c>
      <c r="B3197" s="892" t="s">
        <v>11073</v>
      </c>
      <c r="C3197" s="893" t="s">
        <v>2307</v>
      </c>
      <c r="D3197" s="781" t="s">
        <v>11074</v>
      </c>
      <c r="E3197" s="857" t="s">
        <v>11075</v>
      </c>
      <c r="F3197" s="893" t="s">
        <v>148</v>
      </c>
      <c r="G3197" s="894">
        <v>46171.0</v>
      </c>
      <c r="H3197" s="775">
        <v>3.0</v>
      </c>
      <c r="I3197" s="813" t="s">
        <v>11076</v>
      </c>
      <c r="J3197" s="19"/>
      <c r="K3197" s="19"/>
      <c r="L3197" s="12" t="s">
        <v>699</v>
      </c>
      <c r="M3197" s="19"/>
      <c r="N3197" s="19"/>
      <c r="O3197" s="34" t="s">
        <v>10825</v>
      </c>
      <c r="P3197" s="587" t="s">
        <v>1432</v>
      </c>
    </row>
    <row r="3198" hidden="1">
      <c r="A3198" s="118">
        <v>4.0</v>
      </c>
      <c r="B3198" s="892" t="s">
        <v>11077</v>
      </c>
      <c r="C3198" s="893" t="s">
        <v>2403</v>
      </c>
      <c r="D3198" s="781" t="s">
        <v>11078</v>
      </c>
      <c r="E3198" s="857" t="s">
        <v>11079</v>
      </c>
      <c r="F3198" s="893" t="s">
        <v>148</v>
      </c>
      <c r="G3198" s="894">
        <v>46171.0</v>
      </c>
      <c r="H3198" s="775">
        <v>3.0</v>
      </c>
      <c r="I3198" s="857" t="s">
        <v>2890</v>
      </c>
      <c r="J3198" s="19"/>
      <c r="K3198" s="19"/>
      <c r="L3198" s="12" t="s">
        <v>699</v>
      </c>
      <c r="M3198" s="19"/>
      <c r="N3198" s="19"/>
      <c r="O3198" s="34" t="s">
        <v>10825</v>
      </c>
      <c r="P3198" s="587" t="s">
        <v>1432</v>
      </c>
    </row>
    <row r="3199" hidden="1">
      <c r="A3199" s="118">
        <v>5.0</v>
      </c>
      <c r="B3199" s="892" t="s">
        <v>11080</v>
      </c>
      <c r="C3199" s="893" t="s">
        <v>2403</v>
      </c>
      <c r="D3199" s="781" t="s">
        <v>11081</v>
      </c>
      <c r="E3199" s="857" t="s">
        <v>11082</v>
      </c>
      <c r="F3199" s="893" t="s">
        <v>9068</v>
      </c>
      <c r="G3199" s="894">
        <v>46173.0</v>
      </c>
      <c r="H3199" s="775">
        <v>5.0</v>
      </c>
      <c r="I3199" s="857" t="s">
        <v>2890</v>
      </c>
      <c r="J3199" s="19"/>
      <c r="K3199" s="19"/>
      <c r="L3199" s="12" t="s">
        <v>699</v>
      </c>
      <c r="M3199" s="19"/>
      <c r="N3199" s="19"/>
      <c r="O3199" s="34" t="s">
        <v>10561</v>
      </c>
      <c r="P3199" s="587" t="s">
        <v>1432</v>
      </c>
    </row>
    <row r="3200" hidden="1">
      <c r="A3200" s="118">
        <v>6.0</v>
      </c>
      <c r="B3200" s="892" t="s">
        <v>11083</v>
      </c>
      <c r="C3200" s="893" t="s">
        <v>2307</v>
      </c>
      <c r="D3200" s="781" t="s">
        <v>11084</v>
      </c>
      <c r="E3200" s="857" t="s">
        <v>11085</v>
      </c>
      <c r="F3200" s="893" t="s">
        <v>148</v>
      </c>
      <c r="G3200" s="894">
        <v>46173.0</v>
      </c>
      <c r="H3200" s="775">
        <v>5.0</v>
      </c>
      <c r="I3200" s="857" t="s">
        <v>2890</v>
      </c>
      <c r="J3200" s="19"/>
      <c r="K3200" s="19"/>
      <c r="L3200" s="12" t="s">
        <v>699</v>
      </c>
      <c r="M3200" s="19"/>
      <c r="N3200" s="19"/>
      <c r="O3200" s="148">
        <v>46210.0</v>
      </c>
      <c r="P3200" s="587" t="s">
        <v>1432</v>
      </c>
    </row>
    <row r="3201" hidden="1">
      <c r="A3201" s="118">
        <v>7.0</v>
      </c>
      <c r="B3201" s="892" t="s">
        <v>11086</v>
      </c>
      <c r="C3201" s="893" t="s">
        <v>2403</v>
      </c>
      <c r="D3201" s="781" t="s">
        <v>11087</v>
      </c>
      <c r="E3201" s="857" t="s">
        <v>11088</v>
      </c>
      <c r="F3201" s="893" t="s">
        <v>148</v>
      </c>
      <c r="G3201" s="894">
        <v>46173.0</v>
      </c>
      <c r="H3201" s="775">
        <v>5.0</v>
      </c>
      <c r="I3201" s="813" t="s">
        <v>10093</v>
      </c>
      <c r="J3201" s="19"/>
      <c r="K3201" s="19"/>
      <c r="L3201" s="12" t="s">
        <v>699</v>
      </c>
      <c r="M3201" s="19"/>
      <c r="N3201" s="19"/>
      <c r="O3201" s="148">
        <v>46210.0</v>
      </c>
      <c r="P3201" s="587" t="s">
        <v>1432</v>
      </c>
    </row>
    <row r="3202" hidden="1">
      <c r="A3202" s="118">
        <v>8.0</v>
      </c>
      <c r="B3202" s="892" t="s">
        <v>11089</v>
      </c>
      <c r="C3202" s="893" t="s">
        <v>8495</v>
      </c>
      <c r="D3202" s="781" t="s">
        <v>11090</v>
      </c>
      <c r="E3202" s="857" t="s">
        <v>11091</v>
      </c>
      <c r="F3202" s="893" t="s">
        <v>11092</v>
      </c>
      <c r="G3202" s="895"/>
      <c r="H3202" s="784"/>
      <c r="I3202" s="813" t="s">
        <v>10093</v>
      </c>
      <c r="J3202" s="19"/>
      <c r="K3202" s="19"/>
      <c r="L3202" s="12"/>
      <c r="M3202" s="19"/>
      <c r="N3202" s="34" t="s">
        <v>11093</v>
      </c>
      <c r="O3202" s="19"/>
      <c r="P3202" s="19"/>
    </row>
    <row r="3203" hidden="1">
      <c r="A3203" s="118">
        <v>9.0</v>
      </c>
      <c r="B3203" s="744" t="s">
        <v>11094</v>
      </c>
      <c r="C3203" s="781" t="s">
        <v>80</v>
      </c>
      <c r="D3203" s="781" t="s">
        <v>11095</v>
      </c>
      <c r="E3203" s="877" t="s">
        <v>11096</v>
      </c>
      <c r="F3203" s="782" t="s">
        <v>3512</v>
      </c>
      <c r="G3203" s="894">
        <v>46181.0</v>
      </c>
      <c r="H3203" s="781">
        <v>13.0</v>
      </c>
      <c r="I3203" s="813" t="s">
        <v>10093</v>
      </c>
      <c r="J3203" s="19"/>
      <c r="K3203" s="19"/>
      <c r="L3203" s="12" t="s">
        <v>778</v>
      </c>
      <c r="M3203" s="19"/>
      <c r="N3203" s="19"/>
      <c r="O3203" s="34" t="s">
        <v>10652</v>
      </c>
      <c r="P3203" s="19"/>
    </row>
    <row r="3204" hidden="1">
      <c r="A3204" s="118">
        <v>10.0</v>
      </c>
      <c r="B3204" s="744" t="s">
        <v>11097</v>
      </c>
      <c r="C3204" s="781" t="s">
        <v>80</v>
      </c>
      <c r="D3204" s="781" t="s">
        <v>11098</v>
      </c>
      <c r="E3204" s="877" t="s">
        <v>11099</v>
      </c>
      <c r="F3204" s="781" t="s">
        <v>3512</v>
      </c>
      <c r="G3204" s="894">
        <v>46181.0</v>
      </c>
      <c r="H3204" s="781">
        <v>13.0</v>
      </c>
      <c r="I3204" s="857" t="s">
        <v>2890</v>
      </c>
      <c r="J3204" s="19"/>
      <c r="K3204" s="19"/>
      <c r="L3204" s="12" t="s">
        <v>778</v>
      </c>
      <c r="M3204" s="19"/>
      <c r="N3204" s="19"/>
      <c r="O3204" s="34" t="s">
        <v>10652</v>
      </c>
      <c r="P3204" s="19"/>
    </row>
    <row r="3205" hidden="1">
      <c r="A3205" s="118">
        <v>11.0</v>
      </c>
      <c r="B3205" s="744" t="s">
        <v>11100</v>
      </c>
      <c r="C3205" s="781" t="s">
        <v>80</v>
      </c>
      <c r="D3205" s="781" t="s">
        <v>11101</v>
      </c>
      <c r="E3205" s="877" t="s">
        <v>11102</v>
      </c>
      <c r="F3205" s="781" t="s">
        <v>3512</v>
      </c>
      <c r="G3205" s="894">
        <v>46181.0</v>
      </c>
      <c r="H3205" s="781">
        <v>13.0</v>
      </c>
      <c r="I3205" s="857" t="s">
        <v>2890</v>
      </c>
      <c r="J3205" s="19"/>
      <c r="K3205" s="19"/>
      <c r="L3205" s="12" t="s">
        <v>778</v>
      </c>
      <c r="M3205" s="19"/>
      <c r="N3205" s="19"/>
      <c r="O3205" s="34" t="s">
        <v>10652</v>
      </c>
      <c r="P3205" s="19"/>
    </row>
    <row r="3206" hidden="1">
      <c r="A3206" s="118">
        <v>12.0</v>
      </c>
      <c r="B3206" s="744" t="s">
        <v>11103</v>
      </c>
      <c r="C3206" s="781" t="s">
        <v>80</v>
      </c>
      <c r="D3206" s="781" t="s">
        <v>11104</v>
      </c>
      <c r="E3206" s="877" t="s">
        <v>11105</v>
      </c>
      <c r="F3206" s="781" t="s">
        <v>3512</v>
      </c>
      <c r="G3206" s="894">
        <v>46181.0</v>
      </c>
      <c r="H3206" s="781">
        <v>13.0</v>
      </c>
      <c r="I3206" s="813" t="s">
        <v>10093</v>
      </c>
      <c r="J3206" s="19"/>
      <c r="K3206" s="19"/>
      <c r="L3206" s="12" t="s">
        <v>778</v>
      </c>
      <c r="M3206" s="19"/>
      <c r="N3206" s="19"/>
      <c r="O3206" s="34" t="s">
        <v>10652</v>
      </c>
      <c r="P3206" s="19"/>
    </row>
    <row r="3207" hidden="1">
      <c r="A3207" s="118">
        <v>13.0</v>
      </c>
      <c r="B3207" s="744" t="s">
        <v>11106</v>
      </c>
      <c r="C3207" s="781" t="s">
        <v>80</v>
      </c>
      <c r="D3207" s="781" t="s">
        <v>11107</v>
      </c>
      <c r="E3207" s="877" t="s">
        <v>11108</v>
      </c>
      <c r="F3207" s="781" t="s">
        <v>3512</v>
      </c>
      <c r="G3207" s="894">
        <v>46181.0</v>
      </c>
      <c r="H3207" s="781">
        <v>13.0</v>
      </c>
      <c r="I3207" s="857" t="s">
        <v>2890</v>
      </c>
      <c r="J3207" s="19"/>
      <c r="K3207" s="19"/>
      <c r="L3207" s="12" t="s">
        <v>778</v>
      </c>
      <c r="M3207" s="19"/>
      <c r="N3207" s="19"/>
      <c r="O3207" s="34" t="s">
        <v>10652</v>
      </c>
      <c r="P3207" s="19"/>
    </row>
    <row r="3208" hidden="1">
      <c r="A3208" s="118">
        <v>14.0</v>
      </c>
      <c r="B3208" s="744" t="s">
        <v>11109</v>
      </c>
      <c r="C3208" s="781" t="s">
        <v>80</v>
      </c>
      <c r="D3208" s="781" t="s">
        <v>11110</v>
      </c>
      <c r="E3208" s="877" t="s">
        <v>11111</v>
      </c>
      <c r="F3208" s="782" t="s">
        <v>3512</v>
      </c>
      <c r="G3208" s="894">
        <v>46181.0</v>
      </c>
      <c r="H3208" s="781">
        <v>13.0</v>
      </c>
      <c r="I3208" s="817" t="s">
        <v>11112</v>
      </c>
      <c r="J3208" s="19"/>
      <c r="K3208" s="19"/>
      <c r="L3208" s="12" t="s">
        <v>778</v>
      </c>
      <c r="M3208" s="19"/>
      <c r="N3208" s="19"/>
      <c r="O3208" s="34" t="s">
        <v>10652</v>
      </c>
      <c r="P3208" s="19"/>
    </row>
    <row r="3209" hidden="1">
      <c r="A3209" s="118">
        <v>15.0</v>
      </c>
      <c r="B3209" s="744" t="s">
        <v>11113</v>
      </c>
      <c r="C3209" s="781" t="s">
        <v>80</v>
      </c>
      <c r="D3209" s="781" t="s">
        <v>11114</v>
      </c>
      <c r="E3209" s="877" t="s">
        <v>11115</v>
      </c>
      <c r="F3209" s="781" t="s">
        <v>3512</v>
      </c>
      <c r="G3209" s="894">
        <v>46181.0</v>
      </c>
      <c r="H3209" s="781">
        <v>13.0</v>
      </c>
      <c r="I3209" s="857" t="s">
        <v>2890</v>
      </c>
      <c r="J3209" s="19"/>
      <c r="K3209" s="19"/>
      <c r="L3209" s="12" t="s">
        <v>778</v>
      </c>
      <c r="M3209" s="19"/>
      <c r="N3209" s="19"/>
      <c r="O3209" s="148">
        <v>46240.0</v>
      </c>
      <c r="P3209" s="19"/>
    </row>
    <row r="3210" hidden="1">
      <c r="A3210" s="118">
        <v>16.0</v>
      </c>
      <c r="B3210" s="744" t="s">
        <v>11116</v>
      </c>
      <c r="C3210" s="781" t="s">
        <v>80</v>
      </c>
      <c r="D3210" s="781" t="s">
        <v>11117</v>
      </c>
      <c r="E3210" s="877" t="s">
        <v>11118</v>
      </c>
      <c r="F3210" s="781" t="s">
        <v>3512</v>
      </c>
      <c r="G3210" s="894">
        <v>46181.0</v>
      </c>
      <c r="H3210" s="781">
        <v>13.0</v>
      </c>
      <c r="I3210" s="813" t="s">
        <v>10093</v>
      </c>
      <c r="J3210" s="19"/>
      <c r="K3210" s="19"/>
      <c r="L3210" s="12" t="s">
        <v>778</v>
      </c>
      <c r="M3210" s="19"/>
      <c r="N3210" s="19"/>
      <c r="O3210" s="148">
        <v>46240.0</v>
      </c>
      <c r="P3210" s="19"/>
    </row>
    <row r="3211" hidden="1">
      <c r="A3211" s="118">
        <v>17.0</v>
      </c>
      <c r="B3211" s="744" t="s">
        <v>11119</v>
      </c>
      <c r="C3211" s="893" t="s">
        <v>1185</v>
      </c>
      <c r="D3211" s="781" t="s">
        <v>11120</v>
      </c>
      <c r="E3211" s="857" t="s">
        <v>11121</v>
      </c>
      <c r="F3211" s="893" t="s">
        <v>25</v>
      </c>
      <c r="G3211" s="894">
        <v>46180.0</v>
      </c>
      <c r="H3211" s="781">
        <v>12.0</v>
      </c>
      <c r="I3211" s="857" t="s">
        <v>2890</v>
      </c>
      <c r="J3211" s="19"/>
      <c r="K3211" s="19"/>
      <c r="L3211" s="12" t="s">
        <v>51</v>
      </c>
      <c r="M3211" s="19"/>
      <c r="N3211" s="34"/>
      <c r="O3211" s="34" t="s">
        <v>10573</v>
      </c>
      <c r="P3211" s="587" t="s">
        <v>1432</v>
      </c>
    </row>
    <row r="3212" hidden="1">
      <c r="A3212" s="118">
        <v>18.0</v>
      </c>
      <c r="B3212" s="744" t="s">
        <v>11122</v>
      </c>
      <c r="C3212" s="893" t="s">
        <v>1185</v>
      </c>
      <c r="D3212" s="781" t="s">
        <v>11123</v>
      </c>
      <c r="E3212" s="857" t="s">
        <v>11124</v>
      </c>
      <c r="F3212" s="893" t="s">
        <v>25</v>
      </c>
      <c r="G3212" s="894">
        <v>46181.0</v>
      </c>
      <c r="H3212" s="781">
        <v>13.0</v>
      </c>
      <c r="I3212" s="857" t="s">
        <v>2890</v>
      </c>
      <c r="J3212" s="19"/>
      <c r="K3212" s="19"/>
      <c r="L3212" s="12" t="s">
        <v>4195</v>
      </c>
      <c r="M3212" s="19"/>
      <c r="N3212" s="19"/>
      <c r="O3212" s="71">
        <v>46148.0</v>
      </c>
      <c r="P3212" s="587" t="s">
        <v>1432</v>
      </c>
    </row>
    <row r="3213" hidden="1">
      <c r="A3213" s="118">
        <v>19.0</v>
      </c>
      <c r="B3213" s="744" t="s">
        <v>11125</v>
      </c>
      <c r="C3213" s="893" t="s">
        <v>1185</v>
      </c>
      <c r="D3213" s="781" t="s">
        <v>11126</v>
      </c>
      <c r="E3213" s="857" t="s">
        <v>11127</v>
      </c>
      <c r="F3213" s="893" t="s">
        <v>25</v>
      </c>
      <c r="G3213" s="894">
        <v>46181.0</v>
      </c>
      <c r="H3213" s="781">
        <v>13.0</v>
      </c>
      <c r="I3213" s="857" t="s">
        <v>2890</v>
      </c>
      <c r="J3213" s="34" t="s">
        <v>11026</v>
      </c>
      <c r="K3213" s="19"/>
      <c r="L3213" s="12" t="s">
        <v>374</v>
      </c>
      <c r="M3213" s="19"/>
      <c r="N3213" s="19"/>
      <c r="O3213" s="34" t="s">
        <v>10573</v>
      </c>
      <c r="P3213" s="587" t="s">
        <v>1432</v>
      </c>
    </row>
    <row r="3214" hidden="1">
      <c r="A3214" s="118">
        <v>20.0</v>
      </c>
      <c r="B3214" s="744" t="s">
        <v>11128</v>
      </c>
      <c r="C3214" s="893" t="s">
        <v>1185</v>
      </c>
      <c r="D3214" s="781" t="s">
        <v>11129</v>
      </c>
      <c r="E3214" s="857" t="s">
        <v>11130</v>
      </c>
      <c r="F3214" s="893" t="s">
        <v>25</v>
      </c>
      <c r="G3214" s="894">
        <v>46183.0</v>
      </c>
      <c r="H3214" s="781">
        <v>15.0</v>
      </c>
      <c r="I3214" s="857" t="s">
        <v>2890</v>
      </c>
      <c r="J3214" s="19"/>
      <c r="K3214" s="19"/>
      <c r="L3214" s="12" t="s">
        <v>51</v>
      </c>
      <c r="M3214" s="19"/>
      <c r="O3214" s="148">
        <v>46332.0</v>
      </c>
      <c r="P3214" s="587" t="s">
        <v>1432</v>
      </c>
    </row>
    <row r="3215" hidden="1">
      <c r="A3215" s="118">
        <v>21.0</v>
      </c>
      <c r="B3215" s="744" t="s">
        <v>11131</v>
      </c>
      <c r="C3215" s="893" t="s">
        <v>80</v>
      </c>
      <c r="D3215" s="781" t="s">
        <v>11132</v>
      </c>
      <c r="E3215" s="857" t="s">
        <v>11133</v>
      </c>
      <c r="F3215" s="893" t="s">
        <v>11134</v>
      </c>
      <c r="G3215" s="894">
        <v>46181.0</v>
      </c>
      <c r="H3215" s="781">
        <v>13.0</v>
      </c>
      <c r="I3215" s="857" t="s">
        <v>2890</v>
      </c>
      <c r="J3215" s="19"/>
      <c r="K3215" s="19"/>
      <c r="L3215" s="12" t="s">
        <v>4195</v>
      </c>
      <c r="M3215" s="19"/>
      <c r="N3215" s="19"/>
      <c r="O3215" s="34" t="s">
        <v>10988</v>
      </c>
      <c r="P3215" s="19"/>
    </row>
    <row r="3216" hidden="1">
      <c r="A3216" s="118">
        <v>22.0</v>
      </c>
      <c r="B3216" s="892" t="s">
        <v>11135</v>
      </c>
      <c r="C3216" s="893" t="s">
        <v>80</v>
      </c>
      <c r="D3216" s="781" t="s">
        <v>11136</v>
      </c>
      <c r="E3216" s="896" t="s">
        <v>11137</v>
      </c>
      <c r="F3216" s="893" t="s">
        <v>2221</v>
      </c>
      <c r="G3216" s="894">
        <v>46183.0</v>
      </c>
      <c r="H3216" s="781">
        <v>15.0</v>
      </c>
      <c r="I3216" s="857" t="s">
        <v>2890</v>
      </c>
      <c r="J3216" s="19"/>
      <c r="K3216" s="19"/>
      <c r="L3216" s="12" t="s">
        <v>778</v>
      </c>
      <c r="M3216" s="19"/>
      <c r="N3216" s="34" t="s">
        <v>11138</v>
      </c>
      <c r="O3216" s="148">
        <v>46088.0</v>
      </c>
      <c r="P3216" s="587" t="s">
        <v>1432</v>
      </c>
    </row>
    <row r="3217" hidden="1">
      <c r="A3217" s="118">
        <v>23.0</v>
      </c>
      <c r="B3217" s="856" t="s">
        <v>11139</v>
      </c>
      <c r="C3217" s="893" t="s">
        <v>80</v>
      </c>
      <c r="D3217" s="781" t="s">
        <v>11140</v>
      </c>
      <c r="E3217" s="896" t="s">
        <v>11141</v>
      </c>
      <c r="F3217" s="893" t="s">
        <v>2221</v>
      </c>
      <c r="G3217" s="894">
        <v>46183.0</v>
      </c>
      <c r="H3217" s="781">
        <v>15.0</v>
      </c>
      <c r="I3217" s="813" t="s">
        <v>10093</v>
      </c>
      <c r="J3217" s="19"/>
      <c r="K3217" s="19"/>
      <c r="L3217" s="12" t="s">
        <v>778</v>
      </c>
      <c r="M3217" s="19"/>
      <c r="N3217" s="34" t="s">
        <v>11138</v>
      </c>
      <c r="O3217" s="148">
        <v>46088.0</v>
      </c>
      <c r="P3217" s="587" t="s">
        <v>1432</v>
      </c>
    </row>
    <row r="3218" hidden="1">
      <c r="A3218" s="118">
        <v>24.0</v>
      </c>
      <c r="B3218" s="744" t="s">
        <v>11142</v>
      </c>
      <c r="C3218" s="893" t="s">
        <v>80</v>
      </c>
      <c r="D3218" s="781" t="s">
        <v>11143</v>
      </c>
      <c r="E3218" s="877" t="s">
        <v>11144</v>
      </c>
      <c r="F3218" s="893" t="s">
        <v>3583</v>
      </c>
      <c r="G3218" s="894">
        <v>46177.0</v>
      </c>
      <c r="H3218" s="775">
        <v>9.0</v>
      </c>
      <c r="I3218" s="857" t="s">
        <v>2890</v>
      </c>
      <c r="J3218" s="19"/>
      <c r="K3218" s="19"/>
      <c r="L3218" s="12" t="s">
        <v>778</v>
      </c>
      <c r="M3218" s="19"/>
      <c r="N3218" s="19"/>
      <c r="O3218" s="34" t="s">
        <v>10825</v>
      </c>
      <c r="P3218" s="19"/>
    </row>
    <row r="3219" hidden="1">
      <c r="A3219" s="118">
        <v>25.0</v>
      </c>
      <c r="B3219" s="744" t="s">
        <v>11145</v>
      </c>
      <c r="C3219" s="893" t="s">
        <v>8280</v>
      </c>
      <c r="D3219" s="781" t="s">
        <v>11146</v>
      </c>
      <c r="E3219" s="877" t="s">
        <v>11147</v>
      </c>
      <c r="F3219" s="893" t="s">
        <v>3583</v>
      </c>
      <c r="G3219" s="894">
        <v>46177.0</v>
      </c>
      <c r="H3219" s="775">
        <v>9.0</v>
      </c>
      <c r="I3219" s="813" t="s">
        <v>3043</v>
      </c>
      <c r="J3219" s="19"/>
      <c r="K3219" s="19"/>
      <c r="L3219" s="12" t="s">
        <v>778</v>
      </c>
      <c r="M3219" s="19"/>
      <c r="N3219" s="19"/>
      <c r="O3219" s="34" t="s">
        <v>10825</v>
      </c>
      <c r="P3219" s="19"/>
    </row>
    <row r="3220" hidden="1">
      <c r="A3220" s="118">
        <v>26.0</v>
      </c>
      <c r="B3220" s="744" t="s">
        <v>11148</v>
      </c>
      <c r="C3220" s="893" t="s">
        <v>8280</v>
      </c>
      <c r="D3220" s="781" t="s">
        <v>11149</v>
      </c>
      <c r="E3220" s="877" t="s">
        <v>11150</v>
      </c>
      <c r="F3220" s="893" t="s">
        <v>3583</v>
      </c>
      <c r="G3220" s="894">
        <v>46177.0</v>
      </c>
      <c r="H3220" s="775">
        <v>9.0</v>
      </c>
      <c r="I3220" s="857" t="s">
        <v>2890</v>
      </c>
      <c r="J3220" s="19"/>
      <c r="K3220" s="19"/>
      <c r="L3220" s="12" t="s">
        <v>778</v>
      </c>
      <c r="M3220" s="19"/>
      <c r="N3220" s="19"/>
      <c r="O3220" s="34" t="s">
        <v>10825</v>
      </c>
      <c r="P3220" s="19"/>
    </row>
    <row r="3221" hidden="1">
      <c r="A3221" s="118">
        <v>27.0</v>
      </c>
      <c r="B3221" s="744" t="s">
        <v>11151</v>
      </c>
      <c r="C3221" s="893" t="s">
        <v>80</v>
      </c>
      <c r="D3221" s="781" t="s">
        <v>11152</v>
      </c>
      <c r="E3221" s="877" t="s">
        <v>11153</v>
      </c>
      <c r="F3221" s="893" t="s">
        <v>3583</v>
      </c>
      <c r="G3221" s="894">
        <v>46177.0</v>
      </c>
      <c r="H3221" s="775">
        <v>9.0</v>
      </c>
      <c r="I3221" s="813" t="s">
        <v>3043</v>
      </c>
      <c r="J3221" s="19"/>
      <c r="K3221" s="19"/>
      <c r="L3221" s="12" t="s">
        <v>778</v>
      </c>
      <c r="M3221" s="34" t="s">
        <v>10652</v>
      </c>
      <c r="N3221" s="19"/>
      <c r="O3221" s="34" t="s">
        <v>10652</v>
      </c>
      <c r="P3221" s="19"/>
    </row>
    <row r="3222" hidden="1">
      <c r="A3222" s="118">
        <v>28.0</v>
      </c>
      <c r="B3222" s="744" t="s">
        <v>11154</v>
      </c>
      <c r="C3222" s="893" t="s">
        <v>80</v>
      </c>
      <c r="D3222" s="781" t="s">
        <v>11155</v>
      </c>
      <c r="E3222" s="877" t="s">
        <v>11156</v>
      </c>
      <c r="F3222" s="893" t="s">
        <v>3583</v>
      </c>
      <c r="G3222" s="894">
        <v>46177.0</v>
      </c>
      <c r="H3222" s="775">
        <v>9.0</v>
      </c>
      <c r="I3222" s="813" t="s">
        <v>10093</v>
      </c>
      <c r="J3222" s="19"/>
      <c r="K3222" s="19"/>
      <c r="L3222" s="12" t="s">
        <v>778</v>
      </c>
      <c r="M3222" s="34" t="s">
        <v>10652</v>
      </c>
      <c r="N3222" s="19"/>
      <c r="O3222" s="34" t="s">
        <v>10652</v>
      </c>
      <c r="P3222" s="19"/>
    </row>
    <row r="3223" hidden="1">
      <c r="A3223" s="118">
        <v>29.0</v>
      </c>
      <c r="B3223" s="892" t="s">
        <v>11157</v>
      </c>
      <c r="C3223" s="893" t="s">
        <v>80</v>
      </c>
      <c r="D3223" s="781" t="s">
        <v>11158</v>
      </c>
      <c r="E3223" s="877" t="s">
        <v>11159</v>
      </c>
      <c r="F3223" s="893" t="s">
        <v>3583</v>
      </c>
      <c r="G3223" s="894">
        <v>46177.0</v>
      </c>
      <c r="H3223" s="775">
        <v>9.0</v>
      </c>
      <c r="I3223" s="857" t="s">
        <v>2890</v>
      </c>
      <c r="J3223" s="19"/>
      <c r="K3223" s="19"/>
      <c r="L3223" s="12" t="s">
        <v>778</v>
      </c>
      <c r="M3223" s="19"/>
      <c r="N3223" s="19"/>
      <c r="O3223" s="34" t="s">
        <v>11016</v>
      </c>
      <c r="P3223" s="19"/>
    </row>
    <row r="3224" hidden="1">
      <c r="A3224" s="118">
        <v>30.0</v>
      </c>
      <c r="B3224" s="892" t="s">
        <v>11160</v>
      </c>
      <c r="C3224" s="893" t="s">
        <v>80</v>
      </c>
      <c r="D3224" s="781" t="s">
        <v>11161</v>
      </c>
      <c r="E3224" s="857" t="s">
        <v>11162</v>
      </c>
      <c r="F3224" s="893" t="s">
        <v>2459</v>
      </c>
      <c r="G3224" s="894">
        <v>46183.0</v>
      </c>
      <c r="H3224" s="781">
        <v>15.0</v>
      </c>
      <c r="I3224" s="813" t="s">
        <v>10198</v>
      </c>
      <c r="J3224" s="34" t="s">
        <v>11163</v>
      </c>
      <c r="K3224" s="19"/>
      <c r="L3224" s="12" t="s">
        <v>374</v>
      </c>
      <c r="M3224" s="19"/>
      <c r="N3224" s="19"/>
      <c r="O3224" s="12" t="s">
        <v>10652</v>
      </c>
      <c r="P3224" s="587" t="s">
        <v>1432</v>
      </c>
    </row>
    <row r="3225" hidden="1">
      <c r="A3225" s="118">
        <v>31.0</v>
      </c>
      <c r="B3225" s="892" t="s">
        <v>11164</v>
      </c>
      <c r="C3225" s="893" t="s">
        <v>80</v>
      </c>
      <c r="D3225" s="781" t="s">
        <v>11165</v>
      </c>
      <c r="E3225" s="857" t="s">
        <v>11166</v>
      </c>
      <c r="F3225" s="893" t="s">
        <v>556</v>
      </c>
      <c r="G3225" s="894">
        <v>46183.0</v>
      </c>
      <c r="H3225" s="781">
        <v>15.0</v>
      </c>
      <c r="I3225" s="857" t="s">
        <v>2890</v>
      </c>
      <c r="J3225" s="19"/>
      <c r="K3225" s="19"/>
      <c r="L3225" s="12" t="s">
        <v>51</v>
      </c>
      <c r="M3225" s="19"/>
      <c r="N3225" s="34"/>
      <c r="O3225" s="34" t="s">
        <v>10652</v>
      </c>
      <c r="P3225" s="19"/>
    </row>
    <row r="3226" hidden="1">
      <c r="A3226" s="118">
        <v>32.0</v>
      </c>
      <c r="B3226" s="892" t="s">
        <v>11167</v>
      </c>
      <c r="C3226" s="893" t="s">
        <v>80</v>
      </c>
      <c r="D3226" s="781" t="s">
        <v>11168</v>
      </c>
      <c r="E3226" s="857" t="s">
        <v>11169</v>
      </c>
      <c r="F3226" s="893" t="s">
        <v>556</v>
      </c>
      <c r="G3226" s="894">
        <v>46183.0</v>
      </c>
      <c r="H3226" s="781">
        <v>15.0</v>
      </c>
      <c r="I3226" s="813" t="s">
        <v>10093</v>
      </c>
      <c r="J3226" s="19"/>
      <c r="K3226" s="19"/>
      <c r="L3226" s="12" t="s">
        <v>51</v>
      </c>
      <c r="M3226" s="19"/>
      <c r="N3226" s="34"/>
      <c r="O3226" s="34" t="s">
        <v>1121</v>
      </c>
      <c r="P3226" s="587" t="s">
        <v>1432</v>
      </c>
    </row>
    <row r="3227" hidden="1">
      <c r="A3227" s="118">
        <v>33.0</v>
      </c>
      <c r="B3227" s="892" t="s">
        <v>11170</v>
      </c>
      <c r="C3227" s="893" t="s">
        <v>80</v>
      </c>
      <c r="D3227" s="781" t="s">
        <v>11171</v>
      </c>
      <c r="E3227" s="877" t="s">
        <v>11172</v>
      </c>
      <c r="F3227" s="893" t="s">
        <v>3583</v>
      </c>
      <c r="G3227" s="894">
        <v>46178.0</v>
      </c>
      <c r="H3227" s="781">
        <v>10.0</v>
      </c>
      <c r="I3227" s="857" t="s">
        <v>2890</v>
      </c>
      <c r="J3227" s="19"/>
      <c r="K3227" s="19"/>
      <c r="L3227" s="12" t="s">
        <v>778</v>
      </c>
      <c r="M3227" s="34" t="s">
        <v>10652</v>
      </c>
      <c r="N3227" s="19"/>
      <c r="O3227" s="34" t="s">
        <v>10652</v>
      </c>
      <c r="P3227" s="19"/>
    </row>
    <row r="3228" hidden="1">
      <c r="A3228" s="118">
        <v>34.0</v>
      </c>
      <c r="B3228" s="892" t="s">
        <v>11173</v>
      </c>
      <c r="C3228" s="893" t="s">
        <v>80</v>
      </c>
      <c r="D3228" s="781" t="s">
        <v>11174</v>
      </c>
      <c r="E3228" s="896" t="s">
        <v>11175</v>
      </c>
      <c r="F3228" s="893" t="s">
        <v>3656</v>
      </c>
      <c r="G3228" s="894">
        <v>46184.0</v>
      </c>
      <c r="H3228" s="781">
        <v>16.0</v>
      </c>
      <c r="I3228" s="857" t="s">
        <v>2890</v>
      </c>
      <c r="J3228" s="19"/>
      <c r="K3228" s="19"/>
      <c r="L3228" s="12" t="s">
        <v>4195</v>
      </c>
      <c r="M3228" s="19"/>
      <c r="N3228" s="19"/>
      <c r="O3228" s="34" t="s">
        <v>11176</v>
      </c>
      <c r="P3228" s="19"/>
    </row>
    <row r="3229" hidden="1">
      <c r="A3229" s="118">
        <v>35.0</v>
      </c>
      <c r="B3229" s="892" t="s">
        <v>11177</v>
      </c>
      <c r="C3229" s="893" t="s">
        <v>80</v>
      </c>
      <c r="D3229" s="781" t="s">
        <v>11178</v>
      </c>
      <c r="E3229" s="896" t="s">
        <v>11179</v>
      </c>
      <c r="F3229" s="893" t="s">
        <v>3656</v>
      </c>
      <c r="G3229" s="894">
        <v>46184.0</v>
      </c>
      <c r="H3229" s="781">
        <v>16.0</v>
      </c>
      <c r="I3229" s="857" t="s">
        <v>2890</v>
      </c>
      <c r="J3229" s="19"/>
      <c r="K3229" s="19"/>
      <c r="L3229" s="12" t="s">
        <v>4195</v>
      </c>
      <c r="M3229" s="19"/>
      <c r="N3229" s="19"/>
      <c r="O3229" s="34" t="s">
        <v>11176</v>
      </c>
      <c r="P3229" s="19"/>
    </row>
    <row r="3230" hidden="1">
      <c r="A3230" s="118">
        <v>36.0</v>
      </c>
      <c r="B3230" s="892" t="s">
        <v>11180</v>
      </c>
      <c r="C3230" s="893" t="s">
        <v>80</v>
      </c>
      <c r="D3230" s="781" t="s">
        <v>11181</v>
      </c>
      <c r="E3230" s="857" t="s">
        <v>11182</v>
      </c>
      <c r="F3230" s="893" t="s">
        <v>9307</v>
      </c>
      <c r="G3230" s="894">
        <v>46186.0</v>
      </c>
      <c r="H3230" s="781">
        <v>18.0</v>
      </c>
      <c r="I3230" s="857" t="s">
        <v>2890</v>
      </c>
      <c r="J3230" s="19"/>
      <c r="K3230" s="19"/>
      <c r="L3230" s="12" t="s">
        <v>778</v>
      </c>
      <c r="M3230" s="19"/>
      <c r="N3230" s="19"/>
      <c r="O3230" s="34" t="s">
        <v>11183</v>
      </c>
      <c r="P3230" s="19"/>
    </row>
    <row r="3231" hidden="1">
      <c r="A3231" s="118">
        <v>37.0</v>
      </c>
      <c r="B3231" s="892" t="s">
        <v>11184</v>
      </c>
      <c r="C3231" s="893" t="s">
        <v>80</v>
      </c>
      <c r="D3231" s="781" t="s">
        <v>11185</v>
      </c>
      <c r="E3231" s="857" t="s">
        <v>11186</v>
      </c>
      <c r="F3231" s="893" t="s">
        <v>1487</v>
      </c>
      <c r="G3231" s="894">
        <v>46186.0</v>
      </c>
      <c r="H3231" s="781">
        <v>18.0</v>
      </c>
      <c r="I3231" s="857" t="s">
        <v>2890</v>
      </c>
      <c r="J3231" s="19"/>
      <c r="K3231" s="19"/>
      <c r="L3231" s="12" t="s">
        <v>778</v>
      </c>
      <c r="M3231" s="19"/>
      <c r="N3231" s="34" t="s">
        <v>11138</v>
      </c>
      <c r="O3231" s="34" t="s">
        <v>11187</v>
      </c>
      <c r="P3231" s="19"/>
    </row>
    <row r="3232" hidden="1">
      <c r="A3232" s="118">
        <v>38.0</v>
      </c>
      <c r="B3232" s="892" t="s">
        <v>11188</v>
      </c>
      <c r="C3232" s="893" t="s">
        <v>80</v>
      </c>
      <c r="D3232" s="781" t="s">
        <v>11189</v>
      </c>
      <c r="E3232" s="877" t="s">
        <v>11190</v>
      </c>
      <c r="F3232" s="893" t="s">
        <v>3928</v>
      </c>
      <c r="G3232" s="894">
        <v>46178.0</v>
      </c>
      <c r="H3232" s="781">
        <v>10.0</v>
      </c>
      <c r="I3232" s="857" t="s">
        <v>2890</v>
      </c>
      <c r="J3232" s="19"/>
      <c r="K3232" s="19"/>
      <c r="L3232" s="12" t="s">
        <v>9469</v>
      </c>
      <c r="M3232" s="19"/>
      <c r="N3232" s="19"/>
      <c r="O3232" s="34" t="s">
        <v>11191</v>
      </c>
      <c r="P3232" s="19"/>
    </row>
    <row r="3233" hidden="1">
      <c r="A3233" s="118">
        <v>39.0</v>
      </c>
      <c r="B3233" s="892" t="s">
        <v>11192</v>
      </c>
      <c r="C3233" s="893" t="s">
        <v>80</v>
      </c>
      <c r="D3233" s="781" t="s">
        <v>11193</v>
      </c>
      <c r="E3233" s="877" t="s">
        <v>11194</v>
      </c>
      <c r="F3233" s="893" t="s">
        <v>3928</v>
      </c>
      <c r="G3233" s="894">
        <v>46178.0</v>
      </c>
      <c r="H3233" s="781">
        <v>10.0</v>
      </c>
      <c r="I3233" s="857" t="s">
        <v>2890</v>
      </c>
      <c r="J3233" s="19"/>
      <c r="K3233" s="19"/>
      <c r="L3233" s="12" t="s">
        <v>9469</v>
      </c>
      <c r="M3233" s="19"/>
      <c r="N3233" s="19"/>
      <c r="O3233" s="34" t="s">
        <v>11191</v>
      </c>
      <c r="P3233" s="19"/>
    </row>
    <row r="3234" hidden="1">
      <c r="A3234" s="118">
        <v>40.0</v>
      </c>
      <c r="B3234" s="892" t="s">
        <v>11195</v>
      </c>
      <c r="C3234" s="893" t="s">
        <v>80</v>
      </c>
      <c r="D3234" s="781" t="s">
        <v>11196</v>
      </c>
      <c r="E3234" s="877" t="s">
        <v>11197</v>
      </c>
      <c r="F3234" s="893" t="s">
        <v>3928</v>
      </c>
      <c r="G3234" s="894">
        <v>46178.0</v>
      </c>
      <c r="H3234" s="781">
        <v>10.0</v>
      </c>
      <c r="I3234" s="813" t="s">
        <v>10093</v>
      </c>
      <c r="J3234" s="19"/>
      <c r="K3234" s="19"/>
      <c r="L3234" s="12" t="s">
        <v>9469</v>
      </c>
      <c r="M3234" s="19"/>
      <c r="N3234" s="19"/>
      <c r="O3234" s="34" t="s">
        <v>11191</v>
      </c>
      <c r="P3234" s="19"/>
    </row>
    <row r="3235" hidden="1">
      <c r="A3235" s="339" t="s">
        <v>11198</v>
      </c>
    </row>
    <row r="3236" hidden="1">
      <c r="A3236" s="670" t="s">
        <v>47</v>
      </c>
      <c r="B3236" s="670" t="s">
        <v>7</v>
      </c>
      <c r="C3236" s="670" t="s">
        <v>9</v>
      </c>
      <c r="D3236" s="670" t="s">
        <v>10</v>
      </c>
      <c r="E3236" s="670" t="s">
        <v>11</v>
      </c>
      <c r="F3236" s="670" t="s">
        <v>12</v>
      </c>
      <c r="G3236" s="670" t="s">
        <v>2378</v>
      </c>
      <c r="H3236" s="670" t="s">
        <v>2681</v>
      </c>
      <c r="I3236" s="4" t="s">
        <v>2847</v>
      </c>
      <c r="J3236" s="8" t="s">
        <v>14</v>
      </c>
      <c r="K3236" s="9" t="s">
        <v>16</v>
      </c>
      <c r="L3236" s="9" t="s">
        <v>4330</v>
      </c>
      <c r="M3236" s="9" t="s">
        <v>18</v>
      </c>
      <c r="N3236" s="9" t="s">
        <v>19</v>
      </c>
      <c r="O3236" s="9" t="s">
        <v>20</v>
      </c>
      <c r="P3236" s="9" t="s">
        <v>21</v>
      </c>
    </row>
    <row r="3237" hidden="1">
      <c r="A3237" s="118">
        <v>1.0</v>
      </c>
      <c r="B3237" s="897" t="s">
        <v>11199</v>
      </c>
      <c r="C3237" s="853" t="s">
        <v>80</v>
      </c>
      <c r="D3237" s="778" t="s">
        <v>11200</v>
      </c>
      <c r="E3237" s="853" t="s">
        <v>10644</v>
      </c>
      <c r="F3237" s="853" t="s">
        <v>718</v>
      </c>
      <c r="G3237" s="891">
        <v>46172.0</v>
      </c>
      <c r="H3237" s="770">
        <v>4.0</v>
      </c>
      <c r="I3237" s="853" t="s">
        <v>2890</v>
      </c>
      <c r="J3237" s="19"/>
      <c r="K3237" s="19"/>
      <c r="L3237" s="12" t="s">
        <v>778</v>
      </c>
      <c r="M3237" s="34"/>
      <c r="N3237" s="19"/>
      <c r="O3237" s="148">
        <v>46240.0</v>
      </c>
      <c r="P3237" s="19"/>
    </row>
    <row r="3238" hidden="1">
      <c r="A3238" s="118">
        <v>2.0</v>
      </c>
      <c r="B3238" s="897" t="s">
        <v>11201</v>
      </c>
      <c r="C3238" s="850"/>
      <c r="D3238" s="853" t="s">
        <v>11202</v>
      </c>
      <c r="E3238" s="853" t="s">
        <v>11203</v>
      </c>
      <c r="F3238" s="850"/>
      <c r="G3238" s="898"/>
      <c r="H3238" s="899"/>
      <c r="I3238" s="853" t="s">
        <v>2890</v>
      </c>
      <c r="J3238" s="19"/>
      <c r="K3238" s="19"/>
      <c r="L3238" s="12" t="s">
        <v>374</v>
      </c>
      <c r="M3238" s="19"/>
      <c r="N3238" s="19"/>
      <c r="O3238" s="148">
        <v>46059.0</v>
      </c>
      <c r="P3238" s="19"/>
    </row>
    <row r="3239" hidden="1">
      <c r="A3239" s="118">
        <v>3.0</v>
      </c>
      <c r="B3239" s="867" t="s">
        <v>11204</v>
      </c>
      <c r="C3239" s="781" t="s">
        <v>2307</v>
      </c>
      <c r="D3239" s="857" t="s">
        <v>11205</v>
      </c>
      <c r="E3239" s="857" t="s">
        <v>11206</v>
      </c>
      <c r="F3239" s="781" t="s">
        <v>8425</v>
      </c>
      <c r="G3239" s="894">
        <v>46174.0</v>
      </c>
      <c r="H3239" s="775">
        <v>6.0</v>
      </c>
      <c r="I3239" s="813" t="s">
        <v>10093</v>
      </c>
      <c r="J3239" s="19"/>
      <c r="K3239" s="19"/>
      <c r="L3239" s="12" t="s">
        <v>699</v>
      </c>
      <c r="M3239" s="19"/>
      <c r="N3239" s="19"/>
      <c r="O3239" s="34" t="s">
        <v>11207</v>
      </c>
      <c r="P3239" s="19"/>
    </row>
    <row r="3240" hidden="1">
      <c r="A3240" s="118">
        <v>4.0</v>
      </c>
      <c r="B3240" s="867" t="s">
        <v>11208</v>
      </c>
      <c r="C3240" s="781" t="s">
        <v>80</v>
      </c>
      <c r="D3240" s="857" t="s">
        <v>11209</v>
      </c>
      <c r="E3240" s="900" t="s">
        <v>11210</v>
      </c>
      <c r="F3240" s="781" t="s">
        <v>3512</v>
      </c>
      <c r="G3240" s="894">
        <v>46181.0</v>
      </c>
      <c r="H3240" s="781">
        <v>13.0</v>
      </c>
      <c r="I3240" s="857" t="s">
        <v>2890</v>
      </c>
      <c r="J3240" s="34" t="s">
        <v>51</v>
      </c>
      <c r="K3240" s="148">
        <v>46301.0</v>
      </c>
      <c r="L3240" s="12" t="s">
        <v>51</v>
      </c>
      <c r="M3240" s="19"/>
      <c r="N3240" s="19"/>
      <c r="O3240" s="34" t="s">
        <v>10652</v>
      </c>
      <c r="P3240" s="19"/>
    </row>
    <row r="3241" hidden="1">
      <c r="A3241" s="118">
        <v>5.0</v>
      </c>
      <c r="B3241" s="867" t="s">
        <v>11211</v>
      </c>
      <c r="C3241" s="781" t="s">
        <v>80</v>
      </c>
      <c r="D3241" s="857" t="s">
        <v>11212</v>
      </c>
      <c r="E3241" s="900" t="s">
        <v>11213</v>
      </c>
      <c r="F3241" s="781" t="s">
        <v>3512</v>
      </c>
      <c r="G3241" s="894">
        <v>46181.0</v>
      </c>
      <c r="H3241" s="781">
        <v>13.0</v>
      </c>
      <c r="I3241" s="813" t="s">
        <v>10093</v>
      </c>
      <c r="J3241" s="34" t="s">
        <v>51</v>
      </c>
      <c r="K3241" s="148">
        <v>46301.0</v>
      </c>
      <c r="L3241" s="12" t="s">
        <v>51</v>
      </c>
      <c r="M3241" s="19"/>
      <c r="N3241" s="19"/>
      <c r="O3241" s="34" t="s">
        <v>10652</v>
      </c>
      <c r="P3241" s="19"/>
    </row>
    <row r="3242" hidden="1">
      <c r="A3242" s="118">
        <v>6.0</v>
      </c>
      <c r="B3242" s="867" t="s">
        <v>11214</v>
      </c>
      <c r="C3242" s="781" t="s">
        <v>80</v>
      </c>
      <c r="D3242" s="857" t="s">
        <v>11215</v>
      </c>
      <c r="E3242" s="900" t="s">
        <v>11216</v>
      </c>
      <c r="F3242" s="781" t="s">
        <v>3512</v>
      </c>
      <c r="G3242" s="894">
        <v>46181.0</v>
      </c>
      <c r="H3242" s="781">
        <v>13.0</v>
      </c>
      <c r="I3242" s="857" t="s">
        <v>2890</v>
      </c>
      <c r="J3242" s="34" t="s">
        <v>51</v>
      </c>
      <c r="K3242" s="148">
        <v>46301.0</v>
      </c>
      <c r="L3242" s="12" t="s">
        <v>51</v>
      </c>
      <c r="M3242" s="19"/>
      <c r="N3242" s="19"/>
      <c r="O3242" s="34" t="s">
        <v>10652</v>
      </c>
      <c r="P3242" s="19"/>
    </row>
    <row r="3243" hidden="1">
      <c r="A3243" s="118">
        <v>7.0</v>
      </c>
      <c r="B3243" s="867" t="s">
        <v>11217</v>
      </c>
      <c r="C3243" s="781" t="s">
        <v>80</v>
      </c>
      <c r="D3243" s="857" t="s">
        <v>11218</v>
      </c>
      <c r="E3243" s="900" t="s">
        <v>11219</v>
      </c>
      <c r="F3243" s="781" t="s">
        <v>3512</v>
      </c>
      <c r="G3243" s="894">
        <v>46181.0</v>
      </c>
      <c r="H3243" s="781">
        <v>13.0</v>
      </c>
      <c r="I3243" s="857" t="s">
        <v>2890</v>
      </c>
      <c r="J3243" s="34" t="s">
        <v>51</v>
      </c>
      <c r="K3243" s="148">
        <v>46301.0</v>
      </c>
      <c r="L3243" s="12" t="s">
        <v>51</v>
      </c>
      <c r="M3243" s="19"/>
      <c r="N3243" s="19"/>
      <c r="O3243" s="34" t="s">
        <v>10652</v>
      </c>
      <c r="P3243" s="19"/>
    </row>
    <row r="3244" hidden="1">
      <c r="A3244" s="118">
        <v>8.0</v>
      </c>
      <c r="B3244" s="867" t="s">
        <v>11220</v>
      </c>
      <c r="C3244" s="781" t="s">
        <v>80</v>
      </c>
      <c r="D3244" s="857" t="s">
        <v>11221</v>
      </c>
      <c r="E3244" s="900" t="s">
        <v>11222</v>
      </c>
      <c r="F3244" s="781" t="s">
        <v>3512</v>
      </c>
      <c r="G3244" s="894">
        <v>46181.0</v>
      </c>
      <c r="H3244" s="781">
        <v>13.0</v>
      </c>
      <c r="I3244" s="857" t="s">
        <v>2890</v>
      </c>
      <c r="J3244" s="34" t="s">
        <v>51</v>
      </c>
      <c r="K3244" s="148">
        <v>46301.0</v>
      </c>
      <c r="L3244" s="12" t="s">
        <v>51</v>
      </c>
      <c r="M3244" s="19"/>
      <c r="N3244" s="19"/>
      <c r="O3244" s="34" t="s">
        <v>10652</v>
      </c>
      <c r="P3244" s="19"/>
    </row>
    <row r="3245" hidden="1">
      <c r="A3245" s="118">
        <v>9.0</v>
      </c>
      <c r="B3245" s="867" t="s">
        <v>11223</v>
      </c>
      <c r="C3245" s="781" t="s">
        <v>80</v>
      </c>
      <c r="D3245" s="857" t="s">
        <v>11224</v>
      </c>
      <c r="E3245" s="900" t="s">
        <v>11225</v>
      </c>
      <c r="F3245" s="781" t="s">
        <v>3512</v>
      </c>
      <c r="G3245" s="894">
        <v>46181.0</v>
      </c>
      <c r="H3245" s="781">
        <v>13.0</v>
      </c>
      <c r="I3245" s="857" t="s">
        <v>2890</v>
      </c>
      <c r="J3245" s="19"/>
      <c r="K3245" s="19"/>
      <c r="L3245" s="12" t="s">
        <v>778</v>
      </c>
      <c r="M3245" s="19"/>
      <c r="N3245" s="19"/>
      <c r="O3245" s="148">
        <v>46240.0</v>
      </c>
      <c r="P3245" s="19"/>
    </row>
    <row r="3246" hidden="1">
      <c r="A3246" s="118">
        <v>10.0</v>
      </c>
      <c r="B3246" s="867" t="s">
        <v>11226</v>
      </c>
      <c r="C3246" s="781" t="s">
        <v>80</v>
      </c>
      <c r="D3246" s="857" t="s">
        <v>11227</v>
      </c>
      <c r="E3246" s="900" t="s">
        <v>11228</v>
      </c>
      <c r="F3246" s="781" t="s">
        <v>3512</v>
      </c>
      <c r="G3246" s="894">
        <v>46181.0</v>
      </c>
      <c r="H3246" s="781">
        <v>13.0</v>
      </c>
      <c r="I3246" s="857" t="s">
        <v>2890</v>
      </c>
      <c r="J3246" s="34" t="s">
        <v>51</v>
      </c>
      <c r="K3246" s="148">
        <v>46301.0</v>
      </c>
      <c r="L3246" s="12" t="s">
        <v>51</v>
      </c>
      <c r="M3246" s="19"/>
      <c r="N3246" s="19"/>
      <c r="O3246" s="34" t="s">
        <v>10652</v>
      </c>
      <c r="P3246" s="19"/>
    </row>
    <row r="3247" hidden="1">
      <c r="A3247" s="118">
        <v>11.0</v>
      </c>
      <c r="B3247" s="867" t="s">
        <v>11229</v>
      </c>
      <c r="C3247" s="781" t="s">
        <v>8495</v>
      </c>
      <c r="D3247" s="857" t="s">
        <v>11230</v>
      </c>
      <c r="E3247" s="857" t="s">
        <v>11231</v>
      </c>
      <c r="F3247" s="781" t="s">
        <v>11232</v>
      </c>
      <c r="G3247" s="895"/>
      <c r="H3247" s="784"/>
      <c r="I3247" s="813" t="s">
        <v>10093</v>
      </c>
      <c r="J3247" s="19"/>
      <c r="K3247" s="19"/>
      <c r="L3247" s="12" t="s">
        <v>374</v>
      </c>
      <c r="M3247" s="19"/>
      <c r="N3247" s="143" t="s">
        <v>11233</v>
      </c>
      <c r="O3247" s="34" t="s">
        <v>10319</v>
      </c>
      <c r="P3247" s="587" t="s">
        <v>1432</v>
      </c>
    </row>
    <row r="3248" hidden="1">
      <c r="A3248" s="118">
        <v>12.0</v>
      </c>
      <c r="B3248" s="867" t="s">
        <v>11234</v>
      </c>
      <c r="C3248" s="781" t="s">
        <v>80</v>
      </c>
      <c r="D3248" s="857" t="s">
        <v>11235</v>
      </c>
      <c r="E3248" s="866" t="s">
        <v>11236</v>
      </c>
      <c r="F3248" s="781" t="s">
        <v>3928</v>
      </c>
      <c r="G3248" s="894">
        <v>46178.0</v>
      </c>
      <c r="H3248" s="781">
        <v>10.0</v>
      </c>
      <c r="I3248" s="857" t="s">
        <v>2890</v>
      </c>
      <c r="J3248" s="19"/>
      <c r="K3248" s="19"/>
      <c r="L3248" s="12" t="s">
        <v>9469</v>
      </c>
      <c r="M3248" s="19"/>
      <c r="N3248" s="19"/>
      <c r="O3248" s="34" t="s">
        <v>10573</v>
      </c>
      <c r="P3248" s="19"/>
    </row>
    <row r="3249" hidden="1">
      <c r="A3249" s="118">
        <v>13.0</v>
      </c>
      <c r="B3249" s="867" t="s">
        <v>11237</v>
      </c>
      <c r="C3249" s="781" t="s">
        <v>80</v>
      </c>
      <c r="D3249" s="857" t="s">
        <v>11238</v>
      </c>
      <c r="E3249" s="866" t="s">
        <v>11239</v>
      </c>
      <c r="F3249" s="781" t="s">
        <v>3928</v>
      </c>
      <c r="G3249" s="894">
        <v>46178.0</v>
      </c>
      <c r="H3249" s="781">
        <v>10.0</v>
      </c>
      <c r="I3249" s="813" t="s">
        <v>10093</v>
      </c>
      <c r="J3249" s="19"/>
      <c r="K3249" s="19"/>
      <c r="L3249" s="12" t="s">
        <v>9469</v>
      </c>
      <c r="M3249" s="19"/>
      <c r="N3249" s="19"/>
      <c r="O3249" s="478">
        <v>46087.0</v>
      </c>
      <c r="P3249" s="19"/>
    </row>
    <row r="3250" hidden="1">
      <c r="A3250" s="118">
        <v>14.0</v>
      </c>
      <c r="B3250" s="867" t="s">
        <v>11240</v>
      </c>
      <c r="C3250" s="781" t="s">
        <v>80</v>
      </c>
      <c r="D3250" s="857" t="s">
        <v>11241</v>
      </c>
      <c r="E3250" s="866" t="s">
        <v>11242</v>
      </c>
      <c r="F3250" s="781" t="s">
        <v>3928</v>
      </c>
      <c r="G3250" s="894">
        <v>46178.0</v>
      </c>
      <c r="H3250" s="781">
        <v>10.0</v>
      </c>
      <c r="I3250" s="857" t="s">
        <v>2890</v>
      </c>
      <c r="J3250" s="19"/>
      <c r="K3250" s="19"/>
      <c r="L3250" s="12" t="s">
        <v>9469</v>
      </c>
      <c r="M3250" s="19"/>
      <c r="N3250" s="19"/>
      <c r="O3250" s="34" t="s">
        <v>10573</v>
      </c>
      <c r="P3250" s="19"/>
    </row>
    <row r="3251" hidden="1">
      <c r="A3251" s="118">
        <v>15.0</v>
      </c>
      <c r="B3251" s="867" t="s">
        <v>11243</v>
      </c>
      <c r="C3251" s="781" t="s">
        <v>80</v>
      </c>
      <c r="D3251" s="857" t="s">
        <v>11244</v>
      </c>
      <c r="E3251" s="866" t="s">
        <v>11245</v>
      </c>
      <c r="F3251" s="781" t="s">
        <v>3928</v>
      </c>
      <c r="G3251" s="894">
        <v>46178.0</v>
      </c>
      <c r="H3251" s="781">
        <v>10.0</v>
      </c>
      <c r="I3251" s="857" t="s">
        <v>2890</v>
      </c>
      <c r="J3251" s="19"/>
      <c r="K3251" s="19"/>
      <c r="L3251" s="12" t="s">
        <v>9469</v>
      </c>
      <c r="M3251" s="19"/>
      <c r="N3251" s="19"/>
      <c r="O3251" s="34" t="s">
        <v>11246</v>
      </c>
      <c r="P3251" s="19"/>
    </row>
    <row r="3252" hidden="1">
      <c r="A3252" s="118">
        <v>16.0</v>
      </c>
      <c r="B3252" s="867" t="s">
        <v>11247</v>
      </c>
      <c r="C3252" s="781" t="s">
        <v>80</v>
      </c>
      <c r="D3252" s="857" t="s">
        <v>11248</v>
      </c>
      <c r="E3252" s="866" t="s">
        <v>11249</v>
      </c>
      <c r="F3252" s="781" t="s">
        <v>3928</v>
      </c>
      <c r="G3252" s="894">
        <v>46178.0</v>
      </c>
      <c r="H3252" s="781">
        <v>10.0</v>
      </c>
      <c r="I3252" s="857" t="s">
        <v>2890</v>
      </c>
      <c r="J3252" s="19"/>
      <c r="K3252" s="19"/>
      <c r="L3252" s="12" t="s">
        <v>9469</v>
      </c>
      <c r="M3252" s="19"/>
      <c r="N3252" s="19"/>
      <c r="O3252" s="34" t="s">
        <v>11246</v>
      </c>
      <c r="P3252" s="19"/>
    </row>
    <row r="3253" hidden="1">
      <c r="A3253" s="118">
        <v>17.0</v>
      </c>
      <c r="B3253" s="867" t="s">
        <v>11250</v>
      </c>
      <c r="C3253" s="781" t="s">
        <v>80</v>
      </c>
      <c r="D3253" s="857" t="s">
        <v>11251</v>
      </c>
      <c r="E3253" s="866" t="s">
        <v>11252</v>
      </c>
      <c r="F3253" s="781" t="s">
        <v>3928</v>
      </c>
      <c r="G3253" s="894">
        <v>46178.0</v>
      </c>
      <c r="H3253" s="781">
        <v>10.0</v>
      </c>
      <c r="I3253" s="857" t="s">
        <v>2890</v>
      </c>
      <c r="J3253" s="19"/>
      <c r="K3253" s="19"/>
      <c r="L3253" s="12" t="s">
        <v>9469</v>
      </c>
      <c r="M3253" s="19"/>
      <c r="N3253" s="19"/>
      <c r="O3253" s="34" t="s">
        <v>11246</v>
      </c>
      <c r="P3253" s="19"/>
    </row>
    <row r="3254" hidden="1">
      <c r="A3254" s="118">
        <v>18.0</v>
      </c>
      <c r="B3254" s="867" t="s">
        <v>11253</v>
      </c>
      <c r="C3254" s="781" t="s">
        <v>80</v>
      </c>
      <c r="D3254" s="857" t="s">
        <v>11254</v>
      </c>
      <c r="E3254" s="866" t="s">
        <v>11255</v>
      </c>
      <c r="F3254" s="781" t="s">
        <v>3928</v>
      </c>
      <c r="G3254" s="894">
        <v>46178.0</v>
      </c>
      <c r="H3254" s="781">
        <v>10.0</v>
      </c>
      <c r="I3254" s="813" t="s">
        <v>10093</v>
      </c>
      <c r="J3254" s="19"/>
      <c r="K3254" s="19"/>
      <c r="L3254" s="12" t="s">
        <v>9469</v>
      </c>
      <c r="M3254" s="19"/>
      <c r="N3254" s="19"/>
      <c r="O3254" s="34" t="s">
        <v>11246</v>
      </c>
      <c r="P3254" s="19"/>
    </row>
    <row r="3255" hidden="1">
      <c r="A3255" s="118">
        <v>19.0</v>
      </c>
      <c r="B3255" s="867" t="s">
        <v>11256</v>
      </c>
      <c r="C3255" s="781" t="s">
        <v>80</v>
      </c>
      <c r="D3255" s="857" t="s">
        <v>11257</v>
      </c>
      <c r="E3255" s="866" t="s">
        <v>11258</v>
      </c>
      <c r="F3255" s="781" t="s">
        <v>8668</v>
      </c>
      <c r="G3255" s="894">
        <v>46178.0</v>
      </c>
      <c r="H3255" s="781">
        <v>10.0</v>
      </c>
      <c r="I3255" s="857" t="s">
        <v>2890</v>
      </c>
      <c r="J3255" s="19"/>
      <c r="K3255" s="19"/>
      <c r="L3255" s="12" t="s">
        <v>9469</v>
      </c>
      <c r="M3255" s="19"/>
      <c r="N3255" s="19"/>
      <c r="O3255" s="34" t="s">
        <v>11246</v>
      </c>
      <c r="P3255" s="19"/>
    </row>
    <row r="3256" hidden="1">
      <c r="A3256" s="118">
        <v>20.0</v>
      </c>
      <c r="B3256" s="867" t="s">
        <v>11259</v>
      </c>
      <c r="C3256" s="781" t="s">
        <v>80</v>
      </c>
      <c r="D3256" s="857" t="s">
        <v>11260</v>
      </c>
      <c r="E3256" s="866" t="s">
        <v>11261</v>
      </c>
      <c r="F3256" s="781" t="s">
        <v>8668</v>
      </c>
      <c r="G3256" s="894">
        <v>46178.0</v>
      </c>
      <c r="H3256" s="781">
        <v>10.0</v>
      </c>
      <c r="I3256" s="857" t="s">
        <v>2890</v>
      </c>
      <c r="J3256" s="19"/>
      <c r="K3256" s="19"/>
      <c r="L3256" s="12" t="s">
        <v>9469</v>
      </c>
      <c r="M3256" s="19"/>
      <c r="N3256" s="19"/>
      <c r="O3256" s="34" t="s">
        <v>697</v>
      </c>
      <c r="P3256" s="19"/>
    </row>
    <row r="3257" hidden="1">
      <c r="A3257" s="118">
        <v>21.0</v>
      </c>
      <c r="B3257" s="867" t="s">
        <v>11262</v>
      </c>
      <c r="C3257" s="781" t="s">
        <v>80</v>
      </c>
      <c r="D3257" s="857" t="s">
        <v>11263</v>
      </c>
      <c r="E3257" s="866" t="s">
        <v>11264</v>
      </c>
      <c r="F3257" s="781" t="s">
        <v>8668</v>
      </c>
      <c r="G3257" s="894">
        <v>46178.0</v>
      </c>
      <c r="H3257" s="781">
        <v>10.0</v>
      </c>
      <c r="I3257" s="857" t="s">
        <v>2890</v>
      </c>
      <c r="J3257" s="19"/>
      <c r="K3257" s="19"/>
      <c r="L3257" s="12" t="s">
        <v>9469</v>
      </c>
      <c r="M3257" s="19"/>
      <c r="N3257" s="19"/>
      <c r="O3257" s="34" t="s">
        <v>697</v>
      </c>
      <c r="P3257" s="19"/>
    </row>
    <row r="3258" hidden="1">
      <c r="A3258" s="118">
        <v>22.0</v>
      </c>
      <c r="B3258" s="867" t="s">
        <v>11265</v>
      </c>
      <c r="C3258" s="781" t="s">
        <v>80</v>
      </c>
      <c r="D3258" s="857" t="s">
        <v>11266</v>
      </c>
      <c r="E3258" s="866" t="s">
        <v>11267</v>
      </c>
      <c r="F3258" s="781" t="s">
        <v>8668</v>
      </c>
      <c r="G3258" s="894">
        <v>46178.0</v>
      </c>
      <c r="H3258" s="781">
        <v>10.0</v>
      </c>
      <c r="I3258" s="813" t="s">
        <v>10093</v>
      </c>
      <c r="J3258" s="19"/>
      <c r="K3258" s="19"/>
      <c r="L3258" s="12" t="s">
        <v>9469</v>
      </c>
      <c r="M3258" s="19"/>
      <c r="N3258" s="19"/>
      <c r="O3258" s="34" t="s">
        <v>697</v>
      </c>
      <c r="P3258" s="19"/>
    </row>
    <row r="3259" hidden="1">
      <c r="A3259" s="118">
        <v>23.0</v>
      </c>
      <c r="B3259" s="867" t="s">
        <v>11268</v>
      </c>
      <c r="C3259" s="781" t="s">
        <v>80</v>
      </c>
      <c r="D3259" s="857" t="s">
        <v>11269</v>
      </c>
      <c r="E3259" s="866" t="s">
        <v>11270</v>
      </c>
      <c r="F3259" s="781" t="s">
        <v>8668</v>
      </c>
      <c r="G3259" s="894">
        <v>46178.0</v>
      </c>
      <c r="H3259" s="781">
        <v>10.0</v>
      </c>
      <c r="I3259" s="857" t="s">
        <v>2890</v>
      </c>
      <c r="J3259" s="19"/>
      <c r="K3259" s="19"/>
      <c r="L3259" s="12" t="s">
        <v>9469</v>
      </c>
      <c r="M3259" s="19"/>
      <c r="N3259" s="19"/>
      <c r="O3259" s="34" t="s">
        <v>697</v>
      </c>
      <c r="P3259" s="19"/>
    </row>
    <row r="3260" hidden="1">
      <c r="A3260" s="118">
        <v>24.0</v>
      </c>
      <c r="B3260" s="867" t="s">
        <v>11271</v>
      </c>
      <c r="C3260" s="781" t="s">
        <v>80</v>
      </c>
      <c r="D3260" s="857" t="s">
        <v>11272</v>
      </c>
      <c r="E3260" s="866" t="s">
        <v>11273</v>
      </c>
      <c r="F3260" s="781" t="s">
        <v>8668</v>
      </c>
      <c r="G3260" s="894">
        <v>46178.0</v>
      </c>
      <c r="H3260" s="781">
        <v>10.0</v>
      </c>
      <c r="I3260" s="857" t="s">
        <v>2890</v>
      </c>
      <c r="J3260" s="19"/>
      <c r="K3260" s="19"/>
      <c r="L3260" s="12" t="s">
        <v>9469</v>
      </c>
      <c r="M3260" s="19"/>
      <c r="N3260" s="19"/>
      <c r="O3260" s="34" t="s">
        <v>697</v>
      </c>
      <c r="P3260" s="19"/>
    </row>
    <row r="3261" hidden="1">
      <c r="A3261" s="118">
        <v>25.0</v>
      </c>
      <c r="B3261" s="867" t="s">
        <v>11274</v>
      </c>
      <c r="C3261" s="781" t="s">
        <v>80</v>
      </c>
      <c r="D3261" s="857" t="s">
        <v>11275</v>
      </c>
      <c r="E3261" s="866" t="s">
        <v>11276</v>
      </c>
      <c r="F3261" s="781" t="s">
        <v>8668</v>
      </c>
      <c r="G3261" s="894">
        <v>46178.0</v>
      </c>
      <c r="H3261" s="781">
        <v>10.0</v>
      </c>
      <c r="I3261" s="857" t="s">
        <v>2890</v>
      </c>
      <c r="J3261" s="19"/>
      <c r="K3261" s="19"/>
      <c r="L3261" s="12" t="s">
        <v>9469</v>
      </c>
      <c r="M3261" s="19"/>
      <c r="N3261" s="19"/>
      <c r="O3261" s="34" t="s">
        <v>697</v>
      </c>
      <c r="P3261" s="19"/>
    </row>
    <row r="3262" hidden="1">
      <c r="A3262" s="118">
        <v>26.0</v>
      </c>
      <c r="B3262" s="867" t="s">
        <v>11277</v>
      </c>
      <c r="C3262" s="781" t="s">
        <v>80</v>
      </c>
      <c r="D3262" s="857" t="s">
        <v>11278</v>
      </c>
      <c r="E3262" s="866" t="s">
        <v>11279</v>
      </c>
      <c r="F3262" s="781" t="s">
        <v>8668</v>
      </c>
      <c r="G3262" s="894">
        <v>46178.0</v>
      </c>
      <c r="H3262" s="781">
        <v>10.0</v>
      </c>
      <c r="I3262" s="857" t="s">
        <v>2890</v>
      </c>
      <c r="J3262" s="19"/>
      <c r="K3262" s="19"/>
      <c r="L3262" s="12" t="s">
        <v>9469</v>
      </c>
      <c r="M3262" s="19"/>
      <c r="N3262" s="19"/>
      <c r="O3262" s="34" t="s">
        <v>697</v>
      </c>
      <c r="P3262" s="19"/>
    </row>
    <row r="3263" hidden="1">
      <c r="A3263" s="118">
        <v>27.0</v>
      </c>
      <c r="B3263" s="867" t="s">
        <v>11280</v>
      </c>
      <c r="C3263" s="781" t="s">
        <v>80</v>
      </c>
      <c r="D3263" s="857" t="s">
        <v>11281</v>
      </c>
      <c r="E3263" s="866" t="s">
        <v>11282</v>
      </c>
      <c r="F3263" s="781" t="s">
        <v>8668</v>
      </c>
      <c r="G3263" s="894">
        <v>46178.0</v>
      </c>
      <c r="H3263" s="781">
        <v>10.0</v>
      </c>
      <c r="I3263" s="857" t="s">
        <v>2890</v>
      </c>
      <c r="J3263" s="19"/>
      <c r="K3263" s="19"/>
      <c r="L3263" s="12" t="s">
        <v>9469</v>
      </c>
      <c r="M3263" s="19"/>
      <c r="N3263" s="19"/>
      <c r="O3263" s="34" t="s">
        <v>697</v>
      </c>
      <c r="P3263" s="19"/>
    </row>
    <row r="3264" hidden="1">
      <c r="A3264" s="118">
        <v>28.0</v>
      </c>
      <c r="B3264" s="867" t="s">
        <v>11283</v>
      </c>
      <c r="C3264" s="781" t="s">
        <v>80</v>
      </c>
      <c r="D3264" s="857" t="s">
        <v>11284</v>
      </c>
      <c r="E3264" s="866" t="s">
        <v>11285</v>
      </c>
      <c r="F3264" s="781" t="s">
        <v>8668</v>
      </c>
      <c r="G3264" s="894">
        <v>46178.0</v>
      </c>
      <c r="H3264" s="781">
        <v>10.0</v>
      </c>
      <c r="I3264" s="857" t="s">
        <v>2890</v>
      </c>
      <c r="J3264" s="19"/>
      <c r="K3264" s="19"/>
      <c r="L3264" s="12" t="s">
        <v>9469</v>
      </c>
      <c r="M3264" s="19"/>
      <c r="N3264" s="19"/>
      <c r="O3264" s="34" t="s">
        <v>697</v>
      </c>
      <c r="P3264" s="19"/>
    </row>
    <row r="3265" hidden="1">
      <c r="A3265" s="118">
        <v>29.0</v>
      </c>
      <c r="B3265" s="867" t="s">
        <v>11286</v>
      </c>
      <c r="C3265" s="781" t="s">
        <v>80</v>
      </c>
      <c r="D3265" s="857" t="s">
        <v>11287</v>
      </c>
      <c r="E3265" s="866" t="s">
        <v>11288</v>
      </c>
      <c r="F3265" s="781" t="s">
        <v>8668</v>
      </c>
      <c r="G3265" s="894">
        <v>46178.0</v>
      </c>
      <c r="H3265" s="781">
        <v>10.0</v>
      </c>
      <c r="I3265" s="813" t="s">
        <v>10093</v>
      </c>
      <c r="J3265" s="19"/>
      <c r="K3265" s="19"/>
      <c r="L3265" s="12" t="s">
        <v>9469</v>
      </c>
      <c r="M3265" s="19"/>
      <c r="N3265" s="19"/>
      <c r="O3265" s="34" t="s">
        <v>697</v>
      </c>
      <c r="P3265" s="19"/>
    </row>
    <row r="3266" hidden="1">
      <c r="A3266" s="118">
        <v>30.0</v>
      </c>
      <c r="B3266" s="867" t="s">
        <v>11289</v>
      </c>
      <c r="C3266" s="781" t="s">
        <v>80</v>
      </c>
      <c r="D3266" s="857" t="s">
        <v>11290</v>
      </c>
      <c r="E3266" s="866" t="s">
        <v>11291</v>
      </c>
      <c r="F3266" s="781" t="s">
        <v>8668</v>
      </c>
      <c r="G3266" s="894">
        <v>46178.0</v>
      </c>
      <c r="H3266" s="781">
        <v>10.0</v>
      </c>
      <c r="I3266" s="813" t="s">
        <v>10093</v>
      </c>
      <c r="J3266" s="19"/>
      <c r="K3266" s="19"/>
      <c r="L3266" s="12" t="s">
        <v>9469</v>
      </c>
      <c r="M3266" s="19"/>
      <c r="N3266" s="19"/>
      <c r="O3266" s="34" t="s">
        <v>697</v>
      </c>
      <c r="P3266" s="19"/>
    </row>
    <row r="3267" hidden="1">
      <c r="A3267" s="118">
        <v>31.0</v>
      </c>
      <c r="B3267" s="867" t="s">
        <v>11292</v>
      </c>
      <c r="C3267" s="781" t="s">
        <v>80</v>
      </c>
      <c r="D3267" s="857" t="s">
        <v>11293</v>
      </c>
      <c r="E3267" s="866" t="s">
        <v>11294</v>
      </c>
      <c r="F3267" s="781" t="s">
        <v>8668</v>
      </c>
      <c r="G3267" s="894">
        <v>46178.0</v>
      </c>
      <c r="H3267" s="781">
        <v>10.0</v>
      </c>
      <c r="I3267" s="857" t="s">
        <v>2890</v>
      </c>
      <c r="J3267" s="19"/>
      <c r="K3267" s="19"/>
      <c r="L3267" s="12" t="s">
        <v>9469</v>
      </c>
      <c r="M3267" s="19"/>
      <c r="N3267" s="19"/>
      <c r="O3267" s="34" t="s">
        <v>697</v>
      </c>
      <c r="P3267" s="19"/>
    </row>
    <row r="3268" hidden="1">
      <c r="A3268" s="118">
        <v>32.0</v>
      </c>
      <c r="B3268" s="867" t="s">
        <v>11295</v>
      </c>
      <c r="C3268" s="781" t="s">
        <v>80</v>
      </c>
      <c r="D3268" s="857" t="s">
        <v>11296</v>
      </c>
      <c r="E3268" s="866" t="s">
        <v>11297</v>
      </c>
      <c r="F3268" s="781" t="s">
        <v>8668</v>
      </c>
      <c r="G3268" s="894">
        <v>46178.0</v>
      </c>
      <c r="H3268" s="781">
        <v>10.0</v>
      </c>
      <c r="I3268" s="813" t="s">
        <v>10093</v>
      </c>
      <c r="J3268" s="19"/>
      <c r="K3268" s="19"/>
      <c r="L3268" s="12" t="s">
        <v>9469</v>
      </c>
      <c r="M3268" s="19"/>
      <c r="N3268" s="19"/>
      <c r="O3268" s="34" t="s">
        <v>697</v>
      </c>
      <c r="P3268" s="19"/>
    </row>
    <row r="3269" hidden="1">
      <c r="A3269" s="118">
        <v>33.0</v>
      </c>
      <c r="B3269" s="867" t="s">
        <v>11298</v>
      </c>
      <c r="C3269" s="781" t="s">
        <v>80</v>
      </c>
      <c r="D3269" s="857" t="s">
        <v>11299</v>
      </c>
      <c r="E3269" s="866" t="s">
        <v>11300</v>
      </c>
      <c r="F3269" s="781" t="s">
        <v>8668</v>
      </c>
      <c r="G3269" s="894">
        <v>46178.0</v>
      </c>
      <c r="H3269" s="781">
        <v>10.0</v>
      </c>
      <c r="I3269" s="857" t="s">
        <v>2890</v>
      </c>
      <c r="J3269" s="19"/>
      <c r="K3269" s="19"/>
      <c r="L3269" s="12" t="s">
        <v>9469</v>
      </c>
      <c r="M3269" s="19"/>
      <c r="N3269" s="19"/>
      <c r="O3269" s="34" t="s">
        <v>697</v>
      </c>
      <c r="P3269" s="19"/>
    </row>
    <row r="3270" hidden="1">
      <c r="A3270" s="118">
        <v>34.0</v>
      </c>
      <c r="B3270" s="867" t="s">
        <v>11301</v>
      </c>
      <c r="C3270" s="781" t="s">
        <v>80</v>
      </c>
      <c r="D3270" s="857" t="s">
        <v>11302</v>
      </c>
      <c r="E3270" s="857" t="s">
        <v>11303</v>
      </c>
      <c r="F3270" s="781" t="s">
        <v>9068</v>
      </c>
      <c r="G3270" s="894">
        <v>46185.0</v>
      </c>
      <c r="H3270" s="781">
        <v>17.0</v>
      </c>
      <c r="I3270" s="857" t="s">
        <v>2890</v>
      </c>
      <c r="J3270" s="19"/>
      <c r="K3270" s="19"/>
      <c r="L3270" s="12" t="s">
        <v>4195</v>
      </c>
      <c r="M3270" s="19"/>
      <c r="N3270" s="19"/>
      <c r="O3270" s="34" t="s">
        <v>11176</v>
      </c>
      <c r="P3270" s="587" t="s">
        <v>1432</v>
      </c>
    </row>
    <row r="3271" hidden="1">
      <c r="A3271" s="118">
        <v>35.0</v>
      </c>
      <c r="B3271" s="901" t="s">
        <v>11304</v>
      </c>
      <c r="C3271" s="781" t="s">
        <v>80</v>
      </c>
      <c r="D3271" s="857" t="s">
        <v>11305</v>
      </c>
      <c r="E3271" s="857" t="s">
        <v>11306</v>
      </c>
      <c r="F3271" s="781" t="s">
        <v>11307</v>
      </c>
      <c r="G3271" s="894">
        <v>46184.0</v>
      </c>
      <c r="H3271" s="781">
        <v>16.0</v>
      </c>
      <c r="I3271" s="857" t="s">
        <v>2890</v>
      </c>
      <c r="J3271" s="19"/>
      <c r="K3271" s="19"/>
      <c r="L3271" s="12" t="s">
        <v>4195</v>
      </c>
      <c r="M3271" s="19"/>
      <c r="N3271" s="19"/>
      <c r="O3271" s="34" t="s">
        <v>11308</v>
      </c>
      <c r="P3271" s="19"/>
    </row>
    <row r="3272" hidden="1">
      <c r="A3272" s="118">
        <v>36.0</v>
      </c>
      <c r="B3272" s="901" t="s">
        <v>11309</v>
      </c>
      <c r="C3272" s="781" t="s">
        <v>80</v>
      </c>
      <c r="D3272" s="857" t="s">
        <v>11310</v>
      </c>
      <c r="E3272" s="857" t="s">
        <v>11311</v>
      </c>
      <c r="F3272" s="781" t="s">
        <v>11312</v>
      </c>
      <c r="G3272" s="894">
        <v>46184.0</v>
      </c>
      <c r="H3272" s="781">
        <v>16.0</v>
      </c>
      <c r="I3272" s="857" t="s">
        <v>2890</v>
      </c>
      <c r="J3272" s="19"/>
      <c r="K3272" s="19"/>
      <c r="L3272" s="12" t="s">
        <v>778</v>
      </c>
      <c r="M3272" s="19"/>
      <c r="N3272" s="19"/>
      <c r="O3272" s="164">
        <v>46180.0</v>
      </c>
      <c r="P3272" s="587" t="s">
        <v>1432</v>
      </c>
    </row>
    <row r="3273" hidden="1">
      <c r="A3273" s="118">
        <v>37.0</v>
      </c>
      <c r="B3273" s="901" t="s">
        <v>11313</v>
      </c>
      <c r="C3273" s="781" t="s">
        <v>80</v>
      </c>
      <c r="D3273" s="857" t="s">
        <v>11314</v>
      </c>
      <c r="E3273" s="857" t="s">
        <v>11315</v>
      </c>
      <c r="F3273" s="781" t="s">
        <v>8679</v>
      </c>
      <c r="G3273" s="894">
        <v>46186.0</v>
      </c>
      <c r="H3273" s="781">
        <v>18.0</v>
      </c>
      <c r="I3273" s="857" t="s">
        <v>2890</v>
      </c>
      <c r="J3273" s="19"/>
      <c r="K3273" s="19"/>
      <c r="L3273" s="12" t="s">
        <v>778</v>
      </c>
      <c r="M3273" s="19"/>
      <c r="N3273" s="19"/>
      <c r="O3273" s="34" t="s">
        <v>11316</v>
      </c>
      <c r="P3273" s="587" t="s">
        <v>1432</v>
      </c>
    </row>
    <row r="3274" hidden="1">
      <c r="A3274" s="118">
        <v>38.0</v>
      </c>
      <c r="B3274" s="901" t="s">
        <v>11317</v>
      </c>
      <c r="C3274" s="781" t="s">
        <v>651</v>
      </c>
      <c r="D3274" s="857" t="s">
        <v>11318</v>
      </c>
      <c r="E3274" s="857" t="s">
        <v>11319</v>
      </c>
      <c r="F3274" s="781" t="s">
        <v>11320</v>
      </c>
      <c r="G3274" s="894">
        <v>46184.0</v>
      </c>
      <c r="H3274" s="781">
        <v>16.0</v>
      </c>
      <c r="I3274" s="857" t="s">
        <v>2890</v>
      </c>
      <c r="J3274" s="34" t="s">
        <v>11163</v>
      </c>
      <c r="K3274" s="19"/>
      <c r="L3274" s="12" t="s">
        <v>374</v>
      </c>
      <c r="M3274" s="19"/>
      <c r="N3274" s="19"/>
      <c r="O3274" s="34" t="s">
        <v>11321</v>
      </c>
      <c r="P3274" s="587" t="s">
        <v>1432</v>
      </c>
    </row>
    <row r="3275" hidden="1">
      <c r="A3275" s="118">
        <v>39.0</v>
      </c>
      <c r="B3275" s="901" t="s">
        <v>11322</v>
      </c>
      <c r="C3275" s="781" t="s">
        <v>80</v>
      </c>
      <c r="D3275" s="857" t="s">
        <v>11323</v>
      </c>
      <c r="E3275" s="857" t="s">
        <v>11324</v>
      </c>
      <c r="F3275" s="781" t="s">
        <v>11325</v>
      </c>
      <c r="G3275" s="894">
        <v>46184.0</v>
      </c>
      <c r="H3275" s="781">
        <v>16.0</v>
      </c>
      <c r="I3275" s="813" t="s">
        <v>10093</v>
      </c>
      <c r="J3275" s="34" t="s">
        <v>1696</v>
      </c>
      <c r="K3275" s="148">
        <v>46148.0</v>
      </c>
      <c r="L3275" s="12" t="s">
        <v>51</v>
      </c>
      <c r="M3275" s="19"/>
      <c r="N3275" s="19"/>
      <c r="O3275" s="34" t="s">
        <v>11183</v>
      </c>
      <c r="P3275" s="19"/>
    </row>
    <row r="3276" hidden="1">
      <c r="A3276" s="118">
        <v>40.0</v>
      </c>
      <c r="B3276" s="867" t="s">
        <v>11326</v>
      </c>
      <c r="C3276" s="781" t="s">
        <v>8280</v>
      </c>
      <c r="D3276" s="857" t="s">
        <v>11327</v>
      </c>
      <c r="E3276" s="866" t="s">
        <v>11328</v>
      </c>
      <c r="F3276" s="781" t="s">
        <v>3583</v>
      </c>
      <c r="G3276" s="894">
        <v>46182.0</v>
      </c>
      <c r="H3276" s="781">
        <v>14.0</v>
      </c>
      <c r="I3276" s="857" t="s">
        <v>2890</v>
      </c>
      <c r="J3276" s="19"/>
      <c r="K3276" s="19"/>
      <c r="L3276" s="12" t="s">
        <v>778</v>
      </c>
      <c r="M3276" s="19"/>
      <c r="N3276" s="19"/>
      <c r="O3276" s="34" t="s">
        <v>11016</v>
      </c>
      <c r="P3276" s="19"/>
    </row>
    <row r="3277" hidden="1">
      <c r="A3277" s="339" t="s">
        <v>11329</v>
      </c>
    </row>
    <row r="3278" hidden="1">
      <c r="A3278" s="670" t="s">
        <v>47</v>
      </c>
      <c r="B3278" s="670" t="s">
        <v>7</v>
      </c>
      <c r="C3278" s="670" t="s">
        <v>9</v>
      </c>
      <c r="D3278" s="670" t="s">
        <v>10</v>
      </c>
      <c r="E3278" s="670" t="s">
        <v>11</v>
      </c>
      <c r="F3278" s="670" t="s">
        <v>12</v>
      </c>
      <c r="G3278" s="670" t="s">
        <v>2378</v>
      </c>
      <c r="H3278" s="670" t="s">
        <v>2681</v>
      </c>
      <c r="I3278" s="4" t="s">
        <v>2847</v>
      </c>
      <c r="J3278" s="8" t="s">
        <v>14</v>
      </c>
      <c r="K3278" s="9" t="s">
        <v>16</v>
      </c>
      <c r="L3278" s="9" t="s">
        <v>4330</v>
      </c>
      <c r="M3278" s="9" t="s">
        <v>18</v>
      </c>
      <c r="N3278" s="9" t="s">
        <v>19</v>
      </c>
      <c r="O3278" s="9" t="s">
        <v>20</v>
      </c>
      <c r="P3278" s="9" t="s">
        <v>21</v>
      </c>
    </row>
    <row r="3279" hidden="1">
      <c r="A3279" s="760">
        <v>1.0</v>
      </c>
      <c r="B3279" s="889" t="s">
        <v>11330</v>
      </c>
      <c r="C3279" s="778" t="s">
        <v>80</v>
      </c>
      <c r="D3279" s="890" t="s">
        <v>11331</v>
      </c>
      <c r="E3279" s="853" t="s">
        <v>11332</v>
      </c>
      <c r="F3279" s="778" t="s">
        <v>11333</v>
      </c>
      <c r="G3279" s="902">
        <v>46185.0</v>
      </c>
      <c r="H3279" s="778">
        <v>14.0</v>
      </c>
      <c r="I3279" s="853" t="s">
        <v>2890</v>
      </c>
      <c r="J3279" s="34" t="s">
        <v>374</v>
      </c>
      <c r="K3279" s="148">
        <v>46118.0</v>
      </c>
      <c r="L3279" s="12" t="s">
        <v>374</v>
      </c>
      <c r="M3279" s="19"/>
      <c r="N3279" s="19"/>
      <c r="O3279" s="23">
        <v>46271.0</v>
      </c>
      <c r="P3279" s="587" t="s">
        <v>1432</v>
      </c>
    </row>
    <row r="3280" hidden="1">
      <c r="A3280" s="760">
        <v>2.0</v>
      </c>
      <c r="B3280" s="889" t="s">
        <v>11334</v>
      </c>
      <c r="C3280" s="778" t="s">
        <v>80</v>
      </c>
      <c r="D3280" s="890" t="s">
        <v>11335</v>
      </c>
      <c r="E3280" s="853" t="s">
        <v>11336</v>
      </c>
      <c r="F3280" s="778" t="s">
        <v>349</v>
      </c>
      <c r="G3280" s="902">
        <v>46186.0</v>
      </c>
      <c r="H3280" s="778">
        <v>15.0</v>
      </c>
      <c r="I3280" s="809" t="s">
        <v>10093</v>
      </c>
      <c r="J3280" s="19"/>
      <c r="K3280" s="19"/>
      <c r="L3280" s="12" t="s">
        <v>778</v>
      </c>
      <c r="M3280" s="19"/>
      <c r="N3280" s="19"/>
      <c r="O3280" s="148">
        <v>46362.0</v>
      </c>
      <c r="P3280" s="587" t="s">
        <v>1432</v>
      </c>
    </row>
    <row r="3281" hidden="1">
      <c r="A3281" s="118">
        <v>3.0</v>
      </c>
      <c r="B3281" s="892" t="s">
        <v>11337</v>
      </c>
      <c r="C3281" s="781" t="s">
        <v>80</v>
      </c>
      <c r="D3281" s="893" t="s">
        <v>11338</v>
      </c>
      <c r="E3281" s="866" t="s">
        <v>11339</v>
      </c>
      <c r="F3281" s="781" t="s">
        <v>3928</v>
      </c>
      <c r="G3281" s="903">
        <v>46183.0</v>
      </c>
      <c r="H3281" s="781">
        <v>12.0</v>
      </c>
      <c r="I3281" s="857" t="s">
        <v>2890</v>
      </c>
      <c r="J3281" s="19"/>
      <c r="K3281" s="19"/>
      <c r="L3281" s="12" t="s">
        <v>9469</v>
      </c>
      <c r="M3281" s="19"/>
      <c r="N3281" s="19"/>
      <c r="O3281" s="478">
        <v>46087.0</v>
      </c>
      <c r="P3281" s="19"/>
    </row>
    <row r="3282" hidden="1">
      <c r="A3282" s="118">
        <v>4.0</v>
      </c>
      <c r="B3282" s="892" t="s">
        <v>11340</v>
      </c>
      <c r="C3282" s="781" t="s">
        <v>80</v>
      </c>
      <c r="D3282" s="893" t="s">
        <v>11341</v>
      </c>
      <c r="E3282" s="866" t="s">
        <v>11342</v>
      </c>
      <c r="F3282" s="781" t="s">
        <v>3928</v>
      </c>
      <c r="G3282" s="903">
        <v>46185.0</v>
      </c>
      <c r="H3282" s="781">
        <v>14.0</v>
      </c>
      <c r="I3282" s="813" t="s">
        <v>11343</v>
      </c>
      <c r="J3282" s="19"/>
      <c r="K3282" s="19"/>
      <c r="L3282" s="12" t="s">
        <v>9469</v>
      </c>
      <c r="M3282" s="19"/>
      <c r="N3282" s="19"/>
      <c r="O3282" s="478">
        <v>46087.0</v>
      </c>
      <c r="P3282" s="19"/>
    </row>
    <row r="3283" hidden="1">
      <c r="A3283" s="118">
        <v>5.0</v>
      </c>
      <c r="B3283" s="892" t="s">
        <v>11344</v>
      </c>
      <c r="C3283" s="781" t="s">
        <v>2307</v>
      </c>
      <c r="D3283" s="893" t="s">
        <v>11345</v>
      </c>
      <c r="E3283" s="857" t="s">
        <v>11346</v>
      </c>
      <c r="F3283" s="781" t="s">
        <v>11347</v>
      </c>
      <c r="G3283" s="903">
        <v>46181.0</v>
      </c>
      <c r="H3283" s="781">
        <v>10.0</v>
      </c>
      <c r="I3283" s="813" t="s">
        <v>10198</v>
      </c>
      <c r="J3283" s="34" t="s">
        <v>9213</v>
      </c>
      <c r="K3283" s="19"/>
      <c r="L3283" s="12" t="s">
        <v>699</v>
      </c>
      <c r="M3283" s="19"/>
      <c r="N3283" s="19"/>
      <c r="O3283" s="148">
        <v>46210.0</v>
      </c>
      <c r="P3283" s="587" t="s">
        <v>1432</v>
      </c>
    </row>
    <row r="3284" hidden="1">
      <c r="A3284" s="118">
        <v>6.0</v>
      </c>
      <c r="B3284" s="892" t="s">
        <v>11348</v>
      </c>
      <c r="C3284" s="781" t="s">
        <v>2403</v>
      </c>
      <c r="D3284" s="893" t="s">
        <v>11349</v>
      </c>
      <c r="E3284" s="857" t="s">
        <v>11350</v>
      </c>
      <c r="F3284" s="781" t="s">
        <v>148</v>
      </c>
      <c r="G3284" s="903">
        <v>46176.0</v>
      </c>
      <c r="H3284" s="775">
        <v>5.0</v>
      </c>
      <c r="I3284" s="813" t="s">
        <v>10093</v>
      </c>
      <c r="J3284" s="19"/>
      <c r="K3284" s="19"/>
      <c r="L3284" s="12" t="s">
        <v>699</v>
      </c>
      <c r="M3284" s="19"/>
      <c r="N3284" s="19"/>
      <c r="O3284" s="661">
        <v>46029.0</v>
      </c>
      <c r="P3284" s="587" t="s">
        <v>1432</v>
      </c>
    </row>
    <row r="3285" hidden="1">
      <c r="A3285" s="118">
        <v>7.0</v>
      </c>
      <c r="B3285" s="856" t="s">
        <v>11351</v>
      </c>
      <c r="C3285" s="781" t="s">
        <v>2307</v>
      </c>
      <c r="D3285" s="893" t="s">
        <v>11352</v>
      </c>
      <c r="E3285" s="857" t="s">
        <v>11353</v>
      </c>
      <c r="F3285" s="781" t="s">
        <v>148</v>
      </c>
      <c r="G3285" s="903">
        <v>46176.0</v>
      </c>
      <c r="H3285" s="775">
        <v>5.0</v>
      </c>
      <c r="I3285" s="813" t="s">
        <v>11354</v>
      </c>
      <c r="J3285" s="19"/>
      <c r="K3285" s="19"/>
      <c r="L3285" s="12" t="s">
        <v>699</v>
      </c>
      <c r="M3285" s="19"/>
      <c r="N3285" s="19"/>
      <c r="O3285" s="661">
        <v>46029.0</v>
      </c>
      <c r="P3285" s="587" t="s">
        <v>1432</v>
      </c>
    </row>
    <row r="3286" hidden="1">
      <c r="A3286" s="118">
        <v>8.0</v>
      </c>
      <c r="B3286" s="744" t="s">
        <v>11355</v>
      </c>
      <c r="C3286" s="781" t="s">
        <v>2403</v>
      </c>
      <c r="D3286" s="893" t="s">
        <v>11356</v>
      </c>
      <c r="E3286" s="857" t="s">
        <v>11357</v>
      </c>
      <c r="F3286" s="782" t="s">
        <v>11358</v>
      </c>
      <c r="G3286" s="903">
        <v>46174.0</v>
      </c>
      <c r="H3286" s="775">
        <v>3.0</v>
      </c>
      <c r="I3286" s="857" t="s">
        <v>2890</v>
      </c>
      <c r="J3286" s="19"/>
      <c r="K3286" s="19"/>
      <c r="L3286" s="12" t="s">
        <v>699</v>
      </c>
      <c r="M3286" s="19"/>
      <c r="N3286" s="19"/>
      <c r="O3286" s="143" t="s">
        <v>10815</v>
      </c>
      <c r="P3286" s="19"/>
    </row>
    <row r="3287" hidden="1">
      <c r="A3287" s="118">
        <v>9.0</v>
      </c>
      <c r="B3287" s="744" t="s">
        <v>11359</v>
      </c>
      <c r="C3287" s="781" t="s">
        <v>80</v>
      </c>
      <c r="D3287" s="893" t="s">
        <v>11360</v>
      </c>
      <c r="E3287" s="857" t="s">
        <v>11361</v>
      </c>
      <c r="F3287" s="781" t="s">
        <v>9068</v>
      </c>
      <c r="G3287" s="903">
        <v>46182.0</v>
      </c>
      <c r="H3287" s="781">
        <v>11.0</v>
      </c>
      <c r="I3287" s="857" t="s">
        <v>2890</v>
      </c>
      <c r="J3287" s="19"/>
      <c r="K3287" s="19"/>
      <c r="L3287" s="292" t="s">
        <v>4195</v>
      </c>
      <c r="M3287" s="19"/>
      <c r="N3287" s="19"/>
      <c r="O3287" s="34" t="s">
        <v>11176</v>
      </c>
      <c r="P3287" s="587" t="s">
        <v>1432</v>
      </c>
    </row>
    <row r="3288" hidden="1">
      <c r="A3288" s="118">
        <v>10.0</v>
      </c>
      <c r="B3288" s="744" t="s">
        <v>11362</v>
      </c>
      <c r="C3288" s="781" t="s">
        <v>651</v>
      </c>
      <c r="D3288" s="893" t="s">
        <v>11363</v>
      </c>
      <c r="E3288" s="857" t="s">
        <v>11364</v>
      </c>
      <c r="F3288" s="781" t="s">
        <v>4779</v>
      </c>
      <c r="G3288" s="903">
        <v>46181.0</v>
      </c>
      <c r="H3288" s="781">
        <v>10.0</v>
      </c>
      <c r="I3288" s="857" t="s">
        <v>2890</v>
      </c>
      <c r="J3288" s="19"/>
      <c r="K3288" s="19"/>
      <c r="L3288" s="12" t="s">
        <v>374</v>
      </c>
      <c r="M3288" s="19"/>
      <c r="N3288" s="19"/>
      <c r="O3288" s="34" t="s">
        <v>10573</v>
      </c>
      <c r="P3288" s="587" t="s">
        <v>1432</v>
      </c>
    </row>
    <row r="3289" hidden="1">
      <c r="A3289" s="118">
        <v>11.0</v>
      </c>
      <c r="B3289" s="744" t="s">
        <v>11365</v>
      </c>
      <c r="C3289" s="781" t="s">
        <v>651</v>
      </c>
      <c r="D3289" s="893" t="s">
        <v>11366</v>
      </c>
      <c r="E3289" s="857" t="s">
        <v>11367</v>
      </c>
      <c r="F3289" s="781" t="s">
        <v>310</v>
      </c>
      <c r="G3289" s="903">
        <v>46181.0</v>
      </c>
      <c r="H3289" s="781">
        <v>10.0</v>
      </c>
      <c r="I3289" s="857" t="s">
        <v>2890</v>
      </c>
      <c r="J3289" s="34" t="s">
        <v>51</v>
      </c>
      <c r="K3289" s="148">
        <v>46148.0</v>
      </c>
      <c r="L3289" s="12" t="s">
        <v>51</v>
      </c>
      <c r="M3289" s="19"/>
      <c r="N3289" s="34"/>
      <c r="O3289" s="34" t="s">
        <v>10652</v>
      </c>
      <c r="P3289" s="19"/>
    </row>
    <row r="3290" hidden="1">
      <c r="A3290" s="118">
        <v>12.0</v>
      </c>
      <c r="B3290" s="744" t="s">
        <v>11368</v>
      </c>
      <c r="C3290" s="781" t="s">
        <v>80</v>
      </c>
      <c r="D3290" s="893" t="s">
        <v>11369</v>
      </c>
      <c r="E3290" s="857" t="s">
        <v>11370</v>
      </c>
      <c r="F3290" s="781" t="s">
        <v>556</v>
      </c>
      <c r="G3290" s="903">
        <v>46181.0</v>
      </c>
      <c r="H3290" s="781">
        <v>10.0</v>
      </c>
      <c r="I3290" s="857" t="s">
        <v>2890</v>
      </c>
      <c r="J3290" s="19"/>
      <c r="K3290" s="19"/>
      <c r="L3290" s="292" t="s">
        <v>4195</v>
      </c>
      <c r="M3290" s="19"/>
      <c r="N3290" s="34" t="s">
        <v>11371</v>
      </c>
      <c r="O3290" s="34" t="s">
        <v>11372</v>
      </c>
      <c r="P3290" s="19"/>
    </row>
    <row r="3291" hidden="1">
      <c r="A3291" s="118">
        <v>13.0</v>
      </c>
      <c r="B3291" s="744" t="s">
        <v>11373</v>
      </c>
      <c r="C3291" s="781" t="s">
        <v>80</v>
      </c>
      <c r="D3291" s="893" t="s">
        <v>11374</v>
      </c>
      <c r="E3291" s="857" t="s">
        <v>11375</v>
      </c>
      <c r="F3291" s="781" t="s">
        <v>556</v>
      </c>
      <c r="G3291" s="903">
        <v>46181.0</v>
      </c>
      <c r="H3291" s="781">
        <v>10.0</v>
      </c>
      <c r="I3291" s="857" t="s">
        <v>2890</v>
      </c>
      <c r="J3291" s="19"/>
      <c r="K3291" s="19"/>
      <c r="L3291" s="12" t="s">
        <v>374</v>
      </c>
      <c r="M3291" s="19"/>
      <c r="N3291" s="34" t="s">
        <v>11376</v>
      </c>
      <c r="O3291" s="34" t="s">
        <v>11183</v>
      </c>
      <c r="P3291" s="19"/>
    </row>
    <row r="3292" hidden="1">
      <c r="A3292" s="118">
        <v>14.0</v>
      </c>
      <c r="B3292" s="744" t="s">
        <v>11377</v>
      </c>
      <c r="C3292" s="781" t="s">
        <v>80</v>
      </c>
      <c r="D3292" s="893" t="s">
        <v>11378</v>
      </c>
      <c r="E3292" s="857" t="s">
        <v>11379</v>
      </c>
      <c r="F3292" s="781" t="s">
        <v>556</v>
      </c>
      <c r="G3292" s="903">
        <v>46181.0</v>
      </c>
      <c r="H3292" s="781">
        <v>10.0</v>
      </c>
      <c r="I3292" s="813" t="s">
        <v>10093</v>
      </c>
      <c r="J3292" s="19"/>
      <c r="K3292" s="19"/>
      <c r="L3292" s="12" t="s">
        <v>51</v>
      </c>
      <c r="M3292" s="19"/>
      <c r="N3292" s="19"/>
      <c r="O3292" s="34" t="s">
        <v>10652</v>
      </c>
      <c r="P3292" s="19"/>
    </row>
    <row r="3293" hidden="1">
      <c r="A3293" s="118">
        <v>15.0</v>
      </c>
      <c r="B3293" s="744" t="s">
        <v>11380</v>
      </c>
      <c r="C3293" s="781" t="s">
        <v>2307</v>
      </c>
      <c r="D3293" s="893" t="s">
        <v>11381</v>
      </c>
      <c r="E3293" s="857" t="s">
        <v>11382</v>
      </c>
      <c r="F3293" s="781" t="s">
        <v>4297</v>
      </c>
      <c r="G3293" s="903">
        <v>46171.0</v>
      </c>
      <c r="H3293" s="775">
        <v>0.0</v>
      </c>
      <c r="I3293" s="857" t="s">
        <v>2890</v>
      </c>
      <c r="J3293" s="19"/>
      <c r="K3293" s="19"/>
      <c r="L3293" s="12" t="s">
        <v>699</v>
      </c>
      <c r="M3293" s="19"/>
      <c r="N3293" s="19"/>
      <c r="O3293" s="143" t="s">
        <v>10815</v>
      </c>
      <c r="P3293" s="19"/>
    </row>
    <row r="3294" hidden="1">
      <c r="A3294" s="118">
        <v>16.0</v>
      </c>
      <c r="B3294" s="744" t="s">
        <v>11383</v>
      </c>
      <c r="C3294" s="781" t="s">
        <v>2403</v>
      </c>
      <c r="D3294" s="893" t="s">
        <v>11384</v>
      </c>
      <c r="E3294" s="857" t="s">
        <v>11385</v>
      </c>
      <c r="F3294" s="781" t="s">
        <v>148</v>
      </c>
      <c r="G3294" s="903">
        <v>46172.0</v>
      </c>
      <c r="H3294" s="775">
        <v>1.0</v>
      </c>
      <c r="I3294" s="857" t="s">
        <v>2890</v>
      </c>
      <c r="J3294" s="19"/>
      <c r="K3294" s="19"/>
      <c r="L3294" s="12" t="s">
        <v>699</v>
      </c>
      <c r="M3294" s="19"/>
      <c r="N3294" s="19"/>
      <c r="O3294" s="148">
        <v>46272.0</v>
      </c>
      <c r="P3294" s="19"/>
    </row>
    <row r="3295" hidden="1">
      <c r="A3295" s="118">
        <v>17.0</v>
      </c>
      <c r="B3295" s="892" t="s">
        <v>11386</v>
      </c>
      <c r="C3295" s="781" t="s">
        <v>80</v>
      </c>
      <c r="D3295" s="893" t="s">
        <v>11387</v>
      </c>
      <c r="E3295" s="904" t="s">
        <v>11388</v>
      </c>
      <c r="F3295" s="781" t="s">
        <v>8964</v>
      </c>
      <c r="G3295" s="903">
        <v>46185.0</v>
      </c>
      <c r="H3295" s="781">
        <v>14.0</v>
      </c>
      <c r="I3295" s="857" t="s">
        <v>2890</v>
      </c>
      <c r="J3295" s="19"/>
      <c r="K3295" s="19"/>
      <c r="L3295" s="12" t="s">
        <v>778</v>
      </c>
      <c r="M3295" s="19"/>
      <c r="N3295" s="19"/>
      <c r="O3295" s="34" t="s">
        <v>10825</v>
      </c>
      <c r="P3295" s="19"/>
    </row>
    <row r="3296" hidden="1">
      <c r="A3296" s="118">
        <v>18.0</v>
      </c>
      <c r="B3296" s="744" t="s">
        <v>11389</v>
      </c>
      <c r="C3296" s="781" t="s">
        <v>80</v>
      </c>
      <c r="D3296" s="893" t="s">
        <v>11390</v>
      </c>
      <c r="E3296" s="904" t="s">
        <v>11391</v>
      </c>
      <c r="F3296" s="781" t="s">
        <v>8964</v>
      </c>
      <c r="G3296" s="903">
        <v>46185.0</v>
      </c>
      <c r="H3296" s="781">
        <v>14.0</v>
      </c>
      <c r="I3296" s="857" t="s">
        <v>2890</v>
      </c>
      <c r="J3296" s="19"/>
      <c r="K3296" s="19"/>
      <c r="L3296" s="12" t="s">
        <v>778</v>
      </c>
      <c r="M3296" s="19"/>
      <c r="N3296" s="19"/>
      <c r="O3296" s="34" t="s">
        <v>10825</v>
      </c>
      <c r="P3296" s="19"/>
    </row>
    <row r="3297" hidden="1">
      <c r="A3297" s="118">
        <v>19.0</v>
      </c>
      <c r="B3297" s="744" t="s">
        <v>11392</v>
      </c>
      <c r="C3297" s="781" t="s">
        <v>80</v>
      </c>
      <c r="D3297" s="893" t="s">
        <v>11393</v>
      </c>
      <c r="E3297" s="857" t="s">
        <v>11394</v>
      </c>
      <c r="F3297" s="781" t="s">
        <v>556</v>
      </c>
      <c r="G3297" s="903">
        <v>46185.0</v>
      </c>
      <c r="H3297" s="781">
        <v>14.0</v>
      </c>
      <c r="I3297" s="813" t="s">
        <v>9194</v>
      </c>
      <c r="J3297" s="19"/>
      <c r="K3297" s="19"/>
      <c r="L3297" s="292" t="s">
        <v>374</v>
      </c>
      <c r="M3297" s="19"/>
      <c r="N3297" s="12" t="s">
        <v>11395</v>
      </c>
      <c r="O3297" s="12" t="s">
        <v>11396</v>
      </c>
      <c r="P3297" s="19"/>
    </row>
    <row r="3298" hidden="1">
      <c r="A3298" s="118">
        <v>20.0</v>
      </c>
      <c r="B3298" s="744" t="s">
        <v>11397</v>
      </c>
      <c r="C3298" s="781" t="s">
        <v>5937</v>
      </c>
      <c r="D3298" s="893" t="s">
        <v>11398</v>
      </c>
      <c r="E3298" s="905" t="s">
        <v>11399</v>
      </c>
      <c r="F3298" s="781" t="s">
        <v>243</v>
      </c>
      <c r="G3298" s="903">
        <v>46185.0</v>
      </c>
      <c r="H3298" s="781">
        <v>14.0</v>
      </c>
      <c r="I3298" s="813" t="s">
        <v>10690</v>
      </c>
      <c r="J3298" s="34" t="s">
        <v>1696</v>
      </c>
      <c r="K3298" s="148">
        <v>46118.0</v>
      </c>
      <c r="L3298" s="12" t="s">
        <v>51</v>
      </c>
      <c r="M3298" s="19"/>
      <c r="N3298" s="19"/>
      <c r="O3298" s="148">
        <v>46118.0</v>
      </c>
      <c r="P3298" s="19"/>
    </row>
    <row r="3299" hidden="1">
      <c r="A3299" s="118">
        <v>21.0</v>
      </c>
      <c r="B3299" s="744" t="s">
        <v>11400</v>
      </c>
      <c r="C3299" s="781" t="s">
        <v>5937</v>
      </c>
      <c r="D3299" s="893" t="s">
        <v>11401</v>
      </c>
      <c r="E3299" s="904" t="s">
        <v>11402</v>
      </c>
      <c r="F3299" s="781" t="s">
        <v>243</v>
      </c>
      <c r="G3299" s="903">
        <v>46185.0</v>
      </c>
      <c r="H3299" s="781">
        <v>14.0</v>
      </c>
      <c r="I3299" s="813" t="s">
        <v>11403</v>
      </c>
      <c r="J3299" s="19"/>
      <c r="K3299" s="19"/>
      <c r="L3299" s="12" t="s">
        <v>4195</v>
      </c>
      <c r="M3299" s="19"/>
      <c r="N3299" s="19"/>
      <c r="O3299" s="34" t="s">
        <v>11404</v>
      </c>
      <c r="P3299" s="587" t="s">
        <v>1432</v>
      </c>
    </row>
    <row r="3300" hidden="1">
      <c r="A3300" s="118">
        <v>22.0</v>
      </c>
      <c r="B3300" s="892" t="s">
        <v>11405</v>
      </c>
      <c r="C3300" s="781" t="s">
        <v>5937</v>
      </c>
      <c r="D3300" s="893" t="s">
        <v>11406</v>
      </c>
      <c r="E3300" s="904" t="s">
        <v>11407</v>
      </c>
      <c r="F3300" s="781" t="s">
        <v>243</v>
      </c>
      <c r="G3300" s="903">
        <v>46185.0</v>
      </c>
      <c r="H3300" s="781">
        <v>14.0</v>
      </c>
      <c r="I3300" s="857" t="s">
        <v>2890</v>
      </c>
      <c r="J3300" s="19"/>
      <c r="K3300" s="19"/>
      <c r="L3300" s="12" t="s">
        <v>4195</v>
      </c>
      <c r="M3300" s="19"/>
      <c r="N3300" s="19"/>
      <c r="O3300" s="34" t="s">
        <v>11404</v>
      </c>
      <c r="P3300" s="587" t="s">
        <v>1432</v>
      </c>
    </row>
    <row r="3301" hidden="1">
      <c r="A3301" s="118">
        <v>23.0</v>
      </c>
      <c r="B3301" s="892" t="s">
        <v>11408</v>
      </c>
      <c r="C3301" s="781" t="s">
        <v>80</v>
      </c>
      <c r="D3301" s="893" t="s">
        <v>11409</v>
      </c>
      <c r="E3301" s="857" t="s">
        <v>11410</v>
      </c>
      <c r="F3301" s="781" t="s">
        <v>9068</v>
      </c>
      <c r="G3301" s="903">
        <v>46186.0</v>
      </c>
      <c r="H3301" s="781">
        <v>15.0</v>
      </c>
      <c r="I3301" s="813" t="s">
        <v>10093</v>
      </c>
      <c r="J3301" s="19"/>
      <c r="K3301" s="19"/>
      <c r="L3301" s="12" t="s">
        <v>4195</v>
      </c>
      <c r="M3301" s="19"/>
      <c r="N3301" s="19"/>
      <c r="O3301" s="34" t="s">
        <v>11411</v>
      </c>
      <c r="P3301" s="587" t="s">
        <v>1432</v>
      </c>
    </row>
    <row r="3302" hidden="1">
      <c r="A3302" s="118">
        <v>24.0</v>
      </c>
      <c r="B3302" s="892" t="s">
        <v>11412</v>
      </c>
      <c r="C3302" s="781" t="s">
        <v>80</v>
      </c>
      <c r="D3302" s="893" t="s">
        <v>11413</v>
      </c>
      <c r="E3302" s="866" t="s">
        <v>11414</v>
      </c>
      <c r="F3302" s="781" t="s">
        <v>3583</v>
      </c>
      <c r="G3302" s="903">
        <v>46182.0</v>
      </c>
      <c r="H3302" s="781">
        <v>11.0</v>
      </c>
      <c r="I3302" s="813" t="s">
        <v>10093</v>
      </c>
      <c r="J3302" s="19"/>
      <c r="K3302" s="19"/>
      <c r="L3302" s="304" t="s">
        <v>778</v>
      </c>
      <c r="M3302" s="19"/>
      <c r="N3302" s="19"/>
      <c r="O3302" s="34" t="s">
        <v>11016</v>
      </c>
      <c r="P3302" s="19"/>
    </row>
    <row r="3303" hidden="1">
      <c r="A3303" s="118">
        <v>25.0</v>
      </c>
      <c r="B3303" s="744" t="s">
        <v>11415</v>
      </c>
      <c r="C3303" s="781" t="s">
        <v>651</v>
      </c>
      <c r="D3303" s="893" t="s">
        <v>11416</v>
      </c>
      <c r="E3303" s="857" t="s">
        <v>11417</v>
      </c>
      <c r="F3303" s="781" t="s">
        <v>4779</v>
      </c>
      <c r="G3303" s="903">
        <v>46187.0</v>
      </c>
      <c r="H3303" s="781">
        <v>16.0</v>
      </c>
      <c r="I3303" s="857" t="s">
        <v>2890</v>
      </c>
      <c r="J3303" s="34" t="s">
        <v>51</v>
      </c>
      <c r="K3303" s="148">
        <v>46179.0</v>
      </c>
      <c r="L3303" s="12" t="s">
        <v>51</v>
      </c>
      <c r="M3303" s="19"/>
      <c r="N3303" s="19"/>
      <c r="O3303" s="34" t="s">
        <v>10573</v>
      </c>
      <c r="P3303" s="587" t="s">
        <v>1432</v>
      </c>
    </row>
    <row r="3304" hidden="1">
      <c r="A3304" s="118">
        <v>26.0</v>
      </c>
      <c r="B3304" s="744" t="s">
        <v>11418</v>
      </c>
      <c r="C3304" s="781" t="s">
        <v>80</v>
      </c>
      <c r="D3304" s="893" t="s">
        <v>11419</v>
      </c>
      <c r="E3304" s="904" t="s">
        <v>11420</v>
      </c>
      <c r="F3304" s="781" t="s">
        <v>5949</v>
      </c>
      <c r="G3304" s="903">
        <v>46187.0</v>
      </c>
      <c r="H3304" s="781">
        <v>16.0</v>
      </c>
      <c r="I3304" s="857" t="s">
        <v>2890</v>
      </c>
      <c r="J3304" s="34" t="s">
        <v>11421</v>
      </c>
      <c r="K3304" s="19"/>
      <c r="L3304" s="12" t="s">
        <v>374</v>
      </c>
      <c r="M3304" s="19"/>
      <c r="N3304" s="19"/>
      <c r="O3304" s="34" t="s">
        <v>11187</v>
      </c>
      <c r="P3304" s="587" t="s">
        <v>1432</v>
      </c>
    </row>
    <row r="3305" hidden="1">
      <c r="A3305" s="118">
        <v>27.0</v>
      </c>
      <c r="B3305" s="744" t="s">
        <v>11422</v>
      </c>
      <c r="C3305" s="781" t="s">
        <v>80</v>
      </c>
      <c r="D3305" s="893" t="s">
        <v>11423</v>
      </c>
      <c r="E3305" s="904" t="s">
        <v>11424</v>
      </c>
      <c r="F3305" s="781" t="s">
        <v>5949</v>
      </c>
      <c r="G3305" s="903">
        <v>46187.0</v>
      </c>
      <c r="H3305" s="781">
        <v>16.0</v>
      </c>
      <c r="I3305" s="857" t="s">
        <v>2890</v>
      </c>
      <c r="J3305" s="34" t="s">
        <v>11421</v>
      </c>
      <c r="K3305" s="19"/>
      <c r="L3305" s="292" t="s">
        <v>374</v>
      </c>
      <c r="M3305" s="19"/>
      <c r="N3305" s="19"/>
      <c r="O3305" s="34" t="s">
        <v>11187</v>
      </c>
      <c r="P3305" s="587" t="s">
        <v>1432</v>
      </c>
    </row>
    <row r="3306" hidden="1">
      <c r="A3306" s="118">
        <v>28.0</v>
      </c>
      <c r="B3306" s="744" t="s">
        <v>11425</v>
      </c>
      <c r="C3306" s="781" t="s">
        <v>80</v>
      </c>
      <c r="D3306" s="893" t="s">
        <v>11426</v>
      </c>
      <c r="E3306" s="857" t="s">
        <v>11427</v>
      </c>
      <c r="F3306" s="781" t="s">
        <v>11428</v>
      </c>
      <c r="G3306" s="903">
        <v>46187.0</v>
      </c>
      <c r="H3306" s="781">
        <v>16.0</v>
      </c>
      <c r="I3306" s="857" t="s">
        <v>2890</v>
      </c>
      <c r="J3306" s="34" t="s">
        <v>374</v>
      </c>
      <c r="K3306" s="34" t="s">
        <v>10573</v>
      </c>
      <c r="L3306" s="12" t="s">
        <v>374</v>
      </c>
      <c r="M3306" s="19"/>
      <c r="N3306" s="34"/>
      <c r="O3306" s="34" t="s">
        <v>11183</v>
      </c>
      <c r="P3306" s="587" t="s">
        <v>1432</v>
      </c>
    </row>
    <row r="3307" hidden="1">
      <c r="A3307" s="118">
        <v>29.0</v>
      </c>
      <c r="B3307" s="744" t="s">
        <v>11429</v>
      </c>
      <c r="C3307" s="781" t="s">
        <v>80</v>
      </c>
      <c r="D3307" s="893" t="s">
        <v>11430</v>
      </c>
      <c r="E3307" s="857" t="s">
        <v>11431</v>
      </c>
      <c r="F3307" s="781" t="s">
        <v>1299</v>
      </c>
      <c r="G3307" s="903">
        <v>46187.0</v>
      </c>
      <c r="H3307" s="781">
        <v>16.0</v>
      </c>
      <c r="I3307" s="857" t="s">
        <v>2890</v>
      </c>
      <c r="J3307" s="34" t="s">
        <v>11432</v>
      </c>
      <c r="K3307" s="19"/>
      <c r="L3307" s="12" t="s">
        <v>51</v>
      </c>
      <c r="M3307" s="19"/>
      <c r="N3307" s="19"/>
      <c r="O3307" s="34" t="s">
        <v>11183</v>
      </c>
      <c r="P3307" s="587" t="s">
        <v>1432</v>
      </c>
    </row>
    <row r="3308" hidden="1">
      <c r="A3308" s="118">
        <v>30.0</v>
      </c>
      <c r="B3308" s="892" t="s">
        <v>11433</v>
      </c>
      <c r="C3308" s="781" t="s">
        <v>80</v>
      </c>
      <c r="D3308" s="893" t="s">
        <v>11434</v>
      </c>
      <c r="E3308" s="857" t="s">
        <v>11435</v>
      </c>
      <c r="F3308" s="781" t="s">
        <v>11436</v>
      </c>
      <c r="G3308" s="903">
        <v>46188.0</v>
      </c>
      <c r="H3308" s="781">
        <v>17.0</v>
      </c>
      <c r="I3308" s="857" t="s">
        <v>2890</v>
      </c>
      <c r="J3308" s="19"/>
      <c r="K3308" s="19"/>
      <c r="L3308" s="12" t="s">
        <v>778</v>
      </c>
      <c r="M3308" s="19"/>
      <c r="N3308" s="19"/>
      <c r="O3308" s="34" t="s">
        <v>11437</v>
      </c>
      <c r="P3308" s="19"/>
    </row>
    <row r="3309" hidden="1">
      <c r="A3309" s="118">
        <v>31.0</v>
      </c>
      <c r="B3309" s="892" t="s">
        <v>11438</v>
      </c>
      <c r="C3309" s="781" t="s">
        <v>80</v>
      </c>
      <c r="D3309" s="893" t="s">
        <v>11439</v>
      </c>
      <c r="E3309" s="857" t="s">
        <v>11440</v>
      </c>
      <c r="F3309" s="781" t="s">
        <v>11441</v>
      </c>
      <c r="G3309" s="903">
        <v>46188.0</v>
      </c>
      <c r="H3309" s="781">
        <v>17.0</v>
      </c>
      <c r="I3309" s="857" t="s">
        <v>2890</v>
      </c>
      <c r="J3309" s="19"/>
      <c r="K3309" s="19"/>
      <c r="L3309" s="12" t="s">
        <v>778</v>
      </c>
      <c r="M3309" s="19"/>
      <c r="N3309" s="19"/>
      <c r="O3309" s="34" t="s">
        <v>11308</v>
      </c>
      <c r="P3309" s="19"/>
    </row>
    <row r="3310" hidden="1">
      <c r="A3310" s="118">
        <v>32.0</v>
      </c>
      <c r="B3310" s="892" t="s">
        <v>11442</v>
      </c>
      <c r="C3310" s="781" t="s">
        <v>80</v>
      </c>
      <c r="D3310" s="893" t="s">
        <v>11443</v>
      </c>
      <c r="E3310" s="866" t="s">
        <v>11444</v>
      </c>
      <c r="F3310" s="781" t="s">
        <v>3928</v>
      </c>
      <c r="G3310" s="903">
        <v>46183.0</v>
      </c>
      <c r="H3310" s="781">
        <v>12.0</v>
      </c>
      <c r="I3310" s="813" t="s">
        <v>10198</v>
      </c>
      <c r="J3310" s="19"/>
      <c r="K3310" s="19"/>
      <c r="L3310" s="12" t="s">
        <v>9469</v>
      </c>
      <c r="M3310" s="19"/>
      <c r="N3310" s="19"/>
      <c r="O3310" s="34" t="s">
        <v>1121</v>
      </c>
      <c r="P3310" s="19"/>
    </row>
    <row r="3311" hidden="1">
      <c r="A3311" s="118">
        <v>33.0</v>
      </c>
      <c r="B3311" s="892" t="s">
        <v>11445</v>
      </c>
      <c r="C3311" s="781" t="s">
        <v>80</v>
      </c>
      <c r="D3311" s="893" t="s">
        <v>11446</v>
      </c>
      <c r="E3311" s="866" t="s">
        <v>11447</v>
      </c>
      <c r="F3311" s="781" t="s">
        <v>3928</v>
      </c>
      <c r="G3311" s="903">
        <v>46183.0</v>
      </c>
      <c r="H3311" s="781">
        <v>12.0</v>
      </c>
      <c r="I3311" s="857" t="s">
        <v>2890</v>
      </c>
      <c r="J3311" s="19"/>
      <c r="K3311" s="19"/>
      <c r="L3311" s="12" t="s">
        <v>9469</v>
      </c>
      <c r="M3311" s="19"/>
      <c r="N3311" s="19"/>
      <c r="O3311" s="34" t="s">
        <v>1121</v>
      </c>
      <c r="P3311" s="19"/>
    </row>
    <row r="3312" hidden="1">
      <c r="A3312" s="118">
        <v>34.0</v>
      </c>
      <c r="B3312" s="892" t="s">
        <v>11448</v>
      </c>
      <c r="C3312" s="781" t="s">
        <v>80</v>
      </c>
      <c r="D3312" s="893" t="s">
        <v>11449</v>
      </c>
      <c r="E3312" s="866" t="s">
        <v>11450</v>
      </c>
      <c r="F3312" s="781" t="s">
        <v>3928</v>
      </c>
      <c r="G3312" s="903">
        <v>46183.0</v>
      </c>
      <c r="H3312" s="781">
        <v>12.0</v>
      </c>
      <c r="I3312" s="857" t="s">
        <v>2890</v>
      </c>
      <c r="J3312" s="19"/>
      <c r="K3312" s="19"/>
      <c r="L3312" s="12" t="s">
        <v>9469</v>
      </c>
      <c r="M3312" s="19"/>
      <c r="N3312" s="19"/>
      <c r="O3312" s="34" t="s">
        <v>1121</v>
      </c>
      <c r="P3312" s="19"/>
    </row>
    <row r="3313" hidden="1">
      <c r="A3313" s="118">
        <v>35.0</v>
      </c>
      <c r="B3313" s="892" t="s">
        <v>11451</v>
      </c>
      <c r="C3313" s="781" t="s">
        <v>80</v>
      </c>
      <c r="D3313" s="893" t="s">
        <v>11452</v>
      </c>
      <c r="E3313" s="866" t="s">
        <v>11453</v>
      </c>
      <c r="F3313" s="781" t="s">
        <v>3928</v>
      </c>
      <c r="G3313" s="903">
        <v>46183.0</v>
      </c>
      <c r="H3313" s="781">
        <v>12.0</v>
      </c>
      <c r="I3313" s="813" t="s">
        <v>10093</v>
      </c>
      <c r="J3313" s="19"/>
      <c r="K3313" s="19"/>
      <c r="L3313" s="12" t="s">
        <v>9469</v>
      </c>
      <c r="M3313" s="19"/>
      <c r="N3313" s="19"/>
      <c r="O3313" s="34" t="s">
        <v>11454</v>
      </c>
      <c r="P3313" s="19"/>
    </row>
    <row r="3314" hidden="1">
      <c r="A3314" s="118">
        <v>36.0</v>
      </c>
      <c r="B3314" s="892" t="s">
        <v>11455</v>
      </c>
      <c r="C3314" s="781" t="s">
        <v>80</v>
      </c>
      <c r="D3314" s="893" t="s">
        <v>11456</v>
      </c>
      <c r="E3314" s="866" t="s">
        <v>11457</v>
      </c>
      <c r="F3314" s="782" t="s">
        <v>3928</v>
      </c>
      <c r="G3314" s="903">
        <v>46183.0</v>
      </c>
      <c r="H3314" s="781">
        <v>12.0</v>
      </c>
      <c r="I3314" s="857" t="s">
        <v>2890</v>
      </c>
      <c r="J3314" s="19"/>
      <c r="K3314" s="19"/>
      <c r="L3314" s="12" t="s">
        <v>9469</v>
      </c>
      <c r="M3314" s="19"/>
      <c r="N3314" s="19"/>
      <c r="O3314" s="34" t="s">
        <v>11454</v>
      </c>
      <c r="P3314" s="19"/>
    </row>
    <row r="3315" hidden="1">
      <c r="A3315" s="118">
        <v>37.0</v>
      </c>
      <c r="B3315" s="892" t="s">
        <v>11458</v>
      </c>
      <c r="C3315" s="781" t="s">
        <v>80</v>
      </c>
      <c r="D3315" s="893" t="s">
        <v>11459</v>
      </c>
      <c r="E3315" s="857" t="s">
        <v>11460</v>
      </c>
      <c r="F3315" s="782" t="s">
        <v>11461</v>
      </c>
      <c r="G3315" s="903">
        <v>46191.0</v>
      </c>
      <c r="H3315" s="781">
        <v>20.0</v>
      </c>
      <c r="I3315" s="857" t="s">
        <v>2890</v>
      </c>
      <c r="J3315" s="19"/>
      <c r="K3315" s="19"/>
      <c r="L3315" s="292" t="s">
        <v>4195</v>
      </c>
      <c r="M3315" s="19"/>
      <c r="N3315" s="19"/>
      <c r="O3315" s="34" t="s">
        <v>11404</v>
      </c>
      <c r="P3315" s="19"/>
    </row>
    <row r="3316" hidden="1">
      <c r="A3316" s="118">
        <v>38.0</v>
      </c>
      <c r="B3316" s="892" t="s">
        <v>11462</v>
      </c>
      <c r="C3316" s="781" t="s">
        <v>80</v>
      </c>
      <c r="D3316" s="893" t="s">
        <v>11463</v>
      </c>
      <c r="E3316" s="866" t="s">
        <v>11464</v>
      </c>
      <c r="F3316" s="781" t="s">
        <v>3583</v>
      </c>
      <c r="G3316" s="903">
        <v>46185.0</v>
      </c>
      <c r="H3316" s="781">
        <v>14.0</v>
      </c>
      <c r="I3316" s="857" t="s">
        <v>2890</v>
      </c>
      <c r="J3316" s="19"/>
      <c r="K3316" s="19"/>
      <c r="L3316" s="12" t="s">
        <v>778</v>
      </c>
      <c r="M3316" s="19"/>
      <c r="N3316" s="19"/>
      <c r="O3316" s="34" t="s">
        <v>11465</v>
      </c>
      <c r="P3316" s="19"/>
    </row>
    <row r="3317" hidden="1">
      <c r="A3317" s="118">
        <v>39.0</v>
      </c>
      <c r="B3317" s="892" t="s">
        <v>11466</v>
      </c>
      <c r="C3317" s="781" t="s">
        <v>80</v>
      </c>
      <c r="D3317" s="893" t="s">
        <v>11467</v>
      </c>
      <c r="E3317" s="904" t="s">
        <v>11468</v>
      </c>
      <c r="F3317" s="781" t="s">
        <v>535</v>
      </c>
      <c r="G3317" s="903">
        <v>46190.0</v>
      </c>
      <c r="H3317" s="781">
        <v>19.0</v>
      </c>
      <c r="I3317" s="857" t="s">
        <v>2890</v>
      </c>
      <c r="J3317" s="34" t="s">
        <v>1696</v>
      </c>
      <c r="K3317" s="19"/>
      <c r="L3317" s="12" t="s">
        <v>51</v>
      </c>
      <c r="M3317" s="19"/>
      <c r="N3317" s="19"/>
      <c r="O3317" s="34" t="s">
        <v>11469</v>
      </c>
      <c r="P3317" s="587" t="s">
        <v>1432</v>
      </c>
    </row>
    <row r="3318" hidden="1">
      <c r="A3318" s="118">
        <v>40.0</v>
      </c>
      <c r="B3318" s="892" t="s">
        <v>11470</v>
      </c>
      <c r="C3318" s="781" t="s">
        <v>80</v>
      </c>
      <c r="D3318" s="893" t="s">
        <v>11471</v>
      </c>
      <c r="E3318" s="904" t="s">
        <v>11472</v>
      </c>
      <c r="F3318" s="781" t="s">
        <v>535</v>
      </c>
      <c r="G3318" s="903">
        <v>46190.0</v>
      </c>
      <c r="H3318" s="781">
        <v>19.0</v>
      </c>
      <c r="I3318" s="813" t="s">
        <v>10198</v>
      </c>
      <c r="J3318" s="34" t="s">
        <v>1696</v>
      </c>
      <c r="K3318" s="19"/>
      <c r="L3318" s="12" t="s">
        <v>51</v>
      </c>
      <c r="M3318" s="19"/>
      <c r="N3318" s="19"/>
      <c r="O3318" s="34" t="s">
        <v>11473</v>
      </c>
      <c r="P3318" s="587" t="s">
        <v>1432</v>
      </c>
    </row>
    <row r="3319" hidden="1">
      <c r="A3319" s="118">
        <v>41.0</v>
      </c>
      <c r="B3319" s="892" t="s">
        <v>11474</v>
      </c>
      <c r="C3319" s="781" t="s">
        <v>80</v>
      </c>
      <c r="D3319" s="893" t="s">
        <v>11475</v>
      </c>
      <c r="E3319" s="857" t="s">
        <v>11476</v>
      </c>
      <c r="F3319" s="781" t="s">
        <v>3157</v>
      </c>
      <c r="G3319" s="903">
        <v>46191.0</v>
      </c>
      <c r="H3319" s="781">
        <v>20.0</v>
      </c>
      <c r="I3319" s="813" t="s">
        <v>10198</v>
      </c>
      <c r="J3319" s="19"/>
      <c r="K3319" s="19"/>
      <c r="L3319" s="33" t="s">
        <v>374</v>
      </c>
      <c r="M3319" s="19"/>
      <c r="N3319" s="34" t="s">
        <v>11477</v>
      </c>
      <c r="O3319" s="34" t="s">
        <v>11478</v>
      </c>
      <c r="P3319" s="587" t="s">
        <v>1432</v>
      </c>
    </row>
    <row r="3320" hidden="1">
      <c r="A3320" s="118">
        <v>42.0</v>
      </c>
      <c r="B3320" s="892" t="s">
        <v>11479</v>
      </c>
      <c r="C3320" s="781" t="s">
        <v>80</v>
      </c>
      <c r="D3320" s="893" t="s">
        <v>11480</v>
      </c>
      <c r="E3320" s="857" t="s">
        <v>11481</v>
      </c>
      <c r="F3320" s="781" t="s">
        <v>310</v>
      </c>
      <c r="G3320" s="903">
        <v>46191.0</v>
      </c>
      <c r="H3320" s="781">
        <v>20.0</v>
      </c>
      <c r="I3320" s="857" t="s">
        <v>2890</v>
      </c>
      <c r="J3320" s="19"/>
      <c r="K3320" s="19"/>
      <c r="L3320" s="304" t="s">
        <v>51</v>
      </c>
      <c r="M3320" s="19"/>
      <c r="N3320" s="19"/>
      <c r="O3320" s="148">
        <v>46029.0</v>
      </c>
      <c r="P3320" s="19"/>
    </row>
    <row r="3321" hidden="1">
      <c r="A3321" s="118">
        <v>43.0</v>
      </c>
      <c r="B3321" s="892" t="s">
        <v>11482</v>
      </c>
      <c r="C3321" s="781" t="s">
        <v>80</v>
      </c>
      <c r="D3321" s="893" t="s">
        <v>11483</v>
      </c>
      <c r="E3321" s="866" t="s">
        <v>11484</v>
      </c>
      <c r="F3321" s="781" t="s">
        <v>3928</v>
      </c>
      <c r="G3321" s="903">
        <v>46185.0</v>
      </c>
      <c r="H3321" s="781">
        <v>14.0</v>
      </c>
      <c r="I3321" s="817" t="s">
        <v>3465</v>
      </c>
      <c r="J3321" s="19"/>
      <c r="K3321" s="19"/>
      <c r="L3321" s="12" t="s">
        <v>9469</v>
      </c>
      <c r="M3321" s="19"/>
      <c r="N3321" s="19"/>
      <c r="O3321" s="34" t="s">
        <v>11485</v>
      </c>
      <c r="P3321" s="19"/>
    </row>
    <row r="3322" hidden="1">
      <c r="A3322" s="118">
        <v>44.0</v>
      </c>
      <c r="B3322" s="892" t="s">
        <v>11486</v>
      </c>
      <c r="C3322" s="781" t="s">
        <v>80</v>
      </c>
      <c r="D3322" s="893" t="s">
        <v>11487</v>
      </c>
      <c r="E3322" s="866" t="s">
        <v>11488</v>
      </c>
      <c r="F3322" s="781" t="s">
        <v>3928</v>
      </c>
      <c r="G3322" s="903">
        <v>46185.0</v>
      </c>
      <c r="H3322" s="781">
        <v>14.0</v>
      </c>
      <c r="I3322" s="857" t="s">
        <v>2890</v>
      </c>
      <c r="J3322" s="19"/>
      <c r="K3322" s="19"/>
      <c r="L3322" s="12" t="s">
        <v>9469</v>
      </c>
      <c r="M3322" s="19"/>
      <c r="N3322" s="19"/>
      <c r="O3322" s="34" t="s">
        <v>11485</v>
      </c>
      <c r="P3322" s="19"/>
    </row>
    <row r="3323" hidden="1">
      <c r="A3323" s="118">
        <v>45.0</v>
      </c>
      <c r="B3323" s="892" t="s">
        <v>11489</v>
      </c>
      <c r="C3323" s="781" t="s">
        <v>80</v>
      </c>
      <c r="D3323" s="893" t="s">
        <v>11490</v>
      </c>
      <c r="E3323" s="866" t="s">
        <v>11491</v>
      </c>
      <c r="F3323" s="781" t="s">
        <v>3928</v>
      </c>
      <c r="G3323" s="903">
        <v>46185.0</v>
      </c>
      <c r="H3323" s="781">
        <v>14.0</v>
      </c>
      <c r="I3323" s="857" t="s">
        <v>2890</v>
      </c>
      <c r="J3323" s="19"/>
      <c r="K3323" s="19"/>
      <c r="L3323" s="12" t="s">
        <v>9469</v>
      </c>
      <c r="M3323" s="19"/>
      <c r="N3323" s="19"/>
      <c r="O3323" s="34" t="s">
        <v>11485</v>
      </c>
      <c r="P3323" s="19"/>
    </row>
    <row r="3324" hidden="1">
      <c r="A3324" s="118">
        <v>46.0</v>
      </c>
      <c r="B3324" s="892" t="s">
        <v>11492</v>
      </c>
      <c r="C3324" s="781" t="s">
        <v>80</v>
      </c>
      <c r="D3324" s="893" t="s">
        <v>11493</v>
      </c>
      <c r="E3324" s="866" t="s">
        <v>11494</v>
      </c>
      <c r="F3324" s="781" t="s">
        <v>3928</v>
      </c>
      <c r="G3324" s="903">
        <v>46185.0</v>
      </c>
      <c r="H3324" s="781">
        <v>14.0</v>
      </c>
      <c r="I3324" s="857" t="s">
        <v>2890</v>
      </c>
      <c r="J3324" s="19"/>
      <c r="K3324" s="19"/>
      <c r="L3324" s="12" t="s">
        <v>9469</v>
      </c>
      <c r="M3324" s="19"/>
      <c r="N3324" s="19"/>
      <c r="O3324" s="34" t="s">
        <v>11485</v>
      </c>
      <c r="P3324" s="19"/>
    </row>
    <row r="3325" hidden="1">
      <c r="A3325" s="118">
        <v>47.0</v>
      </c>
      <c r="B3325" s="892" t="s">
        <v>11495</v>
      </c>
      <c r="C3325" s="781" t="s">
        <v>80</v>
      </c>
      <c r="D3325" s="893" t="s">
        <v>11496</v>
      </c>
      <c r="E3325" s="866" t="s">
        <v>11497</v>
      </c>
      <c r="F3325" s="782" t="s">
        <v>3928</v>
      </c>
      <c r="G3325" s="903">
        <v>46185.0</v>
      </c>
      <c r="H3325" s="781">
        <v>14.0</v>
      </c>
      <c r="I3325" s="857" t="s">
        <v>2890</v>
      </c>
      <c r="J3325" s="19"/>
      <c r="K3325" s="19"/>
      <c r="L3325" s="12" t="s">
        <v>9469</v>
      </c>
      <c r="M3325" s="19"/>
      <c r="N3325" s="19"/>
      <c r="O3325" s="34" t="s">
        <v>11485</v>
      </c>
      <c r="P3325" s="19"/>
    </row>
    <row r="3326" hidden="1">
      <c r="A3326" s="118">
        <v>48.0</v>
      </c>
      <c r="B3326" s="892" t="s">
        <v>11498</v>
      </c>
      <c r="C3326" s="781" t="s">
        <v>80</v>
      </c>
      <c r="D3326" s="893" t="s">
        <v>11499</v>
      </c>
      <c r="E3326" s="866" t="s">
        <v>11500</v>
      </c>
      <c r="F3326" s="781" t="s">
        <v>3928</v>
      </c>
      <c r="G3326" s="903">
        <v>46185.0</v>
      </c>
      <c r="H3326" s="781">
        <v>14.0</v>
      </c>
      <c r="I3326" s="857" t="s">
        <v>2890</v>
      </c>
      <c r="J3326" s="19"/>
      <c r="K3326" s="19"/>
      <c r="L3326" s="12" t="s">
        <v>9469</v>
      </c>
      <c r="M3326" s="19"/>
      <c r="N3326" s="19"/>
      <c r="O3326" s="34" t="s">
        <v>11485</v>
      </c>
      <c r="P3326" s="19"/>
    </row>
    <row r="3327" hidden="1">
      <c r="A3327" s="118">
        <v>49.0</v>
      </c>
      <c r="B3327" s="892" t="s">
        <v>11501</v>
      </c>
      <c r="C3327" s="781" t="s">
        <v>80</v>
      </c>
      <c r="D3327" s="893" t="s">
        <v>11502</v>
      </c>
      <c r="E3327" s="866" t="s">
        <v>11503</v>
      </c>
      <c r="F3327" s="781" t="s">
        <v>3928</v>
      </c>
      <c r="G3327" s="903">
        <v>46185.0</v>
      </c>
      <c r="H3327" s="781">
        <v>14.0</v>
      </c>
      <c r="I3327" s="857" t="s">
        <v>2890</v>
      </c>
      <c r="J3327" s="19"/>
      <c r="K3327" s="19"/>
      <c r="L3327" s="12" t="s">
        <v>9469</v>
      </c>
      <c r="M3327" s="19"/>
      <c r="N3327" s="19"/>
      <c r="O3327" s="34" t="s">
        <v>11485</v>
      </c>
      <c r="P3327" s="19"/>
    </row>
    <row r="3328" hidden="1">
      <c r="A3328" s="118">
        <v>50.0</v>
      </c>
      <c r="B3328" s="892" t="s">
        <v>11504</v>
      </c>
      <c r="C3328" s="781" t="s">
        <v>80</v>
      </c>
      <c r="D3328" s="893" t="s">
        <v>11505</v>
      </c>
      <c r="E3328" s="866" t="s">
        <v>11506</v>
      </c>
      <c r="F3328" s="782" t="s">
        <v>3928</v>
      </c>
      <c r="G3328" s="903">
        <v>46185.0</v>
      </c>
      <c r="H3328" s="781">
        <v>14.0</v>
      </c>
      <c r="I3328" s="857" t="s">
        <v>2890</v>
      </c>
      <c r="J3328" s="19"/>
      <c r="K3328" s="19"/>
      <c r="L3328" s="12" t="s">
        <v>9469</v>
      </c>
      <c r="M3328" s="19"/>
      <c r="N3328" s="19"/>
      <c r="O3328" s="34" t="s">
        <v>11485</v>
      </c>
      <c r="P3328" s="19"/>
    </row>
    <row r="3329" hidden="1">
      <c r="A3329" s="118">
        <v>51.0</v>
      </c>
      <c r="B3329" s="892" t="s">
        <v>11507</v>
      </c>
      <c r="C3329" s="781" t="s">
        <v>80</v>
      </c>
      <c r="D3329" s="893" t="s">
        <v>11508</v>
      </c>
      <c r="E3329" s="857" t="s">
        <v>11509</v>
      </c>
      <c r="F3329" s="781" t="s">
        <v>9951</v>
      </c>
      <c r="G3329" s="903">
        <v>46192.0</v>
      </c>
      <c r="H3329" s="781">
        <v>21.0</v>
      </c>
      <c r="I3329" s="813" t="s">
        <v>10093</v>
      </c>
      <c r="J3329" s="19"/>
      <c r="K3329" s="19"/>
      <c r="L3329" s="12" t="s">
        <v>778</v>
      </c>
      <c r="M3329" s="19"/>
      <c r="N3329" s="19"/>
      <c r="O3329" s="34" t="s">
        <v>11510</v>
      </c>
      <c r="P3329" s="19"/>
    </row>
    <row r="3330" hidden="1">
      <c r="A3330" s="118">
        <v>52.0</v>
      </c>
      <c r="B3330" s="892" t="s">
        <v>11511</v>
      </c>
      <c r="C3330" s="781" t="s">
        <v>80</v>
      </c>
      <c r="D3330" s="893" t="s">
        <v>11512</v>
      </c>
      <c r="E3330" s="857" t="s">
        <v>11513</v>
      </c>
      <c r="F3330" s="781" t="s">
        <v>9387</v>
      </c>
      <c r="G3330" s="903">
        <v>46192.0</v>
      </c>
      <c r="H3330" s="781">
        <v>21.0</v>
      </c>
      <c r="I3330" s="857" t="s">
        <v>2890</v>
      </c>
      <c r="J3330" s="19"/>
      <c r="K3330" s="19"/>
      <c r="L3330" s="292" t="s">
        <v>4195</v>
      </c>
      <c r="M3330" s="19"/>
      <c r="N3330" s="19"/>
      <c r="O3330" s="143" t="s">
        <v>11514</v>
      </c>
      <c r="P3330" s="19"/>
    </row>
    <row r="3331" hidden="1">
      <c r="A3331" s="118">
        <v>53.0</v>
      </c>
      <c r="B3331" s="892" t="s">
        <v>11515</v>
      </c>
      <c r="C3331" s="781" t="s">
        <v>80</v>
      </c>
      <c r="D3331" s="893" t="s">
        <v>11516</v>
      </c>
      <c r="E3331" s="857" t="s">
        <v>11517</v>
      </c>
      <c r="F3331" s="781" t="s">
        <v>11518</v>
      </c>
      <c r="G3331" s="903">
        <v>46192.0</v>
      </c>
      <c r="H3331" s="781">
        <v>21.0</v>
      </c>
      <c r="I3331" s="857" t="s">
        <v>2890</v>
      </c>
      <c r="J3331" s="19"/>
      <c r="K3331" s="19"/>
      <c r="L3331" s="12" t="s">
        <v>374</v>
      </c>
      <c r="M3331" s="19"/>
      <c r="N3331" s="19"/>
      <c r="O3331" s="12" t="s">
        <v>11519</v>
      </c>
      <c r="P3331" s="19"/>
    </row>
    <row r="3332" hidden="1">
      <c r="A3332" s="118">
        <v>54.0</v>
      </c>
      <c r="B3332" s="892" t="s">
        <v>11520</v>
      </c>
      <c r="C3332" s="781" t="s">
        <v>80</v>
      </c>
      <c r="D3332" s="893" t="s">
        <v>11521</v>
      </c>
      <c r="E3332" s="857" t="s">
        <v>11522</v>
      </c>
      <c r="F3332" s="781" t="s">
        <v>11518</v>
      </c>
      <c r="G3332" s="903">
        <v>46192.0</v>
      </c>
      <c r="H3332" s="781">
        <v>21.0</v>
      </c>
      <c r="I3332" s="813" t="s">
        <v>3231</v>
      </c>
      <c r="J3332" s="19"/>
      <c r="K3332" s="19"/>
      <c r="L3332" s="12" t="s">
        <v>374</v>
      </c>
      <c r="M3332" s="19"/>
      <c r="N3332" s="19"/>
      <c r="O3332" s="12" t="s">
        <v>11519</v>
      </c>
      <c r="P3332" s="19"/>
    </row>
    <row r="3333" hidden="1">
      <c r="A3333" s="118">
        <v>55.0</v>
      </c>
      <c r="B3333" s="892" t="s">
        <v>11523</v>
      </c>
      <c r="C3333" s="781" t="s">
        <v>80</v>
      </c>
      <c r="D3333" s="893" t="s">
        <v>11524</v>
      </c>
      <c r="E3333" s="857" t="s">
        <v>11525</v>
      </c>
      <c r="F3333" s="781" t="s">
        <v>556</v>
      </c>
      <c r="G3333" s="903">
        <v>46191.0</v>
      </c>
      <c r="H3333" s="781">
        <v>20.0</v>
      </c>
      <c r="I3333" s="857" t="s">
        <v>2890</v>
      </c>
      <c r="J3333" s="19"/>
      <c r="K3333" s="19"/>
      <c r="L3333" s="292" t="s">
        <v>4195</v>
      </c>
      <c r="M3333" s="19"/>
      <c r="N3333" s="34" t="s">
        <v>11526</v>
      </c>
      <c r="O3333" s="34" t="s">
        <v>11183</v>
      </c>
      <c r="P3333" s="587" t="s">
        <v>1432</v>
      </c>
    </row>
    <row r="3334" hidden="1">
      <c r="A3334" s="118">
        <v>56.0</v>
      </c>
      <c r="B3334" s="892" t="s">
        <v>11527</v>
      </c>
      <c r="C3334" s="781" t="s">
        <v>80</v>
      </c>
      <c r="D3334" s="893" t="s">
        <v>11528</v>
      </c>
      <c r="E3334" s="857" t="s">
        <v>11529</v>
      </c>
      <c r="F3334" s="781" t="s">
        <v>556</v>
      </c>
      <c r="G3334" s="903">
        <v>46191.0</v>
      </c>
      <c r="H3334" s="781">
        <v>20.0</v>
      </c>
      <c r="I3334" s="813" t="s">
        <v>10093</v>
      </c>
      <c r="J3334" s="34" t="s">
        <v>374</v>
      </c>
      <c r="K3334" s="34" t="s">
        <v>10573</v>
      </c>
      <c r="L3334" s="12" t="s">
        <v>374</v>
      </c>
      <c r="M3334" s="19"/>
      <c r="N3334" s="34" t="s">
        <v>11526</v>
      </c>
      <c r="O3334" s="34" t="s">
        <v>11183</v>
      </c>
      <c r="P3334" s="587" t="s">
        <v>1432</v>
      </c>
    </row>
    <row r="3335" hidden="1">
      <c r="A3335" s="339" t="s">
        <v>11530</v>
      </c>
      <c r="Q3335" s="35"/>
      <c r="R3335" s="35"/>
      <c r="S3335" s="35"/>
      <c r="T3335" s="35"/>
      <c r="U3335" s="35"/>
      <c r="V3335" s="35"/>
      <c r="W3335" s="35"/>
      <c r="X3335" s="35"/>
      <c r="Y3335" s="35"/>
      <c r="Z3335" s="35"/>
      <c r="AA3335" s="35"/>
      <c r="AB3335" s="35"/>
      <c r="AC3335" s="35"/>
      <c r="AD3335" s="35"/>
      <c r="AE3335" s="35"/>
      <c r="AF3335" s="35"/>
    </row>
    <row r="3336">
      <c r="A3336" s="670" t="s">
        <v>47</v>
      </c>
      <c r="B3336" s="670" t="s">
        <v>7</v>
      </c>
      <c r="C3336" s="670" t="s">
        <v>9</v>
      </c>
      <c r="D3336" s="670" t="s">
        <v>10</v>
      </c>
      <c r="E3336" s="670" t="s">
        <v>11</v>
      </c>
      <c r="F3336" s="670" t="s">
        <v>12</v>
      </c>
      <c r="G3336" s="670" t="s">
        <v>2378</v>
      </c>
      <c r="H3336" s="670" t="s">
        <v>2681</v>
      </c>
      <c r="I3336" s="4" t="s">
        <v>2847</v>
      </c>
      <c r="J3336" s="8" t="s">
        <v>14</v>
      </c>
      <c r="K3336" s="9" t="s">
        <v>16</v>
      </c>
      <c r="L3336" s="9" t="s">
        <v>4330</v>
      </c>
      <c r="M3336" s="9" t="s">
        <v>18</v>
      </c>
      <c r="N3336" s="9" t="s">
        <v>19</v>
      </c>
      <c r="O3336" s="9" t="s">
        <v>20</v>
      </c>
      <c r="P3336" s="9" t="s">
        <v>21</v>
      </c>
      <c r="Q3336" s="35"/>
      <c r="R3336" s="35"/>
      <c r="S3336" s="35"/>
      <c r="T3336" s="35"/>
      <c r="U3336" s="35"/>
      <c r="V3336" s="35"/>
      <c r="W3336" s="35"/>
      <c r="X3336" s="35"/>
      <c r="Y3336" s="35"/>
      <c r="Z3336" s="35"/>
      <c r="AA3336" s="35"/>
      <c r="AB3336" s="35"/>
      <c r="AC3336" s="35"/>
      <c r="AD3336" s="35"/>
      <c r="AE3336" s="35"/>
      <c r="AF3336" s="35"/>
    </row>
    <row r="3337" hidden="1">
      <c r="A3337" s="906">
        <v>1.0</v>
      </c>
      <c r="B3337" s="511" t="s">
        <v>11531</v>
      </c>
      <c r="C3337" s="907" t="s">
        <v>80</v>
      </c>
      <c r="D3337" s="504" t="s">
        <v>11532</v>
      </c>
      <c r="E3337" s="504" t="s">
        <v>11533</v>
      </c>
      <c r="F3337" s="619" t="s">
        <v>349</v>
      </c>
      <c r="G3337" s="495" t="s">
        <v>11534</v>
      </c>
      <c r="H3337" s="498">
        <v>13.0</v>
      </c>
      <c r="I3337" s="12" t="s">
        <v>2890</v>
      </c>
      <c r="J3337" s="19"/>
      <c r="K3337" s="19"/>
      <c r="L3337" s="12" t="s">
        <v>778</v>
      </c>
      <c r="M3337" s="19"/>
      <c r="N3337" s="19"/>
      <c r="O3337" s="148">
        <v>46332.0</v>
      </c>
      <c r="P3337" s="587" t="s">
        <v>1432</v>
      </c>
    </row>
    <row r="3338" hidden="1">
      <c r="A3338" s="908">
        <v>2.0</v>
      </c>
      <c r="B3338" s="512" t="s">
        <v>11535</v>
      </c>
      <c r="C3338" s="306" t="s">
        <v>11536</v>
      </c>
      <c r="D3338" s="342" t="s">
        <v>11537</v>
      </c>
      <c r="E3338" s="342" t="s">
        <v>11538</v>
      </c>
      <c r="F3338" s="306" t="s">
        <v>11539</v>
      </c>
      <c r="G3338" s="647"/>
      <c r="H3338" s="647"/>
      <c r="I3338" s="12" t="s">
        <v>2890</v>
      </c>
      <c r="J3338" s="19"/>
      <c r="K3338" s="19"/>
      <c r="L3338" s="14"/>
      <c r="M3338" s="19"/>
      <c r="N3338" s="34" t="s">
        <v>11233</v>
      </c>
      <c r="O3338" s="19"/>
      <c r="P3338" s="19"/>
    </row>
    <row r="3339" hidden="1">
      <c r="A3339" s="908">
        <v>3.0</v>
      </c>
      <c r="B3339" s="512" t="s">
        <v>11540</v>
      </c>
      <c r="C3339" s="909" t="s">
        <v>80</v>
      </c>
      <c r="D3339" s="342" t="s">
        <v>11541</v>
      </c>
      <c r="E3339" s="342" t="s">
        <v>11542</v>
      </c>
      <c r="F3339" s="306" t="s">
        <v>25</v>
      </c>
      <c r="G3339" s="12" t="s">
        <v>11404</v>
      </c>
      <c r="H3339" s="128">
        <v>15.0</v>
      </c>
      <c r="I3339" s="767" t="s">
        <v>10093</v>
      </c>
      <c r="J3339" s="19"/>
      <c r="K3339" s="19"/>
      <c r="L3339" s="12" t="s">
        <v>51</v>
      </c>
      <c r="M3339" s="19"/>
      <c r="N3339" s="19"/>
      <c r="O3339" s="34" t="s">
        <v>11543</v>
      </c>
      <c r="P3339" s="587" t="s">
        <v>1432</v>
      </c>
    </row>
    <row r="3340" hidden="1">
      <c r="A3340" s="908">
        <v>4.0</v>
      </c>
      <c r="B3340" s="512" t="s">
        <v>11544</v>
      </c>
      <c r="C3340" s="909" t="s">
        <v>80</v>
      </c>
      <c r="D3340" s="342" t="s">
        <v>11545</v>
      </c>
      <c r="E3340" s="342" t="s">
        <v>11546</v>
      </c>
      <c r="F3340" s="306" t="s">
        <v>25</v>
      </c>
      <c r="G3340" s="12" t="s">
        <v>11404</v>
      </c>
      <c r="H3340" s="128">
        <v>15.0</v>
      </c>
      <c r="I3340" s="12" t="s">
        <v>2890</v>
      </c>
      <c r="J3340" s="19"/>
      <c r="K3340" s="19"/>
      <c r="L3340" s="292" t="s">
        <v>4195</v>
      </c>
      <c r="M3340" s="19"/>
      <c r="N3340" s="19"/>
      <c r="O3340" s="34" t="s">
        <v>11404</v>
      </c>
      <c r="P3340" s="587" t="s">
        <v>1432</v>
      </c>
    </row>
    <row r="3341" hidden="1">
      <c r="A3341" s="908">
        <v>5.0</v>
      </c>
      <c r="B3341" s="512" t="s">
        <v>11547</v>
      </c>
      <c r="C3341" s="306" t="s">
        <v>80</v>
      </c>
      <c r="D3341" s="342" t="s">
        <v>11548</v>
      </c>
      <c r="E3341" s="342" t="s">
        <v>11549</v>
      </c>
      <c r="F3341" s="306" t="s">
        <v>25</v>
      </c>
      <c r="G3341" s="12" t="s">
        <v>11550</v>
      </c>
      <c r="H3341" s="128">
        <v>14.0</v>
      </c>
      <c r="I3341" s="12" t="s">
        <v>2890</v>
      </c>
      <c r="J3341" s="34" t="s">
        <v>374</v>
      </c>
      <c r="K3341" s="148">
        <v>46362.0</v>
      </c>
      <c r="L3341" s="12" t="s">
        <v>374</v>
      </c>
      <c r="M3341" s="19"/>
      <c r="N3341" s="34" t="s">
        <v>11551</v>
      </c>
      <c r="O3341" s="34" t="s">
        <v>11183</v>
      </c>
      <c r="P3341" s="587" t="s">
        <v>1432</v>
      </c>
    </row>
    <row r="3342" hidden="1">
      <c r="A3342" s="908">
        <v>6.0</v>
      </c>
      <c r="B3342" s="512" t="s">
        <v>11552</v>
      </c>
      <c r="C3342" s="306" t="s">
        <v>80</v>
      </c>
      <c r="D3342" s="342" t="s">
        <v>11553</v>
      </c>
      <c r="E3342" s="342" t="s">
        <v>11554</v>
      </c>
      <c r="F3342" s="306" t="s">
        <v>11555</v>
      </c>
      <c r="G3342" s="12" t="s">
        <v>11550</v>
      </c>
      <c r="H3342" s="128">
        <v>14.0</v>
      </c>
      <c r="I3342" s="12" t="s">
        <v>2890</v>
      </c>
      <c r="J3342" s="19"/>
      <c r="K3342" s="19"/>
      <c r="L3342" s="12" t="s">
        <v>778</v>
      </c>
      <c r="M3342" s="19"/>
      <c r="N3342" s="19"/>
      <c r="O3342" s="34" t="s">
        <v>11008</v>
      </c>
      <c r="P3342" s="19"/>
    </row>
    <row r="3343" hidden="1">
      <c r="A3343" s="908">
        <v>7.0</v>
      </c>
      <c r="B3343" s="512" t="s">
        <v>11556</v>
      </c>
      <c r="C3343" s="306" t="s">
        <v>2307</v>
      </c>
      <c r="D3343" s="342" t="s">
        <v>11557</v>
      </c>
      <c r="E3343" s="342" t="s">
        <v>11558</v>
      </c>
      <c r="F3343" s="306" t="s">
        <v>148</v>
      </c>
      <c r="G3343" s="164">
        <v>46118.0</v>
      </c>
      <c r="H3343" s="37">
        <v>3.0</v>
      </c>
      <c r="I3343" s="12" t="s">
        <v>2890</v>
      </c>
      <c r="J3343" s="34" t="s">
        <v>9131</v>
      </c>
      <c r="K3343" s="19"/>
      <c r="L3343" s="12" t="s">
        <v>699</v>
      </c>
      <c r="M3343" s="19"/>
      <c r="N3343" s="19"/>
      <c r="O3343" s="148">
        <v>46210.0</v>
      </c>
      <c r="P3343" s="587" t="s">
        <v>1432</v>
      </c>
    </row>
    <row r="3344" hidden="1">
      <c r="A3344" s="908">
        <v>8.0</v>
      </c>
      <c r="B3344" s="512" t="s">
        <v>11559</v>
      </c>
      <c r="C3344" s="306" t="s">
        <v>2307</v>
      </c>
      <c r="D3344" s="342" t="s">
        <v>11560</v>
      </c>
      <c r="E3344" s="342" t="s">
        <v>11561</v>
      </c>
      <c r="F3344" s="306" t="s">
        <v>10577</v>
      </c>
      <c r="G3344" s="164">
        <v>46118.0</v>
      </c>
      <c r="H3344" s="37">
        <v>3.0</v>
      </c>
      <c r="I3344" s="12" t="s">
        <v>2890</v>
      </c>
      <c r="J3344" s="19"/>
      <c r="K3344" s="19"/>
      <c r="L3344" s="12" t="s">
        <v>699</v>
      </c>
      <c r="M3344" s="19"/>
      <c r="N3344" s="19"/>
      <c r="O3344" s="34" t="s">
        <v>10825</v>
      </c>
      <c r="P3344" s="587" t="s">
        <v>1432</v>
      </c>
    </row>
    <row r="3345" hidden="1">
      <c r="A3345" s="908">
        <v>9.0</v>
      </c>
      <c r="B3345" s="512" t="s">
        <v>11562</v>
      </c>
      <c r="C3345" s="306" t="s">
        <v>2403</v>
      </c>
      <c r="D3345" s="342" t="s">
        <v>11563</v>
      </c>
      <c r="E3345" s="342" t="s">
        <v>11564</v>
      </c>
      <c r="F3345" s="306" t="s">
        <v>10577</v>
      </c>
      <c r="G3345" s="164">
        <v>46118.0</v>
      </c>
      <c r="H3345" s="37">
        <v>3.0</v>
      </c>
      <c r="I3345" s="12" t="s">
        <v>2890</v>
      </c>
      <c r="J3345" s="19"/>
      <c r="K3345" s="19"/>
      <c r="L3345" s="12" t="s">
        <v>699</v>
      </c>
      <c r="M3345" s="19"/>
      <c r="N3345" s="19"/>
      <c r="O3345" s="34" t="s">
        <v>10825</v>
      </c>
      <c r="P3345" s="587" t="s">
        <v>1432</v>
      </c>
    </row>
    <row r="3346" hidden="1">
      <c r="A3346" s="908">
        <v>10.0</v>
      </c>
      <c r="B3346" s="512" t="s">
        <v>11565</v>
      </c>
      <c r="C3346" s="306" t="s">
        <v>80</v>
      </c>
      <c r="D3346" s="342" t="s">
        <v>11566</v>
      </c>
      <c r="E3346" s="910" t="s">
        <v>11567</v>
      </c>
      <c r="F3346" s="306" t="s">
        <v>556</v>
      </c>
      <c r="G3346" s="12" t="s">
        <v>11404</v>
      </c>
      <c r="H3346" s="128">
        <v>15.0</v>
      </c>
      <c r="I3346" s="12" t="s">
        <v>2890</v>
      </c>
      <c r="J3346" s="19"/>
      <c r="K3346" s="19"/>
      <c r="L3346" s="12" t="s">
        <v>51</v>
      </c>
      <c r="M3346" s="19"/>
      <c r="N3346" s="19"/>
      <c r="O3346" s="34" t="s">
        <v>11568</v>
      </c>
      <c r="P3346" s="587" t="s">
        <v>1432</v>
      </c>
    </row>
    <row r="3347" hidden="1">
      <c r="A3347" s="908">
        <v>11.0</v>
      </c>
      <c r="B3347" s="718" t="s">
        <v>11569</v>
      </c>
      <c r="C3347" s="306" t="s">
        <v>80</v>
      </c>
      <c r="D3347" s="342" t="s">
        <v>11570</v>
      </c>
      <c r="E3347" s="342" t="s">
        <v>11571</v>
      </c>
      <c r="F3347" s="306" t="s">
        <v>7987</v>
      </c>
      <c r="G3347" s="12" t="s">
        <v>11550</v>
      </c>
      <c r="H3347" s="128">
        <v>14.0</v>
      </c>
      <c r="I3347" s="12" t="s">
        <v>2890</v>
      </c>
      <c r="J3347" s="19"/>
      <c r="K3347" s="19"/>
      <c r="L3347" s="292" t="s">
        <v>4195</v>
      </c>
      <c r="M3347" s="19"/>
      <c r="N3347" s="19"/>
      <c r="O3347" s="34" t="s">
        <v>1252</v>
      </c>
      <c r="P3347" s="19"/>
    </row>
    <row r="3348" hidden="1">
      <c r="A3348" s="908">
        <v>12.0</v>
      </c>
      <c r="B3348" s="512" t="s">
        <v>11572</v>
      </c>
      <c r="C3348" s="306" t="s">
        <v>80</v>
      </c>
      <c r="D3348" s="342" t="s">
        <v>11573</v>
      </c>
      <c r="E3348" s="342" t="s">
        <v>11574</v>
      </c>
      <c r="F3348" s="306" t="s">
        <v>2209</v>
      </c>
      <c r="G3348" s="12" t="s">
        <v>11550</v>
      </c>
      <c r="H3348" s="128">
        <v>14.0</v>
      </c>
      <c r="I3348" s="12" t="s">
        <v>2890</v>
      </c>
      <c r="J3348" s="34" t="s">
        <v>374</v>
      </c>
      <c r="K3348" s="148">
        <v>46362.0</v>
      </c>
      <c r="L3348" s="12" t="s">
        <v>374</v>
      </c>
      <c r="M3348" s="19"/>
      <c r="N3348" s="34" t="s">
        <v>11575</v>
      </c>
      <c r="O3348" s="34" t="s">
        <v>11183</v>
      </c>
      <c r="P3348" s="587" t="s">
        <v>1432</v>
      </c>
    </row>
    <row r="3349" hidden="1">
      <c r="A3349" s="908">
        <v>13.0</v>
      </c>
      <c r="B3349" s="512" t="s">
        <v>11576</v>
      </c>
      <c r="C3349" s="306" t="s">
        <v>5937</v>
      </c>
      <c r="D3349" s="342" t="s">
        <v>11577</v>
      </c>
      <c r="E3349" s="911" t="s">
        <v>11578</v>
      </c>
      <c r="F3349" s="306" t="s">
        <v>243</v>
      </c>
      <c r="G3349" s="12" t="s">
        <v>11550</v>
      </c>
      <c r="H3349" s="128">
        <v>14.0</v>
      </c>
      <c r="I3349" s="767" t="s">
        <v>3231</v>
      </c>
      <c r="J3349" s="19"/>
      <c r="K3349" s="19"/>
      <c r="L3349" s="12" t="s">
        <v>8652</v>
      </c>
      <c r="M3349" s="19"/>
      <c r="N3349" s="19"/>
      <c r="O3349" s="34" t="s">
        <v>11568</v>
      </c>
      <c r="P3349" s="587" t="s">
        <v>1432</v>
      </c>
    </row>
    <row r="3350" hidden="1">
      <c r="A3350" s="908">
        <v>14.0</v>
      </c>
      <c r="B3350" s="512" t="s">
        <v>11579</v>
      </c>
      <c r="C3350" s="306" t="s">
        <v>5937</v>
      </c>
      <c r="D3350" s="342" t="s">
        <v>11580</v>
      </c>
      <c r="E3350" s="911" t="s">
        <v>11581</v>
      </c>
      <c r="F3350" s="306" t="s">
        <v>243</v>
      </c>
      <c r="G3350" s="12" t="s">
        <v>11550</v>
      </c>
      <c r="H3350" s="128">
        <v>14.0</v>
      </c>
      <c r="I3350" s="12" t="s">
        <v>2890</v>
      </c>
      <c r="J3350" s="19"/>
      <c r="K3350" s="19"/>
      <c r="L3350" s="12" t="s">
        <v>8652</v>
      </c>
      <c r="M3350" s="19"/>
      <c r="N3350" s="19"/>
      <c r="O3350" s="34" t="s">
        <v>11568</v>
      </c>
      <c r="P3350" s="587" t="s">
        <v>1432</v>
      </c>
    </row>
    <row r="3351" hidden="1">
      <c r="A3351" s="908">
        <v>15.0</v>
      </c>
      <c r="B3351" s="512" t="s">
        <v>11582</v>
      </c>
      <c r="C3351" s="306" t="s">
        <v>651</v>
      </c>
      <c r="D3351" s="342" t="s">
        <v>11583</v>
      </c>
      <c r="E3351" s="342" t="s">
        <v>11584</v>
      </c>
      <c r="F3351" s="306" t="s">
        <v>11585</v>
      </c>
      <c r="G3351" s="12" t="s">
        <v>11404</v>
      </c>
      <c r="H3351" s="128">
        <v>15.0</v>
      </c>
      <c r="I3351" s="12" t="s">
        <v>2890</v>
      </c>
      <c r="J3351" s="19"/>
      <c r="K3351" s="19"/>
      <c r="L3351" s="12" t="s">
        <v>51</v>
      </c>
      <c r="M3351" s="19"/>
      <c r="N3351" s="19"/>
      <c r="O3351" s="34" t="s">
        <v>11543</v>
      </c>
      <c r="P3351" s="587" t="s">
        <v>1432</v>
      </c>
    </row>
    <row r="3352" hidden="1">
      <c r="A3352" s="908">
        <v>16.0</v>
      </c>
      <c r="B3352" s="718" t="s">
        <v>11586</v>
      </c>
      <c r="C3352" s="306" t="s">
        <v>80</v>
      </c>
      <c r="D3352" s="342" t="s">
        <v>11587</v>
      </c>
      <c r="E3352" s="342" t="s">
        <v>11588</v>
      </c>
      <c r="F3352" s="306" t="s">
        <v>1959</v>
      </c>
      <c r="G3352" s="12" t="s">
        <v>11404</v>
      </c>
      <c r="H3352" s="128">
        <v>15.0</v>
      </c>
      <c r="I3352" s="767" t="s">
        <v>10093</v>
      </c>
      <c r="J3352" s="19"/>
      <c r="K3352" s="19"/>
      <c r="L3352" s="292" t="s">
        <v>4195</v>
      </c>
      <c r="M3352" s="19"/>
      <c r="N3352" s="19"/>
      <c r="O3352" s="34" t="s">
        <v>10988</v>
      </c>
      <c r="P3352" s="19"/>
    </row>
    <row r="3353" hidden="1">
      <c r="A3353" s="908">
        <v>17.0</v>
      </c>
      <c r="B3353" s="718" t="s">
        <v>11589</v>
      </c>
      <c r="C3353" s="306" t="s">
        <v>80</v>
      </c>
      <c r="D3353" s="342" t="s">
        <v>11590</v>
      </c>
      <c r="E3353" s="342" t="s">
        <v>11591</v>
      </c>
      <c r="F3353" s="306" t="s">
        <v>9068</v>
      </c>
      <c r="G3353" s="12" t="s">
        <v>11404</v>
      </c>
      <c r="H3353" s="128">
        <v>15.0</v>
      </c>
      <c r="I3353" s="12" t="s">
        <v>2890</v>
      </c>
      <c r="J3353" s="34" t="s">
        <v>374</v>
      </c>
      <c r="K3353" s="34" t="s">
        <v>10573</v>
      </c>
      <c r="L3353" s="12" t="s">
        <v>374</v>
      </c>
      <c r="M3353" s="19"/>
      <c r="N3353" s="19"/>
      <c r="O3353" s="34" t="s">
        <v>11592</v>
      </c>
      <c r="P3353" s="587" t="s">
        <v>1432</v>
      </c>
    </row>
    <row r="3354" hidden="1">
      <c r="A3354" s="908">
        <v>18.0</v>
      </c>
      <c r="B3354" s="718" t="s">
        <v>11593</v>
      </c>
      <c r="C3354" s="306" t="s">
        <v>80</v>
      </c>
      <c r="D3354" s="342" t="s">
        <v>11594</v>
      </c>
      <c r="E3354" s="342" t="s">
        <v>11595</v>
      </c>
      <c r="F3354" s="306" t="s">
        <v>25</v>
      </c>
      <c r="G3354" s="12" t="s">
        <v>11485</v>
      </c>
      <c r="H3354" s="128">
        <v>19.0</v>
      </c>
      <c r="I3354" s="767" t="s">
        <v>10093</v>
      </c>
      <c r="J3354" s="19"/>
      <c r="K3354" s="19"/>
      <c r="L3354" s="12" t="s">
        <v>51</v>
      </c>
      <c r="M3354" s="19"/>
      <c r="N3354" s="19"/>
      <c r="O3354" s="34" t="s">
        <v>11543</v>
      </c>
      <c r="P3354" s="587" t="s">
        <v>1432</v>
      </c>
    </row>
    <row r="3355" hidden="1">
      <c r="A3355" s="908">
        <v>19.0</v>
      </c>
      <c r="B3355" s="718" t="s">
        <v>11596</v>
      </c>
      <c r="C3355" s="306" t="s">
        <v>80</v>
      </c>
      <c r="D3355" s="342" t="s">
        <v>11597</v>
      </c>
      <c r="E3355" s="342" t="s">
        <v>11598</v>
      </c>
      <c r="F3355" s="306" t="s">
        <v>25</v>
      </c>
      <c r="G3355" s="12" t="s">
        <v>11485</v>
      </c>
      <c r="H3355" s="128">
        <v>19.0</v>
      </c>
      <c r="I3355" s="12" t="s">
        <v>2890</v>
      </c>
      <c r="J3355" s="19"/>
      <c r="K3355" s="19"/>
      <c r="L3355" s="292" t="s">
        <v>4195</v>
      </c>
      <c r="M3355" s="19"/>
      <c r="N3355" s="34" t="s">
        <v>11575</v>
      </c>
      <c r="O3355" s="34" t="s">
        <v>11599</v>
      </c>
      <c r="P3355" s="587" t="s">
        <v>1432</v>
      </c>
    </row>
    <row r="3356" hidden="1">
      <c r="A3356" s="908">
        <v>20.0</v>
      </c>
      <c r="B3356" s="718" t="s">
        <v>11600</v>
      </c>
      <c r="C3356" s="306" t="s">
        <v>80</v>
      </c>
      <c r="D3356" s="342" t="s">
        <v>11601</v>
      </c>
      <c r="E3356" s="342" t="s">
        <v>11602</v>
      </c>
      <c r="F3356" s="306" t="s">
        <v>556</v>
      </c>
      <c r="G3356" s="12" t="s">
        <v>11485</v>
      </c>
      <c r="H3356" s="128">
        <v>19.0</v>
      </c>
      <c r="I3356" s="12" t="s">
        <v>2890</v>
      </c>
      <c r="J3356" s="19"/>
      <c r="K3356" s="19"/>
      <c r="L3356" s="12" t="s">
        <v>374</v>
      </c>
      <c r="M3356" s="19"/>
      <c r="N3356" s="34" t="s">
        <v>11575</v>
      </c>
      <c r="O3356" s="34" t="s">
        <v>11316</v>
      </c>
      <c r="P3356" s="587" t="s">
        <v>1432</v>
      </c>
    </row>
    <row r="3357" hidden="1">
      <c r="A3357" s="908">
        <v>21.0</v>
      </c>
      <c r="B3357" s="512" t="s">
        <v>11603</v>
      </c>
      <c r="C3357" s="306" t="s">
        <v>80</v>
      </c>
      <c r="D3357" s="342" t="s">
        <v>11604</v>
      </c>
      <c r="E3357" s="342" t="s">
        <v>11605</v>
      </c>
      <c r="F3357" s="306" t="s">
        <v>25</v>
      </c>
      <c r="G3357" s="12" t="s">
        <v>11606</v>
      </c>
      <c r="H3357" s="128">
        <v>20.0</v>
      </c>
      <c r="I3357" s="12" t="s">
        <v>2890</v>
      </c>
      <c r="J3357" s="34" t="s">
        <v>2065</v>
      </c>
      <c r="K3357" s="148">
        <v>46332.0</v>
      </c>
      <c r="L3357" s="12" t="s">
        <v>51</v>
      </c>
      <c r="M3357" s="19"/>
      <c r="N3357" s="19"/>
      <c r="O3357" s="34" t="s">
        <v>11568</v>
      </c>
      <c r="P3357" s="587" t="s">
        <v>1432</v>
      </c>
    </row>
    <row r="3358" hidden="1">
      <c r="A3358" s="908">
        <v>22.0</v>
      </c>
      <c r="B3358" s="512" t="s">
        <v>11607</v>
      </c>
      <c r="C3358" s="306" t="s">
        <v>80</v>
      </c>
      <c r="D3358" s="342" t="s">
        <v>11608</v>
      </c>
      <c r="E3358" s="342" t="s">
        <v>11609</v>
      </c>
      <c r="F3358" s="306" t="s">
        <v>25</v>
      </c>
      <c r="G3358" s="12" t="s">
        <v>11606</v>
      </c>
      <c r="H3358" s="128">
        <v>20.0</v>
      </c>
      <c r="I3358" s="767" t="s">
        <v>10093</v>
      </c>
      <c r="J3358" s="19"/>
      <c r="K3358" s="19"/>
      <c r="L3358" s="292" t="s">
        <v>4195</v>
      </c>
      <c r="M3358" s="19"/>
      <c r="N3358" s="19"/>
      <c r="O3358" s="34" t="s">
        <v>11176</v>
      </c>
      <c r="P3358" s="587" t="s">
        <v>1432</v>
      </c>
    </row>
    <row r="3359" hidden="1">
      <c r="A3359" s="908">
        <v>23.0</v>
      </c>
      <c r="B3359" s="512" t="s">
        <v>11610</v>
      </c>
      <c r="C3359" s="306" t="s">
        <v>80</v>
      </c>
      <c r="D3359" s="342" t="s">
        <v>11611</v>
      </c>
      <c r="E3359" s="342" t="s">
        <v>11612</v>
      </c>
      <c r="F3359" s="306" t="s">
        <v>25</v>
      </c>
      <c r="G3359" s="12" t="s">
        <v>11613</v>
      </c>
      <c r="H3359" s="128">
        <v>22.0</v>
      </c>
      <c r="I3359" s="37" t="s">
        <v>3465</v>
      </c>
      <c r="J3359" s="19"/>
      <c r="K3359" s="19"/>
      <c r="L3359" s="12" t="s">
        <v>374</v>
      </c>
      <c r="M3359" s="19"/>
      <c r="N3359" s="19"/>
      <c r="O3359" s="34" t="s">
        <v>11614</v>
      </c>
      <c r="P3359" s="587" t="s">
        <v>1432</v>
      </c>
    </row>
    <row r="3360" hidden="1">
      <c r="A3360" s="908">
        <v>24.0</v>
      </c>
      <c r="B3360" s="512" t="s">
        <v>11615</v>
      </c>
      <c r="C3360" s="306" t="s">
        <v>80</v>
      </c>
      <c r="D3360" s="342" t="s">
        <v>11616</v>
      </c>
      <c r="E3360" s="342" t="s">
        <v>11617</v>
      </c>
      <c r="F3360" s="306" t="s">
        <v>25</v>
      </c>
      <c r="G3360" s="12" t="s">
        <v>11618</v>
      </c>
      <c r="H3360" s="128">
        <v>17.0</v>
      </c>
      <c r="I3360" s="12" t="s">
        <v>2890</v>
      </c>
      <c r="J3360" s="19"/>
      <c r="K3360" s="19"/>
      <c r="L3360" s="12" t="s">
        <v>51</v>
      </c>
      <c r="M3360" s="19"/>
      <c r="N3360" s="34"/>
      <c r="O3360" s="148">
        <v>46060.0</v>
      </c>
      <c r="P3360" s="19"/>
    </row>
    <row r="3361" hidden="1">
      <c r="A3361" s="908">
        <v>25.0</v>
      </c>
      <c r="B3361" s="912" t="s">
        <v>11619</v>
      </c>
      <c r="C3361" s="306" t="s">
        <v>80</v>
      </c>
      <c r="D3361" s="342" t="s">
        <v>11620</v>
      </c>
      <c r="E3361" s="342" t="s">
        <v>11621</v>
      </c>
      <c r="F3361" s="306" t="s">
        <v>11622</v>
      </c>
      <c r="G3361" s="12" t="s">
        <v>11485</v>
      </c>
      <c r="H3361" s="128">
        <v>19.0</v>
      </c>
      <c r="I3361" s="767" t="s">
        <v>10093</v>
      </c>
      <c r="J3361" s="19"/>
      <c r="K3361" s="19"/>
      <c r="L3361" s="292" t="s">
        <v>4195</v>
      </c>
      <c r="M3361" s="19"/>
      <c r="N3361" s="34" t="s">
        <v>11623</v>
      </c>
      <c r="O3361" s="34" t="s">
        <v>11485</v>
      </c>
      <c r="P3361" s="19"/>
    </row>
    <row r="3362" hidden="1">
      <c r="A3362" s="908">
        <v>26.0</v>
      </c>
      <c r="B3362" s="718" t="s">
        <v>11624</v>
      </c>
      <c r="C3362" s="306" t="s">
        <v>80</v>
      </c>
      <c r="D3362" s="342" t="s">
        <v>11625</v>
      </c>
      <c r="E3362" s="342" t="s">
        <v>11626</v>
      </c>
      <c r="F3362" s="306" t="s">
        <v>11627</v>
      </c>
      <c r="G3362" s="12" t="s">
        <v>11485</v>
      </c>
      <c r="H3362" s="128">
        <v>19.0</v>
      </c>
      <c r="I3362" s="767" t="s">
        <v>10093</v>
      </c>
      <c r="J3362" s="19"/>
      <c r="K3362" s="19"/>
      <c r="L3362" s="12" t="s">
        <v>374</v>
      </c>
      <c r="M3362" s="19"/>
      <c r="N3362" s="19"/>
      <c r="O3362" s="12" t="s">
        <v>11628</v>
      </c>
      <c r="P3362" s="587" t="s">
        <v>1432</v>
      </c>
    </row>
    <row r="3363" hidden="1">
      <c r="A3363" s="908">
        <v>27.0</v>
      </c>
      <c r="B3363" s="718" t="s">
        <v>11629</v>
      </c>
      <c r="C3363" s="306" t="s">
        <v>80</v>
      </c>
      <c r="D3363" s="342" t="s">
        <v>11630</v>
      </c>
      <c r="E3363" s="342" t="s">
        <v>11631</v>
      </c>
      <c r="F3363" s="349" t="s">
        <v>11627</v>
      </c>
      <c r="G3363" s="12" t="s">
        <v>11485</v>
      </c>
      <c r="H3363" s="128">
        <v>19.0</v>
      </c>
      <c r="I3363" s="12" t="s">
        <v>2890</v>
      </c>
      <c r="J3363" s="19"/>
      <c r="K3363" s="19"/>
      <c r="L3363" s="12" t="s">
        <v>374</v>
      </c>
      <c r="M3363" s="19"/>
      <c r="N3363" s="19"/>
      <c r="O3363" s="12" t="s">
        <v>11628</v>
      </c>
      <c r="P3363" s="587" t="s">
        <v>1432</v>
      </c>
    </row>
    <row r="3364" hidden="1">
      <c r="A3364" s="908">
        <v>28.0</v>
      </c>
      <c r="B3364" s="718" t="s">
        <v>11632</v>
      </c>
      <c r="C3364" s="306" t="s">
        <v>80</v>
      </c>
      <c r="D3364" s="342" t="s">
        <v>11633</v>
      </c>
      <c r="E3364" s="342" t="s">
        <v>11634</v>
      </c>
      <c r="F3364" s="306" t="s">
        <v>11627</v>
      </c>
      <c r="G3364" s="12" t="s">
        <v>11485</v>
      </c>
      <c r="H3364" s="128">
        <v>19.0</v>
      </c>
      <c r="I3364" s="767" t="s">
        <v>10093</v>
      </c>
      <c r="J3364" s="19"/>
      <c r="K3364" s="19"/>
      <c r="L3364" s="292" t="s">
        <v>4195</v>
      </c>
      <c r="M3364" s="19"/>
      <c r="N3364" s="19"/>
      <c r="O3364" s="34" t="s">
        <v>11635</v>
      </c>
      <c r="P3364" s="587" t="s">
        <v>1432</v>
      </c>
    </row>
    <row r="3365" hidden="1">
      <c r="A3365" s="908">
        <v>29.0</v>
      </c>
      <c r="B3365" s="718" t="s">
        <v>11636</v>
      </c>
      <c r="C3365" s="306" t="s">
        <v>80</v>
      </c>
      <c r="D3365" s="342" t="s">
        <v>11637</v>
      </c>
      <c r="E3365" s="342" t="s">
        <v>11638</v>
      </c>
      <c r="F3365" s="349" t="s">
        <v>556</v>
      </c>
      <c r="G3365" s="12" t="s">
        <v>11485</v>
      </c>
      <c r="H3365" s="128">
        <v>19.0</v>
      </c>
      <c r="I3365" s="12" t="s">
        <v>2890</v>
      </c>
      <c r="J3365" s="19"/>
      <c r="K3365" s="19"/>
      <c r="L3365" s="12" t="s">
        <v>51</v>
      </c>
      <c r="M3365" s="19"/>
      <c r="N3365" s="34" t="s">
        <v>11639</v>
      </c>
      <c r="O3365" s="34" t="s">
        <v>11008</v>
      </c>
      <c r="P3365" s="587" t="s">
        <v>1432</v>
      </c>
    </row>
    <row r="3366" hidden="1">
      <c r="A3366" s="908">
        <v>30.0</v>
      </c>
      <c r="B3366" s="718" t="s">
        <v>11640</v>
      </c>
      <c r="C3366" s="306" t="s">
        <v>80</v>
      </c>
      <c r="D3366" s="342" t="s">
        <v>11641</v>
      </c>
      <c r="E3366" s="342" t="s">
        <v>11642</v>
      </c>
      <c r="F3366" s="306" t="s">
        <v>556</v>
      </c>
      <c r="G3366" s="12" t="s">
        <v>11485</v>
      </c>
      <c r="H3366" s="128">
        <v>19.0</v>
      </c>
      <c r="I3366" s="12" t="s">
        <v>2890</v>
      </c>
      <c r="J3366" s="34" t="s">
        <v>51</v>
      </c>
      <c r="K3366" s="34" t="s">
        <v>11183</v>
      </c>
      <c r="L3366" s="12" t="s">
        <v>51</v>
      </c>
      <c r="M3366" s="19"/>
      <c r="N3366" s="34" t="s">
        <v>11639</v>
      </c>
      <c r="O3366" s="34" t="s">
        <v>11308</v>
      </c>
      <c r="P3366" s="587" t="s">
        <v>1432</v>
      </c>
    </row>
    <row r="3367" hidden="1">
      <c r="A3367" s="908">
        <v>31.0</v>
      </c>
      <c r="B3367" s="718" t="s">
        <v>11643</v>
      </c>
      <c r="C3367" s="306" t="s">
        <v>80</v>
      </c>
      <c r="D3367" s="342" t="s">
        <v>11644</v>
      </c>
      <c r="E3367" s="342" t="s">
        <v>11645</v>
      </c>
      <c r="F3367" s="306" t="s">
        <v>556</v>
      </c>
      <c r="G3367" s="12" t="s">
        <v>11485</v>
      </c>
      <c r="H3367" s="128">
        <v>19.0</v>
      </c>
      <c r="I3367" s="12" t="s">
        <v>2890</v>
      </c>
      <c r="J3367" s="19"/>
      <c r="K3367" s="19"/>
      <c r="L3367" s="292" t="s">
        <v>4195</v>
      </c>
      <c r="M3367" s="19"/>
      <c r="N3367" s="34" t="s">
        <v>11646</v>
      </c>
      <c r="O3367" s="34" t="s">
        <v>11478</v>
      </c>
      <c r="P3367" s="587" t="s">
        <v>1432</v>
      </c>
    </row>
    <row r="3368" hidden="1">
      <c r="A3368" s="908">
        <v>32.0</v>
      </c>
      <c r="B3368" s="718" t="s">
        <v>11647</v>
      </c>
      <c r="C3368" s="306" t="s">
        <v>80</v>
      </c>
      <c r="D3368" s="342" t="s">
        <v>11648</v>
      </c>
      <c r="E3368" s="913" t="s">
        <v>11649</v>
      </c>
      <c r="F3368" s="306" t="s">
        <v>3583</v>
      </c>
      <c r="G3368" s="12" t="s">
        <v>11550</v>
      </c>
      <c r="H3368" s="128">
        <v>14.0</v>
      </c>
      <c r="I3368" s="12" t="s">
        <v>2890</v>
      </c>
      <c r="J3368" s="19"/>
      <c r="K3368" s="19"/>
      <c r="L3368" s="12" t="s">
        <v>778</v>
      </c>
      <c r="M3368" s="19"/>
      <c r="N3368" s="19"/>
      <c r="O3368" s="34" t="s">
        <v>11465</v>
      </c>
      <c r="P3368" s="19"/>
    </row>
    <row r="3369" hidden="1">
      <c r="A3369" s="908">
        <v>33.0</v>
      </c>
      <c r="B3369" s="718" t="s">
        <v>11650</v>
      </c>
      <c r="C3369" s="306" t="s">
        <v>80</v>
      </c>
      <c r="D3369" s="342" t="s">
        <v>11651</v>
      </c>
      <c r="E3369" s="914" t="s">
        <v>11652</v>
      </c>
      <c r="F3369" s="306" t="s">
        <v>3583</v>
      </c>
      <c r="G3369" s="12" t="s">
        <v>11550</v>
      </c>
      <c r="H3369" s="128">
        <v>14.0</v>
      </c>
      <c r="I3369" s="12" t="s">
        <v>2890</v>
      </c>
      <c r="J3369" s="19"/>
      <c r="K3369" s="19"/>
      <c r="L3369" s="12" t="s">
        <v>778</v>
      </c>
      <c r="M3369" s="19"/>
      <c r="N3369" s="19"/>
      <c r="O3369" s="34" t="s">
        <v>11478</v>
      </c>
      <c r="P3369" s="19"/>
    </row>
    <row r="3370" hidden="1">
      <c r="A3370" s="908">
        <v>34.0</v>
      </c>
      <c r="B3370" s="718" t="s">
        <v>11653</v>
      </c>
      <c r="C3370" s="306" t="s">
        <v>80</v>
      </c>
      <c r="D3370" s="342" t="s">
        <v>11654</v>
      </c>
      <c r="E3370" s="914" t="s">
        <v>11655</v>
      </c>
      <c r="F3370" s="306" t="s">
        <v>3583</v>
      </c>
      <c r="G3370" s="12" t="s">
        <v>11550</v>
      </c>
      <c r="H3370" s="128">
        <v>14.0</v>
      </c>
      <c r="I3370" s="12" t="s">
        <v>2890</v>
      </c>
      <c r="J3370" s="19"/>
      <c r="K3370" s="19"/>
      <c r="L3370" s="12" t="s">
        <v>778</v>
      </c>
      <c r="M3370" s="19"/>
      <c r="N3370" s="19"/>
      <c r="O3370" s="34" t="s">
        <v>11465</v>
      </c>
      <c r="P3370" s="19"/>
    </row>
    <row r="3371" hidden="1">
      <c r="A3371" s="908">
        <v>35.0</v>
      </c>
      <c r="B3371" s="718" t="s">
        <v>11656</v>
      </c>
      <c r="C3371" s="306" t="s">
        <v>80</v>
      </c>
      <c r="D3371" s="342" t="s">
        <v>11657</v>
      </c>
      <c r="E3371" s="914" t="s">
        <v>11658</v>
      </c>
      <c r="F3371" s="306" t="s">
        <v>3583</v>
      </c>
      <c r="G3371" s="12" t="s">
        <v>11550</v>
      </c>
      <c r="H3371" s="128">
        <v>14.0</v>
      </c>
      <c r="I3371" s="12" t="s">
        <v>2890</v>
      </c>
      <c r="J3371" s="19"/>
      <c r="K3371" s="19"/>
      <c r="L3371" s="12" t="s">
        <v>778</v>
      </c>
      <c r="M3371" s="19"/>
      <c r="N3371" s="19"/>
      <c r="O3371" s="34" t="s">
        <v>11465</v>
      </c>
      <c r="P3371" s="19"/>
    </row>
    <row r="3372" hidden="1">
      <c r="A3372" s="908">
        <v>36.0</v>
      </c>
      <c r="B3372" s="718" t="s">
        <v>11659</v>
      </c>
      <c r="C3372" s="306" t="s">
        <v>80</v>
      </c>
      <c r="D3372" s="342" t="s">
        <v>11660</v>
      </c>
      <c r="E3372" s="914" t="s">
        <v>11661</v>
      </c>
      <c r="F3372" s="306" t="s">
        <v>3583</v>
      </c>
      <c r="G3372" s="12" t="s">
        <v>11550</v>
      </c>
      <c r="H3372" s="128">
        <v>14.0</v>
      </c>
      <c r="I3372" s="12" t="s">
        <v>2890</v>
      </c>
      <c r="J3372" s="19"/>
      <c r="K3372" s="19"/>
      <c r="L3372" s="12" t="s">
        <v>778</v>
      </c>
      <c r="M3372" s="19"/>
      <c r="N3372" s="19"/>
      <c r="O3372" s="34" t="s">
        <v>11510</v>
      </c>
      <c r="P3372" s="19"/>
    </row>
    <row r="3373" hidden="1">
      <c r="A3373" s="908">
        <v>37.0</v>
      </c>
      <c r="B3373" s="718" t="s">
        <v>11662</v>
      </c>
      <c r="C3373" s="653"/>
      <c r="D3373" s="342" t="s">
        <v>11663</v>
      </c>
      <c r="E3373" s="915" t="s">
        <v>11664</v>
      </c>
      <c r="F3373" s="653"/>
      <c r="G3373" s="12" t="s">
        <v>11550</v>
      </c>
      <c r="H3373" s="128">
        <v>14.0</v>
      </c>
      <c r="I3373" s="12" t="s">
        <v>2890</v>
      </c>
      <c r="J3373" s="19"/>
      <c r="K3373" s="19"/>
      <c r="L3373" s="12" t="s">
        <v>778</v>
      </c>
      <c r="M3373" s="19"/>
      <c r="N3373" s="19"/>
      <c r="O3373" s="34" t="s">
        <v>11510</v>
      </c>
      <c r="P3373" s="19"/>
    </row>
    <row r="3374" hidden="1">
      <c r="A3374" s="908">
        <v>38.0</v>
      </c>
      <c r="B3374" s="718" t="s">
        <v>11665</v>
      </c>
      <c r="C3374" s="306" t="s">
        <v>80</v>
      </c>
      <c r="D3374" s="342" t="s">
        <v>11666</v>
      </c>
      <c r="E3374" s="914" t="s">
        <v>11667</v>
      </c>
      <c r="F3374" s="306" t="s">
        <v>3583</v>
      </c>
      <c r="G3374" s="12" t="s">
        <v>11550</v>
      </c>
      <c r="H3374" s="128">
        <v>14.0</v>
      </c>
      <c r="I3374" s="12" t="s">
        <v>2890</v>
      </c>
      <c r="J3374" s="19"/>
      <c r="K3374" s="19"/>
      <c r="L3374" s="12" t="s">
        <v>778</v>
      </c>
      <c r="M3374" s="19"/>
      <c r="N3374" s="19"/>
      <c r="O3374" s="34" t="s">
        <v>11478</v>
      </c>
      <c r="P3374" s="19"/>
    </row>
    <row r="3375" hidden="1">
      <c r="A3375" s="908">
        <v>39.0</v>
      </c>
      <c r="B3375" s="718" t="s">
        <v>11668</v>
      </c>
      <c r="C3375" s="306" t="s">
        <v>651</v>
      </c>
      <c r="D3375" s="342" t="s">
        <v>11669</v>
      </c>
      <c r="E3375" s="342" t="s">
        <v>11670</v>
      </c>
      <c r="F3375" s="306" t="s">
        <v>4779</v>
      </c>
      <c r="G3375" s="12" t="s">
        <v>11606</v>
      </c>
      <c r="H3375" s="128">
        <v>20.0</v>
      </c>
      <c r="I3375" s="767" t="s">
        <v>10093</v>
      </c>
      <c r="J3375" s="19"/>
      <c r="K3375" s="19"/>
      <c r="L3375" s="304" t="s">
        <v>374</v>
      </c>
      <c r="M3375" s="19"/>
      <c r="N3375" s="19"/>
      <c r="O3375" s="34" t="s">
        <v>11308</v>
      </c>
      <c r="P3375" s="587" t="s">
        <v>1432</v>
      </c>
    </row>
    <row r="3376" hidden="1">
      <c r="A3376" s="908">
        <v>40.0</v>
      </c>
      <c r="B3376" s="718" t="s">
        <v>11671</v>
      </c>
      <c r="C3376" s="306" t="s">
        <v>651</v>
      </c>
      <c r="D3376" s="342" t="s">
        <v>11672</v>
      </c>
      <c r="E3376" s="342" t="s">
        <v>11673</v>
      </c>
      <c r="F3376" s="306" t="s">
        <v>5436</v>
      </c>
      <c r="G3376" s="12" t="s">
        <v>11606</v>
      </c>
      <c r="H3376" s="128">
        <v>20.0</v>
      </c>
      <c r="I3376" s="12" t="s">
        <v>2890</v>
      </c>
      <c r="J3376" s="19"/>
      <c r="K3376" s="19"/>
      <c r="L3376" s="33" t="s">
        <v>51</v>
      </c>
      <c r="M3376" s="19"/>
      <c r="N3376" s="34"/>
      <c r="O3376" s="34" t="s">
        <v>11674</v>
      </c>
      <c r="P3376" s="587" t="s">
        <v>1432</v>
      </c>
    </row>
    <row r="3377" hidden="1">
      <c r="A3377" s="908">
        <v>41.0</v>
      </c>
      <c r="B3377" s="718" t="s">
        <v>11675</v>
      </c>
      <c r="C3377" s="306" t="s">
        <v>80</v>
      </c>
      <c r="D3377" s="342" t="s">
        <v>11676</v>
      </c>
      <c r="E3377" s="342" t="s">
        <v>11677</v>
      </c>
      <c r="F3377" s="306" t="s">
        <v>11678</v>
      </c>
      <c r="G3377" s="12" t="s">
        <v>11599</v>
      </c>
      <c r="H3377" s="128">
        <v>21.0</v>
      </c>
      <c r="I3377" s="767" t="s">
        <v>5895</v>
      </c>
      <c r="J3377" s="19"/>
      <c r="K3377" s="19"/>
      <c r="L3377" s="304" t="s">
        <v>4195</v>
      </c>
      <c r="M3377" s="19"/>
      <c r="N3377" s="19"/>
      <c r="O3377" s="143" t="s">
        <v>11321</v>
      </c>
      <c r="P3377" s="19"/>
    </row>
    <row r="3378" hidden="1">
      <c r="A3378" s="908">
        <v>42.0</v>
      </c>
      <c r="B3378" s="718" t="s">
        <v>11679</v>
      </c>
      <c r="C3378" s="306" t="s">
        <v>651</v>
      </c>
      <c r="D3378" s="342" t="s">
        <v>11680</v>
      </c>
      <c r="E3378" s="342" t="s">
        <v>11681</v>
      </c>
      <c r="F3378" s="306" t="s">
        <v>4099</v>
      </c>
      <c r="G3378" s="12" t="s">
        <v>11606</v>
      </c>
      <c r="H3378" s="128">
        <v>20.0</v>
      </c>
      <c r="I3378" s="12" t="s">
        <v>2890</v>
      </c>
      <c r="J3378" s="19"/>
      <c r="K3378" s="19"/>
      <c r="L3378" s="304" t="s">
        <v>374</v>
      </c>
      <c r="M3378" s="19"/>
      <c r="N3378" s="19"/>
      <c r="O3378" s="34" t="s">
        <v>11437</v>
      </c>
      <c r="P3378" s="19"/>
    </row>
    <row r="3379" hidden="1">
      <c r="A3379" s="908">
        <v>43.0</v>
      </c>
      <c r="B3379" s="718" t="s">
        <v>11682</v>
      </c>
      <c r="C3379" s="306" t="s">
        <v>80</v>
      </c>
      <c r="D3379" s="342" t="s">
        <v>11683</v>
      </c>
      <c r="E3379" s="342" t="s">
        <v>11684</v>
      </c>
      <c r="F3379" s="306" t="s">
        <v>11685</v>
      </c>
      <c r="G3379" s="12" t="s">
        <v>11599</v>
      </c>
      <c r="H3379" s="128">
        <v>21.0</v>
      </c>
      <c r="I3379" s="12" t="s">
        <v>2890</v>
      </c>
      <c r="J3379" s="19"/>
      <c r="K3379" s="19"/>
      <c r="L3379" s="33" t="s">
        <v>51</v>
      </c>
      <c r="M3379" s="19"/>
      <c r="N3379" s="34" t="s">
        <v>11686</v>
      </c>
      <c r="O3379" s="148">
        <v>46029.0</v>
      </c>
      <c r="P3379" s="587" t="s">
        <v>1432</v>
      </c>
    </row>
    <row r="3380" hidden="1">
      <c r="A3380" s="908">
        <v>44.0</v>
      </c>
      <c r="B3380" s="718" t="s">
        <v>11687</v>
      </c>
      <c r="C3380" s="306" t="s">
        <v>80</v>
      </c>
      <c r="D3380" s="342" t="s">
        <v>11688</v>
      </c>
      <c r="E3380" s="342" t="s">
        <v>11689</v>
      </c>
      <c r="F3380" s="306" t="s">
        <v>9951</v>
      </c>
      <c r="G3380" s="12" t="s">
        <v>11599</v>
      </c>
      <c r="H3380" s="128">
        <v>21.0</v>
      </c>
      <c r="I3380" s="767" t="s">
        <v>10093</v>
      </c>
      <c r="J3380" s="19"/>
      <c r="K3380" s="19"/>
      <c r="L3380" s="12" t="s">
        <v>778</v>
      </c>
      <c r="M3380" s="19"/>
      <c r="N3380" s="19"/>
      <c r="O3380" s="34" t="s">
        <v>11308</v>
      </c>
      <c r="P3380" s="19"/>
    </row>
    <row r="3381" hidden="1">
      <c r="A3381" s="908">
        <v>45.0</v>
      </c>
      <c r="B3381" s="718" t="s">
        <v>11690</v>
      </c>
      <c r="C3381" s="306" t="s">
        <v>80</v>
      </c>
      <c r="D3381" s="342" t="s">
        <v>11691</v>
      </c>
      <c r="E3381" s="914" t="s">
        <v>11692</v>
      </c>
      <c r="F3381" s="306" t="s">
        <v>3928</v>
      </c>
      <c r="G3381" s="12" t="s">
        <v>11404</v>
      </c>
      <c r="H3381" s="128">
        <v>15.0</v>
      </c>
      <c r="I3381" s="767" t="s">
        <v>10093</v>
      </c>
      <c r="J3381" s="19"/>
      <c r="K3381" s="19"/>
      <c r="L3381" s="12" t="s">
        <v>11693</v>
      </c>
      <c r="M3381" s="19"/>
      <c r="N3381" s="19"/>
      <c r="O3381" s="34" t="s">
        <v>11694</v>
      </c>
      <c r="P3381" s="19"/>
    </row>
    <row r="3382" hidden="1">
      <c r="A3382" s="908">
        <v>46.0</v>
      </c>
      <c r="B3382" s="718" t="s">
        <v>11695</v>
      </c>
      <c r="C3382" s="306" t="s">
        <v>80</v>
      </c>
      <c r="D3382" s="342" t="s">
        <v>11696</v>
      </c>
      <c r="E3382" s="914" t="s">
        <v>11697</v>
      </c>
      <c r="F3382" s="306" t="s">
        <v>3928</v>
      </c>
      <c r="G3382" s="12" t="s">
        <v>11404</v>
      </c>
      <c r="H3382" s="128">
        <v>15.0</v>
      </c>
      <c r="I3382" s="12" t="s">
        <v>2890</v>
      </c>
      <c r="J3382" s="19"/>
      <c r="K3382" s="19"/>
      <c r="L3382" s="12" t="s">
        <v>11693</v>
      </c>
      <c r="M3382" s="19"/>
      <c r="N3382" s="19"/>
      <c r="O3382" s="34" t="s">
        <v>11694</v>
      </c>
      <c r="P3382" s="19"/>
    </row>
    <row r="3383" hidden="1">
      <c r="A3383" s="908">
        <v>47.0</v>
      </c>
      <c r="B3383" s="718" t="s">
        <v>11698</v>
      </c>
      <c r="C3383" s="306" t="s">
        <v>80</v>
      </c>
      <c r="D3383" s="342" t="s">
        <v>11699</v>
      </c>
      <c r="E3383" s="914" t="s">
        <v>11700</v>
      </c>
      <c r="F3383" s="306" t="s">
        <v>3928</v>
      </c>
      <c r="G3383" s="12" t="s">
        <v>11404</v>
      </c>
      <c r="H3383" s="128">
        <v>15.0</v>
      </c>
      <c r="I3383" s="12" t="s">
        <v>2890</v>
      </c>
      <c r="J3383" s="19"/>
      <c r="K3383" s="19"/>
      <c r="L3383" s="12" t="s">
        <v>11693</v>
      </c>
      <c r="M3383" s="19"/>
      <c r="N3383" s="19"/>
      <c r="O3383" s="34" t="s">
        <v>11701</v>
      </c>
      <c r="P3383" s="19"/>
    </row>
    <row r="3384" hidden="1">
      <c r="A3384" s="342">
        <v>48.0</v>
      </c>
      <c r="B3384" s="718" t="s">
        <v>11702</v>
      </c>
      <c r="C3384" s="306" t="s">
        <v>8223</v>
      </c>
      <c r="D3384" s="342" t="s">
        <v>11703</v>
      </c>
      <c r="E3384" s="914" t="s">
        <v>11704</v>
      </c>
      <c r="F3384" s="306" t="s">
        <v>4390</v>
      </c>
      <c r="G3384" s="12" t="s">
        <v>11705</v>
      </c>
      <c r="H3384" s="128">
        <v>16.0</v>
      </c>
      <c r="I3384" s="12" t="s">
        <v>2890</v>
      </c>
      <c r="J3384" s="19"/>
      <c r="K3384" s="19"/>
      <c r="L3384" s="12" t="s">
        <v>778</v>
      </c>
      <c r="M3384" s="19"/>
      <c r="N3384" s="19"/>
      <c r="O3384" s="34" t="s">
        <v>10573</v>
      </c>
      <c r="P3384" s="19"/>
    </row>
    <row r="3385">
      <c r="A3385" s="339" t="s">
        <v>11706</v>
      </c>
      <c r="Q3385" s="35"/>
      <c r="R3385" s="35"/>
      <c r="S3385" s="35"/>
      <c r="T3385" s="35"/>
      <c r="U3385" s="35"/>
      <c r="V3385" s="35"/>
      <c r="W3385" s="35"/>
      <c r="X3385" s="35"/>
      <c r="Y3385" s="35"/>
      <c r="Z3385" s="35"/>
      <c r="AA3385" s="35"/>
      <c r="AB3385" s="35"/>
      <c r="AC3385" s="35"/>
      <c r="AD3385" s="35"/>
      <c r="AE3385" s="35"/>
      <c r="AF3385" s="35"/>
    </row>
    <row r="3386">
      <c r="A3386" s="670" t="s">
        <v>47</v>
      </c>
      <c r="B3386" s="670" t="s">
        <v>7</v>
      </c>
      <c r="C3386" s="670" t="s">
        <v>9</v>
      </c>
      <c r="D3386" s="670" t="s">
        <v>10</v>
      </c>
      <c r="E3386" s="670" t="s">
        <v>11</v>
      </c>
      <c r="F3386" s="670" t="s">
        <v>12</v>
      </c>
      <c r="G3386" s="670" t="s">
        <v>2378</v>
      </c>
      <c r="H3386" s="670" t="s">
        <v>2681</v>
      </c>
      <c r="I3386" s="4" t="s">
        <v>2847</v>
      </c>
      <c r="J3386" s="8" t="s">
        <v>14</v>
      </c>
      <c r="K3386" s="9" t="s">
        <v>16</v>
      </c>
      <c r="L3386" s="9" t="s">
        <v>4330</v>
      </c>
      <c r="M3386" s="9" t="s">
        <v>18</v>
      </c>
      <c r="N3386" s="9" t="s">
        <v>19</v>
      </c>
      <c r="O3386" s="9" t="s">
        <v>20</v>
      </c>
      <c r="P3386" s="9" t="s">
        <v>21</v>
      </c>
      <c r="Q3386" s="35"/>
      <c r="R3386" s="35"/>
      <c r="S3386" s="35"/>
      <c r="T3386" s="35"/>
      <c r="U3386" s="35"/>
      <c r="V3386" s="35"/>
      <c r="W3386" s="35"/>
      <c r="X3386" s="35"/>
      <c r="Y3386" s="35"/>
      <c r="Z3386" s="35"/>
      <c r="AA3386" s="35"/>
      <c r="AB3386" s="35"/>
      <c r="AC3386" s="35"/>
      <c r="AD3386" s="35"/>
      <c r="AE3386" s="35"/>
      <c r="AF3386" s="35"/>
    </row>
    <row r="3387" hidden="1">
      <c r="A3387" s="342">
        <v>1.0</v>
      </c>
      <c r="B3387" s="512" t="s">
        <v>11707</v>
      </c>
      <c r="C3387" s="342" t="s">
        <v>2307</v>
      </c>
      <c r="D3387" s="342" t="s">
        <v>11708</v>
      </c>
      <c r="E3387" s="342" t="s">
        <v>11709</v>
      </c>
      <c r="F3387" s="306" t="s">
        <v>148</v>
      </c>
      <c r="G3387" s="306" t="s">
        <v>10573</v>
      </c>
      <c r="H3387" s="916">
        <v>8.0</v>
      </c>
      <c r="I3387" s="275" t="s">
        <v>2890</v>
      </c>
      <c r="J3387" s="34" t="s">
        <v>9131</v>
      </c>
      <c r="K3387" s="19"/>
      <c r="L3387" s="12" t="s">
        <v>699</v>
      </c>
      <c r="M3387" s="19"/>
      <c r="N3387" s="19"/>
      <c r="O3387" s="148">
        <v>46210.0</v>
      </c>
      <c r="P3387" s="587" t="s">
        <v>1432</v>
      </c>
    </row>
    <row r="3388" hidden="1">
      <c r="A3388" s="342">
        <v>2.0</v>
      </c>
      <c r="B3388" s="512" t="s">
        <v>11710</v>
      </c>
      <c r="C3388" s="306" t="s">
        <v>2307</v>
      </c>
      <c r="D3388" s="342" t="s">
        <v>11711</v>
      </c>
      <c r="E3388" s="342" t="s">
        <v>11712</v>
      </c>
      <c r="F3388" s="306" t="s">
        <v>11713</v>
      </c>
      <c r="G3388" s="306" t="s">
        <v>10573</v>
      </c>
      <c r="H3388" s="916">
        <v>8.0</v>
      </c>
      <c r="I3388" s="596" t="s">
        <v>11714</v>
      </c>
      <c r="J3388" s="34" t="s">
        <v>9213</v>
      </c>
      <c r="K3388" s="19"/>
      <c r="L3388" s="12" t="s">
        <v>699</v>
      </c>
      <c r="M3388" s="19"/>
      <c r="N3388" s="19"/>
      <c r="O3388" s="148">
        <v>46210.0</v>
      </c>
      <c r="P3388" s="587" t="s">
        <v>1432</v>
      </c>
    </row>
    <row r="3389" hidden="1">
      <c r="A3389" s="342">
        <v>3.0</v>
      </c>
      <c r="B3389" s="512" t="s">
        <v>11715</v>
      </c>
      <c r="C3389" s="306" t="s">
        <v>80</v>
      </c>
      <c r="D3389" s="342" t="s">
        <v>11716</v>
      </c>
      <c r="E3389" s="917" t="s">
        <v>11717</v>
      </c>
      <c r="F3389" s="306" t="s">
        <v>11718</v>
      </c>
      <c r="G3389" s="306" t="s">
        <v>11568</v>
      </c>
      <c r="H3389" s="53">
        <v>19.0</v>
      </c>
      <c r="I3389" s="275" t="s">
        <v>2890</v>
      </c>
      <c r="J3389" s="19"/>
      <c r="K3389" s="19"/>
      <c r="L3389" s="12" t="s">
        <v>778</v>
      </c>
      <c r="M3389" s="19"/>
      <c r="N3389" s="19"/>
      <c r="O3389" s="34" t="s">
        <v>11008</v>
      </c>
      <c r="P3389" s="19"/>
    </row>
    <row r="3390" hidden="1">
      <c r="A3390" s="342">
        <v>4.0</v>
      </c>
      <c r="B3390" s="512" t="s">
        <v>11719</v>
      </c>
      <c r="C3390" s="306" t="s">
        <v>80</v>
      </c>
      <c r="D3390" s="342" t="s">
        <v>11720</v>
      </c>
      <c r="E3390" s="917" t="s">
        <v>11721</v>
      </c>
      <c r="F3390" s="306" t="s">
        <v>11718</v>
      </c>
      <c r="G3390" s="306" t="s">
        <v>11568</v>
      </c>
      <c r="H3390" s="53">
        <v>19.0</v>
      </c>
      <c r="I3390" s="275" t="s">
        <v>2890</v>
      </c>
      <c r="J3390" s="19"/>
      <c r="K3390" s="19"/>
      <c r="L3390" s="12" t="s">
        <v>778</v>
      </c>
      <c r="M3390" s="19"/>
      <c r="N3390" s="19"/>
      <c r="O3390" s="34" t="s">
        <v>11008</v>
      </c>
      <c r="P3390" s="19"/>
    </row>
    <row r="3391" hidden="1">
      <c r="A3391" s="342">
        <v>5.0</v>
      </c>
      <c r="B3391" s="512" t="s">
        <v>11722</v>
      </c>
      <c r="C3391" s="306" t="s">
        <v>80</v>
      </c>
      <c r="D3391" s="342" t="s">
        <v>11723</v>
      </c>
      <c r="E3391" s="917" t="s">
        <v>11724</v>
      </c>
      <c r="F3391" s="306" t="s">
        <v>11718</v>
      </c>
      <c r="G3391" s="306" t="s">
        <v>11568</v>
      </c>
      <c r="H3391" s="53">
        <v>19.0</v>
      </c>
      <c r="I3391" s="275" t="s">
        <v>2890</v>
      </c>
      <c r="J3391" s="19"/>
      <c r="K3391" s="19"/>
      <c r="L3391" s="12" t="s">
        <v>778</v>
      </c>
      <c r="M3391" s="19"/>
      <c r="N3391" s="19"/>
      <c r="O3391" s="34" t="s">
        <v>11008</v>
      </c>
      <c r="P3391" s="19"/>
    </row>
    <row r="3392" hidden="1">
      <c r="A3392" s="342">
        <v>6.0</v>
      </c>
      <c r="B3392" s="512" t="s">
        <v>11725</v>
      </c>
      <c r="C3392" s="306" t="s">
        <v>80</v>
      </c>
      <c r="D3392" s="342" t="s">
        <v>11726</v>
      </c>
      <c r="E3392" s="911" t="s">
        <v>11727</v>
      </c>
      <c r="F3392" s="306" t="s">
        <v>9503</v>
      </c>
      <c r="G3392" s="306" t="s">
        <v>11187</v>
      </c>
      <c r="H3392" s="53">
        <v>18.0</v>
      </c>
      <c r="I3392" s="275" t="s">
        <v>2890</v>
      </c>
      <c r="J3392" s="19"/>
      <c r="K3392" s="19"/>
      <c r="L3392" s="12" t="s">
        <v>374</v>
      </c>
      <c r="M3392" s="19"/>
      <c r="N3392" s="19"/>
      <c r="O3392" s="23">
        <v>46060.0</v>
      </c>
      <c r="P3392" s="587" t="s">
        <v>1432</v>
      </c>
    </row>
    <row r="3393" hidden="1">
      <c r="A3393" s="342">
        <v>7.0</v>
      </c>
      <c r="B3393" s="512" t="s">
        <v>11728</v>
      </c>
      <c r="C3393" s="306" t="s">
        <v>80</v>
      </c>
      <c r="D3393" s="342" t="s">
        <v>11729</v>
      </c>
      <c r="E3393" s="911" t="s">
        <v>11730</v>
      </c>
      <c r="F3393" s="306" t="s">
        <v>9503</v>
      </c>
      <c r="G3393" s="306" t="s">
        <v>11187</v>
      </c>
      <c r="H3393" s="53">
        <v>18.0</v>
      </c>
      <c r="I3393" s="275" t="s">
        <v>2890</v>
      </c>
      <c r="J3393" s="19"/>
      <c r="K3393" s="19"/>
      <c r="L3393" s="12" t="s">
        <v>374</v>
      </c>
      <c r="M3393" s="19"/>
      <c r="N3393" s="19"/>
      <c r="O3393" s="23">
        <v>46060.0</v>
      </c>
      <c r="P3393" s="587" t="s">
        <v>1432</v>
      </c>
    </row>
    <row r="3394" hidden="1">
      <c r="A3394" s="342">
        <v>8.0</v>
      </c>
      <c r="B3394" s="512" t="s">
        <v>11731</v>
      </c>
      <c r="C3394" s="306" t="s">
        <v>80</v>
      </c>
      <c r="D3394" s="342" t="s">
        <v>11732</v>
      </c>
      <c r="E3394" s="580" t="s">
        <v>11733</v>
      </c>
      <c r="F3394" s="306" t="s">
        <v>3583</v>
      </c>
      <c r="G3394" s="306" t="s">
        <v>11183</v>
      </c>
      <c r="H3394" s="53">
        <v>13.0</v>
      </c>
      <c r="I3394" s="275" t="s">
        <v>2890</v>
      </c>
      <c r="J3394" s="19"/>
      <c r="K3394" s="19"/>
      <c r="L3394" s="12" t="s">
        <v>778</v>
      </c>
      <c r="M3394" s="19"/>
      <c r="N3394" s="19"/>
      <c r="O3394" s="34" t="s">
        <v>11187</v>
      </c>
      <c r="P3394" s="19"/>
    </row>
    <row r="3395" hidden="1">
      <c r="A3395" s="342">
        <v>9.0</v>
      </c>
      <c r="B3395" s="512" t="s">
        <v>11734</v>
      </c>
      <c r="C3395" s="306" t="s">
        <v>80</v>
      </c>
      <c r="D3395" s="342" t="s">
        <v>11735</v>
      </c>
      <c r="E3395" s="580" t="s">
        <v>11736</v>
      </c>
      <c r="F3395" s="306" t="s">
        <v>3583</v>
      </c>
      <c r="G3395" s="306" t="s">
        <v>11183</v>
      </c>
      <c r="H3395" s="53">
        <v>13.0</v>
      </c>
      <c r="I3395" s="275" t="s">
        <v>2890</v>
      </c>
      <c r="J3395" s="19"/>
      <c r="K3395" s="19"/>
      <c r="L3395" s="12" t="s">
        <v>778</v>
      </c>
      <c r="M3395" s="19"/>
      <c r="N3395" s="19"/>
      <c r="O3395" s="34" t="s">
        <v>11437</v>
      </c>
      <c r="P3395" s="19"/>
    </row>
    <row r="3396" hidden="1">
      <c r="A3396" s="342">
        <v>10.0</v>
      </c>
      <c r="B3396" s="512" t="s">
        <v>11737</v>
      </c>
      <c r="C3396" s="306" t="s">
        <v>1058</v>
      </c>
      <c r="D3396" s="342" t="s">
        <v>11738</v>
      </c>
      <c r="E3396" s="342" t="s">
        <v>11739</v>
      </c>
      <c r="F3396" s="306" t="s">
        <v>11740</v>
      </c>
      <c r="G3396" s="306" t="s">
        <v>11187</v>
      </c>
      <c r="H3396" s="53">
        <v>18.0</v>
      </c>
      <c r="I3396" s="275" t="s">
        <v>2890</v>
      </c>
      <c r="J3396" s="19"/>
      <c r="K3396" s="19"/>
      <c r="L3396" s="292" t="s">
        <v>374</v>
      </c>
      <c r="M3396" s="19"/>
      <c r="N3396" s="19"/>
      <c r="O3396" s="34" t="s">
        <v>11308</v>
      </c>
      <c r="P3396" s="587" t="s">
        <v>1432</v>
      </c>
    </row>
    <row r="3397" hidden="1">
      <c r="A3397" s="342">
        <v>11.0</v>
      </c>
      <c r="B3397" s="512" t="s">
        <v>11741</v>
      </c>
      <c r="C3397" s="306" t="s">
        <v>1058</v>
      </c>
      <c r="D3397" s="342" t="s">
        <v>11742</v>
      </c>
      <c r="E3397" s="342" t="s">
        <v>11743</v>
      </c>
      <c r="F3397" s="306" t="s">
        <v>11740</v>
      </c>
      <c r="G3397" s="306" t="s">
        <v>11187</v>
      </c>
      <c r="H3397" s="53">
        <v>18.0</v>
      </c>
      <c r="I3397" s="275" t="s">
        <v>2890</v>
      </c>
      <c r="J3397" s="19"/>
      <c r="K3397" s="19"/>
      <c r="L3397" s="33" t="s">
        <v>374</v>
      </c>
      <c r="M3397" s="19"/>
      <c r="N3397" s="19"/>
      <c r="O3397" s="34" t="s">
        <v>11308</v>
      </c>
      <c r="P3397" s="19"/>
    </row>
    <row r="3398" hidden="1">
      <c r="A3398" s="342">
        <v>12.0</v>
      </c>
      <c r="B3398" s="512" t="s">
        <v>11744</v>
      </c>
      <c r="C3398" s="306" t="s">
        <v>5937</v>
      </c>
      <c r="D3398" s="342" t="s">
        <v>11745</v>
      </c>
      <c r="E3398" s="911" t="s">
        <v>11746</v>
      </c>
      <c r="F3398" s="306" t="s">
        <v>243</v>
      </c>
      <c r="G3398" s="306" t="s">
        <v>11568</v>
      </c>
      <c r="H3398" s="53">
        <v>19.0</v>
      </c>
      <c r="I3398" s="275" t="s">
        <v>2890</v>
      </c>
      <c r="J3398" s="34" t="s">
        <v>1696</v>
      </c>
      <c r="K3398" s="34" t="s">
        <v>11316</v>
      </c>
      <c r="L3398" s="12" t="s">
        <v>51</v>
      </c>
      <c r="M3398" s="19"/>
      <c r="N3398" s="19"/>
      <c r="O3398" s="34" t="s">
        <v>11008</v>
      </c>
      <c r="P3398" s="587" t="s">
        <v>1432</v>
      </c>
    </row>
    <row r="3399" hidden="1">
      <c r="A3399" s="342">
        <v>13.0</v>
      </c>
      <c r="B3399" s="512" t="s">
        <v>11747</v>
      </c>
      <c r="C3399" s="306" t="s">
        <v>5937</v>
      </c>
      <c r="D3399" s="342" t="s">
        <v>11748</v>
      </c>
      <c r="E3399" s="911" t="s">
        <v>11749</v>
      </c>
      <c r="F3399" s="306" t="s">
        <v>243</v>
      </c>
      <c r="G3399" s="306" t="s">
        <v>11568</v>
      </c>
      <c r="H3399" s="53">
        <v>19.0</v>
      </c>
      <c r="I3399" s="596" t="s">
        <v>11714</v>
      </c>
      <c r="J3399" s="34" t="s">
        <v>1696</v>
      </c>
      <c r="K3399" s="34" t="s">
        <v>11316</v>
      </c>
      <c r="L3399" s="12" t="s">
        <v>51</v>
      </c>
      <c r="M3399" s="19"/>
      <c r="N3399" s="19"/>
      <c r="O3399" s="34" t="s">
        <v>11008</v>
      </c>
      <c r="P3399" s="587" t="s">
        <v>1432</v>
      </c>
    </row>
    <row r="3400" hidden="1">
      <c r="A3400" s="342">
        <v>14.0</v>
      </c>
      <c r="B3400" s="512" t="s">
        <v>11750</v>
      </c>
      <c r="C3400" s="306" t="s">
        <v>80</v>
      </c>
      <c r="D3400" s="342" t="s">
        <v>11751</v>
      </c>
      <c r="E3400" s="342" t="s">
        <v>11752</v>
      </c>
      <c r="F3400" s="306" t="s">
        <v>9083</v>
      </c>
      <c r="G3400" s="306" t="s">
        <v>11568</v>
      </c>
      <c r="H3400" s="53">
        <v>19.0</v>
      </c>
      <c r="I3400" s="275" t="s">
        <v>2890</v>
      </c>
      <c r="J3400" s="19"/>
      <c r="K3400" s="19"/>
      <c r="L3400" s="33" t="s">
        <v>4195</v>
      </c>
      <c r="M3400" s="19"/>
      <c r="N3400" s="19"/>
      <c r="O3400" s="34" t="s">
        <v>11753</v>
      </c>
      <c r="P3400" s="587" t="s">
        <v>1432</v>
      </c>
    </row>
    <row r="3401">
      <c r="A3401" s="918">
        <v>15.0</v>
      </c>
      <c r="B3401" s="919" t="s">
        <v>11754</v>
      </c>
      <c r="C3401" s="920" t="s">
        <v>80</v>
      </c>
      <c r="D3401" s="918" t="s">
        <v>11755</v>
      </c>
      <c r="E3401" s="918" t="s">
        <v>11756</v>
      </c>
      <c r="F3401" s="920" t="s">
        <v>11757</v>
      </c>
      <c r="G3401" s="920" t="s">
        <v>11568</v>
      </c>
      <c r="H3401" s="921">
        <v>19.0</v>
      </c>
      <c r="I3401" s="922" t="s">
        <v>2890</v>
      </c>
      <c r="J3401" s="923"/>
      <c r="K3401" s="923"/>
      <c r="L3401" s="924" t="s">
        <v>51</v>
      </c>
      <c r="M3401" s="925"/>
      <c r="N3401" s="926"/>
      <c r="O3401" s="927" t="s">
        <v>11758</v>
      </c>
      <c r="P3401" s="925"/>
      <c r="Q3401" s="923"/>
      <c r="R3401" s="923"/>
      <c r="S3401" s="923"/>
      <c r="T3401" s="923"/>
      <c r="U3401" s="923"/>
      <c r="V3401" s="923"/>
      <c r="W3401" s="923"/>
      <c r="X3401" s="923"/>
      <c r="Y3401" s="923"/>
      <c r="Z3401" s="923"/>
      <c r="AA3401" s="923"/>
      <c r="AB3401" s="923"/>
      <c r="AC3401" s="923"/>
      <c r="AD3401" s="923"/>
      <c r="AE3401" s="923"/>
      <c r="AF3401" s="923"/>
    </row>
    <row r="3402" hidden="1">
      <c r="A3402" s="342">
        <v>16.0</v>
      </c>
      <c r="B3402" s="512" t="s">
        <v>11759</v>
      </c>
      <c r="C3402" s="306" t="s">
        <v>80</v>
      </c>
      <c r="D3402" s="342" t="s">
        <v>11760</v>
      </c>
      <c r="E3402" s="342" t="s">
        <v>11761</v>
      </c>
      <c r="F3402" s="306" t="s">
        <v>172</v>
      </c>
      <c r="G3402" s="306" t="s">
        <v>11568</v>
      </c>
      <c r="H3402" s="53">
        <v>19.0</v>
      </c>
      <c r="I3402" s="596" t="s">
        <v>11714</v>
      </c>
      <c r="J3402" s="34" t="s">
        <v>362</v>
      </c>
      <c r="K3402" s="34" t="s">
        <v>11543</v>
      </c>
      <c r="L3402" s="304" t="s">
        <v>51</v>
      </c>
      <c r="M3402" s="19"/>
      <c r="N3402" s="19"/>
      <c r="O3402" s="34" t="s">
        <v>11568</v>
      </c>
      <c r="P3402" s="587" t="s">
        <v>1432</v>
      </c>
    </row>
    <row r="3403" hidden="1">
      <c r="A3403" s="342">
        <v>17.0</v>
      </c>
      <c r="B3403" s="512" t="s">
        <v>11762</v>
      </c>
      <c r="C3403" s="306" t="s">
        <v>80</v>
      </c>
      <c r="D3403" s="342" t="s">
        <v>11763</v>
      </c>
      <c r="E3403" s="580" t="s">
        <v>11764</v>
      </c>
      <c r="F3403" s="306" t="s">
        <v>3928</v>
      </c>
      <c r="G3403" s="306" t="s">
        <v>1121</v>
      </c>
      <c r="H3403" s="53">
        <v>14.0</v>
      </c>
      <c r="I3403" s="275" t="s">
        <v>2890</v>
      </c>
      <c r="J3403" s="19"/>
      <c r="K3403" s="19"/>
      <c r="L3403" s="12" t="s">
        <v>9469</v>
      </c>
      <c r="M3403" s="19"/>
      <c r="N3403" s="19"/>
      <c r="O3403" s="34" t="s">
        <v>11308</v>
      </c>
      <c r="P3403" s="19"/>
    </row>
    <row r="3404" hidden="1">
      <c r="A3404" s="342">
        <v>18.0</v>
      </c>
      <c r="B3404" s="512" t="s">
        <v>11765</v>
      </c>
      <c r="C3404" s="306" t="s">
        <v>80</v>
      </c>
      <c r="D3404" s="342" t="s">
        <v>11766</v>
      </c>
      <c r="E3404" s="580" t="s">
        <v>11767</v>
      </c>
      <c r="F3404" s="306" t="s">
        <v>3928</v>
      </c>
      <c r="G3404" s="306" t="s">
        <v>1121</v>
      </c>
      <c r="H3404" s="53">
        <v>14.0</v>
      </c>
      <c r="I3404" s="275" t="s">
        <v>2890</v>
      </c>
      <c r="J3404" s="19"/>
      <c r="K3404" s="19"/>
      <c r="L3404" s="12" t="s">
        <v>9469</v>
      </c>
      <c r="M3404" s="19"/>
      <c r="N3404" s="19"/>
      <c r="O3404" s="34" t="s">
        <v>11308</v>
      </c>
      <c r="P3404" s="19"/>
    </row>
    <row r="3405" hidden="1">
      <c r="A3405" s="342">
        <v>19.0</v>
      </c>
      <c r="B3405" s="512" t="s">
        <v>11768</v>
      </c>
      <c r="C3405" s="306" t="s">
        <v>80</v>
      </c>
      <c r="D3405" s="342" t="s">
        <v>11769</v>
      </c>
      <c r="E3405" s="580" t="s">
        <v>11770</v>
      </c>
      <c r="F3405" s="306" t="s">
        <v>3928</v>
      </c>
      <c r="G3405" s="306" t="s">
        <v>1121</v>
      </c>
      <c r="H3405" s="53">
        <v>14.0</v>
      </c>
      <c r="I3405" s="275" t="s">
        <v>2890</v>
      </c>
      <c r="J3405" s="19"/>
      <c r="K3405" s="19"/>
      <c r="L3405" s="12" t="s">
        <v>9469</v>
      </c>
      <c r="M3405" s="19"/>
      <c r="N3405" s="19"/>
      <c r="O3405" s="34" t="s">
        <v>11454</v>
      </c>
      <c r="P3405" s="19"/>
    </row>
    <row r="3406" hidden="1">
      <c r="A3406" s="342">
        <v>20.0</v>
      </c>
      <c r="B3406" s="512" t="s">
        <v>11771</v>
      </c>
      <c r="C3406" s="306" t="s">
        <v>80</v>
      </c>
      <c r="D3406" s="342" t="s">
        <v>11772</v>
      </c>
      <c r="E3406" s="580" t="s">
        <v>11773</v>
      </c>
      <c r="F3406" s="306" t="s">
        <v>3928</v>
      </c>
      <c r="G3406" s="306" t="s">
        <v>1121</v>
      </c>
      <c r="H3406" s="53">
        <v>14.0</v>
      </c>
      <c r="I3406" s="275" t="s">
        <v>2890</v>
      </c>
      <c r="J3406" s="19"/>
      <c r="K3406" s="19"/>
      <c r="L3406" s="12" t="s">
        <v>9469</v>
      </c>
      <c r="M3406" s="19"/>
      <c r="N3406" s="19"/>
      <c r="O3406" s="34" t="s">
        <v>11308</v>
      </c>
      <c r="P3406" s="19"/>
    </row>
    <row r="3407" hidden="1">
      <c r="A3407" s="342">
        <v>21.0</v>
      </c>
      <c r="B3407" s="512" t="s">
        <v>11774</v>
      </c>
      <c r="C3407" s="306" t="s">
        <v>80</v>
      </c>
      <c r="D3407" s="342" t="s">
        <v>11775</v>
      </c>
      <c r="E3407" s="580" t="s">
        <v>11776</v>
      </c>
      <c r="F3407" s="306" t="s">
        <v>3928</v>
      </c>
      <c r="G3407" s="306" t="s">
        <v>1121</v>
      </c>
      <c r="H3407" s="53">
        <v>14.0</v>
      </c>
      <c r="I3407" s="596" t="s">
        <v>8379</v>
      </c>
      <c r="J3407" s="19"/>
      <c r="K3407" s="19"/>
      <c r="L3407" s="12" t="s">
        <v>9469</v>
      </c>
      <c r="M3407" s="19"/>
      <c r="N3407" s="19"/>
      <c r="O3407" s="34" t="s">
        <v>11308</v>
      </c>
      <c r="P3407" s="19"/>
    </row>
    <row r="3408" hidden="1">
      <c r="A3408" s="342">
        <v>22.0</v>
      </c>
      <c r="B3408" s="512" t="s">
        <v>11777</v>
      </c>
      <c r="C3408" s="306" t="s">
        <v>80</v>
      </c>
      <c r="D3408" s="342" t="s">
        <v>11778</v>
      </c>
      <c r="E3408" s="580" t="s">
        <v>11779</v>
      </c>
      <c r="F3408" s="306" t="s">
        <v>3928</v>
      </c>
      <c r="G3408" s="306" t="s">
        <v>1121</v>
      </c>
      <c r="H3408" s="53">
        <v>14.0</v>
      </c>
      <c r="I3408" s="275" t="s">
        <v>2890</v>
      </c>
      <c r="J3408" s="19"/>
      <c r="K3408" s="19"/>
      <c r="L3408" s="12" t="s">
        <v>9469</v>
      </c>
      <c r="M3408" s="19"/>
      <c r="N3408" s="19"/>
      <c r="O3408" s="34" t="s">
        <v>11308</v>
      </c>
      <c r="P3408" s="19"/>
    </row>
    <row r="3409" hidden="1">
      <c r="A3409" s="342">
        <v>23.0</v>
      </c>
      <c r="B3409" s="512" t="s">
        <v>11780</v>
      </c>
      <c r="C3409" s="306" t="s">
        <v>80</v>
      </c>
      <c r="D3409" s="342" t="s">
        <v>11781</v>
      </c>
      <c r="E3409" s="580" t="s">
        <v>11782</v>
      </c>
      <c r="F3409" s="306" t="s">
        <v>3928</v>
      </c>
      <c r="G3409" s="306" t="s">
        <v>1121</v>
      </c>
      <c r="H3409" s="53">
        <v>14.0</v>
      </c>
      <c r="I3409" s="275" t="s">
        <v>2890</v>
      </c>
      <c r="J3409" s="19"/>
      <c r="K3409" s="19"/>
      <c r="L3409" s="12" t="s">
        <v>9469</v>
      </c>
      <c r="M3409" s="19"/>
      <c r="N3409" s="19"/>
      <c r="O3409" s="34" t="s">
        <v>11308</v>
      </c>
      <c r="P3409" s="19"/>
    </row>
    <row r="3410" hidden="1">
      <c r="A3410" s="342">
        <v>24.0</v>
      </c>
      <c r="B3410" s="512" t="s">
        <v>11783</v>
      </c>
      <c r="C3410" s="306" t="s">
        <v>80</v>
      </c>
      <c r="D3410" s="342" t="s">
        <v>11784</v>
      </c>
      <c r="E3410" s="580" t="s">
        <v>11785</v>
      </c>
      <c r="F3410" s="306" t="s">
        <v>3928</v>
      </c>
      <c r="G3410" s="306" t="s">
        <v>1121</v>
      </c>
      <c r="H3410" s="53">
        <v>14.0</v>
      </c>
      <c r="I3410" s="275" t="s">
        <v>2890</v>
      </c>
      <c r="J3410" s="19"/>
      <c r="K3410" s="19"/>
      <c r="L3410" s="12" t="s">
        <v>9469</v>
      </c>
      <c r="M3410" s="19"/>
      <c r="N3410" s="19"/>
      <c r="O3410" s="34" t="s">
        <v>11308</v>
      </c>
      <c r="P3410" s="19"/>
    </row>
    <row r="3411">
      <c r="A3411" s="339" t="s">
        <v>11786</v>
      </c>
      <c r="Q3411" s="35"/>
      <c r="R3411" s="35"/>
      <c r="S3411" s="35"/>
      <c r="T3411" s="35"/>
      <c r="U3411" s="35"/>
      <c r="V3411" s="35"/>
      <c r="W3411" s="35"/>
      <c r="X3411" s="35"/>
      <c r="Y3411" s="35"/>
      <c r="Z3411" s="35"/>
      <c r="AA3411" s="35"/>
      <c r="AB3411" s="35"/>
      <c r="AC3411" s="35"/>
      <c r="AD3411" s="35"/>
      <c r="AE3411" s="35"/>
      <c r="AF3411" s="35"/>
    </row>
    <row r="3412">
      <c r="A3412" s="670" t="s">
        <v>47</v>
      </c>
      <c r="B3412" s="670" t="s">
        <v>7</v>
      </c>
      <c r="C3412" s="670" t="s">
        <v>9</v>
      </c>
      <c r="D3412" s="670" t="s">
        <v>10</v>
      </c>
      <c r="E3412" s="670" t="s">
        <v>11</v>
      </c>
      <c r="F3412" s="670" t="s">
        <v>12</v>
      </c>
      <c r="G3412" s="670" t="s">
        <v>2378</v>
      </c>
      <c r="H3412" s="670" t="s">
        <v>2681</v>
      </c>
      <c r="I3412" s="4" t="s">
        <v>2847</v>
      </c>
      <c r="J3412" s="8" t="s">
        <v>14</v>
      </c>
      <c r="K3412" s="9" t="s">
        <v>16</v>
      </c>
      <c r="L3412" s="9" t="s">
        <v>4330</v>
      </c>
      <c r="M3412" s="9" t="s">
        <v>18</v>
      </c>
      <c r="N3412" s="9" t="s">
        <v>19</v>
      </c>
      <c r="O3412" s="9" t="s">
        <v>20</v>
      </c>
      <c r="P3412" s="9" t="s">
        <v>21</v>
      </c>
      <c r="Q3412" s="35"/>
      <c r="R3412" s="35"/>
      <c r="S3412" s="35"/>
      <c r="T3412" s="35"/>
      <c r="U3412" s="35"/>
      <c r="V3412" s="35"/>
      <c r="W3412" s="35"/>
      <c r="X3412" s="35"/>
      <c r="Y3412" s="35"/>
      <c r="Z3412" s="35"/>
      <c r="AA3412" s="35"/>
      <c r="AB3412" s="35"/>
      <c r="AC3412" s="35"/>
      <c r="AD3412" s="35"/>
      <c r="AE3412" s="35"/>
      <c r="AF3412" s="35"/>
    </row>
    <row r="3413" hidden="1">
      <c r="A3413" s="342">
        <v>1.0</v>
      </c>
      <c r="B3413" s="512" t="s">
        <v>11787</v>
      </c>
      <c r="C3413" s="342" t="s">
        <v>80</v>
      </c>
      <c r="D3413" s="342" t="s">
        <v>11788</v>
      </c>
      <c r="E3413" s="689" t="s">
        <v>11789</v>
      </c>
      <c r="F3413" s="342" t="s">
        <v>3583</v>
      </c>
      <c r="G3413" s="306" t="s">
        <v>11316</v>
      </c>
      <c r="H3413" s="12">
        <v>14.0</v>
      </c>
      <c r="I3413" s="342" t="s">
        <v>2890</v>
      </c>
      <c r="J3413" s="19"/>
      <c r="K3413" s="19"/>
      <c r="L3413" s="12" t="s">
        <v>778</v>
      </c>
      <c r="M3413" s="19"/>
      <c r="N3413" s="19"/>
      <c r="O3413" s="34" t="s">
        <v>11628</v>
      </c>
      <c r="P3413" s="19"/>
    </row>
    <row r="3414" hidden="1">
      <c r="A3414" s="342">
        <v>2.0</v>
      </c>
      <c r="B3414" s="512" t="s">
        <v>11790</v>
      </c>
      <c r="C3414" s="342" t="s">
        <v>80</v>
      </c>
      <c r="D3414" s="342" t="s">
        <v>11791</v>
      </c>
      <c r="E3414" s="911" t="s">
        <v>11792</v>
      </c>
      <c r="F3414" s="342" t="s">
        <v>11793</v>
      </c>
      <c r="G3414" s="306" t="s">
        <v>11008</v>
      </c>
      <c r="H3414" s="12">
        <v>19.0</v>
      </c>
      <c r="I3414" s="342" t="s">
        <v>2890</v>
      </c>
      <c r="J3414" s="19"/>
      <c r="K3414" s="19"/>
      <c r="L3414" s="12" t="s">
        <v>4195</v>
      </c>
      <c r="M3414" s="19"/>
      <c r="N3414" s="19"/>
      <c r="O3414" s="34" t="s">
        <v>11794</v>
      </c>
      <c r="P3414" s="19"/>
    </row>
    <row r="3415" hidden="1">
      <c r="A3415" s="342">
        <v>3.0</v>
      </c>
      <c r="B3415" s="512" t="s">
        <v>11795</v>
      </c>
      <c r="C3415" s="342" t="s">
        <v>80</v>
      </c>
      <c r="D3415" s="342" t="s">
        <v>11796</v>
      </c>
      <c r="E3415" s="911" t="s">
        <v>11797</v>
      </c>
      <c r="F3415" s="342" t="s">
        <v>11793</v>
      </c>
      <c r="G3415" s="306" t="s">
        <v>11008</v>
      </c>
      <c r="H3415" s="12">
        <v>19.0</v>
      </c>
      <c r="I3415" s="342" t="s">
        <v>2890</v>
      </c>
      <c r="J3415" s="19"/>
      <c r="K3415" s="19"/>
      <c r="L3415" s="12" t="s">
        <v>4195</v>
      </c>
      <c r="M3415" s="19"/>
      <c r="N3415" s="19"/>
      <c r="O3415" s="34" t="s">
        <v>11794</v>
      </c>
      <c r="P3415" s="19"/>
    </row>
    <row r="3416" hidden="1">
      <c r="A3416" s="342">
        <v>4.0</v>
      </c>
      <c r="B3416" s="512" t="s">
        <v>11798</v>
      </c>
      <c r="C3416" s="342" t="s">
        <v>80</v>
      </c>
      <c r="D3416" s="342" t="s">
        <v>11799</v>
      </c>
      <c r="E3416" s="342" t="s">
        <v>11800</v>
      </c>
      <c r="F3416" s="342" t="s">
        <v>535</v>
      </c>
      <c r="G3416" s="306" t="s">
        <v>11008</v>
      </c>
      <c r="H3416" s="12">
        <v>19.0</v>
      </c>
      <c r="I3416" s="928" t="s">
        <v>11714</v>
      </c>
      <c r="J3416" s="19"/>
      <c r="K3416" s="19"/>
      <c r="L3416" s="33" t="s">
        <v>374</v>
      </c>
      <c r="M3416" s="19"/>
      <c r="N3416" s="19"/>
      <c r="O3416" s="23">
        <v>46119.0</v>
      </c>
      <c r="P3416" s="587" t="s">
        <v>1432</v>
      </c>
    </row>
    <row r="3417" hidden="1">
      <c r="A3417" s="342">
        <v>5.0</v>
      </c>
      <c r="B3417" s="512" t="s">
        <v>11801</v>
      </c>
      <c r="C3417" s="342" t="s">
        <v>9128</v>
      </c>
      <c r="D3417" s="342" t="s">
        <v>11802</v>
      </c>
      <c r="E3417" s="342" t="s">
        <v>11803</v>
      </c>
      <c r="F3417" s="342" t="s">
        <v>11804</v>
      </c>
      <c r="G3417" s="306" t="s">
        <v>11008</v>
      </c>
      <c r="H3417" s="12">
        <v>19.0</v>
      </c>
      <c r="I3417" s="342" t="s">
        <v>2890</v>
      </c>
      <c r="J3417" s="19"/>
      <c r="K3417" s="19"/>
      <c r="L3417" s="33" t="s">
        <v>4195</v>
      </c>
      <c r="M3417" s="19"/>
      <c r="N3417" s="19"/>
      <c r="O3417" s="34" t="s">
        <v>11635</v>
      </c>
      <c r="P3417" s="19"/>
    </row>
    <row r="3418" hidden="1">
      <c r="A3418" s="342">
        <v>6.0</v>
      </c>
      <c r="B3418" s="512" t="s">
        <v>11805</v>
      </c>
      <c r="C3418" s="342" t="s">
        <v>80</v>
      </c>
      <c r="D3418" s="342" t="s">
        <v>11806</v>
      </c>
      <c r="E3418" s="342" t="s">
        <v>11807</v>
      </c>
      <c r="F3418" s="342" t="s">
        <v>11808</v>
      </c>
      <c r="G3418" s="306" t="s">
        <v>11809</v>
      </c>
      <c r="H3418" s="12">
        <v>20.0</v>
      </c>
      <c r="I3418" s="342" t="s">
        <v>2890</v>
      </c>
      <c r="J3418" s="12" t="s">
        <v>51</v>
      </c>
      <c r="K3418" s="23">
        <v>46180.0</v>
      </c>
      <c r="L3418" s="33" t="s">
        <v>51</v>
      </c>
      <c r="M3418" s="14"/>
      <c r="N3418" s="12" t="s">
        <v>11686</v>
      </c>
      <c r="O3418" s="12" t="s">
        <v>11810</v>
      </c>
      <c r="P3418" s="14"/>
      <c r="Q3418" s="140"/>
      <c r="R3418" s="140"/>
      <c r="S3418" s="140"/>
      <c r="T3418" s="140"/>
      <c r="U3418" s="140"/>
      <c r="V3418" s="140"/>
      <c r="W3418" s="140"/>
      <c r="X3418" s="140"/>
      <c r="Y3418" s="140"/>
      <c r="Z3418" s="140"/>
      <c r="AA3418" s="140"/>
      <c r="AB3418" s="140"/>
      <c r="AC3418" s="140"/>
      <c r="AD3418" s="140"/>
      <c r="AE3418" s="140"/>
      <c r="AF3418" s="140"/>
    </row>
    <row r="3419" hidden="1">
      <c r="A3419" s="342">
        <v>7.0</v>
      </c>
      <c r="B3419" s="512" t="s">
        <v>11811</v>
      </c>
      <c r="C3419" s="342" t="s">
        <v>80</v>
      </c>
      <c r="D3419" s="342" t="s">
        <v>11812</v>
      </c>
      <c r="E3419" s="342" t="s">
        <v>11813</v>
      </c>
      <c r="F3419" s="342" t="s">
        <v>10323</v>
      </c>
      <c r="G3419" s="306" t="s">
        <v>11809</v>
      </c>
      <c r="H3419" s="12">
        <v>20.0</v>
      </c>
      <c r="I3419" s="342" t="s">
        <v>11814</v>
      </c>
      <c r="J3419" s="19"/>
      <c r="K3419" s="19"/>
      <c r="L3419" s="12" t="s">
        <v>4195</v>
      </c>
      <c r="M3419" s="19"/>
      <c r="N3419" s="19"/>
      <c r="O3419" s="34" t="s">
        <v>11815</v>
      </c>
      <c r="P3419" s="102" t="s">
        <v>1432</v>
      </c>
    </row>
    <row r="3420" hidden="1">
      <c r="A3420" s="342">
        <v>8.0</v>
      </c>
      <c r="B3420" s="512" t="s">
        <v>11816</v>
      </c>
      <c r="C3420" s="342" t="s">
        <v>80</v>
      </c>
      <c r="D3420" s="342" t="s">
        <v>11817</v>
      </c>
      <c r="E3420" s="342" t="s">
        <v>11818</v>
      </c>
      <c r="F3420" s="342" t="s">
        <v>10323</v>
      </c>
      <c r="G3420" s="306" t="s">
        <v>11809</v>
      </c>
      <c r="H3420" s="12">
        <v>20.0</v>
      </c>
      <c r="I3420" s="342" t="s">
        <v>2890</v>
      </c>
      <c r="J3420" s="19"/>
      <c r="K3420" s="19"/>
      <c r="L3420" s="12" t="s">
        <v>374</v>
      </c>
      <c r="M3420" s="19"/>
      <c r="N3420" s="34" t="s">
        <v>11819</v>
      </c>
      <c r="O3420" s="34" t="s">
        <v>11815</v>
      </c>
      <c r="P3420" s="102" t="s">
        <v>1432</v>
      </c>
    </row>
    <row r="3421">
      <c r="A3421" s="929">
        <v>9.0</v>
      </c>
      <c r="B3421" s="929" t="s">
        <v>11820</v>
      </c>
      <c r="C3421" s="929" t="s">
        <v>2307</v>
      </c>
      <c r="D3421" s="929" t="s">
        <v>11821</v>
      </c>
      <c r="E3421" s="929" t="s">
        <v>11822</v>
      </c>
      <c r="F3421" s="929" t="s">
        <v>9331</v>
      </c>
      <c r="G3421" s="929" t="s">
        <v>11016</v>
      </c>
      <c r="H3421" s="929">
        <v>9.0</v>
      </c>
      <c r="I3421" s="929" t="s">
        <v>2890</v>
      </c>
      <c r="J3421" s="929" t="s">
        <v>699</v>
      </c>
      <c r="K3421" s="929"/>
      <c r="L3421" s="930" t="s">
        <v>699</v>
      </c>
      <c r="M3421" s="929"/>
      <c r="N3421" s="929"/>
      <c r="O3421" s="929" t="s">
        <v>11823</v>
      </c>
      <c r="P3421" s="929"/>
      <c r="Q3421" s="929"/>
      <c r="R3421" s="929"/>
      <c r="S3421" s="929"/>
      <c r="T3421" s="929"/>
      <c r="U3421" s="929"/>
      <c r="V3421" s="929"/>
      <c r="W3421" s="929"/>
      <c r="X3421" s="929"/>
      <c r="Y3421" s="929"/>
      <c r="Z3421" s="929"/>
      <c r="AA3421" s="929"/>
      <c r="AB3421" s="929"/>
      <c r="AC3421" s="929"/>
      <c r="AD3421" s="929"/>
      <c r="AE3421" s="929"/>
      <c r="AF3421" s="929"/>
    </row>
    <row r="3422">
      <c r="A3422" s="929">
        <v>10.0</v>
      </c>
      <c r="B3422" s="929" t="s">
        <v>11824</v>
      </c>
      <c r="C3422" s="929" t="s">
        <v>2403</v>
      </c>
      <c r="D3422" s="929" t="s">
        <v>11825</v>
      </c>
      <c r="E3422" s="929" t="s">
        <v>11826</v>
      </c>
      <c r="F3422" s="929" t="s">
        <v>535</v>
      </c>
      <c r="G3422" s="929" t="s">
        <v>11016</v>
      </c>
      <c r="H3422" s="929">
        <v>9.0</v>
      </c>
      <c r="I3422" s="929" t="s">
        <v>2890</v>
      </c>
      <c r="J3422" s="929" t="s">
        <v>699</v>
      </c>
      <c r="K3422" s="929"/>
      <c r="L3422" s="930" t="s">
        <v>699</v>
      </c>
      <c r="M3422" s="929"/>
      <c r="N3422" s="929"/>
      <c r="O3422" s="929" t="s">
        <v>11823</v>
      </c>
      <c r="P3422" s="929"/>
      <c r="Q3422" s="929"/>
      <c r="R3422" s="929"/>
      <c r="S3422" s="929"/>
      <c r="T3422" s="929"/>
      <c r="U3422" s="929"/>
      <c r="V3422" s="929"/>
      <c r="W3422" s="929"/>
      <c r="X3422" s="929"/>
      <c r="Y3422" s="929"/>
      <c r="Z3422" s="929"/>
      <c r="AA3422" s="929"/>
      <c r="AB3422" s="929"/>
      <c r="AC3422" s="929"/>
      <c r="AD3422" s="929"/>
      <c r="AE3422" s="929"/>
      <c r="AF3422" s="929"/>
    </row>
    <row r="3423">
      <c r="A3423" s="342">
        <v>11.0</v>
      </c>
      <c r="B3423" s="512" t="s">
        <v>11827</v>
      </c>
      <c r="C3423" s="342" t="s">
        <v>5937</v>
      </c>
      <c r="D3423" s="342" t="s">
        <v>11828</v>
      </c>
      <c r="E3423" s="911" t="s">
        <v>11829</v>
      </c>
      <c r="F3423" s="342" t="s">
        <v>243</v>
      </c>
      <c r="G3423" s="306" t="s">
        <v>11809</v>
      </c>
      <c r="H3423" s="12">
        <v>20.0</v>
      </c>
      <c r="I3423" s="342" t="s">
        <v>2890</v>
      </c>
      <c r="J3423" s="19"/>
      <c r="K3423" s="19"/>
      <c r="L3423" s="33" t="s">
        <v>51</v>
      </c>
      <c r="M3423" s="19"/>
      <c r="N3423" s="19"/>
      <c r="O3423" s="148">
        <v>46241.0</v>
      </c>
      <c r="P3423" s="587" t="s">
        <v>1432</v>
      </c>
    </row>
    <row r="3424">
      <c r="A3424" s="342">
        <v>12.0</v>
      </c>
      <c r="B3424" s="512" t="s">
        <v>11830</v>
      </c>
      <c r="C3424" s="342" t="s">
        <v>5937</v>
      </c>
      <c r="D3424" s="342" t="s">
        <v>11831</v>
      </c>
      <c r="E3424" s="911" t="s">
        <v>11832</v>
      </c>
      <c r="F3424" s="342" t="s">
        <v>243</v>
      </c>
      <c r="G3424" s="306" t="s">
        <v>11809</v>
      </c>
      <c r="H3424" s="12">
        <v>20.0</v>
      </c>
      <c r="I3424" s="342" t="s">
        <v>2890</v>
      </c>
      <c r="J3424" s="19"/>
      <c r="K3424" s="19"/>
      <c r="L3424" s="33" t="s">
        <v>51</v>
      </c>
      <c r="M3424" s="19"/>
      <c r="N3424" s="19"/>
      <c r="O3424" s="148">
        <v>46241.0</v>
      </c>
      <c r="P3424" s="587" t="s">
        <v>1432</v>
      </c>
    </row>
    <row r="3425">
      <c r="A3425" s="342">
        <v>13.0</v>
      </c>
      <c r="B3425" s="512" t="s">
        <v>11833</v>
      </c>
      <c r="C3425" s="342" t="s">
        <v>5937</v>
      </c>
      <c r="D3425" s="342" t="s">
        <v>11834</v>
      </c>
      <c r="E3425" s="911" t="s">
        <v>11835</v>
      </c>
      <c r="F3425" s="342" t="s">
        <v>243</v>
      </c>
      <c r="G3425" s="306" t="s">
        <v>11809</v>
      </c>
      <c r="H3425" s="12">
        <v>20.0</v>
      </c>
      <c r="I3425" s="342" t="s">
        <v>2890</v>
      </c>
      <c r="J3425" s="19"/>
      <c r="K3425" s="19"/>
      <c r="L3425" s="12" t="s">
        <v>4195</v>
      </c>
      <c r="M3425" s="19"/>
      <c r="N3425" s="19"/>
      <c r="O3425" s="622">
        <v>46060.0</v>
      </c>
      <c r="P3425" s="587" t="s">
        <v>1432</v>
      </c>
    </row>
    <row r="3426">
      <c r="A3426" s="342">
        <v>14.0</v>
      </c>
      <c r="B3426" s="512" t="s">
        <v>11836</v>
      </c>
      <c r="C3426" s="342" t="s">
        <v>5937</v>
      </c>
      <c r="D3426" s="342" t="s">
        <v>11837</v>
      </c>
      <c r="E3426" s="911" t="s">
        <v>11838</v>
      </c>
      <c r="F3426" s="342" t="s">
        <v>243</v>
      </c>
      <c r="G3426" s="306" t="s">
        <v>11809</v>
      </c>
      <c r="H3426" s="12">
        <v>20.0</v>
      </c>
      <c r="I3426" s="342" t="s">
        <v>2890</v>
      </c>
      <c r="J3426" s="19"/>
      <c r="K3426" s="19"/>
      <c r="L3426" s="12" t="s">
        <v>4195</v>
      </c>
      <c r="M3426" s="19"/>
      <c r="N3426" s="19"/>
      <c r="O3426" s="622">
        <v>46060.0</v>
      </c>
      <c r="P3426" s="587" t="s">
        <v>1432</v>
      </c>
    </row>
    <row r="3427">
      <c r="A3427" s="342">
        <v>15.0</v>
      </c>
      <c r="B3427" s="512" t="s">
        <v>11839</v>
      </c>
      <c r="C3427" s="342" t="s">
        <v>2307</v>
      </c>
      <c r="D3427" s="342" t="s">
        <v>11840</v>
      </c>
      <c r="E3427" s="342" t="s">
        <v>11841</v>
      </c>
      <c r="F3427" s="342" t="s">
        <v>3656</v>
      </c>
      <c r="G3427" s="306" t="s">
        <v>11183</v>
      </c>
      <c r="H3427" s="12">
        <v>10.0</v>
      </c>
      <c r="I3427" s="342" t="s">
        <v>2890</v>
      </c>
      <c r="J3427" s="19"/>
      <c r="K3427" s="19"/>
      <c r="L3427" s="12" t="s">
        <v>699</v>
      </c>
      <c r="M3427" s="19"/>
      <c r="N3427" s="19"/>
      <c r="O3427" s="661">
        <v>46029.0</v>
      </c>
      <c r="P3427" s="587" t="s">
        <v>1432</v>
      </c>
    </row>
    <row r="3428">
      <c r="A3428" s="342">
        <v>16.0</v>
      </c>
      <c r="B3428" s="512" t="s">
        <v>11842</v>
      </c>
      <c r="C3428" s="342" t="s">
        <v>2403</v>
      </c>
      <c r="D3428" s="342" t="s">
        <v>11843</v>
      </c>
      <c r="E3428" s="342" t="s">
        <v>11844</v>
      </c>
      <c r="F3428" s="342" t="s">
        <v>3656</v>
      </c>
      <c r="G3428" s="306" t="s">
        <v>11183</v>
      </c>
      <c r="H3428" s="12">
        <v>10.0</v>
      </c>
      <c r="I3428" s="342" t="s">
        <v>2890</v>
      </c>
      <c r="J3428" s="19"/>
      <c r="K3428" s="19"/>
      <c r="L3428" s="12" t="s">
        <v>699</v>
      </c>
      <c r="M3428" s="19"/>
      <c r="N3428" s="19"/>
      <c r="O3428" s="661">
        <v>46029.0</v>
      </c>
      <c r="P3428" s="587" t="s">
        <v>1432</v>
      </c>
    </row>
    <row r="3429">
      <c r="A3429" s="342">
        <v>17.0</v>
      </c>
      <c r="B3429" s="512" t="s">
        <v>11845</v>
      </c>
      <c r="C3429" s="342" t="s">
        <v>80</v>
      </c>
      <c r="D3429" s="342" t="s">
        <v>11846</v>
      </c>
      <c r="E3429" s="616" t="s">
        <v>11847</v>
      </c>
      <c r="F3429" s="342" t="s">
        <v>3928</v>
      </c>
      <c r="G3429" s="306" t="s">
        <v>11187</v>
      </c>
      <c r="H3429" s="12">
        <v>15.0</v>
      </c>
      <c r="I3429" s="342" t="s">
        <v>2890</v>
      </c>
      <c r="J3429" s="19"/>
      <c r="K3429" s="19"/>
      <c r="L3429" s="12" t="s">
        <v>3099</v>
      </c>
      <c r="M3429" s="19"/>
      <c r="N3429" s="19"/>
      <c r="O3429" s="34" t="s">
        <v>11008</v>
      </c>
      <c r="P3429" s="19"/>
    </row>
    <row r="3430">
      <c r="A3430" s="342">
        <v>18.0</v>
      </c>
      <c r="B3430" s="512" t="s">
        <v>11848</v>
      </c>
      <c r="C3430" s="342" t="s">
        <v>80</v>
      </c>
      <c r="D3430" s="342" t="s">
        <v>11849</v>
      </c>
      <c r="E3430" s="616" t="s">
        <v>11850</v>
      </c>
      <c r="F3430" s="342" t="s">
        <v>3928</v>
      </c>
      <c r="G3430" s="306" t="s">
        <v>11187</v>
      </c>
      <c r="H3430" s="12">
        <v>15.0</v>
      </c>
      <c r="I3430" s="342" t="s">
        <v>2890</v>
      </c>
      <c r="J3430" s="19"/>
      <c r="K3430" s="19"/>
      <c r="L3430" s="12" t="s">
        <v>3099</v>
      </c>
      <c r="M3430" s="19"/>
      <c r="N3430" s="19"/>
      <c r="O3430" s="34" t="s">
        <v>11008</v>
      </c>
      <c r="P3430" s="19"/>
    </row>
    <row r="3431">
      <c r="A3431" s="342">
        <v>19.0</v>
      </c>
      <c r="B3431" s="512" t="s">
        <v>11851</v>
      </c>
      <c r="C3431" s="342" t="s">
        <v>80</v>
      </c>
      <c r="D3431" s="342" t="s">
        <v>11852</v>
      </c>
      <c r="E3431" s="616" t="s">
        <v>11853</v>
      </c>
      <c r="F3431" s="342" t="s">
        <v>3928</v>
      </c>
      <c r="G3431" s="306" t="s">
        <v>11187</v>
      </c>
      <c r="H3431" s="12">
        <v>15.0</v>
      </c>
      <c r="I3431" s="342" t="s">
        <v>2890</v>
      </c>
      <c r="J3431" s="19"/>
      <c r="K3431" s="19"/>
      <c r="L3431" s="12" t="s">
        <v>3099</v>
      </c>
      <c r="M3431" s="19"/>
      <c r="N3431" s="19"/>
      <c r="O3431" s="34" t="s">
        <v>11008</v>
      </c>
      <c r="P3431" s="19"/>
    </row>
    <row r="3432">
      <c r="A3432" s="342">
        <v>20.0</v>
      </c>
      <c r="B3432" s="512" t="s">
        <v>11854</v>
      </c>
      <c r="C3432" s="342" t="s">
        <v>80</v>
      </c>
      <c r="D3432" s="342" t="s">
        <v>11855</v>
      </c>
      <c r="E3432" s="616" t="s">
        <v>11856</v>
      </c>
      <c r="F3432" s="342" t="s">
        <v>3928</v>
      </c>
      <c r="G3432" s="306" t="s">
        <v>11187</v>
      </c>
      <c r="H3432" s="12">
        <v>15.0</v>
      </c>
      <c r="I3432" s="342" t="s">
        <v>2890</v>
      </c>
      <c r="J3432" s="19"/>
      <c r="K3432" s="19"/>
      <c r="L3432" s="12" t="s">
        <v>3099</v>
      </c>
      <c r="M3432" s="19"/>
      <c r="N3432" s="19"/>
      <c r="O3432" s="148">
        <v>47093.0</v>
      </c>
      <c r="P3432" s="19"/>
    </row>
    <row r="3433">
      <c r="A3433" s="342">
        <v>21.0</v>
      </c>
      <c r="B3433" s="512" t="s">
        <v>11857</v>
      </c>
      <c r="C3433" s="342" t="s">
        <v>80</v>
      </c>
      <c r="D3433" s="342" t="s">
        <v>11858</v>
      </c>
      <c r="E3433" s="616" t="s">
        <v>11859</v>
      </c>
      <c r="F3433" s="342" t="s">
        <v>3928</v>
      </c>
      <c r="G3433" s="306" t="s">
        <v>11187</v>
      </c>
      <c r="H3433" s="12">
        <v>15.0</v>
      </c>
      <c r="I3433" s="342" t="s">
        <v>2890</v>
      </c>
      <c r="J3433" s="19"/>
      <c r="K3433" s="19"/>
      <c r="L3433" s="12" t="s">
        <v>3099</v>
      </c>
      <c r="M3433" s="19"/>
      <c r="N3433" s="19"/>
      <c r="O3433" s="34" t="s">
        <v>11008</v>
      </c>
      <c r="P3433" s="19"/>
    </row>
    <row r="3434">
      <c r="A3434" s="342">
        <v>22.0</v>
      </c>
      <c r="B3434" s="512" t="s">
        <v>11860</v>
      </c>
      <c r="C3434" s="342" t="s">
        <v>1185</v>
      </c>
      <c r="D3434" s="342" t="s">
        <v>11861</v>
      </c>
      <c r="E3434" s="616" t="s">
        <v>11862</v>
      </c>
      <c r="F3434" s="342" t="s">
        <v>4390</v>
      </c>
      <c r="G3434" s="306" t="s">
        <v>11187</v>
      </c>
      <c r="H3434" s="12">
        <v>15.0</v>
      </c>
      <c r="I3434" s="342" t="s">
        <v>2890</v>
      </c>
      <c r="J3434" s="19"/>
      <c r="K3434" s="19"/>
      <c r="L3434" s="12" t="s">
        <v>11863</v>
      </c>
      <c r="M3434" s="19"/>
      <c r="N3434" s="19"/>
      <c r="O3434" s="34" t="s">
        <v>11519</v>
      </c>
      <c r="P3434" s="19"/>
    </row>
    <row r="3435">
      <c r="A3435" s="342">
        <v>23.0</v>
      </c>
      <c r="B3435" s="512" t="s">
        <v>11864</v>
      </c>
      <c r="C3435" s="342" t="s">
        <v>1185</v>
      </c>
      <c r="D3435" s="342" t="s">
        <v>11865</v>
      </c>
      <c r="E3435" s="616" t="s">
        <v>11866</v>
      </c>
      <c r="F3435" s="342" t="s">
        <v>4390</v>
      </c>
      <c r="G3435" s="306" t="s">
        <v>11187</v>
      </c>
      <c r="H3435" s="12">
        <v>15.0</v>
      </c>
      <c r="I3435" s="342" t="s">
        <v>2890</v>
      </c>
      <c r="J3435" s="19"/>
      <c r="K3435" s="19"/>
      <c r="L3435" s="12" t="s">
        <v>11863</v>
      </c>
      <c r="M3435" s="19"/>
      <c r="N3435" s="19"/>
      <c r="O3435" s="34" t="s">
        <v>11519</v>
      </c>
      <c r="P3435" s="19"/>
    </row>
    <row r="3436">
      <c r="A3436" s="342">
        <v>24.0</v>
      </c>
      <c r="B3436" s="512" t="s">
        <v>11867</v>
      </c>
      <c r="C3436" s="342" t="s">
        <v>1185</v>
      </c>
      <c r="D3436" s="342" t="s">
        <v>11868</v>
      </c>
      <c r="E3436" s="616" t="s">
        <v>11869</v>
      </c>
      <c r="F3436" s="342" t="s">
        <v>4390</v>
      </c>
      <c r="G3436" s="306" t="s">
        <v>11187</v>
      </c>
      <c r="H3436" s="12">
        <v>15.0</v>
      </c>
      <c r="I3436" s="928" t="s">
        <v>11714</v>
      </c>
      <c r="J3436" s="19"/>
      <c r="K3436" s="19"/>
      <c r="L3436" s="12" t="s">
        <v>11863</v>
      </c>
      <c r="M3436" s="19"/>
      <c r="N3436" s="19"/>
      <c r="O3436" s="34" t="s">
        <v>11519</v>
      </c>
      <c r="P3436" s="19"/>
    </row>
    <row r="3437">
      <c r="A3437" s="339" t="s">
        <v>11870</v>
      </c>
    </row>
    <row r="3438">
      <c r="A3438" s="670" t="s">
        <v>47</v>
      </c>
      <c r="B3438" s="670" t="s">
        <v>7</v>
      </c>
      <c r="C3438" s="670" t="s">
        <v>9</v>
      </c>
      <c r="D3438" s="670" t="s">
        <v>10</v>
      </c>
      <c r="E3438" s="670" t="s">
        <v>11</v>
      </c>
      <c r="F3438" s="670" t="s">
        <v>12</v>
      </c>
      <c r="G3438" s="670" t="s">
        <v>2378</v>
      </c>
      <c r="H3438" s="670" t="s">
        <v>2681</v>
      </c>
      <c r="I3438" s="4" t="s">
        <v>2847</v>
      </c>
      <c r="J3438" s="8" t="s">
        <v>14</v>
      </c>
      <c r="K3438" s="9" t="s">
        <v>16</v>
      </c>
      <c r="L3438" s="10" t="s">
        <v>11871</v>
      </c>
      <c r="M3438" s="9" t="s">
        <v>18</v>
      </c>
      <c r="N3438" s="9" t="s">
        <v>19</v>
      </c>
      <c r="O3438" s="9" t="s">
        <v>20</v>
      </c>
      <c r="P3438" s="9" t="s">
        <v>21</v>
      </c>
    </row>
    <row r="3439" hidden="1">
      <c r="A3439" s="760">
        <v>1.0</v>
      </c>
      <c r="B3439" s="931" t="s">
        <v>11872</v>
      </c>
      <c r="C3439" s="778" t="s">
        <v>80</v>
      </c>
      <c r="D3439" s="932" t="s">
        <v>11873</v>
      </c>
      <c r="E3439" s="933" t="s">
        <v>11874</v>
      </c>
      <c r="F3439" s="778" t="s">
        <v>718</v>
      </c>
      <c r="G3439" s="778" t="s">
        <v>1121</v>
      </c>
      <c r="H3439" s="778">
        <v>11.0</v>
      </c>
      <c r="I3439" s="853" t="s">
        <v>2890</v>
      </c>
      <c r="J3439" s="19"/>
      <c r="K3439" s="19"/>
      <c r="L3439" s="12" t="s">
        <v>4195</v>
      </c>
      <c r="M3439" s="19"/>
      <c r="N3439" s="19"/>
      <c r="O3439" s="34" t="s">
        <v>11550</v>
      </c>
      <c r="P3439" s="34" t="s">
        <v>10965</v>
      </c>
    </row>
    <row r="3440" hidden="1">
      <c r="A3440" s="760">
        <v>2.0</v>
      </c>
      <c r="B3440" s="931" t="s">
        <v>11875</v>
      </c>
      <c r="C3440" s="778" t="s">
        <v>80</v>
      </c>
      <c r="D3440" s="934" t="s">
        <v>11876</v>
      </c>
      <c r="E3440" s="933" t="s">
        <v>11877</v>
      </c>
      <c r="F3440" s="778" t="s">
        <v>718</v>
      </c>
      <c r="G3440" s="778" t="s">
        <v>11016</v>
      </c>
      <c r="H3440" s="770">
        <v>9.0</v>
      </c>
      <c r="I3440" s="853" t="s">
        <v>2890</v>
      </c>
      <c r="J3440" s="19"/>
      <c r="K3440" s="19"/>
      <c r="L3440" s="12" t="s">
        <v>51</v>
      </c>
      <c r="M3440" s="19"/>
      <c r="N3440" s="12"/>
      <c r="O3440" s="34" t="s">
        <v>11614</v>
      </c>
      <c r="P3440" s="587" t="s">
        <v>1432</v>
      </c>
    </row>
    <row r="3441" hidden="1">
      <c r="A3441" s="118">
        <v>3.0</v>
      </c>
      <c r="B3441" s="935" t="s">
        <v>11878</v>
      </c>
      <c r="C3441" s="781" t="s">
        <v>2307</v>
      </c>
      <c r="D3441" s="936" t="s">
        <v>11879</v>
      </c>
      <c r="E3441" s="937" t="s">
        <v>11880</v>
      </c>
      <c r="F3441" s="781" t="s">
        <v>11881</v>
      </c>
      <c r="G3441" s="938">
        <v>46332.0</v>
      </c>
      <c r="H3441" s="775">
        <v>3.0</v>
      </c>
      <c r="I3441" s="813" t="s">
        <v>10093</v>
      </c>
      <c r="J3441" s="34" t="s">
        <v>4873</v>
      </c>
      <c r="K3441" s="19"/>
      <c r="L3441" s="12" t="s">
        <v>699</v>
      </c>
      <c r="M3441" s="19"/>
      <c r="N3441" s="19"/>
      <c r="O3441" s="34" t="s">
        <v>11882</v>
      </c>
      <c r="P3441" s="587" t="s">
        <v>1432</v>
      </c>
    </row>
    <row r="3442" hidden="1">
      <c r="A3442" s="118">
        <v>4.0</v>
      </c>
      <c r="B3442" s="935" t="s">
        <v>11883</v>
      </c>
      <c r="C3442" s="781" t="s">
        <v>11884</v>
      </c>
      <c r="D3442" s="936" t="s">
        <v>11885</v>
      </c>
      <c r="E3442" s="937" t="s">
        <v>11886</v>
      </c>
      <c r="F3442" s="781" t="s">
        <v>11887</v>
      </c>
      <c r="G3442" s="781" t="s">
        <v>11316</v>
      </c>
      <c r="H3442" s="781">
        <v>14.0</v>
      </c>
      <c r="I3442" s="857" t="s">
        <v>2890</v>
      </c>
      <c r="J3442" s="19"/>
      <c r="K3442" s="19"/>
      <c r="L3442" s="12" t="s">
        <v>699</v>
      </c>
      <c r="M3442" s="19"/>
      <c r="N3442" s="19"/>
      <c r="O3442" s="23">
        <v>46302.0</v>
      </c>
      <c r="P3442" s="19"/>
    </row>
    <row r="3443" hidden="1">
      <c r="A3443" s="118">
        <v>5.0</v>
      </c>
      <c r="B3443" s="939" t="s">
        <v>11888</v>
      </c>
      <c r="C3443" s="781" t="s">
        <v>2307</v>
      </c>
      <c r="D3443" s="936" t="s">
        <v>11889</v>
      </c>
      <c r="E3443" s="937" t="s">
        <v>11890</v>
      </c>
      <c r="F3443" s="781" t="s">
        <v>11891</v>
      </c>
      <c r="G3443" s="781" t="s">
        <v>11892</v>
      </c>
      <c r="H3443" s="775">
        <v>6.0</v>
      </c>
      <c r="I3443" s="857" t="s">
        <v>2890</v>
      </c>
      <c r="J3443" s="19"/>
      <c r="K3443" s="19"/>
      <c r="L3443" s="12" t="s">
        <v>699</v>
      </c>
      <c r="M3443" s="19"/>
      <c r="N3443" s="19"/>
      <c r="O3443" s="661">
        <v>46029.0</v>
      </c>
      <c r="P3443" s="587" t="s">
        <v>1432</v>
      </c>
    </row>
    <row r="3444" hidden="1">
      <c r="A3444" s="118">
        <v>6.0</v>
      </c>
      <c r="B3444" s="939" t="s">
        <v>11893</v>
      </c>
      <c r="C3444" s="781" t="s">
        <v>2307</v>
      </c>
      <c r="D3444" s="936" t="s">
        <v>11894</v>
      </c>
      <c r="E3444" s="937" t="s">
        <v>11895</v>
      </c>
      <c r="F3444" s="781" t="s">
        <v>10995</v>
      </c>
      <c r="G3444" s="781" t="s">
        <v>11016</v>
      </c>
      <c r="H3444" s="775">
        <v>9.0</v>
      </c>
      <c r="I3444" s="857" t="s">
        <v>2890</v>
      </c>
      <c r="J3444" s="19"/>
      <c r="K3444" s="19"/>
      <c r="L3444" s="12" t="s">
        <v>699</v>
      </c>
      <c r="M3444" s="19"/>
      <c r="N3444" s="19"/>
      <c r="O3444" s="661">
        <v>46029.0</v>
      </c>
      <c r="P3444" s="587" t="s">
        <v>1432</v>
      </c>
    </row>
    <row r="3445" hidden="1">
      <c r="A3445" s="118">
        <v>7.0</v>
      </c>
      <c r="B3445" s="939" t="s">
        <v>11896</v>
      </c>
      <c r="C3445" s="781" t="s">
        <v>2403</v>
      </c>
      <c r="D3445" s="936" t="s">
        <v>11897</v>
      </c>
      <c r="E3445" s="937" t="s">
        <v>11898</v>
      </c>
      <c r="F3445" s="781" t="s">
        <v>10995</v>
      </c>
      <c r="G3445" s="781" t="s">
        <v>11016</v>
      </c>
      <c r="H3445" s="775">
        <v>9.0</v>
      </c>
      <c r="I3445" s="857" t="s">
        <v>2890</v>
      </c>
      <c r="J3445" s="19"/>
      <c r="K3445" s="19"/>
      <c r="L3445" s="12" t="s">
        <v>699</v>
      </c>
      <c r="M3445" s="19"/>
      <c r="N3445" s="19"/>
      <c r="O3445" s="661">
        <v>46029.0</v>
      </c>
      <c r="P3445" s="587" t="s">
        <v>1432</v>
      </c>
    </row>
    <row r="3446" hidden="1">
      <c r="A3446" s="118">
        <v>8.0</v>
      </c>
      <c r="B3446" s="939" t="s">
        <v>11899</v>
      </c>
      <c r="C3446" s="781" t="s">
        <v>8495</v>
      </c>
      <c r="D3446" s="936" t="s">
        <v>11900</v>
      </c>
      <c r="E3446" s="937" t="s">
        <v>11901</v>
      </c>
      <c r="F3446" s="781" t="s">
        <v>11902</v>
      </c>
      <c r="G3446" s="871"/>
      <c r="H3446" s="784"/>
      <c r="I3446" s="813" t="s">
        <v>10093</v>
      </c>
      <c r="J3446" s="19"/>
      <c r="K3446" s="19"/>
      <c r="L3446" s="12" t="s">
        <v>11903</v>
      </c>
      <c r="M3446" s="19"/>
      <c r="N3446" s="19"/>
      <c r="O3446" s="148">
        <v>46271.0</v>
      </c>
      <c r="P3446" s="19"/>
    </row>
    <row r="3447" hidden="1">
      <c r="A3447" s="118">
        <v>9.0</v>
      </c>
      <c r="B3447" s="939" t="s">
        <v>11904</v>
      </c>
      <c r="C3447" s="781" t="s">
        <v>8495</v>
      </c>
      <c r="D3447" s="936" t="s">
        <v>11905</v>
      </c>
      <c r="E3447" s="937" t="s">
        <v>11906</v>
      </c>
      <c r="F3447" s="781" t="s">
        <v>11907</v>
      </c>
      <c r="G3447" s="871"/>
      <c r="H3447" s="784"/>
      <c r="I3447" s="813" t="s">
        <v>10198</v>
      </c>
      <c r="J3447" s="19"/>
      <c r="K3447" s="19"/>
      <c r="L3447" s="12" t="s">
        <v>11903</v>
      </c>
      <c r="M3447" s="19"/>
      <c r="N3447" s="19"/>
      <c r="O3447" s="148">
        <v>46271.0</v>
      </c>
      <c r="P3447" s="19"/>
    </row>
    <row r="3448" hidden="1">
      <c r="A3448" s="118">
        <v>10.0</v>
      </c>
      <c r="B3448" s="935" t="s">
        <v>11908</v>
      </c>
      <c r="C3448" s="781" t="s">
        <v>1185</v>
      </c>
      <c r="D3448" s="936" t="s">
        <v>11909</v>
      </c>
      <c r="E3448" s="937" t="s">
        <v>11910</v>
      </c>
      <c r="F3448" s="781" t="s">
        <v>556</v>
      </c>
      <c r="G3448" s="781" t="s">
        <v>11316</v>
      </c>
      <c r="H3448" s="781">
        <v>14.0</v>
      </c>
      <c r="I3448" s="813" t="s">
        <v>10198</v>
      </c>
      <c r="J3448" s="19"/>
      <c r="K3448" s="19"/>
      <c r="L3448" s="12" t="s">
        <v>4195</v>
      </c>
      <c r="M3448" s="19"/>
      <c r="N3448" s="19"/>
      <c r="O3448" s="34" t="s">
        <v>11613</v>
      </c>
      <c r="P3448" s="587" t="s">
        <v>1432</v>
      </c>
    </row>
    <row r="3449" hidden="1">
      <c r="A3449" s="118">
        <v>11.0</v>
      </c>
      <c r="B3449" s="935" t="s">
        <v>11911</v>
      </c>
      <c r="C3449" s="781" t="s">
        <v>80</v>
      </c>
      <c r="D3449" s="936" t="s">
        <v>11912</v>
      </c>
      <c r="E3449" s="937" t="s">
        <v>11913</v>
      </c>
      <c r="F3449" s="781" t="s">
        <v>11887</v>
      </c>
      <c r="G3449" s="781" t="s">
        <v>11316</v>
      </c>
      <c r="H3449" s="781">
        <v>14.0</v>
      </c>
      <c r="I3449" s="857" t="s">
        <v>2890</v>
      </c>
      <c r="J3449" s="19"/>
      <c r="K3449" s="19"/>
      <c r="L3449" s="12" t="s">
        <v>374</v>
      </c>
      <c r="M3449" s="19"/>
      <c r="N3449" s="19"/>
      <c r="O3449" s="23">
        <v>46302.0</v>
      </c>
      <c r="P3449" s="19"/>
    </row>
    <row r="3450" hidden="1">
      <c r="A3450" s="118">
        <v>12.0</v>
      </c>
      <c r="B3450" s="935" t="s">
        <v>11914</v>
      </c>
      <c r="C3450" s="781" t="s">
        <v>80</v>
      </c>
      <c r="D3450" s="936" t="s">
        <v>11915</v>
      </c>
      <c r="E3450" s="937" t="s">
        <v>11916</v>
      </c>
      <c r="F3450" s="781" t="s">
        <v>9951</v>
      </c>
      <c r="G3450" s="781" t="s">
        <v>11187</v>
      </c>
      <c r="H3450" s="781">
        <v>15.0</v>
      </c>
      <c r="I3450" s="857" t="s">
        <v>2890</v>
      </c>
      <c r="J3450" s="19"/>
      <c r="K3450" s="19"/>
      <c r="L3450" s="12" t="s">
        <v>778</v>
      </c>
      <c r="M3450" s="19"/>
      <c r="N3450" s="19"/>
      <c r="O3450" s="34" t="s">
        <v>11308</v>
      </c>
      <c r="P3450" s="19"/>
    </row>
    <row r="3451" hidden="1">
      <c r="A3451" s="118">
        <v>13.0</v>
      </c>
      <c r="B3451" s="935" t="s">
        <v>11917</v>
      </c>
      <c r="C3451" s="781" t="s">
        <v>80</v>
      </c>
      <c r="D3451" s="936" t="s">
        <v>11918</v>
      </c>
      <c r="E3451" s="937" t="s">
        <v>11919</v>
      </c>
      <c r="F3451" s="781" t="s">
        <v>11920</v>
      </c>
      <c r="G3451" s="781" t="s">
        <v>11187</v>
      </c>
      <c r="H3451" s="781">
        <v>15.0</v>
      </c>
      <c r="I3451" s="813" t="s">
        <v>10783</v>
      </c>
      <c r="J3451" s="19"/>
      <c r="K3451" s="19"/>
      <c r="L3451" s="33" t="s">
        <v>51</v>
      </c>
      <c r="M3451" s="19"/>
      <c r="N3451" s="19"/>
      <c r="O3451" s="148">
        <v>46029.0</v>
      </c>
      <c r="P3451" s="587" t="s">
        <v>1432</v>
      </c>
    </row>
    <row r="3452" hidden="1">
      <c r="A3452" s="118">
        <v>14.0</v>
      </c>
      <c r="B3452" s="939" t="s">
        <v>11921</v>
      </c>
      <c r="C3452" s="781" t="s">
        <v>80</v>
      </c>
      <c r="D3452" s="936" t="s">
        <v>11922</v>
      </c>
      <c r="E3452" s="937" t="s">
        <v>11923</v>
      </c>
      <c r="F3452" s="781" t="s">
        <v>5436</v>
      </c>
      <c r="G3452" s="781" t="s">
        <v>11187</v>
      </c>
      <c r="H3452" s="781">
        <v>15.0</v>
      </c>
      <c r="I3452" s="813" t="s">
        <v>10198</v>
      </c>
      <c r="J3452" s="19"/>
      <c r="K3452" s="19"/>
      <c r="L3452" s="33" t="s">
        <v>4195</v>
      </c>
      <c r="M3452" s="19"/>
      <c r="N3452" s="19"/>
      <c r="O3452" s="34" t="s">
        <v>11437</v>
      </c>
      <c r="P3452" s="19"/>
    </row>
    <row r="3453" hidden="1">
      <c r="A3453" s="118">
        <v>15.0</v>
      </c>
      <c r="B3453" s="939" t="s">
        <v>11924</v>
      </c>
      <c r="C3453" s="781" t="s">
        <v>8280</v>
      </c>
      <c r="D3453" s="936" t="s">
        <v>11925</v>
      </c>
      <c r="E3453" s="937" t="s">
        <v>11926</v>
      </c>
      <c r="F3453" s="781" t="s">
        <v>11927</v>
      </c>
      <c r="G3453" s="781" t="s">
        <v>11187</v>
      </c>
      <c r="H3453" s="781">
        <v>15.0</v>
      </c>
      <c r="I3453" s="857" t="s">
        <v>2890</v>
      </c>
      <c r="J3453" s="19"/>
      <c r="K3453" s="19"/>
      <c r="L3453" s="33" t="s">
        <v>374</v>
      </c>
      <c r="M3453" s="19"/>
      <c r="N3453" s="19"/>
      <c r="O3453" s="23">
        <v>46333.0</v>
      </c>
      <c r="P3453" s="19"/>
    </row>
    <row r="3454">
      <c r="A3454" s="118">
        <v>16.0</v>
      </c>
      <c r="B3454" s="940" t="s">
        <v>11928</v>
      </c>
      <c r="C3454" s="781" t="s">
        <v>80</v>
      </c>
      <c r="D3454" s="936" t="s">
        <v>11929</v>
      </c>
      <c r="E3454" s="937" t="s">
        <v>11930</v>
      </c>
      <c r="F3454" s="781" t="s">
        <v>9083</v>
      </c>
      <c r="G3454" s="781" t="s">
        <v>11316</v>
      </c>
      <c r="H3454" s="781">
        <v>14.0</v>
      </c>
      <c r="I3454" s="813" t="s">
        <v>11931</v>
      </c>
      <c r="J3454" s="19"/>
      <c r="K3454" s="19"/>
      <c r="L3454" s="33" t="s">
        <v>51</v>
      </c>
      <c r="M3454" s="19"/>
      <c r="N3454" s="12" t="s">
        <v>11932</v>
      </c>
      <c r="O3454" s="19"/>
      <c r="P3454" s="19"/>
    </row>
    <row r="3455" hidden="1">
      <c r="A3455" s="118">
        <v>17.0</v>
      </c>
      <c r="B3455" s="939" t="s">
        <v>11933</v>
      </c>
      <c r="C3455" s="781" t="s">
        <v>80</v>
      </c>
      <c r="D3455" s="936" t="s">
        <v>11934</v>
      </c>
      <c r="E3455" s="937" t="s">
        <v>11935</v>
      </c>
      <c r="F3455" s="781" t="s">
        <v>9951</v>
      </c>
      <c r="G3455" s="781" t="s">
        <v>11308</v>
      </c>
      <c r="H3455" s="781">
        <v>17.0</v>
      </c>
      <c r="I3455" s="813" t="s">
        <v>10093</v>
      </c>
      <c r="J3455" s="19"/>
      <c r="K3455" s="19"/>
      <c r="L3455" s="12" t="s">
        <v>778</v>
      </c>
      <c r="M3455" s="19"/>
      <c r="N3455" s="19"/>
      <c r="O3455" s="34" t="s">
        <v>11614</v>
      </c>
      <c r="P3455" s="19"/>
    </row>
    <row r="3456" hidden="1">
      <c r="A3456" s="118">
        <v>18.0</v>
      </c>
      <c r="B3456" s="939" t="s">
        <v>11936</v>
      </c>
      <c r="C3456" s="781" t="s">
        <v>80</v>
      </c>
      <c r="D3456" s="936" t="s">
        <v>11937</v>
      </c>
      <c r="E3456" s="937" t="s">
        <v>11938</v>
      </c>
      <c r="F3456" s="781" t="s">
        <v>11939</v>
      </c>
      <c r="G3456" s="781" t="s">
        <v>11308</v>
      </c>
      <c r="H3456" s="781">
        <v>17.0</v>
      </c>
      <c r="I3456" s="813" t="s">
        <v>10093</v>
      </c>
      <c r="J3456" s="19"/>
      <c r="K3456" s="19"/>
      <c r="L3456" s="12" t="s">
        <v>778</v>
      </c>
      <c r="M3456" s="19"/>
      <c r="N3456" s="19"/>
      <c r="O3456" s="34" t="s">
        <v>11628</v>
      </c>
      <c r="P3456" s="19"/>
    </row>
    <row r="3457" hidden="1">
      <c r="A3457" s="118">
        <v>19.0</v>
      </c>
      <c r="B3457" s="939" t="s">
        <v>11940</v>
      </c>
      <c r="C3457" s="781" t="s">
        <v>1185</v>
      </c>
      <c r="D3457" s="936" t="s">
        <v>11941</v>
      </c>
      <c r="E3457" s="937" t="s">
        <v>11942</v>
      </c>
      <c r="F3457" s="781" t="s">
        <v>556</v>
      </c>
      <c r="G3457" s="781" t="s">
        <v>11308</v>
      </c>
      <c r="H3457" s="781">
        <v>17.0</v>
      </c>
      <c r="I3457" s="813" t="s">
        <v>9180</v>
      </c>
      <c r="J3457" s="19"/>
      <c r="K3457" s="19"/>
      <c r="L3457" s="33" t="s">
        <v>374</v>
      </c>
      <c r="M3457" s="19"/>
      <c r="N3457" s="19"/>
      <c r="O3457" s="34" t="s">
        <v>11628</v>
      </c>
      <c r="P3457" s="587" t="s">
        <v>1432</v>
      </c>
    </row>
    <row r="3458" hidden="1">
      <c r="A3458" s="118">
        <v>20.0</v>
      </c>
      <c r="B3458" s="939" t="s">
        <v>11943</v>
      </c>
      <c r="C3458" s="781" t="s">
        <v>80</v>
      </c>
      <c r="D3458" s="936" t="s">
        <v>11944</v>
      </c>
      <c r="E3458" s="937" t="s">
        <v>11945</v>
      </c>
      <c r="F3458" s="781" t="s">
        <v>11946</v>
      </c>
      <c r="G3458" s="781" t="s">
        <v>11628</v>
      </c>
      <c r="H3458" s="781">
        <v>21.0</v>
      </c>
      <c r="I3458" s="813" t="s">
        <v>10198</v>
      </c>
      <c r="J3458" s="19"/>
      <c r="K3458" s="19"/>
      <c r="L3458" s="33" t="s">
        <v>51</v>
      </c>
      <c r="M3458" s="19"/>
      <c r="N3458" s="19"/>
      <c r="O3458" s="148">
        <v>46302.0</v>
      </c>
      <c r="P3458" s="19"/>
    </row>
    <row r="3459" hidden="1">
      <c r="A3459" s="118">
        <v>21.0</v>
      </c>
      <c r="B3459" s="939" t="s">
        <v>11947</v>
      </c>
      <c r="C3459" s="781" t="s">
        <v>80</v>
      </c>
      <c r="D3459" s="936" t="s">
        <v>11948</v>
      </c>
      <c r="E3459" s="937" t="s">
        <v>11949</v>
      </c>
      <c r="F3459" s="781" t="s">
        <v>9951</v>
      </c>
      <c r="G3459" s="781" t="s">
        <v>11437</v>
      </c>
      <c r="H3459" s="781">
        <v>18.0</v>
      </c>
      <c r="I3459" s="857" t="s">
        <v>2890</v>
      </c>
      <c r="J3459" s="19"/>
      <c r="K3459" s="19"/>
      <c r="L3459" s="12" t="s">
        <v>778</v>
      </c>
      <c r="M3459" s="19"/>
      <c r="N3459" s="19"/>
      <c r="O3459" s="34" t="s">
        <v>11614</v>
      </c>
      <c r="P3459" s="19"/>
    </row>
    <row r="3460">
      <c r="A3460" s="941">
        <v>22.0</v>
      </c>
      <c r="B3460" s="942" t="s">
        <v>11950</v>
      </c>
      <c r="C3460" s="775" t="s">
        <v>80</v>
      </c>
      <c r="D3460" s="943" t="s">
        <v>11951</v>
      </c>
      <c r="E3460" s="944" t="s">
        <v>11952</v>
      </c>
      <c r="F3460" s="775" t="s">
        <v>9951</v>
      </c>
      <c r="G3460" s="775" t="s">
        <v>11437</v>
      </c>
      <c r="H3460" s="775">
        <v>18.0</v>
      </c>
      <c r="I3460" s="817" t="s">
        <v>5334</v>
      </c>
      <c r="J3460" s="412"/>
      <c r="K3460" s="412"/>
      <c r="L3460" s="37" t="s">
        <v>778</v>
      </c>
      <c r="M3460" s="412"/>
      <c r="N3460" s="412"/>
      <c r="O3460" s="945">
        <v>46119.0</v>
      </c>
      <c r="P3460" s="946" t="s">
        <v>11953</v>
      </c>
      <c r="Q3460" s="405"/>
      <c r="R3460" s="405"/>
      <c r="S3460" s="405"/>
      <c r="T3460" s="405"/>
      <c r="U3460" s="405"/>
      <c r="V3460" s="405"/>
      <c r="W3460" s="405"/>
      <c r="X3460" s="405"/>
      <c r="Y3460" s="405"/>
      <c r="Z3460" s="405"/>
      <c r="AA3460" s="405"/>
      <c r="AB3460" s="405"/>
      <c r="AC3460" s="405"/>
      <c r="AD3460" s="405"/>
      <c r="AE3460" s="405"/>
      <c r="AF3460" s="405"/>
    </row>
    <row r="3461" hidden="1">
      <c r="A3461" s="941">
        <v>23.0</v>
      </c>
      <c r="B3461" s="942" t="s">
        <v>11954</v>
      </c>
      <c r="C3461" s="775" t="s">
        <v>80</v>
      </c>
      <c r="D3461" s="943" t="s">
        <v>11955</v>
      </c>
      <c r="E3461" s="944" t="s">
        <v>11956</v>
      </c>
      <c r="F3461" s="775" t="s">
        <v>9068</v>
      </c>
      <c r="G3461" s="775" t="s">
        <v>11008</v>
      </c>
      <c r="H3461" s="775">
        <v>19.0</v>
      </c>
      <c r="I3461" s="817" t="s">
        <v>2890</v>
      </c>
      <c r="J3461" s="412"/>
      <c r="K3461" s="412"/>
      <c r="L3461" s="37" t="s">
        <v>4195</v>
      </c>
      <c r="M3461" s="412"/>
      <c r="N3461" s="412"/>
      <c r="O3461" s="945">
        <v>46119.0</v>
      </c>
      <c r="P3461" s="412"/>
      <c r="Q3461" s="405"/>
      <c r="R3461" s="405"/>
      <c r="S3461" s="405"/>
      <c r="T3461" s="405"/>
      <c r="U3461" s="405"/>
      <c r="V3461" s="405"/>
      <c r="W3461" s="405"/>
      <c r="X3461" s="405"/>
      <c r="Y3461" s="405"/>
      <c r="Z3461" s="405"/>
      <c r="AA3461" s="405"/>
      <c r="AB3461" s="405"/>
      <c r="AC3461" s="405"/>
      <c r="AD3461" s="405"/>
      <c r="AE3461" s="405"/>
      <c r="AF3461" s="405"/>
    </row>
    <row r="3462" hidden="1">
      <c r="A3462" s="941">
        <v>24.0</v>
      </c>
      <c r="B3462" s="942" t="s">
        <v>11957</v>
      </c>
      <c r="C3462" s="775" t="s">
        <v>1185</v>
      </c>
      <c r="D3462" s="943" t="s">
        <v>11958</v>
      </c>
      <c r="E3462" s="944" t="s">
        <v>11959</v>
      </c>
      <c r="F3462" s="775" t="s">
        <v>556</v>
      </c>
      <c r="G3462" s="775" t="s">
        <v>11308</v>
      </c>
      <c r="H3462" s="775">
        <v>17.0</v>
      </c>
      <c r="I3462" s="817" t="s">
        <v>5364</v>
      </c>
      <c r="J3462" s="412"/>
      <c r="K3462" s="412"/>
      <c r="L3462" s="37" t="s">
        <v>51</v>
      </c>
      <c r="M3462" s="412"/>
      <c r="N3462" s="412"/>
      <c r="O3462" s="945">
        <v>46119.0</v>
      </c>
      <c r="P3462" s="412"/>
      <c r="Q3462" s="405"/>
      <c r="R3462" s="405"/>
      <c r="S3462" s="405"/>
      <c r="T3462" s="405"/>
      <c r="U3462" s="405"/>
      <c r="V3462" s="405"/>
      <c r="W3462" s="405"/>
      <c r="X3462" s="405"/>
      <c r="Y3462" s="405"/>
      <c r="Z3462" s="405"/>
      <c r="AA3462" s="405"/>
      <c r="AB3462" s="405"/>
      <c r="AC3462" s="405"/>
      <c r="AD3462" s="405"/>
      <c r="AE3462" s="405"/>
      <c r="AF3462" s="405"/>
    </row>
    <row r="3463">
      <c r="A3463" s="941">
        <v>25.0</v>
      </c>
      <c r="B3463" s="942" t="s">
        <v>11960</v>
      </c>
      <c r="C3463" s="775" t="s">
        <v>80</v>
      </c>
      <c r="D3463" s="943" t="s">
        <v>11961</v>
      </c>
      <c r="E3463" s="944" t="s">
        <v>11962</v>
      </c>
      <c r="F3463" s="775" t="s">
        <v>11963</v>
      </c>
      <c r="G3463" s="775" t="s">
        <v>11308</v>
      </c>
      <c r="H3463" s="775">
        <v>17.0</v>
      </c>
      <c r="I3463" s="817" t="s">
        <v>2890</v>
      </c>
      <c r="J3463" s="412"/>
      <c r="K3463" s="412"/>
      <c r="L3463" s="37" t="s">
        <v>778</v>
      </c>
      <c r="M3463" s="412"/>
      <c r="N3463" s="412"/>
      <c r="O3463" s="945">
        <v>46119.0</v>
      </c>
      <c r="P3463" s="102" t="s">
        <v>11953</v>
      </c>
      <c r="Q3463" s="405"/>
      <c r="R3463" s="405"/>
      <c r="S3463" s="405"/>
      <c r="T3463" s="405"/>
      <c r="U3463" s="405"/>
      <c r="V3463" s="405"/>
      <c r="W3463" s="405"/>
      <c r="X3463" s="405"/>
      <c r="Y3463" s="405"/>
      <c r="Z3463" s="405"/>
      <c r="AA3463" s="405"/>
      <c r="AB3463" s="405"/>
      <c r="AC3463" s="405"/>
      <c r="AD3463" s="405"/>
      <c r="AE3463" s="405"/>
      <c r="AF3463" s="405"/>
    </row>
    <row r="3464">
      <c r="A3464" s="941">
        <v>26.0</v>
      </c>
      <c r="B3464" s="942" t="s">
        <v>11964</v>
      </c>
      <c r="C3464" s="775" t="s">
        <v>80</v>
      </c>
      <c r="D3464" s="943" t="s">
        <v>11965</v>
      </c>
      <c r="E3464" s="944" t="s">
        <v>11966</v>
      </c>
      <c r="F3464" s="775" t="s">
        <v>11963</v>
      </c>
      <c r="G3464" s="775" t="s">
        <v>11308</v>
      </c>
      <c r="H3464" s="775">
        <v>17.0</v>
      </c>
      <c r="I3464" s="817" t="s">
        <v>2890</v>
      </c>
      <c r="J3464" s="412"/>
      <c r="K3464" s="412"/>
      <c r="L3464" s="37" t="s">
        <v>778</v>
      </c>
      <c r="M3464" s="412"/>
      <c r="N3464" s="412"/>
      <c r="O3464" s="945">
        <v>46119.0</v>
      </c>
      <c r="P3464" s="102" t="s">
        <v>11953</v>
      </c>
      <c r="Q3464" s="405"/>
      <c r="R3464" s="405"/>
      <c r="S3464" s="405"/>
      <c r="T3464" s="405"/>
      <c r="U3464" s="405"/>
      <c r="V3464" s="405"/>
      <c r="W3464" s="405"/>
      <c r="X3464" s="405"/>
      <c r="Y3464" s="405"/>
      <c r="Z3464" s="405"/>
      <c r="AA3464" s="405"/>
      <c r="AB3464" s="405"/>
      <c r="AC3464" s="405"/>
      <c r="AD3464" s="405"/>
      <c r="AE3464" s="405"/>
      <c r="AF3464" s="405"/>
    </row>
    <row r="3465">
      <c r="A3465" s="941">
        <v>27.0</v>
      </c>
      <c r="B3465" s="942" t="s">
        <v>11967</v>
      </c>
      <c r="C3465" s="775" t="s">
        <v>8280</v>
      </c>
      <c r="D3465" s="943" t="s">
        <v>11968</v>
      </c>
      <c r="E3465" s="947" t="s">
        <v>11969</v>
      </c>
      <c r="F3465" s="775" t="s">
        <v>4390</v>
      </c>
      <c r="G3465" s="775" t="s">
        <v>11568</v>
      </c>
      <c r="H3465" s="775">
        <v>16.0</v>
      </c>
      <c r="I3465" s="817" t="s">
        <v>5364</v>
      </c>
      <c r="J3465" s="412"/>
      <c r="K3465" s="412"/>
      <c r="L3465" s="37" t="s">
        <v>778</v>
      </c>
      <c r="M3465" s="412"/>
      <c r="N3465" s="412"/>
      <c r="O3465" s="945">
        <v>46119.0</v>
      </c>
      <c r="P3465" s="412"/>
      <c r="Q3465" s="405"/>
      <c r="R3465" s="405"/>
      <c r="S3465" s="405"/>
      <c r="T3465" s="405"/>
      <c r="U3465" s="405"/>
      <c r="V3465" s="405"/>
      <c r="W3465" s="405"/>
      <c r="X3465" s="405"/>
      <c r="Y3465" s="405"/>
      <c r="Z3465" s="405"/>
      <c r="AA3465" s="405"/>
      <c r="AB3465" s="405"/>
      <c r="AC3465" s="405"/>
      <c r="AD3465" s="405"/>
      <c r="AE3465" s="405"/>
      <c r="AF3465" s="405"/>
    </row>
    <row r="3466">
      <c r="A3466" s="941">
        <v>28.0</v>
      </c>
      <c r="B3466" s="942" t="s">
        <v>11970</v>
      </c>
      <c r="C3466" s="775" t="s">
        <v>8280</v>
      </c>
      <c r="D3466" s="943" t="s">
        <v>11971</v>
      </c>
      <c r="E3466" s="947" t="s">
        <v>11972</v>
      </c>
      <c r="F3466" s="775" t="s">
        <v>4390</v>
      </c>
      <c r="G3466" s="775" t="s">
        <v>11568</v>
      </c>
      <c r="H3466" s="775">
        <v>16.0</v>
      </c>
      <c r="I3466" s="817" t="s">
        <v>11973</v>
      </c>
      <c r="J3466" s="412"/>
      <c r="K3466" s="412"/>
      <c r="L3466" s="37" t="s">
        <v>778</v>
      </c>
      <c r="M3466" s="412"/>
      <c r="N3466" s="412"/>
      <c r="O3466" s="945">
        <v>46119.0</v>
      </c>
      <c r="P3466" s="412"/>
      <c r="Q3466" s="405"/>
      <c r="R3466" s="405"/>
      <c r="S3466" s="405"/>
      <c r="T3466" s="405"/>
      <c r="U3466" s="405"/>
      <c r="V3466" s="405"/>
      <c r="W3466" s="405"/>
      <c r="X3466" s="405"/>
      <c r="Y3466" s="405"/>
      <c r="Z3466" s="405"/>
      <c r="AA3466" s="405"/>
      <c r="AB3466" s="405"/>
      <c r="AC3466" s="405"/>
      <c r="AD3466" s="405"/>
      <c r="AE3466" s="405"/>
      <c r="AF3466" s="405"/>
    </row>
    <row r="3467">
      <c r="A3467" s="941">
        <v>29.0</v>
      </c>
      <c r="B3467" s="942" t="s">
        <v>11974</v>
      </c>
      <c r="C3467" s="775" t="s">
        <v>80</v>
      </c>
      <c r="D3467" s="943" t="s">
        <v>11975</v>
      </c>
      <c r="E3467" s="947" t="s">
        <v>11976</v>
      </c>
      <c r="F3467" s="775" t="s">
        <v>3928</v>
      </c>
      <c r="G3467" s="775" t="s">
        <v>11568</v>
      </c>
      <c r="H3467" s="775">
        <v>16.0</v>
      </c>
      <c r="I3467" s="817" t="s">
        <v>10690</v>
      </c>
      <c r="J3467" s="412"/>
      <c r="K3467" s="412"/>
      <c r="L3467" s="37" t="s">
        <v>3099</v>
      </c>
      <c r="M3467" s="412"/>
      <c r="N3467" s="412"/>
      <c r="O3467" s="945">
        <v>46060.0</v>
      </c>
      <c r="P3467" s="412"/>
      <c r="Q3467" s="405"/>
      <c r="R3467" s="405"/>
      <c r="S3467" s="405"/>
      <c r="T3467" s="405"/>
      <c r="U3467" s="405"/>
      <c r="V3467" s="405"/>
      <c r="W3467" s="405"/>
      <c r="X3467" s="405"/>
      <c r="Y3467" s="405"/>
      <c r="Z3467" s="405"/>
      <c r="AA3467" s="405"/>
      <c r="AB3467" s="405"/>
      <c r="AC3467" s="405"/>
      <c r="AD3467" s="405"/>
      <c r="AE3467" s="405"/>
      <c r="AF3467" s="405"/>
    </row>
    <row r="3468">
      <c r="A3468" s="941">
        <v>30.0</v>
      </c>
      <c r="B3468" s="942" t="s">
        <v>11977</v>
      </c>
      <c r="C3468" s="775" t="s">
        <v>80</v>
      </c>
      <c r="D3468" s="943" t="s">
        <v>11978</v>
      </c>
      <c r="E3468" s="947" t="s">
        <v>11979</v>
      </c>
      <c r="F3468" s="775" t="s">
        <v>3928</v>
      </c>
      <c r="G3468" s="775" t="s">
        <v>11568</v>
      </c>
      <c r="H3468" s="775">
        <v>16.0</v>
      </c>
      <c r="I3468" s="817" t="s">
        <v>2890</v>
      </c>
      <c r="J3468" s="412"/>
      <c r="K3468" s="412"/>
      <c r="L3468" s="37" t="s">
        <v>3099</v>
      </c>
      <c r="M3468" s="412"/>
      <c r="N3468" s="412"/>
      <c r="O3468" s="945">
        <v>46060.0</v>
      </c>
      <c r="P3468" s="412"/>
      <c r="Q3468" s="405"/>
      <c r="R3468" s="405"/>
      <c r="S3468" s="405"/>
      <c r="T3468" s="405"/>
      <c r="U3468" s="405"/>
      <c r="V3468" s="405"/>
      <c r="W3468" s="405"/>
      <c r="X3468" s="405"/>
      <c r="Y3468" s="405"/>
      <c r="Z3468" s="405"/>
      <c r="AA3468" s="405"/>
      <c r="AB3468" s="405"/>
      <c r="AC3468" s="405"/>
      <c r="AD3468" s="405"/>
      <c r="AE3468" s="405"/>
      <c r="AF3468" s="405"/>
    </row>
    <row r="3469">
      <c r="A3469" s="941">
        <v>31.0</v>
      </c>
      <c r="B3469" s="942" t="s">
        <v>11980</v>
      </c>
      <c r="C3469" s="775" t="s">
        <v>80</v>
      </c>
      <c r="D3469" s="943" t="s">
        <v>11981</v>
      </c>
      <c r="E3469" s="947" t="s">
        <v>11982</v>
      </c>
      <c r="F3469" s="775" t="s">
        <v>3928</v>
      </c>
      <c r="G3469" s="775" t="s">
        <v>11568</v>
      </c>
      <c r="H3469" s="775">
        <v>16.0</v>
      </c>
      <c r="I3469" s="817" t="s">
        <v>2890</v>
      </c>
      <c r="J3469" s="412"/>
      <c r="K3469" s="412"/>
      <c r="L3469" s="37" t="s">
        <v>3099</v>
      </c>
      <c r="M3469" s="412"/>
      <c r="N3469" s="412"/>
      <c r="O3469" s="945">
        <v>46060.0</v>
      </c>
      <c r="P3469" s="412"/>
      <c r="Q3469" s="405"/>
      <c r="R3469" s="405"/>
      <c r="S3469" s="405"/>
      <c r="T3469" s="405"/>
      <c r="U3469" s="405"/>
      <c r="V3469" s="405"/>
      <c r="W3469" s="405"/>
      <c r="X3469" s="405"/>
      <c r="Y3469" s="405"/>
      <c r="Z3469" s="405"/>
      <c r="AA3469" s="405"/>
      <c r="AB3469" s="405"/>
      <c r="AC3469" s="405"/>
      <c r="AD3469" s="405"/>
      <c r="AE3469" s="405"/>
      <c r="AF3469" s="405"/>
    </row>
    <row r="3470">
      <c r="A3470" s="941">
        <v>32.0</v>
      </c>
      <c r="B3470" s="942" t="s">
        <v>11983</v>
      </c>
      <c r="C3470" s="775" t="s">
        <v>80</v>
      </c>
      <c r="D3470" s="943" t="s">
        <v>11984</v>
      </c>
      <c r="E3470" s="947" t="s">
        <v>11985</v>
      </c>
      <c r="F3470" s="775" t="s">
        <v>3928</v>
      </c>
      <c r="G3470" s="775" t="s">
        <v>11568</v>
      </c>
      <c r="H3470" s="775">
        <v>16.0</v>
      </c>
      <c r="I3470" s="817" t="s">
        <v>10198</v>
      </c>
      <c r="J3470" s="412"/>
      <c r="K3470" s="412"/>
      <c r="L3470" s="37" t="s">
        <v>3099</v>
      </c>
      <c r="M3470" s="412"/>
      <c r="N3470" s="412"/>
      <c r="O3470" s="945">
        <v>46060.0</v>
      </c>
      <c r="P3470" s="412"/>
      <c r="Q3470" s="405"/>
      <c r="R3470" s="405"/>
      <c r="S3470" s="405"/>
      <c r="T3470" s="405"/>
      <c r="U3470" s="405"/>
      <c r="V3470" s="405"/>
      <c r="W3470" s="405"/>
      <c r="X3470" s="405"/>
      <c r="Y3470" s="405"/>
      <c r="Z3470" s="405"/>
      <c r="AA3470" s="405"/>
      <c r="AB3470" s="405"/>
      <c r="AC3470" s="405"/>
      <c r="AD3470" s="405"/>
      <c r="AE3470" s="405"/>
      <c r="AF3470" s="405"/>
    </row>
    <row r="3471">
      <c r="A3471" s="941">
        <v>33.0</v>
      </c>
      <c r="B3471" s="942" t="s">
        <v>11986</v>
      </c>
      <c r="C3471" s="775" t="s">
        <v>80</v>
      </c>
      <c r="D3471" s="943" t="s">
        <v>11987</v>
      </c>
      <c r="E3471" s="948" t="s">
        <v>11988</v>
      </c>
      <c r="F3471" s="775" t="s">
        <v>1700</v>
      </c>
      <c r="G3471" s="775" t="s">
        <v>11437</v>
      </c>
      <c r="H3471" s="775">
        <v>18.0</v>
      </c>
      <c r="I3471" s="817" t="s">
        <v>10093</v>
      </c>
      <c r="J3471" s="412"/>
      <c r="K3471" s="412"/>
      <c r="L3471" s="485" t="s">
        <v>374</v>
      </c>
      <c r="M3471" s="412"/>
      <c r="N3471" s="412"/>
      <c r="O3471" s="412"/>
      <c r="P3471" s="412"/>
      <c r="Q3471" s="405"/>
      <c r="R3471" s="405"/>
      <c r="S3471" s="405"/>
      <c r="T3471" s="405"/>
      <c r="U3471" s="405"/>
      <c r="V3471" s="405"/>
      <c r="W3471" s="405"/>
      <c r="X3471" s="405"/>
      <c r="Y3471" s="405"/>
      <c r="Z3471" s="405"/>
      <c r="AA3471" s="405"/>
      <c r="AB3471" s="405"/>
      <c r="AC3471" s="405"/>
      <c r="AD3471" s="405"/>
      <c r="AE3471" s="405"/>
      <c r="AF3471" s="405"/>
    </row>
    <row r="3472">
      <c r="A3472" s="941">
        <v>34.0</v>
      </c>
      <c r="B3472" s="942" t="s">
        <v>11989</v>
      </c>
      <c r="C3472" s="775" t="s">
        <v>80</v>
      </c>
      <c r="D3472" s="943" t="s">
        <v>11990</v>
      </c>
      <c r="E3472" s="948" t="s">
        <v>11991</v>
      </c>
      <c r="F3472" s="775" t="s">
        <v>1700</v>
      </c>
      <c r="G3472" s="775" t="s">
        <v>11437</v>
      </c>
      <c r="H3472" s="775">
        <v>18.0</v>
      </c>
      <c r="I3472" s="817" t="s">
        <v>2890</v>
      </c>
      <c r="J3472" s="412"/>
      <c r="K3472" s="412"/>
      <c r="L3472" s="949" t="s">
        <v>374</v>
      </c>
      <c r="M3472" s="412"/>
      <c r="N3472" s="412"/>
      <c r="O3472" s="412"/>
      <c r="P3472" s="412"/>
      <c r="Q3472" s="405"/>
      <c r="R3472" s="405"/>
      <c r="S3472" s="405"/>
      <c r="T3472" s="405"/>
      <c r="U3472" s="405"/>
      <c r="V3472" s="405"/>
      <c r="W3472" s="405"/>
      <c r="X3472" s="405"/>
      <c r="Y3472" s="405"/>
      <c r="Z3472" s="405"/>
      <c r="AA3472" s="405"/>
      <c r="AB3472" s="405"/>
      <c r="AC3472" s="405"/>
      <c r="AD3472" s="405"/>
      <c r="AE3472" s="405"/>
      <c r="AF3472" s="405"/>
    </row>
    <row r="3473" hidden="1">
      <c r="A3473" s="118">
        <v>35.0</v>
      </c>
      <c r="B3473" s="939" t="s">
        <v>11992</v>
      </c>
      <c r="C3473" s="781" t="s">
        <v>1185</v>
      </c>
      <c r="D3473" s="936" t="s">
        <v>11993</v>
      </c>
      <c r="E3473" s="937" t="s">
        <v>11994</v>
      </c>
      <c r="F3473" s="781" t="s">
        <v>556</v>
      </c>
      <c r="G3473" s="781" t="s">
        <v>11008</v>
      </c>
      <c r="H3473" s="781">
        <v>19.0</v>
      </c>
      <c r="I3473" s="857" t="s">
        <v>2890</v>
      </c>
      <c r="J3473" s="19"/>
      <c r="K3473" s="19"/>
      <c r="L3473" s="33" t="s">
        <v>4195</v>
      </c>
      <c r="M3473" s="19"/>
      <c r="N3473" s="19"/>
      <c r="O3473" s="34" t="s">
        <v>11008</v>
      </c>
      <c r="P3473" s="587" t="s">
        <v>1432</v>
      </c>
    </row>
    <row r="3474" hidden="1">
      <c r="A3474" s="118">
        <v>36.0</v>
      </c>
      <c r="B3474" s="939" t="s">
        <v>11995</v>
      </c>
      <c r="C3474" s="781" t="s">
        <v>1185</v>
      </c>
      <c r="D3474" s="936" t="s">
        <v>11996</v>
      </c>
      <c r="E3474" s="937" t="s">
        <v>11997</v>
      </c>
      <c r="F3474" s="781" t="s">
        <v>556</v>
      </c>
      <c r="G3474" s="781" t="s">
        <v>11008</v>
      </c>
      <c r="H3474" s="781">
        <v>19.0</v>
      </c>
      <c r="I3474" s="857" t="s">
        <v>2890</v>
      </c>
      <c r="J3474" s="19"/>
      <c r="K3474" s="19"/>
      <c r="L3474" s="304" t="s">
        <v>51</v>
      </c>
      <c r="M3474" s="19"/>
      <c r="N3474" s="19"/>
      <c r="O3474" s="148">
        <v>46060.0</v>
      </c>
      <c r="P3474" s="587" t="s">
        <v>1432</v>
      </c>
    </row>
    <row r="3475" hidden="1">
      <c r="A3475" s="118">
        <v>37.0</v>
      </c>
      <c r="B3475" s="939" t="s">
        <v>11998</v>
      </c>
      <c r="C3475" s="781" t="s">
        <v>651</v>
      </c>
      <c r="D3475" s="936" t="s">
        <v>11999</v>
      </c>
      <c r="E3475" s="937" t="s">
        <v>12000</v>
      </c>
      <c r="F3475" s="781" t="s">
        <v>5436</v>
      </c>
      <c r="G3475" s="781" t="s">
        <v>11809</v>
      </c>
      <c r="H3475" s="781">
        <v>20.0</v>
      </c>
      <c r="I3475" s="857" t="s">
        <v>2890</v>
      </c>
      <c r="J3475" s="19"/>
      <c r="K3475" s="19"/>
      <c r="L3475" s="304" t="s">
        <v>51</v>
      </c>
      <c r="M3475" s="19"/>
      <c r="N3475" s="19"/>
      <c r="O3475" s="34" t="s">
        <v>1129</v>
      </c>
      <c r="P3475" s="19"/>
    </row>
    <row r="3476" hidden="1">
      <c r="A3476" s="118">
        <v>38.0</v>
      </c>
      <c r="B3476" s="939" t="s">
        <v>12001</v>
      </c>
      <c r="C3476" s="781" t="s">
        <v>80</v>
      </c>
      <c r="D3476" s="936" t="s">
        <v>12002</v>
      </c>
      <c r="E3476" s="950" t="s">
        <v>12003</v>
      </c>
      <c r="F3476" s="781" t="s">
        <v>3583</v>
      </c>
      <c r="G3476" s="781" t="s">
        <v>11316</v>
      </c>
      <c r="H3476" s="781">
        <v>14.0</v>
      </c>
      <c r="I3476" s="857" t="s">
        <v>2890</v>
      </c>
      <c r="J3476" s="19"/>
      <c r="K3476" s="19"/>
      <c r="L3476" s="304" t="s">
        <v>778</v>
      </c>
      <c r="M3476" s="19"/>
      <c r="N3476" s="19"/>
      <c r="O3476" s="34" t="s">
        <v>11628</v>
      </c>
      <c r="P3476" s="19"/>
    </row>
    <row r="3477" hidden="1">
      <c r="A3477" s="118">
        <v>39.0</v>
      </c>
      <c r="B3477" s="939" t="s">
        <v>12004</v>
      </c>
      <c r="C3477" s="781" t="s">
        <v>80</v>
      </c>
      <c r="D3477" s="936" t="s">
        <v>12005</v>
      </c>
      <c r="E3477" s="950" t="s">
        <v>12006</v>
      </c>
      <c r="F3477" s="781" t="s">
        <v>3583</v>
      </c>
      <c r="G3477" s="781" t="s">
        <v>11316</v>
      </c>
      <c r="H3477" s="781">
        <v>14.0</v>
      </c>
      <c r="I3477" s="813" t="s">
        <v>10783</v>
      </c>
      <c r="J3477" s="19"/>
      <c r="K3477" s="19"/>
      <c r="L3477" s="304" t="s">
        <v>778</v>
      </c>
      <c r="M3477" s="19"/>
      <c r="N3477" s="19"/>
      <c r="O3477" s="34" t="s">
        <v>11628</v>
      </c>
      <c r="P3477" s="19"/>
    </row>
    <row r="3478" hidden="1">
      <c r="A3478" s="118">
        <v>40.0</v>
      </c>
      <c r="B3478" s="939" t="s">
        <v>12007</v>
      </c>
      <c r="C3478" s="781" t="s">
        <v>80</v>
      </c>
      <c r="D3478" s="936" t="s">
        <v>12008</v>
      </c>
      <c r="E3478" s="950" t="s">
        <v>12009</v>
      </c>
      <c r="F3478" s="781" t="s">
        <v>3583</v>
      </c>
      <c r="G3478" s="781" t="s">
        <v>11316</v>
      </c>
      <c r="H3478" s="781">
        <v>14.0</v>
      </c>
      <c r="I3478" s="813" t="s">
        <v>5895</v>
      </c>
      <c r="J3478" s="19"/>
      <c r="K3478" s="19"/>
      <c r="L3478" s="304" t="s">
        <v>778</v>
      </c>
      <c r="M3478" s="19"/>
      <c r="N3478" s="19"/>
      <c r="O3478" s="34" t="s">
        <v>11628</v>
      </c>
      <c r="P3478" s="19"/>
    </row>
    <row r="3479">
      <c r="A3479" s="339" t="s">
        <v>12010</v>
      </c>
    </row>
    <row r="3480">
      <c r="A3480" s="670" t="s">
        <v>47</v>
      </c>
      <c r="B3480" s="670" t="s">
        <v>7</v>
      </c>
      <c r="C3480" s="670" t="s">
        <v>9</v>
      </c>
      <c r="D3480" s="670" t="s">
        <v>10</v>
      </c>
      <c r="E3480" s="670" t="s">
        <v>11</v>
      </c>
      <c r="F3480" s="670" t="s">
        <v>12</v>
      </c>
      <c r="G3480" s="670" t="s">
        <v>2378</v>
      </c>
      <c r="H3480" s="670" t="s">
        <v>2681</v>
      </c>
      <c r="I3480" s="4" t="s">
        <v>2847</v>
      </c>
      <c r="J3480" s="8" t="s">
        <v>14</v>
      </c>
      <c r="K3480" s="9" t="s">
        <v>16</v>
      </c>
      <c r="L3480" s="10" t="s">
        <v>11871</v>
      </c>
      <c r="M3480" s="9" t="s">
        <v>18</v>
      </c>
      <c r="N3480" s="9" t="s">
        <v>19</v>
      </c>
      <c r="O3480" s="9" t="s">
        <v>20</v>
      </c>
      <c r="P3480" s="9" t="s">
        <v>21</v>
      </c>
    </row>
    <row r="3481" hidden="1">
      <c r="A3481" s="118">
        <v>1.0</v>
      </c>
      <c r="B3481" s="951" t="s">
        <v>12011</v>
      </c>
      <c r="C3481" s="778" t="s">
        <v>12012</v>
      </c>
      <c r="D3481" s="952" t="s">
        <v>12013</v>
      </c>
      <c r="E3481" s="778" t="s">
        <v>12014</v>
      </c>
      <c r="F3481" s="778" t="s">
        <v>12015</v>
      </c>
      <c r="G3481" s="778" t="s">
        <v>11187</v>
      </c>
      <c r="H3481" s="778">
        <v>11.0</v>
      </c>
      <c r="I3481" s="809" t="s">
        <v>10086</v>
      </c>
      <c r="L3481" s="292" t="s">
        <v>374</v>
      </c>
      <c r="N3481" s="34" t="s">
        <v>11477</v>
      </c>
      <c r="O3481" s="34" t="s">
        <v>11478</v>
      </c>
    </row>
    <row r="3482" hidden="1">
      <c r="A3482" s="118">
        <v>2.0</v>
      </c>
      <c r="B3482" s="951" t="s">
        <v>12016</v>
      </c>
      <c r="C3482" s="778" t="s">
        <v>80</v>
      </c>
      <c r="D3482" s="953" t="s">
        <v>12017</v>
      </c>
      <c r="E3482" s="778" t="s">
        <v>12018</v>
      </c>
      <c r="F3482" s="778" t="s">
        <v>718</v>
      </c>
      <c r="G3482" s="778" t="s">
        <v>11183</v>
      </c>
      <c r="H3482" s="770">
        <v>6.0</v>
      </c>
      <c r="I3482" s="853" t="s">
        <v>2890</v>
      </c>
      <c r="L3482" s="33" t="s">
        <v>4195</v>
      </c>
      <c r="O3482" s="143" t="s">
        <v>11599</v>
      </c>
    </row>
    <row r="3483" hidden="1">
      <c r="A3483" s="118">
        <v>3.0</v>
      </c>
      <c r="B3483" s="951" t="s">
        <v>12019</v>
      </c>
      <c r="C3483" s="778" t="s">
        <v>80</v>
      </c>
      <c r="D3483" s="953" t="s">
        <v>12020</v>
      </c>
      <c r="E3483" s="778" t="s">
        <v>12021</v>
      </c>
      <c r="F3483" s="778" t="s">
        <v>12022</v>
      </c>
      <c r="G3483" s="778" t="s">
        <v>12023</v>
      </c>
      <c r="H3483" s="770">
        <v>9.0</v>
      </c>
      <c r="I3483" s="809" t="s">
        <v>12024</v>
      </c>
      <c r="L3483" s="33" t="s">
        <v>4195</v>
      </c>
      <c r="N3483" s="143" t="s">
        <v>12025</v>
      </c>
      <c r="O3483" s="143" t="s">
        <v>11308</v>
      </c>
    </row>
    <row r="3484" hidden="1">
      <c r="A3484" s="118">
        <v>4.0</v>
      </c>
      <c r="B3484" s="744" t="s">
        <v>12026</v>
      </c>
      <c r="C3484" s="781" t="s">
        <v>2403</v>
      </c>
      <c r="D3484" s="954" t="s">
        <v>12027</v>
      </c>
      <c r="E3484" s="781" t="s">
        <v>12028</v>
      </c>
      <c r="F3484" s="781" t="s">
        <v>148</v>
      </c>
      <c r="G3484" s="781" t="s">
        <v>11543</v>
      </c>
      <c r="H3484" s="775">
        <v>8.0</v>
      </c>
      <c r="I3484" s="813" t="s">
        <v>10086</v>
      </c>
      <c r="J3484" s="143" t="s">
        <v>4873</v>
      </c>
      <c r="L3484" s="12" t="s">
        <v>699</v>
      </c>
      <c r="M3484" s="19"/>
      <c r="N3484" s="19"/>
      <c r="O3484" s="148">
        <v>46333.0</v>
      </c>
      <c r="P3484" s="587" t="s">
        <v>1432</v>
      </c>
    </row>
    <row r="3485" hidden="1">
      <c r="A3485" s="118">
        <v>5.0</v>
      </c>
      <c r="B3485" s="955" t="s">
        <v>12029</v>
      </c>
      <c r="C3485" s="781" t="s">
        <v>2403</v>
      </c>
      <c r="D3485" s="954" t="s">
        <v>12030</v>
      </c>
      <c r="E3485" s="857" t="s">
        <v>12031</v>
      </c>
      <c r="F3485" s="781" t="s">
        <v>148</v>
      </c>
      <c r="G3485" s="781" t="s">
        <v>12023</v>
      </c>
      <c r="H3485" s="775">
        <v>9.0</v>
      </c>
      <c r="I3485" s="813" t="s">
        <v>10093</v>
      </c>
      <c r="L3485" s="12" t="s">
        <v>699</v>
      </c>
      <c r="M3485" s="19"/>
      <c r="N3485" s="19"/>
      <c r="O3485" s="148">
        <v>46302.0</v>
      </c>
      <c r="P3485" s="587" t="s">
        <v>1432</v>
      </c>
    </row>
    <row r="3486" hidden="1">
      <c r="A3486" s="118">
        <v>6.0</v>
      </c>
      <c r="B3486" s="744" t="s">
        <v>12032</v>
      </c>
      <c r="C3486" s="781" t="s">
        <v>2307</v>
      </c>
      <c r="D3486" s="954" t="s">
        <v>12033</v>
      </c>
      <c r="E3486" s="781" t="s">
        <v>12034</v>
      </c>
      <c r="F3486" s="781" t="s">
        <v>148</v>
      </c>
      <c r="G3486" s="781" t="s">
        <v>12023</v>
      </c>
      <c r="H3486" s="775">
        <v>9.0</v>
      </c>
      <c r="I3486" s="813" t="s">
        <v>10076</v>
      </c>
      <c r="L3486" s="12" t="s">
        <v>699</v>
      </c>
      <c r="M3486" s="19"/>
      <c r="N3486" s="19"/>
      <c r="O3486" s="148">
        <v>46302.0</v>
      </c>
      <c r="P3486" s="587" t="s">
        <v>1432</v>
      </c>
    </row>
    <row r="3487" hidden="1">
      <c r="A3487" s="118">
        <v>7.0</v>
      </c>
      <c r="B3487" s="744" t="s">
        <v>12035</v>
      </c>
      <c r="C3487" s="781" t="s">
        <v>2307</v>
      </c>
      <c r="D3487" s="954" t="s">
        <v>12036</v>
      </c>
      <c r="E3487" s="781" t="s">
        <v>12037</v>
      </c>
      <c r="F3487" s="781" t="s">
        <v>535</v>
      </c>
      <c r="G3487" s="781" t="s">
        <v>12023</v>
      </c>
      <c r="H3487" s="775">
        <v>9.0</v>
      </c>
      <c r="I3487" s="857" t="s">
        <v>2890</v>
      </c>
      <c r="J3487" s="143" t="s">
        <v>4873</v>
      </c>
      <c r="L3487" s="12" t="s">
        <v>699</v>
      </c>
      <c r="M3487" s="19"/>
      <c r="N3487" s="19"/>
      <c r="O3487" s="148">
        <v>46210.0</v>
      </c>
      <c r="P3487" s="587" t="s">
        <v>1432</v>
      </c>
    </row>
    <row r="3488" hidden="1">
      <c r="A3488" s="118">
        <v>8.0</v>
      </c>
      <c r="B3488" s="744" t="s">
        <v>12038</v>
      </c>
      <c r="C3488" s="781" t="s">
        <v>2403</v>
      </c>
      <c r="D3488" s="954" t="s">
        <v>12039</v>
      </c>
      <c r="E3488" s="781" t="s">
        <v>12040</v>
      </c>
      <c r="F3488" s="781" t="s">
        <v>9890</v>
      </c>
      <c r="G3488" s="781" t="s">
        <v>11316</v>
      </c>
      <c r="H3488" s="781">
        <v>10.0</v>
      </c>
      <c r="I3488" s="813" t="s">
        <v>10086</v>
      </c>
      <c r="J3488" s="143" t="s">
        <v>4873</v>
      </c>
      <c r="L3488" s="12" t="s">
        <v>699</v>
      </c>
      <c r="M3488" s="19"/>
      <c r="N3488" s="19"/>
      <c r="O3488" s="148">
        <v>46302.0</v>
      </c>
      <c r="P3488" s="587" t="s">
        <v>1432</v>
      </c>
    </row>
    <row r="3489" hidden="1">
      <c r="A3489" s="118">
        <v>9.0</v>
      </c>
      <c r="B3489" s="744" t="s">
        <v>12041</v>
      </c>
      <c r="C3489" s="781" t="s">
        <v>2307</v>
      </c>
      <c r="D3489" s="954" t="s">
        <v>12042</v>
      </c>
      <c r="E3489" s="781" t="s">
        <v>12043</v>
      </c>
      <c r="F3489" s="781" t="s">
        <v>9890</v>
      </c>
      <c r="G3489" s="781" t="s">
        <v>11316</v>
      </c>
      <c r="H3489" s="781">
        <v>10.0</v>
      </c>
      <c r="I3489" s="857" t="s">
        <v>2890</v>
      </c>
      <c r="J3489" s="143" t="s">
        <v>4873</v>
      </c>
      <c r="L3489" s="12" t="s">
        <v>699</v>
      </c>
      <c r="M3489" s="19"/>
      <c r="N3489" s="19"/>
      <c r="O3489" s="148">
        <v>46302.0</v>
      </c>
      <c r="P3489" s="587" t="s">
        <v>1432</v>
      </c>
    </row>
    <row r="3490" hidden="1">
      <c r="A3490" s="118">
        <v>10.0</v>
      </c>
      <c r="B3490" s="744" t="s">
        <v>12044</v>
      </c>
      <c r="C3490" s="781" t="s">
        <v>80</v>
      </c>
      <c r="D3490" s="954" t="s">
        <v>12045</v>
      </c>
      <c r="E3490" s="781" t="s">
        <v>12046</v>
      </c>
      <c r="F3490" s="781" t="s">
        <v>9068</v>
      </c>
      <c r="G3490" s="938">
        <v>46088.0</v>
      </c>
      <c r="H3490" s="781">
        <v>21.0</v>
      </c>
      <c r="I3490" s="813" t="s">
        <v>10086</v>
      </c>
      <c r="L3490" s="12" t="s">
        <v>4195</v>
      </c>
      <c r="M3490" s="19"/>
      <c r="N3490" s="19"/>
      <c r="O3490" s="148">
        <v>46088.0</v>
      </c>
      <c r="P3490" s="19"/>
    </row>
    <row r="3491" hidden="1">
      <c r="A3491" s="118">
        <v>11.0</v>
      </c>
      <c r="B3491" s="744" t="s">
        <v>12047</v>
      </c>
      <c r="C3491" s="781" t="s">
        <v>1185</v>
      </c>
      <c r="D3491" s="954" t="s">
        <v>12048</v>
      </c>
      <c r="E3491" s="781" t="s">
        <v>12049</v>
      </c>
      <c r="F3491" s="781" t="s">
        <v>25</v>
      </c>
      <c r="G3491" s="781" t="s">
        <v>11187</v>
      </c>
      <c r="H3491" s="781">
        <v>11.0</v>
      </c>
      <c r="I3491" s="857" t="s">
        <v>2890</v>
      </c>
      <c r="L3491" s="33" t="s">
        <v>374</v>
      </c>
      <c r="M3491" s="19"/>
      <c r="N3491" s="19"/>
      <c r="O3491" s="148">
        <v>46575.0</v>
      </c>
      <c r="P3491" s="587" t="s">
        <v>1432</v>
      </c>
    </row>
    <row r="3492" hidden="1">
      <c r="A3492" s="118">
        <v>12.0</v>
      </c>
      <c r="B3492" s="744" t="s">
        <v>12050</v>
      </c>
      <c r="C3492" s="781" t="s">
        <v>80</v>
      </c>
      <c r="D3492" s="954" t="s">
        <v>12051</v>
      </c>
      <c r="E3492" s="865" t="s">
        <v>12052</v>
      </c>
      <c r="F3492" s="781" t="s">
        <v>8668</v>
      </c>
      <c r="G3492" s="781" t="s">
        <v>11187</v>
      </c>
      <c r="H3492" s="781">
        <v>11.0</v>
      </c>
      <c r="I3492" s="857" t="s">
        <v>2890</v>
      </c>
      <c r="L3492" s="12" t="s">
        <v>3099</v>
      </c>
      <c r="M3492" s="19"/>
      <c r="N3492" s="19"/>
      <c r="O3492" s="148">
        <v>46060.0</v>
      </c>
      <c r="P3492" s="19"/>
    </row>
    <row r="3493" hidden="1">
      <c r="A3493" s="118">
        <v>13.0</v>
      </c>
      <c r="B3493" s="744" t="s">
        <v>12053</v>
      </c>
      <c r="C3493" s="781" t="s">
        <v>80</v>
      </c>
      <c r="D3493" s="954" t="s">
        <v>12054</v>
      </c>
      <c r="E3493" s="781" t="s">
        <v>12055</v>
      </c>
      <c r="F3493" s="781" t="s">
        <v>12056</v>
      </c>
      <c r="G3493" s="781" t="s">
        <v>11437</v>
      </c>
      <c r="H3493" s="781">
        <v>14.0</v>
      </c>
      <c r="I3493" s="813" t="s">
        <v>10093</v>
      </c>
      <c r="L3493" s="33" t="s">
        <v>51</v>
      </c>
      <c r="M3493" s="19"/>
      <c r="N3493" s="19"/>
      <c r="O3493" s="148">
        <v>46241.0</v>
      </c>
      <c r="P3493" s="19"/>
    </row>
    <row r="3494" hidden="1">
      <c r="A3494" s="118">
        <v>14.0</v>
      </c>
      <c r="B3494" s="744" t="s">
        <v>12057</v>
      </c>
      <c r="C3494" s="781" t="s">
        <v>1185</v>
      </c>
      <c r="D3494" s="954" t="s">
        <v>12058</v>
      </c>
      <c r="E3494" s="781" t="s">
        <v>12059</v>
      </c>
      <c r="F3494" s="781" t="s">
        <v>556</v>
      </c>
      <c r="G3494" s="781" t="s">
        <v>11628</v>
      </c>
      <c r="H3494" s="781">
        <v>17.0</v>
      </c>
      <c r="I3494" s="857" t="s">
        <v>2890</v>
      </c>
      <c r="L3494" s="33" t="s">
        <v>4195</v>
      </c>
      <c r="M3494" s="19"/>
      <c r="N3494" s="19"/>
      <c r="O3494" s="34" t="s">
        <v>11635</v>
      </c>
      <c r="P3494" s="19"/>
    </row>
    <row r="3495" hidden="1">
      <c r="A3495" s="118">
        <v>15.0</v>
      </c>
      <c r="B3495" s="744" t="s">
        <v>12060</v>
      </c>
      <c r="C3495" s="781" t="s">
        <v>1185</v>
      </c>
      <c r="D3495" s="954" t="s">
        <v>12061</v>
      </c>
      <c r="E3495" s="781" t="s">
        <v>12062</v>
      </c>
      <c r="F3495" s="781" t="s">
        <v>556</v>
      </c>
      <c r="G3495" s="781" t="s">
        <v>11809</v>
      </c>
      <c r="H3495" s="781">
        <v>16.0</v>
      </c>
      <c r="I3495" s="813" t="s">
        <v>10076</v>
      </c>
      <c r="L3495" s="33" t="s">
        <v>374</v>
      </c>
      <c r="M3495" s="19"/>
      <c r="N3495" s="19"/>
      <c r="O3495" s="148">
        <v>46575.0</v>
      </c>
      <c r="P3495" s="587" t="s">
        <v>1432</v>
      </c>
    </row>
    <row r="3496" hidden="1">
      <c r="A3496" s="118">
        <v>16.0</v>
      </c>
      <c r="B3496" s="744" t="s">
        <v>12063</v>
      </c>
      <c r="C3496" s="781" t="s">
        <v>1185</v>
      </c>
      <c r="D3496" s="954" t="s">
        <v>12064</v>
      </c>
      <c r="E3496" s="781" t="s">
        <v>739</v>
      </c>
      <c r="F3496" s="781" t="s">
        <v>556</v>
      </c>
      <c r="G3496" s="781" t="s">
        <v>11628</v>
      </c>
      <c r="H3496" s="781">
        <v>17.0</v>
      </c>
      <c r="I3496" s="813" t="s">
        <v>10076</v>
      </c>
      <c r="L3496" s="33" t="s">
        <v>51</v>
      </c>
      <c r="M3496" s="19"/>
      <c r="N3496" s="19"/>
      <c r="O3496" s="34" t="s">
        <v>12065</v>
      </c>
      <c r="P3496" s="19"/>
    </row>
    <row r="3497" hidden="1">
      <c r="A3497" s="118">
        <v>17.0</v>
      </c>
      <c r="B3497" s="744" t="s">
        <v>12066</v>
      </c>
      <c r="C3497" s="781" t="s">
        <v>80</v>
      </c>
      <c r="D3497" s="954" t="s">
        <v>12067</v>
      </c>
      <c r="E3497" s="956" t="s">
        <v>12068</v>
      </c>
      <c r="F3497" s="781" t="s">
        <v>1519</v>
      </c>
      <c r="G3497" s="781" t="s">
        <v>11628</v>
      </c>
      <c r="H3497" s="781">
        <v>17.0</v>
      </c>
      <c r="I3497" s="813" t="s">
        <v>12069</v>
      </c>
      <c r="J3497" s="143" t="s">
        <v>1696</v>
      </c>
      <c r="K3497" s="571">
        <v>46060.0</v>
      </c>
      <c r="L3497" s="33" t="s">
        <v>51</v>
      </c>
      <c r="M3497" s="19"/>
      <c r="N3497" s="19"/>
      <c r="O3497" s="148">
        <v>46241.0</v>
      </c>
      <c r="P3497" s="587" t="s">
        <v>1432</v>
      </c>
    </row>
    <row r="3498" hidden="1">
      <c r="A3498" s="118">
        <v>18.0</v>
      </c>
      <c r="B3498" s="744" t="s">
        <v>12070</v>
      </c>
      <c r="C3498" s="781" t="s">
        <v>80</v>
      </c>
      <c r="D3498" s="954" t="s">
        <v>12071</v>
      </c>
      <c r="E3498" s="956" t="s">
        <v>12072</v>
      </c>
      <c r="F3498" s="781" t="s">
        <v>1519</v>
      </c>
      <c r="G3498" s="781" t="s">
        <v>11628</v>
      </c>
      <c r="H3498" s="781">
        <v>17.0</v>
      </c>
      <c r="I3498" s="813" t="s">
        <v>10157</v>
      </c>
      <c r="J3498" s="143" t="s">
        <v>1696</v>
      </c>
      <c r="K3498" s="571">
        <v>46060.0</v>
      </c>
      <c r="L3498" s="33" t="s">
        <v>51</v>
      </c>
      <c r="M3498" s="19"/>
      <c r="N3498" s="19"/>
      <c r="O3498" s="148">
        <v>46241.0</v>
      </c>
      <c r="P3498" s="587" t="s">
        <v>1432</v>
      </c>
    </row>
    <row r="3499" hidden="1">
      <c r="A3499" s="118">
        <v>19.0</v>
      </c>
      <c r="B3499" s="744" t="s">
        <v>12073</v>
      </c>
      <c r="C3499" s="781" t="s">
        <v>1185</v>
      </c>
      <c r="D3499" s="954" t="s">
        <v>12074</v>
      </c>
      <c r="E3499" s="781" t="s">
        <v>12075</v>
      </c>
      <c r="F3499" s="781" t="s">
        <v>556</v>
      </c>
      <c r="G3499" s="781" t="s">
        <v>11809</v>
      </c>
      <c r="H3499" s="781">
        <v>16.0</v>
      </c>
      <c r="I3499" s="813" t="s">
        <v>10210</v>
      </c>
      <c r="L3499" s="33" t="s">
        <v>4195</v>
      </c>
      <c r="M3499" s="19"/>
      <c r="N3499" s="19"/>
      <c r="O3499" s="34" t="s">
        <v>12076</v>
      </c>
      <c r="P3499" s="19"/>
    </row>
    <row r="3500" hidden="1">
      <c r="A3500" s="118">
        <v>20.0</v>
      </c>
      <c r="B3500" s="744" t="s">
        <v>12077</v>
      </c>
      <c r="C3500" s="781" t="s">
        <v>1185</v>
      </c>
      <c r="D3500" s="954" t="s">
        <v>12078</v>
      </c>
      <c r="E3500" s="781" t="s">
        <v>12079</v>
      </c>
      <c r="F3500" s="781" t="s">
        <v>556</v>
      </c>
      <c r="G3500" s="781" t="s">
        <v>11809</v>
      </c>
      <c r="H3500" s="781">
        <v>16.0</v>
      </c>
      <c r="I3500" s="813" t="s">
        <v>10086</v>
      </c>
      <c r="L3500" s="33" t="s">
        <v>374</v>
      </c>
      <c r="M3500" s="19"/>
      <c r="N3500" s="19"/>
      <c r="O3500" s="148">
        <v>46180.0</v>
      </c>
      <c r="P3500" s="587" t="s">
        <v>1432</v>
      </c>
    </row>
    <row r="3501" hidden="1">
      <c r="A3501" s="118">
        <v>21.0</v>
      </c>
      <c r="B3501" s="744" t="s">
        <v>12080</v>
      </c>
      <c r="C3501" s="781" t="s">
        <v>1185</v>
      </c>
      <c r="D3501" s="954" t="s">
        <v>12081</v>
      </c>
      <c r="E3501" s="781" t="s">
        <v>12082</v>
      </c>
      <c r="F3501" s="781" t="s">
        <v>556</v>
      </c>
      <c r="G3501" s="781" t="s">
        <v>11628</v>
      </c>
      <c r="H3501" s="781">
        <v>17.0</v>
      </c>
      <c r="I3501" s="813" t="s">
        <v>12083</v>
      </c>
      <c r="L3501" s="33" t="s">
        <v>51</v>
      </c>
      <c r="M3501" s="19"/>
      <c r="N3501" s="19"/>
      <c r="O3501" s="148">
        <v>46029.0</v>
      </c>
      <c r="P3501" s="19"/>
    </row>
    <row r="3502" hidden="1">
      <c r="A3502" s="118">
        <v>22.0</v>
      </c>
      <c r="B3502" s="744" t="s">
        <v>12084</v>
      </c>
      <c r="C3502" s="781" t="s">
        <v>651</v>
      </c>
      <c r="D3502" s="954" t="s">
        <v>12085</v>
      </c>
      <c r="E3502" s="781" t="s">
        <v>12086</v>
      </c>
      <c r="F3502" s="781" t="s">
        <v>8608</v>
      </c>
      <c r="G3502" s="781" t="s">
        <v>11614</v>
      </c>
      <c r="H3502" s="781">
        <v>18.0</v>
      </c>
      <c r="I3502" s="857" t="s">
        <v>2890</v>
      </c>
      <c r="L3502" s="33" t="s">
        <v>4195</v>
      </c>
      <c r="M3502" s="19"/>
      <c r="N3502" s="19"/>
      <c r="O3502" s="34" t="s">
        <v>12087</v>
      </c>
      <c r="P3502" s="19"/>
    </row>
    <row r="3503" hidden="1">
      <c r="A3503" s="118">
        <v>23.0</v>
      </c>
      <c r="B3503" s="744" t="s">
        <v>12088</v>
      </c>
      <c r="C3503" s="781" t="s">
        <v>80</v>
      </c>
      <c r="D3503" s="954" t="s">
        <v>12089</v>
      </c>
      <c r="E3503" s="781" t="s">
        <v>12090</v>
      </c>
      <c r="F3503" s="781" t="s">
        <v>9951</v>
      </c>
      <c r="G3503" s="781" t="s">
        <v>11809</v>
      </c>
      <c r="H3503" s="781">
        <v>16.0</v>
      </c>
      <c r="I3503" s="813" t="s">
        <v>12091</v>
      </c>
      <c r="L3503" s="12" t="s">
        <v>2541</v>
      </c>
      <c r="M3503" s="19"/>
      <c r="N3503" s="19"/>
      <c r="O3503" s="148">
        <v>46241.0</v>
      </c>
      <c r="P3503" s="19"/>
    </row>
    <row r="3504" hidden="1">
      <c r="A3504" s="118">
        <v>24.0</v>
      </c>
      <c r="B3504" s="744" t="s">
        <v>12092</v>
      </c>
      <c r="C3504" s="781" t="s">
        <v>80</v>
      </c>
      <c r="D3504" s="954" t="s">
        <v>12093</v>
      </c>
      <c r="E3504" s="896" t="s">
        <v>12094</v>
      </c>
      <c r="F3504" s="781" t="s">
        <v>12095</v>
      </c>
      <c r="G3504" s="781" t="s">
        <v>11614</v>
      </c>
      <c r="H3504" s="781">
        <v>18.0</v>
      </c>
      <c r="I3504" s="813" t="s">
        <v>10099</v>
      </c>
      <c r="L3504" s="33" t="s">
        <v>4195</v>
      </c>
      <c r="M3504" s="19"/>
      <c r="N3504" s="19"/>
      <c r="O3504" s="148">
        <v>46302.0</v>
      </c>
      <c r="P3504" s="19"/>
    </row>
    <row r="3505" hidden="1">
      <c r="A3505" s="118">
        <v>25.0</v>
      </c>
      <c r="B3505" s="863" t="s">
        <v>12096</v>
      </c>
      <c r="C3505" s="781" t="s">
        <v>80</v>
      </c>
      <c r="D3505" s="954" t="s">
        <v>12097</v>
      </c>
      <c r="E3505" s="956" t="s">
        <v>12098</v>
      </c>
      <c r="F3505" s="781" t="s">
        <v>12095</v>
      </c>
      <c r="G3505" s="781" t="s">
        <v>11614</v>
      </c>
      <c r="H3505" s="781">
        <v>18.0</v>
      </c>
      <c r="I3505" s="813" t="s">
        <v>10086</v>
      </c>
      <c r="L3505" s="33" t="s">
        <v>699</v>
      </c>
      <c r="M3505" s="19"/>
      <c r="N3505" s="19"/>
      <c r="O3505" s="148">
        <v>46302.0</v>
      </c>
      <c r="P3505" s="19"/>
    </row>
    <row r="3506" hidden="1">
      <c r="A3506" s="118">
        <v>26.0</v>
      </c>
      <c r="B3506" s="744" t="s">
        <v>12099</v>
      </c>
      <c r="C3506" s="781" t="s">
        <v>80</v>
      </c>
      <c r="D3506" s="954" t="s">
        <v>12100</v>
      </c>
      <c r="E3506" s="865" t="s">
        <v>12101</v>
      </c>
      <c r="F3506" s="781" t="s">
        <v>3583</v>
      </c>
      <c r="G3506" s="781" t="s">
        <v>11308</v>
      </c>
      <c r="H3506" s="781">
        <v>13.0</v>
      </c>
      <c r="I3506" s="813" t="s">
        <v>4002</v>
      </c>
      <c r="L3506" s="12" t="s">
        <v>778</v>
      </c>
      <c r="M3506" s="19"/>
      <c r="N3506" s="19"/>
      <c r="O3506" s="34" t="s">
        <v>11628</v>
      </c>
      <c r="P3506" s="19"/>
    </row>
    <row r="3507" hidden="1">
      <c r="A3507" s="118">
        <v>27.0</v>
      </c>
      <c r="B3507" s="744" t="s">
        <v>12102</v>
      </c>
      <c r="C3507" s="781" t="s">
        <v>8280</v>
      </c>
      <c r="D3507" s="954" t="s">
        <v>12103</v>
      </c>
      <c r="E3507" s="865" t="s">
        <v>12104</v>
      </c>
      <c r="F3507" s="781" t="s">
        <v>3583</v>
      </c>
      <c r="G3507" s="781" t="s">
        <v>11308</v>
      </c>
      <c r="H3507" s="781">
        <v>13.0</v>
      </c>
      <c r="I3507" s="813" t="s">
        <v>10076</v>
      </c>
      <c r="K3507" s="571"/>
      <c r="L3507" s="12" t="s">
        <v>11863</v>
      </c>
      <c r="M3507" s="19"/>
      <c r="N3507" s="19"/>
      <c r="O3507" s="34" t="s">
        <v>12076</v>
      </c>
      <c r="P3507" s="19"/>
    </row>
    <row r="3508" hidden="1">
      <c r="A3508" s="118">
        <v>28.0</v>
      </c>
      <c r="B3508" s="744" t="s">
        <v>12105</v>
      </c>
      <c r="C3508" s="781" t="s">
        <v>80</v>
      </c>
      <c r="D3508" s="954" t="s">
        <v>12106</v>
      </c>
      <c r="E3508" s="781" t="s">
        <v>12107</v>
      </c>
      <c r="F3508" s="781" t="s">
        <v>1487</v>
      </c>
      <c r="G3508" s="938">
        <v>46029.0</v>
      </c>
      <c r="H3508" s="781">
        <v>19.0</v>
      </c>
      <c r="I3508" s="857" t="s">
        <v>2890</v>
      </c>
      <c r="L3508" s="33" t="s">
        <v>374</v>
      </c>
      <c r="M3508" s="19"/>
      <c r="N3508" s="19"/>
      <c r="O3508" s="12" t="s">
        <v>12065</v>
      </c>
      <c r="P3508" s="19"/>
    </row>
    <row r="3509" hidden="1">
      <c r="A3509" s="118">
        <v>29.0</v>
      </c>
      <c r="B3509" s="744" t="s">
        <v>12108</v>
      </c>
      <c r="C3509" s="781" t="s">
        <v>80</v>
      </c>
      <c r="D3509" s="954" t="s">
        <v>12109</v>
      </c>
      <c r="E3509" s="781" t="s">
        <v>12110</v>
      </c>
      <c r="F3509" s="781" t="s">
        <v>12111</v>
      </c>
      <c r="G3509" s="938">
        <v>46029.0</v>
      </c>
      <c r="H3509" s="781">
        <v>19.0</v>
      </c>
      <c r="I3509" s="857" t="s">
        <v>2890</v>
      </c>
      <c r="L3509" s="12" t="s">
        <v>778</v>
      </c>
      <c r="M3509" s="19"/>
      <c r="N3509" s="19"/>
      <c r="O3509" s="34" t="s">
        <v>11628</v>
      </c>
      <c r="P3509" s="19"/>
    </row>
    <row r="3510" hidden="1">
      <c r="A3510" s="118">
        <v>30.0</v>
      </c>
      <c r="B3510" s="744" t="s">
        <v>12112</v>
      </c>
      <c r="C3510" s="781" t="s">
        <v>80</v>
      </c>
      <c r="D3510" s="954" t="s">
        <v>12113</v>
      </c>
      <c r="E3510" s="956" t="s">
        <v>12114</v>
      </c>
      <c r="F3510" s="781" t="s">
        <v>12115</v>
      </c>
      <c r="G3510" s="938">
        <v>46029.0</v>
      </c>
      <c r="H3510" s="781">
        <v>19.0</v>
      </c>
      <c r="I3510" s="813" t="s">
        <v>12116</v>
      </c>
      <c r="L3510" s="12" t="s">
        <v>51</v>
      </c>
      <c r="M3510" s="19"/>
      <c r="N3510" s="19"/>
      <c r="O3510" s="148">
        <v>46180.0</v>
      </c>
      <c r="P3510" s="587" t="s">
        <v>1432</v>
      </c>
    </row>
    <row r="3511" hidden="1">
      <c r="A3511" s="118">
        <v>31.0</v>
      </c>
      <c r="B3511" s="744" t="s">
        <v>12117</v>
      </c>
      <c r="C3511" s="781" t="s">
        <v>80</v>
      </c>
      <c r="D3511" s="954" t="s">
        <v>12118</v>
      </c>
      <c r="E3511" s="956" t="s">
        <v>12119</v>
      </c>
      <c r="F3511" s="781" t="s">
        <v>12115</v>
      </c>
      <c r="G3511" s="938">
        <v>46029.0</v>
      </c>
      <c r="H3511" s="781">
        <v>19.0</v>
      </c>
      <c r="I3511" s="813" t="s">
        <v>10120</v>
      </c>
      <c r="L3511" s="12" t="s">
        <v>51</v>
      </c>
      <c r="M3511" s="19"/>
      <c r="N3511" s="19"/>
      <c r="O3511" s="148">
        <v>46180.0</v>
      </c>
      <c r="P3511" s="19"/>
    </row>
    <row r="3512" hidden="1">
      <c r="A3512" s="118">
        <v>32.0</v>
      </c>
      <c r="B3512" s="744" t="s">
        <v>12120</v>
      </c>
      <c r="C3512" s="781" t="s">
        <v>80</v>
      </c>
      <c r="D3512" s="954" t="s">
        <v>12121</v>
      </c>
      <c r="E3512" s="956" t="s">
        <v>12122</v>
      </c>
      <c r="F3512" s="781" t="s">
        <v>12123</v>
      </c>
      <c r="G3512" s="938">
        <v>46060.0</v>
      </c>
      <c r="H3512" s="781">
        <v>20.0</v>
      </c>
      <c r="I3512" s="857" t="s">
        <v>2890</v>
      </c>
      <c r="L3512" s="33" t="s">
        <v>374</v>
      </c>
      <c r="M3512" s="19"/>
      <c r="N3512" s="19"/>
      <c r="O3512" s="12" t="s">
        <v>12065</v>
      </c>
      <c r="P3512" s="587" t="s">
        <v>1432</v>
      </c>
    </row>
    <row r="3513" hidden="1">
      <c r="A3513" s="118">
        <v>33.0</v>
      </c>
      <c r="B3513" s="744" t="s">
        <v>12124</v>
      </c>
      <c r="C3513" s="781" t="s">
        <v>80</v>
      </c>
      <c r="D3513" s="954" t="s">
        <v>12125</v>
      </c>
      <c r="E3513" s="956" t="s">
        <v>12126</v>
      </c>
      <c r="F3513" s="781" t="s">
        <v>12123</v>
      </c>
      <c r="G3513" s="938">
        <v>46060.0</v>
      </c>
      <c r="H3513" s="781">
        <v>20.0</v>
      </c>
      <c r="I3513" s="813" t="s">
        <v>12127</v>
      </c>
      <c r="L3513" s="33" t="s">
        <v>374</v>
      </c>
      <c r="M3513" s="19"/>
      <c r="N3513" s="19"/>
      <c r="O3513" s="12" t="s">
        <v>12065</v>
      </c>
      <c r="P3513" s="587" t="s">
        <v>1432</v>
      </c>
    </row>
    <row r="3514" hidden="1">
      <c r="A3514" s="118">
        <v>34.0</v>
      </c>
      <c r="B3514" s="744" t="s">
        <v>12128</v>
      </c>
      <c r="C3514" s="781" t="s">
        <v>80</v>
      </c>
      <c r="D3514" s="954" t="s">
        <v>12129</v>
      </c>
      <c r="E3514" s="865" t="s">
        <v>12130</v>
      </c>
      <c r="F3514" s="781" t="s">
        <v>3583</v>
      </c>
      <c r="G3514" s="781" t="s">
        <v>11437</v>
      </c>
      <c r="H3514" s="781">
        <v>14.0</v>
      </c>
      <c r="I3514" s="813" t="s">
        <v>10093</v>
      </c>
      <c r="K3514" s="571"/>
      <c r="L3514" s="12" t="s">
        <v>2541</v>
      </c>
      <c r="M3514" s="19"/>
      <c r="N3514" s="19"/>
      <c r="O3514" s="34" t="s">
        <v>12076</v>
      </c>
      <c r="P3514" s="19"/>
    </row>
    <row r="3515" hidden="1">
      <c r="A3515" s="118">
        <v>35.0</v>
      </c>
      <c r="B3515" s="744" t="s">
        <v>12131</v>
      </c>
      <c r="C3515" s="781" t="s">
        <v>80</v>
      </c>
      <c r="D3515" s="954" t="s">
        <v>12132</v>
      </c>
      <c r="E3515" s="865" t="s">
        <v>12133</v>
      </c>
      <c r="F3515" s="781" t="s">
        <v>3583</v>
      </c>
      <c r="G3515" s="781" t="s">
        <v>11437</v>
      </c>
      <c r="H3515" s="781">
        <v>14.0</v>
      </c>
      <c r="I3515" s="813" t="s">
        <v>10093</v>
      </c>
      <c r="K3515" s="571"/>
      <c r="L3515" s="12" t="s">
        <v>11863</v>
      </c>
      <c r="M3515" s="19"/>
      <c r="N3515" s="19"/>
      <c r="O3515" s="34" t="s">
        <v>12076</v>
      </c>
      <c r="P3515" s="19"/>
    </row>
    <row r="3516" hidden="1">
      <c r="A3516" s="118">
        <v>36.0</v>
      </c>
      <c r="B3516" s="744" t="s">
        <v>12134</v>
      </c>
      <c r="C3516" s="781" t="s">
        <v>80</v>
      </c>
      <c r="D3516" s="954" t="s">
        <v>12135</v>
      </c>
      <c r="E3516" s="865" t="s">
        <v>12136</v>
      </c>
      <c r="F3516" s="781" t="s">
        <v>3583</v>
      </c>
      <c r="G3516" s="781" t="s">
        <v>11437</v>
      </c>
      <c r="H3516" s="781">
        <v>14.0</v>
      </c>
      <c r="I3516" s="813" t="s">
        <v>10157</v>
      </c>
      <c r="K3516" s="571"/>
      <c r="L3516" s="12" t="s">
        <v>2541</v>
      </c>
      <c r="M3516" s="19"/>
      <c r="N3516" s="19"/>
      <c r="O3516" s="34" t="s">
        <v>11628</v>
      </c>
      <c r="P3516" s="19"/>
    </row>
    <row r="3517" hidden="1">
      <c r="A3517" s="118">
        <v>37.0</v>
      </c>
      <c r="B3517" s="744" t="s">
        <v>12137</v>
      </c>
      <c r="C3517" s="781" t="s">
        <v>80</v>
      </c>
      <c r="D3517" s="954" t="s">
        <v>12138</v>
      </c>
      <c r="E3517" s="865" t="s">
        <v>12139</v>
      </c>
      <c r="F3517" s="781" t="s">
        <v>3583</v>
      </c>
      <c r="G3517" s="781" t="s">
        <v>11437</v>
      </c>
      <c r="H3517" s="781">
        <v>14.0</v>
      </c>
      <c r="I3517" s="813" t="s">
        <v>10093</v>
      </c>
      <c r="K3517" s="571"/>
      <c r="L3517" s="12" t="s">
        <v>11863</v>
      </c>
      <c r="M3517" s="19"/>
      <c r="N3517" s="19"/>
      <c r="O3517" s="34" t="s">
        <v>12076</v>
      </c>
      <c r="P3517" s="19"/>
    </row>
    <row r="3518" hidden="1">
      <c r="A3518" s="118">
        <v>38.0</v>
      </c>
      <c r="B3518" s="744" t="s">
        <v>12140</v>
      </c>
      <c r="C3518" s="781" t="s">
        <v>80</v>
      </c>
      <c r="D3518" s="954" t="s">
        <v>12141</v>
      </c>
      <c r="E3518" s="865" t="s">
        <v>12142</v>
      </c>
      <c r="F3518" s="781" t="s">
        <v>3583</v>
      </c>
      <c r="G3518" s="781" t="s">
        <v>11437</v>
      </c>
      <c r="H3518" s="781">
        <v>14.0</v>
      </c>
      <c r="I3518" s="857" t="s">
        <v>2890</v>
      </c>
      <c r="K3518" s="571"/>
      <c r="L3518" s="12" t="s">
        <v>2541</v>
      </c>
      <c r="M3518" s="19"/>
      <c r="N3518" s="19"/>
      <c r="O3518" s="34" t="s">
        <v>12076</v>
      </c>
      <c r="P3518" s="19"/>
    </row>
    <row r="3519" hidden="1">
      <c r="A3519" s="118">
        <v>39.0</v>
      </c>
      <c r="B3519" s="744" t="s">
        <v>12143</v>
      </c>
      <c r="C3519" s="781" t="s">
        <v>80</v>
      </c>
      <c r="D3519" s="954" t="s">
        <v>12144</v>
      </c>
      <c r="E3519" s="781" t="s">
        <v>12145</v>
      </c>
      <c r="F3519" s="781" t="s">
        <v>1312</v>
      </c>
      <c r="G3519" s="938">
        <v>46060.0</v>
      </c>
      <c r="H3519" s="781">
        <v>20.0</v>
      </c>
      <c r="I3519" s="817" t="s">
        <v>3465</v>
      </c>
      <c r="J3519" s="143" t="s">
        <v>1696</v>
      </c>
      <c r="L3519" s="33" t="s">
        <v>51</v>
      </c>
      <c r="M3519" s="19"/>
      <c r="N3519" s="19"/>
      <c r="O3519" s="148">
        <v>46210.0</v>
      </c>
      <c r="P3519" s="587" t="s">
        <v>1432</v>
      </c>
    </row>
    <row r="3520" hidden="1">
      <c r="A3520" s="118">
        <v>40.0</v>
      </c>
      <c r="B3520" s="744" t="s">
        <v>12146</v>
      </c>
      <c r="C3520" s="781" t="s">
        <v>80</v>
      </c>
      <c r="D3520" s="954" t="s">
        <v>12147</v>
      </c>
      <c r="E3520" s="956" t="s">
        <v>12148</v>
      </c>
      <c r="F3520" s="781" t="s">
        <v>148</v>
      </c>
      <c r="G3520" s="938">
        <v>46060.0</v>
      </c>
      <c r="H3520" s="781">
        <v>20.0</v>
      </c>
      <c r="I3520" s="813" t="s">
        <v>10086</v>
      </c>
      <c r="L3520" s="12" t="s">
        <v>2541</v>
      </c>
      <c r="M3520" s="19"/>
      <c r="N3520" s="19"/>
      <c r="O3520" s="34" t="s">
        <v>12149</v>
      </c>
      <c r="P3520" s="102" t="s">
        <v>1432</v>
      </c>
    </row>
    <row r="3521" hidden="1">
      <c r="A3521" s="118">
        <v>41.0</v>
      </c>
      <c r="B3521" s="744" t="s">
        <v>12150</v>
      </c>
      <c r="C3521" s="781" t="s">
        <v>80</v>
      </c>
      <c r="D3521" s="954" t="s">
        <v>12151</v>
      </c>
      <c r="E3521" s="896" t="s">
        <v>12152</v>
      </c>
      <c r="F3521" s="781" t="s">
        <v>148</v>
      </c>
      <c r="G3521" s="938">
        <v>46060.0</v>
      </c>
      <c r="H3521" s="781">
        <v>20.0</v>
      </c>
      <c r="I3521" s="813" t="s">
        <v>10120</v>
      </c>
      <c r="L3521" s="12" t="s">
        <v>11863</v>
      </c>
      <c r="M3521" s="19"/>
      <c r="N3521" s="19"/>
      <c r="O3521" s="34" t="s">
        <v>12149</v>
      </c>
      <c r="P3521" s="102" t="s">
        <v>1432</v>
      </c>
    </row>
    <row r="3522" hidden="1">
      <c r="A3522" s="118">
        <v>42.0</v>
      </c>
      <c r="B3522" s="744" t="s">
        <v>12153</v>
      </c>
      <c r="C3522" s="781" t="s">
        <v>80</v>
      </c>
      <c r="D3522" s="954" t="s">
        <v>12154</v>
      </c>
      <c r="E3522" s="781" t="s">
        <v>12155</v>
      </c>
      <c r="F3522" s="781" t="s">
        <v>12156</v>
      </c>
      <c r="G3522" s="938">
        <v>46060.0</v>
      </c>
      <c r="H3522" s="781">
        <v>20.0</v>
      </c>
      <c r="I3522" s="857" t="s">
        <v>2890</v>
      </c>
      <c r="L3522" s="12" t="s">
        <v>11863</v>
      </c>
      <c r="M3522" s="19"/>
      <c r="N3522" s="19"/>
      <c r="O3522" s="34" t="s">
        <v>12157</v>
      </c>
      <c r="P3522" s="19"/>
    </row>
    <row r="3523" hidden="1">
      <c r="A3523" s="118">
        <v>43.0</v>
      </c>
      <c r="B3523" s="744" t="s">
        <v>12158</v>
      </c>
      <c r="C3523" s="781" t="s">
        <v>80</v>
      </c>
      <c r="D3523" s="954" t="s">
        <v>12159</v>
      </c>
      <c r="E3523" s="781" t="s">
        <v>12160</v>
      </c>
      <c r="F3523" s="781" t="s">
        <v>556</v>
      </c>
      <c r="G3523" s="938">
        <v>46029.0</v>
      </c>
      <c r="H3523" s="781">
        <v>19.0</v>
      </c>
      <c r="I3523" s="813" t="s">
        <v>10086</v>
      </c>
      <c r="L3523" s="33" t="s">
        <v>4195</v>
      </c>
      <c r="M3523" s="19"/>
      <c r="N3523" s="34" t="s">
        <v>12161</v>
      </c>
      <c r="O3523" s="34" t="s">
        <v>12162</v>
      </c>
      <c r="P3523" s="19"/>
    </row>
    <row r="3524" hidden="1">
      <c r="A3524" s="118">
        <v>44.0</v>
      </c>
      <c r="B3524" s="744" t="s">
        <v>12163</v>
      </c>
      <c r="C3524" s="781" t="s">
        <v>80</v>
      </c>
      <c r="D3524" s="954" t="s">
        <v>12164</v>
      </c>
      <c r="E3524" s="781" t="s">
        <v>12165</v>
      </c>
      <c r="F3524" s="781" t="s">
        <v>9083</v>
      </c>
      <c r="G3524" s="938">
        <v>46088.0</v>
      </c>
      <c r="H3524" s="781">
        <v>21.0</v>
      </c>
      <c r="I3524" s="857" t="s">
        <v>2890</v>
      </c>
      <c r="L3524" s="33" t="s">
        <v>374</v>
      </c>
      <c r="M3524" s="19"/>
      <c r="N3524" s="19"/>
      <c r="O3524" s="12" t="s">
        <v>12166</v>
      </c>
      <c r="P3524" s="587" t="s">
        <v>1432</v>
      </c>
    </row>
    <row r="3525" hidden="1">
      <c r="A3525" s="118">
        <v>45.0</v>
      </c>
      <c r="B3525" s="744" t="s">
        <v>12167</v>
      </c>
      <c r="C3525" s="781" t="s">
        <v>80</v>
      </c>
      <c r="D3525" s="954" t="s">
        <v>12168</v>
      </c>
      <c r="E3525" s="781" t="s">
        <v>12169</v>
      </c>
      <c r="F3525" s="781" t="s">
        <v>12170</v>
      </c>
      <c r="G3525" s="938">
        <v>46088.0</v>
      </c>
      <c r="H3525" s="781">
        <v>21.0</v>
      </c>
      <c r="I3525" s="857" t="s">
        <v>2890</v>
      </c>
      <c r="L3525" s="12" t="s">
        <v>2541</v>
      </c>
      <c r="M3525" s="19"/>
      <c r="N3525" s="19"/>
      <c r="O3525" s="34" t="s">
        <v>12157</v>
      </c>
      <c r="P3525" s="19"/>
    </row>
    <row r="3526" hidden="1">
      <c r="A3526" s="118">
        <v>46.0</v>
      </c>
      <c r="B3526" s="744" t="s">
        <v>12171</v>
      </c>
      <c r="C3526" s="781" t="s">
        <v>12172</v>
      </c>
      <c r="D3526" s="954" t="s">
        <v>12173</v>
      </c>
      <c r="E3526" s="781" t="s">
        <v>12174</v>
      </c>
      <c r="F3526" s="781" t="s">
        <v>25</v>
      </c>
      <c r="G3526" s="781" t="s">
        <v>11316</v>
      </c>
      <c r="H3526" s="784"/>
      <c r="I3526" s="857" t="s">
        <v>2890</v>
      </c>
      <c r="L3526" s="33" t="s">
        <v>51</v>
      </c>
      <c r="M3526" s="19"/>
      <c r="N3526" s="19"/>
      <c r="O3526" s="34" t="s">
        <v>11543</v>
      </c>
      <c r="P3526" s="19"/>
    </row>
    <row r="3527" hidden="1">
      <c r="A3527" s="118">
        <v>47.0</v>
      </c>
      <c r="B3527" s="744" t="s">
        <v>12175</v>
      </c>
      <c r="C3527" s="781" t="s">
        <v>12172</v>
      </c>
      <c r="D3527" s="954" t="s">
        <v>12176</v>
      </c>
      <c r="E3527" s="781" t="s">
        <v>12177</v>
      </c>
      <c r="F3527" s="781" t="s">
        <v>25</v>
      </c>
      <c r="G3527" s="781" t="s">
        <v>11316</v>
      </c>
      <c r="H3527" s="784"/>
      <c r="I3527" s="857" t="s">
        <v>2890</v>
      </c>
      <c r="L3527" s="33" t="s">
        <v>4195</v>
      </c>
      <c r="M3527" s="19"/>
      <c r="N3527" s="19"/>
      <c r="O3527" s="34" t="s">
        <v>11485</v>
      </c>
      <c r="P3527" s="19"/>
    </row>
    <row r="3528" hidden="1">
      <c r="A3528" s="118">
        <v>48.0</v>
      </c>
      <c r="B3528" s="744" t="s">
        <v>12178</v>
      </c>
      <c r="C3528" s="781" t="s">
        <v>12172</v>
      </c>
      <c r="D3528" s="954" t="s">
        <v>12179</v>
      </c>
      <c r="E3528" s="781" t="s">
        <v>12180</v>
      </c>
      <c r="F3528" s="781" t="s">
        <v>25</v>
      </c>
      <c r="G3528" s="781" t="s">
        <v>11316</v>
      </c>
      <c r="H3528" s="784"/>
      <c r="I3528" s="857" t="s">
        <v>2890</v>
      </c>
      <c r="L3528" s="33" t="s">
        <v>374</v>
      </c>
      <c r="M3528" s="19"/>
      <c r="N3528" s="19"/>
      <c r="O3528" s="12" t="s">
        <v>11543</v>
      </c>
      <c r="P3528" s="19"/>
    </row>
    <row r="3529">
      <c r="A3529" s="339" t="s">
        <v>12181</v>
      </c>
    </row>
    <row r="3530">
      <c r="A3530" s="670" t="s">
        <v>47</v>
      </c>
      <c r="B3530" s="670" t="s">
        <v>7</v>
      </c>
      <c r="C3530" s="670" t="s">
        <v>9</v>
      </c>
      <c r="D3530" s="670" t="s">
        <v>10</v>
      </c>
      <c r="E3530" s="670" t="s">
        <v>11</v>
      </c>
      <c r="F3530" s="670" t="s">
        <v>12</v>
      </c>
      <c r="G3530" s="670" t="s">
        <v>2378</v>
      </c>
      <c r="H3530" s="670" t="s">
        <v>2681</v>
      </c>
      <c r="I3530" s="4" t="s">
        <v>2847</v>
      </c>
      <c r="J3530" s="8" t="s">
        <v>14</v>
      </c>
      <c r="K3530" s="9" t="s">
        <v>16</v>
      </c>
      <c r="L3530" s="10" t="s">
        <v>11871</v>
      </c>
      <c r="M3530" s="9" t="s">
        <v>18</v>
      </c>
      <c r="N3530" s="9" t="s">
        <v>19</v>
      </c>
      <c r="O3530" s="9" t="s">
        <v>20</v>
      </c>
      <c r="P3530" s="9" t="s">
        <v>21</v>
      </c>
    </row>
    <row r="3531">
      <c r="A3531" s="118">
        <v>1.0</v>
      </c>
      <c r="B3531" s="957" t="s">
        <v>12182</v>
      </c>
      <c r="C3531" s="778" t="s">
        <v>80</v>
      </c>
      <c r="D3531" s="952" t="s">
        <v>12183</v>
      </c>
      <c r="E3531" s="958" t="s">
        <v>12184</v>
      </c>
      <c r="F3531" s="778" t="s">
        <v>8888</v>
      </c>
      <c r="G3531" s="778"/>
      <c r="H3531" s="778"/>
      <c r="I3531" s="853" t="s">
        <v>2890</v>
      </c>
      <c r="L3531" s="33" t="s">
        <v>4195</v>
      </c>
      <c r="M3531" s="19"/>
      <c r="N3531" s="19"/>
      <c r="O3531" s="19"/>
      <c r="P3531" s="102" t="s">
        <v>1432</v>
      </c>
    </row>
    <row r="3532">
      <c r="A3532" s="118">
        <v>2.0</v>
      </c>
      <c r="B3532" s="957" t="s">
        <v>12185</v>
      </c>
      <c r="C3532" s="778" t="s">
        <v>80</v>
      </c>
      <c r="D3532" s="953" t="s">
        <v>12186</v>
      </c>
      <c r="E3532" s="958" t="s">
        <v>12187</v>
      </c>
      <c r="F3532" s="778" t="s">
        <v>12170</v>
      </c>
      <c r="G3532" s="778" t="s">
        <v>11628</v>
      </c>
      <c r="H3532" s="778">
        <v>14.0</v>
      </c>
      <c r="I3532" s="809" t="s">
        <v>10093</v>
      </c>
      <c r="L3532" s="33" t="s">
        <v>374</v>
      </c>
      <c r="M3532" s="19"/>
      <c r="N3532" s="19"/>
      <c r="O3532" s="12" t="s">
        <v>11568</v>
      </c>
      <c r="P3532" s="19"/>
    </row>
    <row r="3533" hidden="1">
      <c r="A3533" s="118">
        <v>3.0</v>
      </c>
      <c r="B3533" s="957" t="s">
        <v>12188</v>
      </c>
      <c r="C3533" s="778" t="s">
        <v>8280</v>
      </c>
      <c r="D3533" s="953" t="s">
        <v>12189</v>
      </c>
      <c r="E3533" s="958" t="s">
        <v>12190</v>
      </c>
      <c r="F3533" s="778" t="s">
        <v>2120</v>
      </c>
      <c r="G3533" s="778" t="s">
        <v>11614</v>
      </c>
      <c r="H3533" s="778">
        <v>15.0</v>
      </c>
      <c r="I3533" s="853" t="s">
        <v>2890</v>
      </c>
      <c r="L3533" s="12" t="s">
        <v>51</v>
      </c>
      <c r="M3533" s="19"/>
      <c r="N3533" s="12"/>
      <c r="O3533" s="148">
        <v>46060.0</v>
      </c>
      <c r="P3533" s="19"/>
    </row>
    <row r="3534" ht="14.25" hidden="1" customHeight="1">
      <c r="A3534" s="118">
        <v>4.0</v>
      </c>
      <c r="B3534" s="959" t="s">
        <v>12191</v>
      </c>
      <c r="C3534" s="781" t="s">
        <v>80</v>
      </c>
      <c r="D3534" s="954" t="s">
        <v>12192</v>
      </c>
      <c r="E3534" s="960" t="s">
        <v>12193</v>
      </c>
      <c r="F3534" s="781" t="s">
        <v>11436</v>
      </c>
      <c r="G3534" s="938">
        <v>46088.0</v>
      </c>
      <c r="H3534" s="781">
        <v>18.0</v>
      </c>
      <c r="I3534" s="813" t="s">
        <v>10093</v>
      </c>
      <c r="L3534" s="33" t="s">
        <v>2541</v>
      </c>
      <c r="M3534" s="19"/>
      <c r="N3534" s="19"/>
      <c r="O3534" s="148">
        <v>46333.0</v>
      </c>
      <c r="P3534" s="19"/>
    </row>
    <row r="3535" hidden="1">
      <c r="A3535" s="118">
        <v>5.0</v>
      </c>
      <c r="B3535" s="961" t="s">
        <v>12194</v>
      </c>
      <c r="C3535" s="781" t="s">
        <v>80</v>
      </c>
      <c r="D3535" s="954" t="s">
        <v>12195</v>
      </c>
      <c r="E3535" s="960" t="s">
        <v>12196</v>
      </c>
      <c r="F3535" s="781" t="s">
        <v>12197</v>
      </c>
      <c r="G3535" s="938">
        <v>46029.0</v>
      </c>
      <c r="H3535" s="781">
        <v>16.0</v>
      </c>
      <c r="I3535" s="813" t="s">
        <v>5668</v>
      </c>
      <c r="L3535" s="33" t="s">
        <v>12198</v>
      </c>
      <c r="M3535" s="19"/>
      <c r="N3535" s="19"/>
      <c r="O3535" s="148">
        <v>46302.0</v>
      </c>
      <c r="P3535" s="19"/>
    </row>
    <row r="3536" hidden="1">
      <c r="A3536" s="118">
        <v>6.0</v>
      </c>
      <c r="B3536" s="961" t="s">
        <v>12199</v>
      </c>
      <c r="C3536" s="781" t="s">
        <v>5789</v>
      </c>
      <c r="D3536" s="954" t="s">
        <v>12200</v>
      </c>
      <c r="E3536" s="960" t="s">
        <v>12201</v>
      </c>
      <c r="F3536" s="781" t="s">
        <v>8888</v>
      </c>
      <c r="G3536" s="938">
        <v>46029.0</v>
      </c>
      <c r="H3536" s="781">
        <v>16.0</v>
      </c>
      <c r="I3536" s="813" t="s">
        <v>10093</v>
      </c>
      <c r="L3536" s="33" t="s">
        <v>12198</v>
      </c>
      <c r="M3536" s="19"/>
      <c r="N3536" s="19"/>
      <c r="O3536" s="148" t="s">
        <v>11519</v>
      </c>
      <c r="P3536" s="19"/>
    </row>
    <row r="3537" hidden="1">
      <c r="A3537" s="118">
        <v>7.0</v>
      </c>
      <c r="B3537" s="959" t="s">
        <v>12202</v>
      </c>
      <c r="C3537" s="781" t="s">
        <v>80</v>
      </c>
      <c r="D3537" s="954" t="s">
        <v>12203</v>
      </c>
      <c r="E3537" s="962" t="s">
        <v>12204</v>
      </c>
      <c r="F3537" s="781" t="s">
        <v>3928</v>
      </c>
      <c r="G3537" s="781" t="s">
        <v>11628</v>
      </c>
      <c r="H3537" s="781">
        <v>14.0</v>
      </c>
      <c r="I3537" s="857" t="s">
        <v>2890</v>
      </c>
      <c r="L3537" s="12" t="s">
        <v>3099</v>
      </c>
      <c r="M3537" s="19"/>
      <c r="N3537" s="19"/>
      <c r="O3537" s="34" t="s">
        <v>11519</v>
      </c>
      <c r="P3537" s="19"/>
    </row>
    <row r="3538" hidden="1">
      <c r="A3538" s="118">
        <v>8.0</v>
      </c>
      <c r="B3538" s="959" t="s">
        <v>12205</v>
      </c>
      <c r="C3538" s="781" t="s">
        <v>80</v>
      </c>
      <c r="D3538" s="954" t="s">
        <v>12206</v>
      </c>
      <c r="E3538" s="962" t="s">
        <v>12207</v>
      </c>
      <c r="F3538" s="781" t="s">
        <v>3928</v>
      </c>
      <c r="G3538" s="781" t="s">
        <v>11628</v>
      </c>
      <c r="H3538" s="781">
        <v>14.0</v>
      </c>
      <c r="I3538" s="817" t="s">
        <v>3465</v>
      </c>
      <c r="L3538" s="12" t="s">
        <v>3099</v>
      </c>
      <c r="M3538" s="19"/>
      <c r="N3538" s="19"/>
      <c r="O3538" s="34" t="s">
        <v>11519</v>
      </c>
      <c r="P3538" s="19"/>
    </row>
    <row r="3539" hidden="1">
      <c r="A3539" s="118">
        <v>9.0</v>
      </c>
      <c r="B3539" s="959" t="s">
        <v>12208</v>
      </c>
      <c r="C3539" s="781" t="s">
        <v>80</v>
      </c>
      <c r="D3539" s="954" t="s">
        <v>12209</v>
      </c>
      <c r="E3539" s="962" t="s">
        <v>12210</v>
      </c>
      <c r="F3539" s="781" t="s">
        <v>3928</v>
      </c>
      <c r="G3539" s="781" t="s">
        <v>11628</v>
      </c>
      <c r="H3539" s="781">
        <v>14.0</v>
      </c>
      <c r="I3539" s="857" t="s">
        <v>2890</v>
      </c>
      <c r="L3539" s="12" t="s">
        <v>3099</v>
      </c>
      <c r="M3539" s="19"/>
      <c r="N3539" s="19"/>
      <c r="O3539" s="34" t="s">
        <v>11519</v>
      </c>
      <c r="P3539" s="19"/>
    </row>
    <row r="3540" hidden="1">
      <c r="A3540" s="118">
        <v>10.0</v>
      </c>
      <c r="B3540" s="959" t="s">
        <v>12211</v>
      </c>
      <c r="C3540" s="781" t="s">
        <v>80</v>
      </c>
      <c r="D3540" s="954" t="s">
        <v>12212</v>
      </c>
      <c r="E3540" s="963" t="s">
        <v>12213</v>
      </c>
      <c r="F3540" s="964" t="s">
        <v>3512</v>
      </c>
      <c r="G3540" s="781" t="s">
        <v>11628</v>
      </c>
      <c r="H3540" s="781">
        <v>14.0</v>
      </c>
      <c r="I3540" s="857" t="s">
        <v>2890</v>
      </c>
      <c r="L3540" s="12" t="s">
        <v>9469</v>
      </c>
      <c r="M3540" s="19"/>
      <c r="N3540" s="19"/>
      <c r="O3540" s="34" t="s">
        <v>12076</v>
      </c>
      <c r="P3540" s="19"/>
    </row>
    <row r="3541" hidden="1">
      <c r="A3541" s="118">
        <v>11.0</v>
      </c>
      <c r="B3541" s="959" t="s">
        <v>12214</v>
      </c>
      <c r="C3541" s="781" t="s">
        <v>80</v>
      </c>
      <c r="D3541" s="954" t="s">
        <v>12215</v>
      </c>
      <c r="E3541" s="963" t="s">
        <v>12216</v>
      </c>
      <c r="F3541" s="964" t="s">
        <v>3512</v>
      </c>
      <c r="G3541" s="781" t="s">
        <v>11628</v>
      </c>
      <c r="H3541" s="781">
        <v>14.0</v>
      </c>
      <c r="I3541" s="813" t="s">
        <v>10093</v>
      </c>
      <c r="L3541" s="12" t="s">
        <v>9469</v>
      </c>
      <c r="M3541" s="19"/>
      <c r="N3541" s="19"/>
      <c r="O3541" s="34" t="s">
        <v>12076</v>
      </c>
      <c r="P3541" s="19"/>
    </row>
    <row r="3542" hidden="1">
      <c r="A3542" s="118">
        <v>12.0</v>
      </c>
      <c r="B3542" s="959" t="s">
        <v>12217</v>
      </c>
      <c r="C3542" s="781" t="s">
        <v>80</v>
      </c>
      <c r="D3542" s="954" t="s">
        <v>12218</v>
      </c>
      <c r="E3542" s="963" t="s">
        <v>12219</v>
      </c>
      <c r="F3542" s="964" t="s">
        <v>3512</v>
      </c>
      <c r="G3542" s="781" t="s">
        <v>11628</v>
      </c>
      <c r="H3542" s="781">
        <v>14.0</v>
      </c>
      <c r="I3542" s="857" t="s">
        <v>2890</v>
      </c>
      <c r="L3542" s="12" t="s">
        <v>9469</v>
      </c>
      <c r="M3542" s="19"/>
      <c r="N3542" s="19"/>
      <c r="O3542" s="34" t="s">
        <v>12076</v>
      </c>
      <c r="P3542" s="19"/>
    </row>
    <row r="3543" hidden="1">
      <c r="A3543" s="118">
        <v>13.0</v>
      </c>
      <c r="B3543" s="959" t="s">
        <v>12220</v>
      </c>
      <c r="C3543" s="781" t="s">
        <v>80</v>
      </c>
      <c r="D3543" s="954" t="s">
        <v>12221</v>
      </c>
      <c r="E3543" s="963" t="s">
        <v>12222</v>
      </c>
      <c r="F3543" s="964" t="s">
        <v>3512</v>
      </c>
      <c r="G3543" s="781" t="s">
        <v>11628</v>
      </c>
      <c r="H3543" s="781">
        <v>14.0</v>
      </c>
      <c r="I3543" s="857" t="s">
        <v>2890</v>
      </c>
      <c r="L3543" s="12" t="s">
        <v>9469</v>
      </c>
      <c r="M3543" s="19"/>
      <c r="N3543" s="19"/>
      <c r="O3543" s="34" t="s">
        <v>12076</v>
      </c>
      <c r="P3543" s="19"/>
    </row>
    <row r="3544" hidden="1">
      <c r="A3544" s="118">
        <v>14.0</v>
      </c>
      <c r="B3544" s="959" t="s">
        <v>12223</v>
      </c>
      <c r="C3544" s="781" t="s">
        <v>80</v>
      </c>
      <c r="D3544" s="954" t="s">
        <v>12224</v>
      </c>
      <c r="E3544" s="963" t="s">
        <v>12225</v>
      </c>
      <c r="F3544" s="964" t="s">
        <v>3512</v>
      </c>
      <c r="G3544" s="781" t="s">
        <v>11628</v>
      </c>
      <c r="H3544" s="781">
        <v>14.0</v>
      </c>
      <c r="I3544" s="857" t="s">
        <v>2890</v>
      </c>
      <c r="L3544" s="12" t="s">
        <v>9469</v>
      </c>
      <c r="M3544" s="19"/>
      <c r="N3544" s="19"/>
      <c r="O3544" s="34" t="s">
        <v>12076</v>
      </c>
      <c r="P3544" s="19"/>
    </row>
    <row r="3545" hidden="1">
      <c r="A3545" s="118">
        <v>15.0</v>
      </c>
      <c r="B3545" s="959" t="s">
        <v>12226</v>
      </c>
      <c r="C3545" s="781" t="s">
        <v>80</v>
      </c>
      <c r="D3545" s="954" t="s">
        <v>12227</v>
      </c>
      <c r="E3545" s="963" t="s">
        <v>12228</v>
      </c>
      <c r="F3545" s="964" t="s">
        <v>3512</v>
      </c>
      <c r="G3545" s="781" t="s">
        <v>11628</v>
      </c>
      <c r="H3545" s="781">
        <v>14.0</v>
      </c>
      <c r="I3545" s="857" t="s">
        <v>2890</v>
      </c>
      <c r="L3545" s="12" t="s">
        <v>9469</v>
      </c>
      <c r="M3545" s="19"/>
      <c r="N3545" s="19"/>
      <c r="O3545" s="34" t="s">
        <v>12076</v>
      </c>
      <c r="P3545" s="19"/>
    </row>
    <row r="3546" hidden="1">
      <c r="A3546" s="118">
        <v>16.0</v>
      </c>
      <c r="B3546" s="959" t="s">
        <v>12229</v>
      </c>
      <c r="C3546" s="781" t="s">
        <v>80</v>
      </c>
      <c r="D3546" s="954" t="s">
        <v>12230</v>
      </c>
      <c r="E3546" s="963" t="s">
        <v>12231</v>
      </c>
      <c r="F3546" s="964" t="s">
        <v>3512</v>
      </c>
      <c r="G3546" s="781" t="s">
        <v>11628</v>
      </c>
      <c r="H3546" s="781">
        <v>14.0</v>
      </c>
      <c r="I3546" s="857" t="s">
        <v>2890</v>
      </c>
      <c r="L3546" s="12" t="s">
        <v>9469</v>
      </c>
      <c r="M3546" s="19"/>
      <c r="N3546" s="19"/>
      <c r="O3546" s="34" t="s">
        <v>12076</v>
      </c>
      <c r="P3546" s="19"/>
    </row>
    <row r="3547" hidden="1">
      <c r="A3547" s="118">
        <v>17.0</v>
      </c>
      <c r="B3547" s="959" t="s">
        <v>12232</v>
      </c>
      <c r="C3547" s="781" t="s">
        <v>80</v>
      </c>
      <c r="D3547" s="954" t="s">
        <v>12233</v>
      </c>
      <c r="E3547" s="963" t="s">
        <v>12234</v>
      </c>
      <c r="F3547" s="964" t="s">
        <v>3512</v>
      </c>
      <c r="G3547" s="781" t="s">
        <v>11628</v>
      </c>
      <c r="H3547" s="781">
        <v>14.0</v>
      </c>
      <c r="I3547" s="857" t="s">
        <v>2890</v>
      </c>
      <c r="L3547" s="33" t="s">
        <v>699</v>
      </c>
      <c r="M3547" s="19"/>
      <c r="N3547" s="19"/>
      <c r="O3547" s="148">
        <v>46029.0</v>
      </c>
      <c r="P3547" s="19"/>
    </row>
    <row r="3548" hidden="1">
      <c r="A3548" s="118">
        <v>18.0</v>
      </c>
      <c r="B3548" s="965" t="s">
        <v>12235</v>
      </c>
      <c r="C3548" s="781" t="s">
        <v>80</v>
      </c>
      <c r="D3548" s="954" t="s">
        <v>12236</v>
      </c>
      <c r="E3548" s="963" t="s">
        <v>12237</v>
      </c>
      <c r="F3548" s="964" t="s">
        <v>3512</v>
      </c>
      <c r="G3548" s="781" t="s">
        <v>11628</v>
      </c>
      <c r="H3548" s="781">
        <v>14.0</v>
      </c>
      <c r="I3548" s="813" t="s">
        <v>11076</v>
      </c>
      <c r="L3548" s="33" t="s">
        <v>699</v>
      </c>
      <c r="M3548" s="19"/>
      <c r="N3548" s="19"/>
      <c r="O3548" s="148">
        <v>46029.0</v>
      </c>
      <c r="P3548" s="19"/>
    </row>
    <row r="3549" hidden="1">
      <c r="A3549" s="118">
        <v>19.0</v>
      </c>
      <c r="B3549" s="959" t="s">
        <v>12238</v>
      </c>
      <c r="C3549" s="781" t="s">
        <v>80</v>
      </c>
      <c r="D3549" s="954" t="s">
        <v>12239</v>
      </c>
      <c r="E3549" s="963" t="s">
        <v>12240</v>
      </c>
      <c r="F3549" s="964" t="s">
        <v>3512</v>
      </c>
      <c r="G3549" s="781" t="s">
        <v>11628</v>
      </c>
      <c r="H3549" s="781">
        <v>14.0</v>
      </c>
      <c r="I3549" s="813" t="s">
        <v>5895</v>
      </c>
      <c r="L3549" s="33" t="s">
        <v>699</v>
      </c>
      <c r="M3549" s="19"/>
      <c r="N3549" s="19"/>
      <c r="O3549" s="148">
        <v>46029.0</v>
      </c>
      <c r="P3549" s="19"/>
    </row>
    <row r="3550" hidden="1">
      <c r="A3550" s="118">
        <v>20.0</v>
      </c>
      <c r="B3550" s="959" t="s">
        <v>12241</v>
      </c>
      <c r="C3550" s="781" t="s">
        <v>80</v>
      </c>
      <c r="D3550" s="954" t="s">
        <v>12242</v>
      </c>
      <c r="E3550" s="963" t="s">
        <v>12243</v>
      </c>
      <c r="F3550" s="964" t="s">
        <v>3512</v>
      </c>
      <c r="G3550" s="781" t="s">
        <v>11628</v>
      </c>
      <c r="H3550" s="781">
        <v>14.0</v>
      </c>
      <c r="I3550" s="857" t="s">
        <v>2890</v>
      </c>
      <c r="L3550" s="33" t="s">
        <v>699</v>
      </c>
      <c r="M3550" s="19"/>
      <c r="N3550" s="19"/>
      <c r="O3550" s="148">
        <v>46029.0</v>
      </c>
      <c r="P3550" s="19"/>
    </row>
    <row r="3551" hidden="1">
      <c r="A3551" s="118">
        <v>21.0</v>
      </c>
      <c r="B3551" s="959" t="s">
        <v>12244</v>
      </c>
      <c r="C3551" s="781" t="s">
        <v>80</v>
      </c>
      <c r="D3551" s="954" t="s">
        <v>12245</v>
      </c>
      <c r="E3551" s="963" t="s">
        <v>12246</v>
      </c>
      <c r="F3551" s="964" t="s">
        <v>3512</v>
      </c>
      <c r="G3551" s="781" t="s">
        <v>11628</v>
      </c>
      <c r="H3551" s="781">
        <v>14.0</v>
      </c>
      <c r="I3551" s="857" t="s">
        <v>2890</v>
      </c>
      <c r="L3551" s="33" t="s">
        <v>699</v>
      </c>
      <c r="M3551" s="19"/>
      <c r="N3551" s="19"/>
      <c r="O3551" s="148">
        <v>46029.0</v>
      </c>
      <c r="P3551" s="19"/>
    </row>
    <row r="3552" hidden="1">
      <c r="A3552" s="118">
        <v>22.0</v>
      </c>
      <c r="B3552" s="959" t="s">
        <v>12247</v>
      </c>
      <c r="C3552" s="781" t="s">
        <v>80</v>
      </c>
      <c r="D3552" s="954" t="s">
        <v>12248</v>
      </c>
      <c r="E3552" s="963" t="s">
        <v>12249</v>
      </c>
      <c r="F3552" s="964" t="s">
        <v>3512</v>
      </c>
      <c r="G3552" s="781" t="s">
        <v>11628</v>
      </c>
      <c r="H3552" s="781">
        <v>14.0</v>
      </c>
      <c r="I3552" s="857" t="s">
        <v>2890</v>
      </c>
      <c r="L3552" s="33" t="s">
        <v>699</v>
      </c>
      <c r="M3552" s="19"/>
      <c r="N3552" s="19"/>
      <c r="O3552" s="148">
        <v>46029.0</v>
      </c>
      <c r="P3552" s="19"/>
    </row>
    <row r="3553" hidden="1">
      <c r="A3553" s="118">
        <v>23.0</v>
      </c>
      <c r="B3553" s="965" t="s">
        <v>12250</v>
      </c>
      <c r="C3553" s="781" t="s">
        <v>1185</v>
      </c>
      <c r="D3553" s="954" t="s">
        <v>12251</v>
      </c>
      <c r="E3553" s="960" t="s">
        <v>12252</v>
      </c>
      <c r="F3553" s="781" t="s">
        <v>556</v>
      </c>
      <c r="G3553" s="938">
        <v>46119.0</v>
      </c>
      <c r="H3553" s="781">
        <v>19.0</v>
      </c>
      <c r="I3553" s="857" t="s">
        <v>2890</v>
      </c>
      <c r="L3553" s="33" t="s">
        <v>51</v>
      </c>
      <c r="M3553" s="19"/>
      <c r="N3553" s="19"/>
      <c r="O3553" s="34" t="s">
        <v>1290</v>
      </c>
      <c r="P3553" s="19"/>
    </row>
    <row r="3554" hidden="1">
      <c r="A3554" s="118">
        <v>24.0</v>
      </c>
      <c r="B3554" s="959" t="s">
        <v>12253</v>
      </c>
      <c r="C3554" s="781" t="s">
        <v>1185</v>
      </c>
      <c r="D3554" s="954" t="s">
        <v>12254</v>
      </c>
      <c r="E3554" s="960" t="s">
        <v>12255</v>
      </c>
      <c r="F3554" s="781" t="s">
        <v>556</v>
      </c>
      <c r="G3554" s="938">
        <v>46119.0</v>
      </c>
      <c r="H3554" s="781">
        <v>19.0</v>
      </c>
      <c r="I3554" s="857" t="s">
        <v>2890</v>
      </c>
      <c r="L3554" s="33" t="s">
        <v>4195</v>
      </c>
      <c r="M3554" s="19"/>
      <c r="N3554" s="34" t="s">
        <v>12256</v>
      </c>
      <c r="O3554" s="34" t="s">
        <v>11794</v>
      </c>
      <c r="P3554" s="19"/>
    </row>
    <row r="3555" hidden="1">
      <c r="A3555" s="118">
        <v>25.0</v>
      </c>
      <c r="B3555" s="959" t="s">
        <v>12257</v>
      </c>
      <c r="C3555" s="781" t="s">
        <v>1185</v>
      </c>
      <c r="D3555" s="954" t="s">
        <v>12258</v>
      </c>
      <c r="E3555" s="960" t="s">
        <v>12259</v>
      </c>
      <c r="F3555" s="781" t="s">
        <v>556</v>
      </c>
      <c r="G3555" s="938">
        <v>46119.0</v>
      </c>
      <c r="H3555" s="781">
        <v>19.0</v>
      </c>
      <c r="I3555" s="813" t="s">
        <v>3231</v>
      </c>
      <c r="L3555" s="33" t="s">
        <v>374</v>
      </c>
      <c r="M3555" s="19"/>
      <c r="N3555" s="34" t="s">
        <v>12260</v>
      </c>
      <c r="O3555" s="148">
        <v>46119.0</v>
      </c>
      <c r="P3555" s="19"/>
    </row>
    <row r="3556" hidden="1">
      <c r="A3556" s="118">
        <v>26.0</v>
      </c>
      <c r="B3556" s="959" t="s">
        <v>12261</v>
      </c>
      <c r="C3556" s="781" t="s">
        <v>1185</v>
      </c>
      <c r="D3556" s="954" t="s">
        <v>12262</v>
      </c>
      <c r="E3556" s="960" t="s">
        <v>12263</v>
      </c>
      <c r="F3556" s="781" t="s">
        <v>556</v>
      </c>
      <c r="G3556" s="938">
        <v>46119.0</v>
      </c>
      <c r="H3556" s="781">
        <v>19.0</v>
      </c>
      <c r="I3556" s="813" t="s">
        <v>12264</v>
      </c>
      <c r="L3556" s="33" t="s">
        <v>51</v>
      </c>
      <c r="M3556" s="19"/>
      <c r="N3556" s="19"/>
      <c r="O3556" s="34" t="s">
        <v>1129</v>
      </c>
      <c r="P3556" s="19"/>
    </row>
    <row r="3557" hidden="1">
      <c r="A3557" s="118">
        <v>27.0</v>
      </c>
      <c r="B3557" s="959" t="s">
        <v>12265</v>
      </c>
      <c r="C3557" s="781" t="s">
        <v>1185</v>
      </c>
      <c r="D3557" s="954" t="s">
        <v>12266</v>
      </c>
      <c r="E3557" s="960" t="s">
        <v>12267</v>
      </c>
      <c r="F3557" s="781" t="s">
        <v>556</v>
      </c>
      <c r="G3557" s="938">
        <v>46119.0</v>
      </c>
      <c r="H3557" s="781">
        <v>19.0</v>
      </c>
      <c r="I3557" s="817" t="s">
        <v>7868</v>
      </c>
      <c r="L3557" s="33" t="s">
        <v>4195</v>
      </c>
      <c r="M3557" s="19"/>
      <c r="N3557" s="34" t="s">
        <v>12268</v>
      </c>
      <c r="O3557" s="34" t="s">
        <v>12269</v>
      </c>
      <c r="P3557" s="19"/>
    </row>
    <row r="3558" hidden="1">
      <c r="A3558" s="118">
        <v>28.0</v>
      </c>
      <c r="B3558" s="959" t="s">
        <v>12270</v>
      </c>
      <c r="C3558" s="781" t="s">
        <v>1185</v>
      </c>
      <c r="D3558" s="954" t="s">
        <v>12271</v>
      </c>
      <c r="E3558" s="960" t="s">
        <v>12272</v>
      </c>
      <c r="F3558" s="781" t="s">
        <v>556</v>
      </c>
      <c r="G3558" s="938">
        <v>46180.0</v>
      </c>
      <c r="H3558" s="781">
        <v>21.0</v>
      </c>
      <c r="I3558" s="813" t="s">
        <v>10093</v>
      </c>
      <c r="L3558" s="33" t="s">
        <v>374</v>
      </c>
      <c r="M3558" s="19"/>
      <c r="N3558" s="19"/>
      <c r="O3558" s="148">
        <v>46575.0</v>
      </c>
      <c r="P3558" s="19"/>
    </row>
    <row r="3559" hidden="1">
      <c r="A3559" s="118">
        <v>29.0</v>
      </c>
      <c r="B3559" s="959" t="s">
        <v>12273</v>
      </c>
      <c r="C3559" s="781" t="s">
        <v>1185</v>
      </c>
      <c r="D3559" s="954" t="s">
        <v>12274</v>
      </c>
      <c r="E3559" s="960" t="s">
        <v>12275</v>
      </c>
      <c r="F3559" s="781" t="s">
        <v>556</v>
      </c>
      <c r="G3559" s="938">
        <v>46180.0</v>
      </c>
      <c r="H3559" s="781">
        <v>21.0</v>
      </c>
      <c r="I3559" s="813" t="s">
        <v>3043</v>
      </c>
      <c r="L3559" s="33" t="s">
        <v>51</v>
      </c>
      <c r="M3559" s="19"/>
      <c r="N3559" s="19"/>
      <c r="O3559" s="34" t="s">
        <v>12276</v>
      </c>
      <c r="P3559" s="19"/>
    </row>
    <row r="3560" hidden="1">
      <c r="A3560" s="118">
        <v>30.0</v>
      </c>
      <c r="B3560" s="959" t="s">
        <v>12277</v>
      </c>
      <c r="C3560" s="781" t="s">
        <v>1185</v>
      </c>
      <c r="D3560" s="954" t="s">
        <v>12278</v>
      </c>
      <c r="E3560" s="960" t="s">
        <v>12279</v>
      </c>
      <c r="F3560" s="781" t="s">
        <v>556</v>
      </c>
      <c r="G3560" s="938">
        <v>46149.0</v>
      </c>
      <c r="H3560" s="781">
        <v>20.0</v>
      </c>
      <c r="I3560" s="857" t="s">
        <v>2890</v>
      </c>
      <c r="L3560" s="33" t="s">
        <v>4195</v>
      </c>
      <c r="M3560" s="19"/>
      <c r="N3560" s="19"/>
      <c r="O3560" s="34" t="s">
        <v>12269</v>
      </c>
      <c r="P3560" s="19"/>
    </row>
    <row r="3561" hidden="1">
      <c r="A3561" s="118">
        <v>31.0</v>
      </c>
      <c r="B3561" s="959" t="s">
        <v>12280</v>
      </c>
      <c r="C3561" s="781" t="s">
        <v>1185</v>
      </c>
      <c r="D3561" s="954" t="s">
        <v>12281</v>
      </c>
      <c r="E3561" s="960" t="s">
        <v>12282</v>
      </c>
      <c r="F3561" s="781" t="s">
        <v>556</v>
      </c>
      <c r="G3561" s="938">
        <v>46149.0</v>
      </c>
      <c r="H3561" s="781">
        <v>20.0</v>
      </c>
      <c r="I3561" s="857" t="s">
        <v>2890</v>
      </c>
      <c r="L3561" s="33" t="s">
        <v>374</v>
      </c>
      <c r="M3561" s="19"/>
      <c r="N3561" s="19"/>
      <c r="O3561" s="34" t="s">
        <v>12065</v>
      </c>
      <c r="P3561" s="19"/>
    </row>
    <row r="3562">
      <c r="A3562" s="929">
        <v>32.0</v>
      </c>
      <c r="B3562" s="929" t="s">
        <v>12283</v>
      </c>
      <c r="C3562" s="929" t="s">
        <v>2307</v>
      </c>
      <c r="D3562" s="929" t="s">
        <v>12284</v>
      </c>
      <c r="E3562" s="929" t="s">
        <v>12285</v>
      </c>
      <c r="F3562" s="929" t="s">
        <v>148</v>
      </c>
      <c r="G3562" s="929" t="s">
        <v>11568</v>
      </c>
      <c r="H3562" s="929">
        <v>9.0</v>
      </c>
      <c r="I3562" s="929" t="s">
        <v>2890</v>
      </c>
      <c r="J3562" s="929"/>
      <c r="K3562" s="929"/>
      <c r="L3562" s="930" t="s">
        <v>699</v>
      </c>
      <c r="M3562" s="929"/>
      <c r="N3562" s="929"/>
      <c r="O3562" s="929" t="s">
        <v>11823</v>
      </c>
      <c r="P3562" s="929"/>
      <c r="Q3562" s="929"/>
      <c r="R3562" s="929"/>
      <c r="S3562" s="929"/>
      <c r="T3562" s="929"/>
      <c r="U3562" s="929"/>
      <c r="V3562" s="929"/>
      <c r="W3562" s="929"/>
      <c r="X3562" s="929"/>
      <c r="Y3562" s="929"/>
      <c r="Z3562" s="929"/>
      <c r="AA3562" s="929"/>
      <c r="AB3562" s="929"/>
      <c r="AC3562" s="929"/>
      <c r="AD3562" s="929"/>
      <c r="AE3562" s="929"/>
      <c r="AF3562" s="929"/>
    </row>
    <row r="3563">
      <c r="A3563" s="118">
        <v>33.0</v>
      </c>
      <c r="B3563" s="959" t="s">
        <v>12286</v>
      </c>
      <c r="C3563" s="781" t="s">
        <v>2307</v>
      </c>
      <c r="D3563" s="954" t="s">
        <v>12287</v>
      </c>
      <c r="E3563" s="960" t="s">
        <v>12288</v>
      </c>
      <c r="F3563" s="781" t="s">
        <v>148</v>
      </c>
      <c r="G3563" s="781" t="s">
        <v>11568</v>
      </c>
      <c r="H3563" s="775">
        <v>9.0</v>
      </c>
      <c r="I3563" s="813" t="s">
        <v>10093</v>
      </c>
      <c r="L3563" s="12" t="s">
        <v>699</v>
      </c>
      <c r="M3563" s="19"/>
      <c r="N3563" s="19"/>
      <c r="O3563" s="34" t="s">
        <v>12289</v>
      </c>
      <c r="P3563" s="102" t="s">
        <v>1432</v>
      </c>
    </row>
    <row r="3564">
      <c r="A3564" s="929">
        <v>34.0</v>
      </c>
      <c r="B3564" s="929" t="s">
        <v>12290</v>
      </c>
      <c r="C3564" s="929" t="s">
        <v>2403</v>
      </c>
      <c r="D3564" s="929" t="s">
        <v>12291</v>
      </c>
      <c r="E3564" s="929" t="s">
        <v>12292</v>
      </c>
      <c r="F3564" s="929" t="s">
        <v>148</v>
      </c>
      <c r="G3564" s="929" t="s">
        <v>11568</v>
      </c>
      <c r="H3564" s="929">
        <v>9.0</v>
      </c>
      <c r="I3564" s="929" t="s">
        <v>2890</v>
      </c>
      <c r="J3564" s="929"/>
      <c r="K3564" s="929"/>
      <c r="L3564" s="930" t="s">
        <v>699</v>
      </c>
      <c r="M3564" s="929"/>
      <c r="N3564" s="929"/>
      <c r="O3564" s="929" t="s">
        <v>11823</v>
      </c>
      <c r="P3564" s="929" t="s">
        <v>1432</v>
      </c>
      <c r="Q3564" s="929"/>
      <c r="R3564" s="929"/>
      <c r="S3564" s="929"/>
      <c r="T3564" s="929"/>
      <c r="U3564" s="929"/>
      <c r="V3564" s="929"/>
      <c r="W3564" s="929"/>
      <c r="X3564" s="929"/>
      <c r="Y3564" s="929"/>
      <c r="Z3564" s="929"/>
      <c r="AA3564" s="929"/>
      <c r="AB3564" s="929"/>
      <c r="AC3564" s="929"/>
      <c r="AD3564" s="929"/>
      <c r="AE3564" s="929"/>
      <c r="AF3564" s="929"/>
    </row>
    <row r="3565" hidden="1">
      <c r="A3565" s="118">
        <v>35.0</v>
      </c>
      <c r="B3565" s="959" t="s">
        <v>12293</v>
      </c>
      <c r="C3565" s="781" t="s">
        <v>80</v>
      </c>
      <c r="D3565" s="954" t="s">
        <v>12294</v>
      </c>
      <c r="E3565" s="966" t="s">
        <v>12295</v>
      </c>
      <c r="F3565" s="781" t="s">
        <v>4771</v>
      </c>
      <c r="G3565" s="938">
        <v>46149.0</v>
      </c>
      <c r="H3565" s="781">
        <v>20.0</v>
      </c>
      <c r="I3565" s="813" t="s">
        <v>10093</v>
      </c>
      <c r="L3565" s="33" t="s">
        <v>51</v>
      </c>
      <c r="M3565" s="19"/>
      <c r="N3565" s="19"/>
      <c r="O3565" s="34" t="s">
        <v>12296</v>
      </c>
      <c r="P3565" s="19"/>
    </row>
    <row r="3566" hidden="1">
      <c r="A3566" s="118">
        <v>36.0</v>
      </c>
      <c r="B3566" s="959" t="s">
        <v>12297</v>
      </c>
      <c r="C3566" s="781" t="s">
        <v>80</v>
      </c>
      <c r="D3566" s="954" t="s">
        <v>12298</v>
      </c>
      <c r="E3566" s="966" t="s">
        <v>12299</v>
      </c>
      <c r="F3566" s="781" t="s">
        <v>4771</v>
      </c>
      <c r="G3566" s="938">
        <v>46149.0</v>
      </c>
      <c r="H3566" s="781">
        <v>20.0</v>
      </c>
      <c r="I3566" s="857" t="s">
        <v>2890</v>
      </c>
      <c r="L3566" s="33" t="s">
        <v>51</v>
      </c>
      <c r="M3566" s="19"/>
      <c r="N3566" s="19"/>
      <c r="O3566" s="34" t="s">
        <v>12296</v>
      </c>
      <c r="P3566" s="19"/>
    </row>
    <row r="3567">
      <c r="A3567" s="118">
        <v>37.0</v>
      </c>
      <c r="B3567" s="959" t="s">
        <v>12300</v>
      </c>
      <c r="C3567" s="781" t="s">
        <v>80</v>
      </c>
      <c r="D3567" s="954" t="s">
        <v>12301</v>
      </c>
      <c r="E3567" s="960" t="s">
        <v>12302</v>
      </c>
      <c r="F3567" s="781" t="s">
        <v>1959</v>
      </c>
      <c r="G3567" s="938">
        <v>46180.0</v>
      </c>
      <c r="H3567" s="781">
        <v>21.0</v>
      </c>
      <c r="I3567" s="857" t="s">
        <v>2890</v>
      </c>
      <c r="L3567" s="33" t="s">
        <v>51</v>
      </c>
      <c r="M3567" s="19"/>
      <c r="N3567" s="34" t="s">
        <v>9885</v>
      </c>
      <c r="O3567" s="19"/>
      <c r="P3567" s="19"/>
    </row>
    <row r="3568" hidden="1">
      <c r="A3568" s="118">
        <v>38.0</v>
      </c>
      <c r="B3568" s="959" t="s">
        <v>12303</v>
      </c>
      <c r="C3568" s="781" t="s">
        <v>8280</v>
      </c>
      <c r="D3568" s="954" t="s">
        <v>12304</v>
      </c>
      <c r="E3568" s="962" t="s">
        <v>12305</v>
      </c>
      <c r="F3568" s="781" t="s">
        <v>3583</v>
      </c>
      <c r="G3568" s="781" t="s">
        <v>11614</v>
      </c>
      <c r="H3568" s="781">
        <v>15.0</v>
      </c>
      <c r="I3568" s="813" t="s">
        <v>10093</v>
      </c>
      <c r="L3568" s="33" t="s">
        <v>2541</v>
      </c>
      <c r="M3568" s="19"/>
      <c r="N3568" s="19"/>
      <c r="O3568" s="148">
        <v>46180.0</v>
      </c>
      <c r="P3568" s="19"/>
    </row>
    <row r="3569" hidden="1">
      <c r="A3569" s="118">
        <v>39.0</v>
      </c>
      <c r="B3569" s="959" t="s">
        <v>12306</v>
      </c>
      <c r="C3569" s="781" t="s">
        <v>80</v>
      </c>
      <c r="D3569" s="954" t="s">
        <v>12307</v>
      </c>
      <c r="E3569" s="962" t="s">
        <v>12308</v>
      </c>
      <c r="F3569" s="781" t="s">
        <v>3583</v>
      </c>
      <c r="G3569" s="781" t="s">
        <v>11614</v>
      </c>
      <c r="H3569" s="781">
        <v>15.0</v>
      </c>
      <c r="I3569" s="813" t="s">
        <v>10093</v>
      </c>
      <c r="L3569" s="33" t="s">
        <v>12198</v>
      </c>
      <c r="M3569" s="19"/>
      <c r="N3569" s="19"/>
      <c r="O3569" s="148">
        <v>46180.0</v>
      </c>
      <c r="P3569" s="19"/>
    </row>
    <row r="3570" hidden="1">
      <c r="A3570" s="118">
        <v>40.0</v>
      </c>
      <c r="B3570" s="959" t="s">
        <v>12309</v>
      </c>
      <c r="C3570" s="781" t="s">
        <v>80</v>
      </c>
      <c r="D3570" s="954" t="s">
        <v>12310</v>
      </c>
      <c r="E3570" s="962" t="s">
        <v>12311</v>
      </c>
      <c r="F3570" s="781" t="s">
        <v>3583</v>
      </c>
      <c r="G3570" s="781" t="s">
        <v>11614</v>
      </c>
      <c r="H3570" s="781">
        <v>15.0</v>
      </c>
      <c r="I3570" s="857" t="s">
        <v>2890</v>
      </c>
      <c r="L3570" s="33" t="s">
        <v>2541</v>
      </c>
      <c r="M3570" s="19"/>
      <c r="N3570" s="19"/>
      <c r="O3570" s="148">
        <v>46180.0</v>
      </c>
      <c r="P3570" s="19"/>
    </row>
    <row r="3571">
      <c r="A3571" s="339" t="s">
        <v>12312</v>
      </c>
    </row>
    <row r="3572">
      <c r="A3572" s="670" t="s">
        <v>47</v>
      </c>
      <c r="B3572" s="670" t="s">
        <v>7</v>
      </c>
      <c r="C3572" s="670" t="s">
        <v>9</v>
      </c>
      <c r="D3572" s="670" t="s">
        <v>10</v>
      </c>
      <c r="E3572" s="670" t="s">
        <v>11</v>
      </c>
      <c r="F3572" s="670" t="s">
        <v>12</v>
      </c>
      <c r="G3572" s="670" t="s">
        <v>2378</v>
      </c>
      <c r="H3572" s="670" t="s">
        <v>2681</v>
      </c>
      <c r="I3572" s="4" t="s">
        <v>2847</v>
      </c>
      <c r="J3572" s="8" t="s">
        <v>14</v>
      </c>
      <c r="K3572" s="9" t="s">
        <v>16</v>
      </c>
      <c r="L3572" s="10" t="s">
        <v>11871</v>
      </c>
      <c r="M3572" s="9" t="s">
        <v>18</v>
      </c>
      <c r="N3572" s="9" t="s">
        <v>19</v>
      </c>
      <c r="O3572" s="9" t="s">
        <v>20</v>
      </c>
      <c r="P3572" s="9" t="s">
        <v>21</v>
      </c>
    </row>
    <row r="3573" hidden="1">
      <c r="A3573" s="645">
        <v>1.0</v>
      </c>
      <c r="B3573" s="967" t="s">
        <v>12313</v>
      </c>
      <c r="C3573" s="781" t="s">
        <v>80</v>
      </c>
      <c r="D3573" s="968" t="s">
        <v>12314</v>
      </c>
      <c r="E3573" s="969" t="s">
        <v>12315</v>
      </c>
      <c r="F3573" s="781" t="s">
        <v>1294</v>
      </c>
      <c r="G3573" s="938">
        <v>46180.0</v>
      </c>
      <c r="H3573" s="781">
        <v>21.0</v>
      </c>
      <c r="I3573" s="813" t="s">
        <v>10093</v>
      </c>
      <c r="L3573" s="33" t="s">
        <v>2541</v>
      </c>
      <c r="M3573" s="19"/>
      <c r="N3573" s="19"/>
      <c r="O3573" s="34" t="s">
        <v>12065</v>
      </c>
      <c r="P3573" s="102" t="s">
        <v>12316</v>
      </c>
    </row>
    <row r="3574" hidden="1">
      <c r="A3574" s="645">
        <v>2.0</v>
      </c>
      <c r="B3574" s="967" t="s">
        <v>12317</v>
      </c>
      <c r="C3574" s="781" t="s">
        <v>80</v>
      </c>
      <c r="D3574" s="970" t="s">
        <v>12318</v>
      </c>
      <c r="E3574" s="969" t="s">
        <v>12319</v>
      </c>
      <c r="F3574" s="781" t="s">
        <v>1294</v>
      </c>
      <c r="G3574" s="938">
        <v>46180.0</v>
      </c>
      <c r="H3574" s="781">
        <v>21.0</v>
      </c>
      <c r="I3574" s="857" t="s">
        <v>2890</v>
      </c>
      <c r="L3574" s="33" t="s">
        <v>11863</v>
      </c>
      <c r="M3574" s="19"/>
      <c r="N3574" s="19"/>
      <c r="O3574" s="34" t="s">
        <v>12065</v>
      </c>
      <c r="P3574" s="102" t="s">
        <v>12316</v>
      </c>
    </row>
    <row r="3575">
      <c r="A3575" s="645">
        <v>3.0</v>
      </c>
      <c r="B3575" s="967" t="s">
        <v>12320</v>
      </c>
      <c r="C3575" s="781" t="s">
        <v>651</v>
      </c>
      <c r="D3575" s="970" t="s">
        <v>12321</v>
      </c>
      <c r="E3575" s="969" t="s">
        <v>12322</v>
      </c>
      <c r="F3575" s="781" t="s">
        <v>12323</v>
      </c>
      <c r="G3575" s="938">
        <v>46180.0</v>
      </c>
      <c r="H3575" s="781">
        <v>21.0</v>
      </c>
      <c r="I3575" s="813" t="s">
        <v>10093</v>
      </c>
      <c r="L3575" s="12" t="s">
        <v>4195</v>
      </c>
      <c r="M3575" s="19"/>
      <c r="N3575" s="19"/>
      <c r="O3575" s="34" t="s">
        <v>12269</v>
      </c>
      <c r="P3575" s="19"/>
    </row>
    <row r="3576">
      <c r="A3576" s="645">
        <v>4.0</v>
      </c>
      <c r="B3576" s="967" t="s">
        <v>12324</v>
      </c>
      <c r="C3576" s="781" t="s">
        <v>80</v>
      </c>
      <c r="D3576" s="970" t="s">
        <v>12325</v>
      </c>
      <c r="E3576" s="971" t="s">
        <v>12326</v>
      </c>
      <c r="F3576" s="781" t="s">
        <v>3928</v>
      </c>
      <c r="G3576" s="938">
        <v>46029.0</v>
      </c>
      <c r="H3576" s="781">
        <v>16.0</v>
      </c>
      <c r="I3576" s="857" t="s">
        <v>2890</v>
      </c>
      <c r="L3576" s="12" t="s">
        <v>2541</v>
      </c>
      <c r="M3576" s="19"/>
      <c r="N3576" s="19"/>
      <c r="O3576" s="34" t="s">
        <v>12157</v>
      </c>
      <c r="P3576" s="19"/>
    </row>
    <row r="3577">
      <c r="A3577" s="645">
        <v>5.0</v>
      </c>
      <c r="B3577" s="967" t="s">
        <v>12327</v>
      </c>
      <c r="C3577" s="781" t="s">
        <v>80</v>
      </c>
      <c r="D3577" s="970" t="s">
        <v>12328</v>
      </c>
      <c r="E3577" s="971" t="s">
        <v>12329</v>
      </c>
      <c r="F3577" s="781" t="s">
        <v>3928</v>
      </c>
      <c r="G3577" s="938">
        <v>46029.0</v>
      </c>
      <c r="H3577" s="781">
        <v>16.0</v>
      </c>
      <c r="I3577" s="813" t="s">
        <v>10093</v>
      </c>
      <c r="L3577" s="12" t="s">
        <v>2541</v>
      </c>
      <c r="M3577" s="19"/>
      <c r="N3577" s="19"/>
      <c r="O3577" s="34" t="s">
        <v>12157</v>
      </c>
      <c r="P3577" s="19"/>
    </row>
    <row r="3578">
      <c r="A3578" s="645">
        <v>6.0</v>
      </c>
      <c r="B3578" s="967" t="s">
        <v>12330</v>
      </c>
      <c r="C3578" s="781" t="s">
        <v>80</v>
      </c>
      <c r="D3578" s="970" t="s">
        <v>12331</v>
      </c>
      <c r="E3578" s="971" t="s">
        <v>12332</v>
      </c>
      <c r="F3578" s="781" t="s">
        <v>3928</v>
      </c>
      <c r="G3578" s="938">
        <v>46029.0</v>
      </c>
      <c r="H3578" s="781">
        <v>16.0</v>
      </c>
      <c r="I3578" s="857" t="s">
        <v>2890</v>
      </c>
      <c r="L3578" s="12" t="s">
        <v>2541</v>
      </c>
      <c r="M3578" s="19"/>
      <c r="N3578" s="19"/>
      <c r="O3578" s="34" t="s">
        <v>12157</v>
      </c>
      <c r="P3578" s="19"/>
    </row>
    <row r="3579">
      <c r="A3579" s="645">
        <v>7.0</v>
      </c>
      <c r="B3579" s="967" t="s">
        <v>12333</v>
      </c>
      <c r="C3579" s="781" t="s">
        <v>80</v>
      </c>
      <c r="D3579" s="970" t="s">
        <v>12334</v>
      </c>
      <c r="E3579" s="971" t="s">
        <v>12335</v>
      </c>
      <c r="F3579" s="781" t="s">
        <v>3928</v>
      </c>
      <c r="G3579" s="938">
        <v>46029.0</v>
      </c>
      <c r="H3579" s="781">
        <v>16.0</v>
      </c>
      <c r="I3579" s="857" t="s">
        <v>2890</v>
      </c>
      <c r="L3579" s="12" t="s">
        <v>2541</v>
      </c>
      <c r="M3579" s="19"/>
      <c r="N3579" s="19"/>
      <c r="O3579" s="34" t="s">
        <v>12157</v>
      </c>
      <c r="P3579" s="19"/>
    </row>
    <row r="3580">
      <c r="A3580" s="645">
        <v>8.0</v>
      </c>
      <c r="B3580" s="967" t="s">
        <v>12336</v>
      </c>
      <c r="C3580" s="781" t="s">
        <v>80</v>
      </c>
      <c r="D3580" s="970" t="s">
        <v>12334</v>
      </c>
      <c r="E3580" s="971" t="s">
        <v>12337</v>
      </c>
      <c r="F3580" s="781" t="s">
        <v>3928</v>
      </c>
      <c r="G3580" s="938">
        <v>46029.0</v>
      </c>
      <c r="H3580" s="781">
        <v>16.0</v>
      </c>
      <c r="I3580" s="813" t="s">
        <v>10093</v>
      </c>
      <c r="L3580" s="12" t="s">
        <v>2541</v>
      </c>
      <c r="M3580" s="19"/>
      <c r="N3580" s="19"/>
      <c r="O3580" s="34" t="s">
        <v>12157</v>
      </c>
      <c r="P3580" s="19"/>
    </row>
    <row r="3581">
      <c r="A3581" s="645">
        <v>9.0</v>
      </c>
      <c r="B3581" s="972" t="s">
        <v>12338</v>
      </c>
      <c r="C3581" s="781" t="s">
        <v>80</v>
      </c>
      <c r="D3581" s="970" t="s">
        <v>12339</v>
      </c>
      <c r="E3581" s="950" t="s">
        <v>12340</v>
      </c>
      <c r="F3581" s="781" t="s">
        <v>3928</v>
      </c>
      <c r="G3581" s="938">
        <v>46029.0</v>
      </c>
      <c r="H3581" s="781">
        <v>16.0</v>
      </c>
      <c r="I3581" s="813" t="s">
        <v>10093</v>
      </c>
      <c r="L3581" s="12" t="s">
        <v>2541</v>
      </c>
      <c r="M3581" s="19"/>
      <c r="N3581" s="19"/>
      <c r="O3581" s="34" t="s">
        <v>12157</v>
      </c>
      <c r="P3581" s="19"/>
    </row>
    <row r="3582">
      <c r="A3582" s="645">
        <v>10.0</v>
      </c>
      <c r="B3582" s="973" t="s">
        <v>12341</v>
      </c>
      <c r="C3582" s="781" t="s">
        <v>80</v>
      </c>
      <c r="D3582" s="970" t="s">
        <v>12342</v>
      </c>
      <c r="E3582" s="950" t="s">
        <v>12343</v>
      </c>
      <c r="F3582" s="974" t="s">
        <v>5809</v>
      </c>
      <c r="G3582" s="938">
        <v>46029.0</v>
      </c>
      <c r="H3582" s="781">
        <v>16.0</v>
      </c>
      <c r="I3582" s="817" t="s">
        <v>3465</v>
      </c>
      <c r="J3582" s="143" t="s">
        <v>2995</v>
      </c>
      <c r="L3582" s="12" t="s">
        <v>1640</v>
      </c>
      <c r="M3582" s="19"/>
      <c r="N3582" s="19"/>
      <c r="O3582" s="148">
        <v>46180.0</v>
      </c>
      <c r="P3582" s="19"/>
    </row>
    <row r="3583">
      <c r="A3583" s="645">
        <v>11.0</v>
      </c>
      <c r="B3583" s="973" t="s">
        <v>12344</v>
      </c>
      <c r="C3583" s="781" t="s">
        <v>80</v>
      </c>
      <c r="D3583" s="970" t="s">
        <v>12345</v>
      </c>
      <c r="E3583" s="950" t="s">
        <v>12346</v>
      </c>
      <c r="F3583" s="974" t="s">
        <v>5809</v>
      </c>
      <c r="G3583" s="938">
        <v>46029.0</v>
      </c>
      <c r="H3583" s="781">
        <v>16.0</v>
      </c>
      <c r="I3583" s="857" t="s">
        <v>2890</v>
      </c>
      <c r="J3583" s="143" t="s">
        <v>2995</v>
      </c>
      <c r="L3583" s="12" t="s">
        <v>1640</v>
      </c>
      <c r="M3583" s="19"/>
      <c r="N3583" s="19"/>
      <c r="O3583" s="148">
        <v>46180.0</v>
      </c>
      <c r="P3583" s="19"/>
    </row>
    <row r="3584">
      <c r="A3584" s="645">
        <v>12.0</v>
      </c>
      <c r="B3584" s="973" t="s">
        <v>12347</v>
      </c>
      <c r="C3584" s="781" t="s">
        <v>80</v>
      </c>
      <c r="D3584" s="970" t="s">
        <v>12348</v>
      </c>
      <c r="E3584" s="950" t="s">
        <v>12349</v>
      </c>
      <c r="F3584" s="974" t="s">
        <v>5809</v>
      </c>
      <c r="G3584" s="938">
        <v>46029.0</v>
      </c>
      <c r="H3584" s="781">
        <v>16.0</v>
      </c>
      <c r="I3584" s="857" t="s">
        <v>2890</v>
      </c>
      <c r="J3584" s="143" t="s">
        <v>2995</v>
      </c>
      <c r="L3584" s="12" t="s">
        <v>1640</v>
      </c>
      <c r="M3584" s="19"/>
      <c r="N3584" s="19"/>
      <c r="O3584" s="148">
        <v>46180.0</v>
      </c>
      <c r="P3584" s="19"/>
    </row>
    <row r="3585">
      <c r="A3585" s="645">
        <v>13.0</v>
      </c>
      <c r="B3585" s="973" t="s">
        <v>12350</v>
      </c>
      <c r="C3585" s="781" t="s">
        <v>80</v>
      </c>
      <c r="D3585" s="970" t="s">
        <v>12351</v>
      </c>
      <c r="E3585" s="950" t="s">
        <v>12352</v>
      </c>
      <c r="F3585" s="974" t="s">
        <v>5809</v>
      </c>
      <c r="G3585" s="938">
        <v>46029.0</v>
      </c>
      <c r="H3585" s="781">
        <v>16.0</v>
      </c>
      <c r="I3585" s="813" t="s">
        <v>10093</v>
      </c>
      <c r="J3585" s="143" t="s">
        <v>2995</v>
      </c>
      <c r="L3585" s="12" t="s">
        <v>1640</v>
      </c>
      <c r="M3585" s="19"/>
      <c r="N3585" s="19"/>
      <c r="O3585" s="148">
        <v>46180.0</v>
      </c>
      <c r="P3585" s="19"/>
    </row>
    <row r="3586">
      <c r="A3586" s="645">
        <v>14.0</v>
      </c>
      <c r="B3586" s="973" t="s">
        <v>12353</v>
      </c>
      <c r="C3586" s="781" t="s">
        <v>80</v>
      </c>
      <c r="D3586" s="970" t="s">
        <v>12354</v>
      </c>
      <c r="E3586" s="950" t="s">
        <v>12355</v>
      </c>
      <c r="F3586" s="974" t="s">
        <v>5809</v>
      </c>
      <c r="G3586" s="938">
        <v>46029.0</v>
      </c>
      <c r="H3586" s="781">
        <v>16.0</v>
      </c>
      <c r="I3586" s="857" t="s">
        <v>2890</v>
      </c>
      <c r="J3586" s="143" t="s">
        <v>2995</v>
      </c>
      <c r="L3586" s="12" t="s">
        <v>11863</v>
      </c>
      <c r="M3586" s="19"/>
      <c r="N3586" s="19"/>
      <c r="O3586" s="148">
        <v>46180.0</v>
      </c>
      <c r="P3586" s="19"/>
    </row>
    <row r="3587">
      <c r="A3587" s="645">
        <v>15.0</v>
      </c>
      <c r="B3587" s="975" t="s">
        <v>12356</v>
      </c>
      <c r="C3587" s="781" t="s">
        <v>80</v>
      </c>
      <c r="D3587" s="970" t="s">
        <v>12357</v>
      </c>
      <c r="E3587" s="950" t="s">
        <v>12358</v>
      </c>
      <c r="F3587" s="974" t="s">
        <v>5809</v>
      </c>
      <c r="G3587" s="938">
        <v>46029.0</v>
      </c>
      <c r="H3587" s="781">
        <v>16.0</v>
      </c>
      <c r="I3587" s="857" t="s">
        <v>2890</v>
      </c>
      <c r="J3587" s="143" t="s">
        <v>2995</v>
      </c>
      <c r="L3587" s="12" t="s">
        <v>11863</v>
      </c>
      <c r="M3587" s="19"/>
      <c r="N3587" s="19"/>
      <c r="O3587" s="148">
        <v>46180.0</v>
      </c>
      <c r="P3587" s="19"/>
    </row>
    <row r="3588">
      <c r="A3588" s="645">
        <v>16.0</v>
      </c>
      <c r="B3588" s="975" t="s">
        <v>12359</v>
      </c>
      <c r="C3588" s="781" t="s">
        <v>80</v>
      </c>
      <c r="D3588" s="970" t="s">
        <v>12360</v>
      </c>
      <c r="E3588" s="950" t="s">
        <v>12361</v>
      </c>
      <c r="F3588" s="974" t="s">
        <v>5809</v>
      </c>
      <c r="G3588" s="938">
        <v>46029.0</v>
      </c>
      <c r="H3588" s="781">
        <v>16.0</v>
      </c>
      <c r="I3588" s="857" t="s">
        <v>2890</v>
      </c>
      <c r="J3588" s="143" t="s">
        <v>2995</v>
      </c>
      <c r="L3588" s="12" t="s">
        <v>11863</v>
      </c>
      <c r="M3588" s="19"/>
      <c r="N3588" s="19"/>
      <c r="O3588" s="148">
        <v>46180.0</v>
      </c>
      <c r="P3588" s="19"/>
    </row>
    <row r="3589">
      <c r="A3589" s="645">
        <v>17.0</v>
      </c>
      <c r="B3589" s="976" t="s">
        <v>12362</v>
      </c>
      <c r="C3589" s="781" t="s">
        <v>80</v>
      </c>
      <c r="D3589" s="970" t="s">
        <v>12363</v>
      </c>
      <c r="E3589" s="950" t="s">
        <v>12364</v>
      </c>
      <c r="F3589" s="974" t="s">
        <v>5809</v>
      </c>
      <c r="G3589" s="938">
        <v>46029.0</v>
      </c>
      <c r="H3589" s="781">
        <v>16.0</v>
      </c>
      <c r="I3589" s="857" t="s">
        <v>2890</v>
      </c>
      <c r="J3589" s="143" t="s">
        <v>2995</v>
      </c>
      <c r="L3589" s="12" t="s">
        <v>11863</v>
      </c>
      <c r="M3589" s="19"/>
      <c r="N3589" s="19"/>
      <c r="O3589" s="148">
        <v>46180.0</v>
      </c>
      <c r="P3589" s="19"/>
    </row>
    <row r="3590">
      <c r="A3590" s="645">
        <v>18.0</v>
      </c>
      <c r="B3590" s="975" t="s">
        <v>12365</v>
      </c>
      <c r="C3590" s="781" t="s">
        <v>80</v>
      </c>
      <c r="D3590" s="970" t="s">
        <v>12366</v>
      </c>
      <c r="E3590" s="950" t="s">
        <v>12367</v>
      </c>
      <c r="F3590" s="974" t="s">
        <v>5809</v>
      </c>
      <c r="G3590" s="938">
        <v>46029.0</v>
      </c>
      <c r="H3590" s="781">
        <v>16.0</v>
      </c>
      <c r="I3590" s="813" t="s">
        <v>10093</v>
      </c>
      <c r="J3590" s="143" t="s">
        <v>2995</v>
      </c>
      <c r="L3590" s="12" t="s">
        <v>2541</v>
      </c>
      <c r="M3590" s="19"/>
      <c r="N3590" s="19"/>
      <c r="O3590" s="148">
        <v>46180.0</v>
      </c>
      <c r="P3590" s="19"/>
    </row>
    <row r="3591">
      <c r="A3591" s="645">
        <v>19.0</v>
      </c>
      <c r="B3591" s="975" t="s">
        <v>12368</v>
      </c>
      <c r="C3591" s="781" t="s">
        <v>80</v>
      </c>
      <c r="D3591" s="970" t="s">
        <v>12369</v>
      </c>
      <c r="E3591" s="950" t="s">
        <v>12370</v>
      </c>
      <c r="F3591" s="974" t="s">
        <v>5809</v>
      </c>
      <c r="G3591" s="938">
        <v>46029.0</v>
      </c>
      <c r="H3591" s="781">
        <v>16.0</v>
      </c>
      <c r="I3591" s="857" t="s">
        <v>2890</v>
      </c>
      <c r="L3591" s="12" t="s">
        <v>2541</v>
      </c>
      <c r="M3591" s="19"/>
      <c r="N3591" s="19"/>
      <c r="O3591" s="148">
        <v>46180.0</v>
      </c>
      <c r="P3591" s="19"/>
    </row>
    <row r="3592">
      <c r="A3592" s="645">
        <v>20.0</v>
      </c>
      <c r="B3592" s="973" t="s">
        <v>12371</v>
      </c>
      <c r="C3592" s="781" t="s">
        <v>80</v>
      </c>
      <c r="D3592" s="970" t="s">
        <v>12372</v>
      </c>
      <c r="E3592" s="950" t="s">
        <v>12373</v>
      </c>
      <c r="F3592" s="781" t="s">
        <v>5809</v>
      </c>
      <c r="G3592" s="938">
        <v>46029.0</v>
      </c>
      <c r="H3592" s="781">
        <v>16.0</v>
      </c>
      <c r="I3592" s="857" t="s">
        <v>2890</v>
      </c>
      <c r="L3592" s="12" t="s">
        <v>2541</v>
      </c>
      <c r="M3592" s="19"/>
      <c r="N3592" s="19"/>
      <c r="O3592" s="148">
        <v>46180.0</v>
      </c>
      <c r="P3592" s="19"/>
    </row>
    <row r="3593">
      <c r="A3593" s="645">
        <v>21.0</v>
      </c>
      <c r="B3593" s="973" t="s">
        <v>12374</v>
      </c>
      <c r="C3593" s="781" t="s">
        <v>80</v>
      </c>
      <c r="D3593" s="970" t="s">
        <v>12375</v>
      </c>
      <c r="E3593" s="950" t="s">
        <v>12376</v>
      </c>
      <c r="F3593" s="781" t="s">
        <v>5809</v>
      </c>
      <c r="G3593" s="938">
        <v>46029.0</v>
      </c>
      <c r="H3593" s="781">
        <v>16.0</v>
      </c>
      <c r="I3593" s="857" t="s">
        <v>2890</v>
      </c>
      <c r="L3593" s="12" t="s">
        <v>2541</v>
      </c>
      <c r="M3593" s="19"/>
      <c r="N3593" s="19"/>
      <c r="O3593" s="148">
        <v>46180.0</v>
      </c>
      <c r="P3593" s="19"/>
    </row>
    <row r="3594">
      <c r="A3594" s="645">
        <v>22.0</v>
      </c>
      <c r="B3594" s="977" t="s">
        <v>12377</v>
      </c>
      <c r="C3594" s="781" t="s">
        <v>80</v>
      </c>
      <c r="D3594" s="970" t="s">
        <v>12378</v>
      </c>
      <c r="E3594" s="950" t="s">
        <v>12379</v>
      </c>
      <c r="F3594" s="781" t="s">
        <v>5809</v>
      </c>
      <c r="G3594" s="938">
        <v>46029.0</v>
      </c>
      <c r="H3594" s="781">
        <v>16.0</v>
      </c>
      <c r="I3594" s="857" t="s">
        <v>2890</v>
      </c>
      <c r="L3594" s="12" t="s">
        <v>11863</v>
      </c>
      <c r="M3594" s="19"/>
      <c r="N3594" s="19"/>
      <c r="O3594" s="148">
        <v>46180.0</v>
      </c>
      <c r="P3594" s="19"/>
    </row>
    <row r="3595">
      <c r="A3595" s="645">
        <v>23.0</v>
      </c>
      <c r="B3595" s="973" t="s">
        <v>12380</v>
      </c>
      <c r="C3595" s="781" t="s">
        <v>80</v>
      </c>
      <c r="D3595" s="970" t="s">
        <v>12381</v>
      </c>
      <c r="E3595" s="950" t="s">
        <v>12382</v>
      </c>
      <c r="F3595" s="781" t="s">
        <v>5809</v>
      </c>
      <c r="G3595" s="938">
        <v>46029.0</v>
      </c>
      <c r="H3595" s="781">
        <v>16.0</v>
      </c>
      <c r="I3595" s="813" t="s">
        <v>10093</v>
      </c>
      <c r="L3595" s="12" t="s">
        <v>11863</v>
      </c>
      <c r="M3595" s="19"/>
      <c r="N3595" s="19"/>
      <c r="O3595" s="148">
        <v>46180.0</v>
      </c>
      <c r="P3595" s="19"/>
    </row>
    <row r="3596">
      <c r="A3596" s="645">
        <v>24.0</v>
      </c>
      <c r="B3596" s="973" t="s">
        <v>12383</v>
      </c>
      <c r="C3596" s="781" t="s">
        <v>80</v>
      </c>
      <c r="D3596" s="970" t="s">
        <v>12384</v>
      </c>
      <c r="E3596" s="950" t="s">
        <v>12385</v>
      </c>
      <c r="F3596" s="781" t="s">
        <v>5809</v>
      </c>
      <c r="G3596" s="938">
        <v>46029.0</v>
      </c>
      <c r="H3596" s="781">
        <v>16.0</v>
      </c>
      <c r="I3596" s="813" t="s">
        <v>10093</v>
      </c>
      <c r="L3596" s="12" t="s">
        <v>11863</v>
      </c>
      <c r="M3596" s="19"/>
      <c r="N3596" s="19"/>
      <c r="O3596" s="148">
        <v>46180.0</v>
      </c>
      <c r="P3596" s="19"/>
    </row>
    <row r="3597">
      <c r="A3597" s="645">
        <v>25.0</v>
      </c>
      <c r="B3597" s="975" t="s">
        <v>12386</v>
      </c>
      <c r="C3597" s="781" t="s">
        <v>80</v>
      </c>
      <c r="D3597" s="970" t="s">
        <v>12387</v>
      </c>
      <c r="E3597" s="950" t="s">
        <v>12388</v>
      </c>
      <c r="F3597" s="781" t="s">
        <v>5809</v>
      </c>
      <c r="G3597" s="938">
        <v>46029.0</v>
      </c>
      <c r="H3597" s="781">
        <v>16.0</v>
      </c>
      <c r="I3597" s="817" t="s">
        <v>9308</v>
      </c>
      <c r="L3597" s="12" t="s">
        <v>11863</v>
      </c>
      <c r="M3597" s="19"/>
      <c r="N3597" s="19"/>
      <c r="O3597" s="148">
        <v>46180.0</v>
      </c>
      <c r="P3597" s="19"/>
    </row>
    <row r="3598">
      <c r="A3598" s="645">
        <v>26.0</v>
      </c>
      <c r="B3598" s="975" t="s">
        <v>12389</v>
      </c>
      <c r="C3598" s="781" t="s">
        <v>80</v>
      </c>
      <c r="D3598" s="970" t="s">
        <v>12390</v>
      </c>
      <c r="E3598" s="950" t="s">
        <v>12391</v>
      </c>
      <c r="F3598" s="781" t="s">
        <v>5809</v>
      </c>
      <c r="G3598" s="938">
        <v>46029.0</v>
      </c>
      <c r="H3598" s="781">
        <v>16.0</v>
      </c>
      <c r="I3598" s="857" t="s">
        <v>2890</v>
      </c>
      <c r="L3598" s="12" t="s">
        <v>51</v>
      </c>
      <c r="M3598" s="19"/>
      <c r="N3598" s="19"/>
      <c r="O3598" s="148">
        <v>46180.0</v>
      </c>
      <c r="P3598" s="19"/>
    </row>
    <row r="3599">
      <c r="A3599" s="645">
        <v>27.0</v>
      </c>
      <c r="B3599" s="975" t="s">
        <v>12392</v>
      </c>
      <c r="C3599" s="781" t="s">
        <v>80</v>
      </c>
      <c r="D3599" s="970" t="s">
        <v>12393</v>
      </c>
      <c r="E3599" s="950" t="s">
        <v>12394</v>
      </c>
      <c r="F3599" s="781" t="s">
        <v>5809</v>
      </c>
      <c r="G3599" s="938">
        <v>46029.0</v>
      </c>
      <c r="H3599" s="781">
        <v>16.0</v>
      </c>
      <c r="I3599" s="857" t="s">
        <v>2890</v>
      </c>
      <c r="L3599" s="12" t="s">
        <v>51</v>
      </c>
      <c r="M3599" s="19"/>
      <c r="N3599" s="19"/>
      <c r="O3599" s="148">
        <v>46180.0</v>
      </c>
      <c r="P3599" s="19"/>
    </row>
    <row r="3600">
      <c r="A3600" s="645">
        <v>28.0</v>
      </c>
      <c r="B3600" s="975" t="s">
        <v>12395</v>
      </c>
      <c r="C3600" s="781" t="s">
        <v>80</v>
      </c>
      <c r="D3600" s="970" t="s">
        <v>12396</v>
      </c>
      <c r="E3600" s="950" t="s">
        <v>12397</v>
      </c>
      <c r="F3600" s="781" t="s">
        <v>5809</v>
      </c>
      <c r="G3600" s="938">
        <v>46029.0</v>
      </c>
      <c r="H3600" s="781">
        <v>16.0</v>
      </c>
      <c r="I3600" s="857" t="s">
        <v>2890</v>
      </c>
      <c r="L3600" s="12" t="s">
        <v>51</v>
      </c>
      <c r="M3600" s="19"/>
      <c r="N3600" s="19"/>
      <c r="O3600" s="148">
        <v>46180.0</v>
      </c>
      <c r="P3600" s="19"/>
    </row>
    <row r="3601">
      <c r="A3601" s="645">
        <v>29.0</v>
      </c>
      <c r="B3601" s="975" t="s">
        <v>12398</v>
      </c>
      <c r="C3601" s="781" t="s">
        <v>80</v>
      </c>
      <c r="D3601" s="970" t="s">
        <v>12399</v>
      </c>
      <c r="E3601" s="950" t="s">
        <v>12400</v>
      </c>
      <c r="F3601" s="781" t="s">
        <v>5809</v>
      </c>
      <c r="G3601" s="938">
        <v>46029.0</v>
      </c>
      <c r="H3601" s="781">
        <v>16.0</v>
      </c>
      <c r="I3601" s="813" t="s">
        <v>10093</v>
      </c>
      <c r="L3601" s="12" t="s">
        <v>51</v>
      </c>
      <c r="M3601" s="19"/>
      <c r="N3601" s="19"/>
      <c r="O3601" s="148">
        <v>46180.0</v>
      </c>
      <c r="P3601" s="19"/>
    </row>
    <row r="3602">
      <c r="A3602" s="645">
        <v>30.0</v>
      </c>
      <c r="B3602" s="975" t="s">
        <v>12401</v>
      </c>
      <c r="C3602" s="781" t="s">
        <v>80</v>
      </c>
      <c r="D3602" s="970" t="s">
        <v>12402</v>
      </c>
      <c r="E3602" s="950" t="s">
        <v>12403</v>
      </c>
      <c r="F3602" s="781" t="s">
        <v>5809</v>
      </c>
      <c r="G3602" s="938">
        <v>46029.0</v>
      </c>
      <c r="H3602" s="781">
        <v>16.0</v>
      </c>
      <c r="I3602" s="857" t="s">
        <v>2890</v>
      </c>
      <c r="L3602" s="12" t="s">
        <v>51</v>
      </c>
      <c r="M3602" s="19"/>
      <c r="N3602" s="19"/>
      <c r="O3602" s="148">
        <v>46180.0</v>
      </c>
      <c r="P3602" s="19"/>
    </row>
    <row r="3603">
      <c r="A3603" s="645">
        <v>31.0</v>
      </c>
      <c r="B3603" s="975" t="s">
        <v>12404</v>
      </c>
      <c r="C3603" s="781" t="s">
        <v>80</v>
      </c>
      <c r="D3603" s="970" t="s">
        <v>12405</v>
      </c>
      <c r="E3603" s="950" t="s">
        <v>12406</v>
      </c>
      <c r="F3603" s="781" t="s">
        <v>5809</v>
      </c>
      <c r="G3603" s="938">
        <v>46029.0</v>
      </c>
      <c r="H3603" s="781">
        <v>16.0</v>
      </c>
      <c r="I3603" s="857" t="s">
        <v>2890</v>
      </c>
      <c r="L3603" s="12" t="s">
        <v>51</v>
      </c>
      <c r="M3603" s="19"/>
      <c r="N3603" s="19"/>
      <c r="O3603" s="148">
        <v>46180.0</v>
      </c>
      <c r="P3603" s="19"/>
    </row>
    <row r="3604">
      <c r="A3604" s="645">
        <v>32.0</v>
      </c>
      <c r="B3604" s="975" t="s">
        <v>12407</v>
      </c>
      <c r="C3604" s="781" t="s">
        <v>80</v>
      </c>
      <c r="D3604" s="970" t="s">
        <v>12408</v>
      </c>
      <c r="E3604" s="950" t="s">
        <v>12409</v>
      </c>
      <c r="F3604" s="781" t="s">
        <v>5809</v>
      </c>
      <c r="G3604" s="938">
        <v>46029.0</v>
      </c>
      <c r="H3604" s="781">
        <v>16.0</v>
      </c>
      <c r="I3604" s="813" t="s">
        <v>10093</v>
      </c>
      <c r="L3604" s="12" t="s">
        <v>12410</v>
      </c>
      <c r="M3604" s="19"/>
      <c r="N3604" s="19"/>
      <c r="O3604" s="148">
        <v>46180.0</v>
      </c>
      <c r="P3604" s="19"/>
    </row>
    <row r="3605">
      <c r="A3605" s="339" t="s">
        <v>12411</v>
      </c>
      <c r="Q3605" s="759"/>
      <c r="R3605" s="759"/>
      <c r="S3605" s="759"/>
      <c r="T3605" s="759"/>
      <c r="U3605" s="759"/>
      <c r="V3605" s="759"/>
      <c r="W3605" s="759"/>
      <c r="X3605" s="759"/>
      <c r="Y3605" s="759"/>
      <c r="Z3605" s="759"/>
      <c r="AA3605" s="759"/>
      <c r="AB3605" s="759"/>
      <c r="AC3605" s="759"/>
      <c r="AD3605" s="759"/>
      <c r="AE3605" s="759"/>
      <c r="AF3605" s="759"/>
    </row>
    <row r="3606">
      <c r="A3606" s="670" t="s">
        <v>47</v>
      </c>
      <c r="B3606" s="670" t="s">
        <v>7</v>
      </c>
      <c r="C3606" s="670" t="s">
        <v>9</v>
      </c>
      <c r="D3606" s="670" t="s">
        <v>10</v>
      </c>
      <c r="E3606" s="670" t="s">
        <v>11</v>
      </c>
      <c r="F3606" s="670" t="s">
        <v>12</v>
      </c>
      <c r="G3606" s="670" t="s">
        <v>2378</v>
      </c>
      <c r="H3606" s="670" t="s">
        <v>2681</v>
      </c>
      <c r="I3606" s="4" t="s">
        <v>2847</v>
      </c>
      <c r="J3606" s="8" t="s">
        <v>14</v>
      </c>
      <c r="K3606" s="9" t="s">
        <v>16</v>
      </c>
      <c r="L3606" s="10" t="s">
        <v>11871</v>
      </c>
      <c r="M3606" s="9" t="s">
        <v>18</v>
      </c>
      <c r="N3606" s="9" t="s">
        <v>19</v>
      </c>
      <c r="O3606" s="9" t="s">
        <v>20</v>
      </c>
      <c r="P3606" s="9" t="s">
        <v>21</v>
      </c>
    </row>
    <row r="3607" hidden="1">
      <c r="A3607" s="778">
        <v>1.0</v>
      </c>
      <c r="B3607" s="854" t="s">
        <v>12412</v>
      </c>
      <c r="C3607" s="890" t="s">
        <v>12413</v>
      </c>
      <c r="D3607" s="890" t="s">
        <v>12414</v>
      </c>
      <c r="E3607" s="853" t="s">
        <v>12415</v>
      </c>
      <c r="F3607" s="893" t="s">
        <v>2120</v>
      </c>
      <c r="G3607" s="978">
        <v>46187.0</v>
      </c>
      <c r="H3607" s="979">
        <v>-5.0</v>
      </c>
      <c r="I3607" s="980" t="s">
        <v>10093</v>
      </c>
      <c r="J3607" s="34" t="s">
        <v>51</v>
      </c>
      <c r="K3607" s="19"/>
      <c r="L3607" s="12" t="s">
        <v>51</v>
      </c>
      <c r="M3607" s="19"/>
      <c r="N3607" s="19"/>
      <c r="O3607" s="148">
        <v>46060.0</v>
      </c>
      <c r="P3607" s="587" t="s">
        <v>1432</v>
      </c>
    </row>
    <row r="3608" hidden="1">
      <c r="A3608" s="781">
        <v>2.0</v>
      </c>
      <c r="B3608" s="856" t="s">
        <v>12416</v>
      </c>
      <c r="C3608" s="893" t="s">
        <v>2307</v>
      </c>
      <c r="D3608" s="781" t="s">
        <v>12417</v>
      </c>
      <c r="E3608" s="781" t="s">
        <v>11890</v>
      </c>
      <c r="F3608" s="893" t="s">
        <v>11891</v>
      </c>
      <c r="G3608" s="978">
        <v>46187.0</v>
      </c>
      <c r="H3608" s="979">
        <v>-5.0</v>
      </c>
      <c r="I3608" s="981" t="s">
        <v>2890</v>
      </c>
      <c r="J3608" s="19"/>
      <c r="K3608" s="19"/>
      <c r="L3608" s="12" t="s">
        <v>699</v>
      </c>
      <c r="M3608" s="19"/>
      <c r="N3608" s="19"/>
      <c r="O3608" s="661">
        <v>46029.0</v>
      </c>
      <c r="P3608" s="19"/>
    </row>
    <row r="3609" hidden="1">
      <c r="A3609" s="781">
        <v>3.0</v>
      </c>
      <c r="B3609" s="856" t="s">
        <v>12418</v>
      </c>
      <c r="C3609" s="893" t="s">
        <v>80</v>
      </c>
      <c r="D3609" s="781" t="s">
        <v>12419</v>
      </c>
      <c r="E3609" s="781" t="s">
        <v>11966</v>
      </c>
      <c r="F3609" s="893" t="s">
        <v>12420</v>
      </c>
      <c r="G3609" s="978">
        <v>46198.0</v>
      </c>
      <c r="H3609" s="979">
        <v>6.0</v>
      </c>
      <c r="I3609" s="981" t="s">
        <v>2890</v>
      </c>
      <c r="J3609" s="19"/>
      <c r="K3609" s="19"/>
      <c r="L3609" s="12" t="s">
        <v>374</v>
      </c>
      <c r="M3609" s="19"/>
      <c r="N3609" s="19"/>
      <c r="O3609" s="23">
        <v>46119.0</v>
      </c>
      <c r="P3609" s="19"/>
    </row>
    <row r="3610" hidden="1">
      <c r="A3610" s="781">
        <v>4.0</v>
      </c>
      <c r="B3610" s="982" t="s">
        <v>12421</v>
      </c>
      <c r="C3610" s="893" t="s">
        <v>80</v>
      </c>
      <c r="D3610" s="781" t="s">
        <v>12422</v>
      </c>
      <c r="E3610" s="866" t="s">
        <v>11976</v>
      </c>
      <c r="F3610" s="893" t="s">
        <v>3928</v>
      </c>
      <c r="G3610" s="978">
        <v>46197.0</v>
      </c>
      <c r="H3610" s="979">
        <v>5.0</v>
      </c>
      <c r="I3610" s="981" t="s">
        <v>2890</v>
      </c>
      <c r="J3610" s="704"/>
      <c r="K3610" s="704"/>
      <c r="L3610" s="128" t="s">
        <v>3099</v>
      </c>
      <c r="M3610" s="704"/>
      <c r="N3610" s="704"/>
      <c r="O3610" s="983">
        <v>46060.0</v>
      </c>
      <c r="P3610" s="704"/>
      <c r="Q3610" s="581"/>
      <c r="R3610" s="581"/>
      <c r="S3610" s="581"/>
      <c r="T3610" s="581"/>
      <c r="U3610" s="581"/>
      <c r="V3610" s="581"/>
      <c r="W3610" s="581"/>
      <c r="X3610" s="581"/>
      <c r="Y3610" s="581"/>
      <c r="Z3610" s="581"/>
      <c r="AA3610" s="581"/>
      <c r="AB3610" s="581"/>
      <c r="AC3610" s="581"/>
      <c r="AD3610" s="581"/>
      <c r="AE3610" s="581"/>
      <c r="AF3610" s="581"/>
    </row>
    <row r="3611" hidden="1">
      <c r="A3611" s="781">
        <v>5.0</v>
      </c>
      <c r="B3611" s="856" t="s">
        <v>12423</v>
      </c>
      <c r="C3611" s="893" t="s">
        <v>80</v>
      </c>
      <c r="D3611" s="781" t="s">
        <v>12424</v>
      </c>
      <c r="E3611" s="865" t="s">
        <v>11985</v>
      </c>
      <c r="F3611" s="893" t="s">
        <v>3928</v>
      </c>
      <c r="G3611" s="978">
        <v>46197.0</v>
      </c>
      <c r="H3611" s="979">
        <v>5.0</v>
      </c>
      <c r="I3611" s="981" t="s">
        <v>2890</v>
      </c>
      <c r="J3611" s="19"/>
      <c r="K3611" s="19"/>
      <c r="L3611" s="128" t="s">
        <v>3099</v>
      </c>
      <c r="M3611" s="19"/>
      <c r="N3611" s="19"/>
      <c r="O3611" s="148">
        <v>46060.0</v>
      </c>
      <c r="P3611" s="19"/>
    </row>
    <row r="3612" hidden="1">
      <c r="A3612" s="781">
        <v>6.0</v>
      </c>
      <c r="B3612" s="863" t="s">
        <v>12425</v>
      </c>
      <c r="C3612" s="893" t="s">
        <v>80</v>
      </c>
      <c r="D3612" s="893" t="s">
        <v>12426</v>
      </c>
      <c r="E3612" s="984" t="s">
        <v>12427</v>
      </c>
      <c r="F3612" s="893" t="s">
        <v>12428</v>
      </c>
      <c r="G3612" s="978">
        <v>46210.0</v>
      </c>
      <c r="H3612" s="985">
        <v>18.0</v>
      </c>
      <c r="I3612" s="980" t="s">
        <v>10551</v>
      </c>
      <c r="J3612" s="19"/>
      <c r="K3612" s="19"/>
      <c r="L3612" s="12" t="s">
        <v>4195</v>
      </c>
      <c r="M3612" s="19"/>
      <c r="N3612" s="19"/>
      <c r="O3612" s="34" t="s">
        <v>12087</v>
      </c>
      <c r="P3612" s="19"/>
    </row>
    <row r="3613" hidden="1">
      <c r="A3613" s="781">
        <v>7.0</v>
      </c>
      <c r="B3613" s="863" t="s">
        <v>12429</v>
      </c>
      <c r="C3613" s="893" t="s">
        <v>80</v>
      </c>
      <c r="D3613" s="893" t="s">
        <v>12430</v>
      </c>
      <c r="E3613" s="984" t="s">
        <v>12431</v>
      </c>
      <c r="F3613" s="893" t="s">
        <v>12428</v>
      </c>
      <c r="G3613" s="986">
        <v>46210.0</v>
      </c>
      <c r="H3613" s="985">
        <v>18.0</v>
      </c>
      <c r="I3613" s="980" t="s">
        <v>10093</v>
      </c>
      <c r="J3613" s="19"/>
      <c r="K3613" s="19"/>
      <c r="L3613" s="12" t="s">
        <v>4195</v>
      </c>
      <c r="M3613" s="19"/>
      <c r="N3613" s="19"/>
      <c r="O3613" s="34" t="s">
        <v>12087</v>
      </c>
      <c r="P3613" s="19"/>
    </row>
    <row r="3614" hidden="1">
      <c r="A3614" s="781">
        <v>8.0</v>
      </c>
      <c r="B3614" s="863" t="s">
        <v>12432</v>
      </c>
      <c r="C3614" s="893" t="s">
        <v>80</v>
      </c>
      <c r="D3614" s="893" t="s">
        <v>12433</v>
      </c>
      <c r="E3614" s="857" t="s">
        <v>12434</v>
      </c>
      <c r="F3614" s="893" t="s">
        <v>12435</v>
      </c>
      <c r="G3614" s="986">
        <v>46210.0</v>
      </c>
      <c r="H3614" s="985">
        <v>18.0</v>
      </c>
      <c r="I3614" s="980" t="s">
        <v>10093</v>
      </c>
      <c r="J3614" s="34" t="s">
        <v>4873</v>
      </c>
      <c r="K3614" s="34" t="s">
        <v>12065</v>
      </c>
      <c r="L3614" s="12" t="s">
        <v>4195</v>
      </c>
      <c r="M3614" s="19"/>
      <c r="N3614" s="19"/>
      <c r="O3614" s="34" t="s">
        <v>12276</v>
      </c>
      <c r="P3614" s="19"/>
    </row>
    <row r="3615" hidden="1">
      <c r="A3615" s="781">
        <v>9.0</v>
      </c>
      <c r="B3615" s="863" t="s">
        <v>12436</v>
      </c>
      <c r="C3615" s="893" t="s">
        <v>80</v>
      </c>
      <c r="D3615" s="893" t="s">
        <v>12437</v>
      </c>
      <c r="E3615" s="984" t="s">
        <v>12438</v>
      </c>
      <c r="F3615" s="893" t="s">
        <v>12439</v>
      </c>
      <c r="G3615" s="986">
        <v>46210.0</v>
      </c>
      <c r="H3615" s="985">
        <v>18.0</v>
      </c>
      <c r="I3615" s="980" t="s">
        <v>10093</v>
      </c>
      <c r="J3615" s="19"/>
      <c r="K3615" s="19"/>
      <c r="L3615" s="12" t="s">
        <v>374</v>
      </c>
      <c r="M3615" s="19"/>
      <c r="N3615" s="19"/>
      <c r="O3615" s="12" t="s">
        <v>1129</v>
      </c>
      <c r="P3615" s="19"/>
    </row>
    <row r="3616" hidden="1">
      <c r="A3616" s="781">
        <v>10.0</v>
      </c>
      <c r="B3616" s="863" t="s">
        <v>12440</v>
      </c>
      <c r="C3616" s="893" t="s">
        <v>80</v>
      </c>
      <c r="D3616" s="893" t="s">
        <v>12441</v>
      </c>
      <c r="E3616" s="984" t="s">
        <v>12442</v>
      </c>
      <c r="F3616" s="893" t="s">
        <v>12439</v>
      </c>
      <c r="G3616" s="986">
        <v>46210.0</v>
      </c>
      <c r="H3616" s="985">
        <v>18.0</v>
      </c>
      <c r="I3616" s="980" t="s">
        <v>10093</v>
      </c>
      <c r="J3616" s="19"/>
      <c r="K3616" s="19"/>
      <c r="L3616" s="12" t="s">
        <v>374</v>
      </c>
      <c r="M3616" s="19"/>
      <c r="N3616" s="19"/>
      <c r="O3616" s="12" t="s">
        <v>1129</v>
      </c>
      <c r="P3616" s="19"/>
    </row>
    <row r="3617" hidden="1">
      <c r="A3617" s="781">
        <v>11.0</v>
      </c>
      <c r="B3617" s="863" t="s">
        <v>12443</v>
      </c>
      <c r="C3617" s="893" t="s">
        <v>12413</v>
      </c>
      <c r="D3617" s="893" t="s">
        <v>12444</v>
      </c>
      <c r="E3617" s="857" t="s">
        <v>12445</v>
      </c>
      <c r="F3617" s="893" t="s">
        <v>25</v>
      </c>
      <c r="G3617" s="986">
        <v>46209.0</v>
      </c>
      <c r="H3617" s="985">
        <v>17.0</v>
      </c>
      <c r="I3617" s="980" t="s">
        <v>10093</v>
      </c>
      <c r="J3617" s="19"/>
      <c r="K3617" s="19"/>
      <c r="L3617" s="12" t="s">
        <v>51</v>
      </c>
      <c r="M3617" s="19"/>
      <c r="N3617" s="19"/>
      <c r="O3617" s="34" t="s">
        <v>12276</v>
      </c>
      <c r="P3617" s="19"/>
    </row>
    <row r="3618" hidden="1">
      <c r="A3618" s="781">
        <v>12.0</v>
      </c>
      <c r="B3618" s="863" t="s">
        <v>12446</v>
      </c>
      <c r="C3618" s="893" t="s">
        <v>80</v>
      </c>
      <c r="D3618" s="893" t="s">
        <v>12447</v>
      </c>
      <c r="E3618" s="857" t="s">
        <v>12448</v>
      </c>
      <c r="F3618" s="893" t="s">
        <v>12449</v>
      </c>
      <c r="G3618" s="986">
        <v>46210.0</v>
      </c>
      <c r="H3618" s="985">
        <v>18.0</v>
      </c>
      <c r="I3618" s="981" t="s">
        <v>2890</v>
      </c>
      <c r="J3618" s="19"/>
      <c r="K3618" s="19"/>
      <c r="L3618" s="12" t="s">
        <v>374</v>
      </c>
      <c r="M3618" s="19"/>
      <c r="N3618" s="19"/>
      <c r="O3618" s="34" t="s">
        <v>1129</v>
      </c>
      <c r="P3618" s="19"/>
    </row>
    <row r="3619" hidden="1">
      <c r="A3619" s="781">
        <v>13.0</v>
      </c>
      <c r="B3619" s="856" t="s">
        <v>12450</v>
      </c>
      <c r="C3619" s="781" t="s">
        <v>80</v>
      </c>
      <c r="D3619" s="893" t="s">
        <v>12451</v>
      </c>
      <c r="E3619" s="781" t="s">
        <v>12452</v>
      </c>
      <c r="F3619" s="893" t="s">
        <v>9083</v>
      </c>
      <c r="G3619" s="986">
        <v>46210.0</v>
      </c>
      <c r="H3619" s="985">
        <v>18.0</v>
      </c>
      <c r="I3619" s="980" t="s">
        <v>10093</v>
      </c>
      <c r="J3619" s="19"/>
      <c r="K3619" s="19"/>
      <c r="L3619" s="12" t="s">
        <v>4195</v>
      </c>
      <c r="M3619" s="19"/>
      <c r="N3619" s="19"/>
      <c r="O3619" s="34" t="s">
        <v>11823</v>
      </c>
      <c r="P3619" s="19"/>
    </row>
    <row r="3620" hidden="1">
      <c r="A3620" s="781">
        <v>14.0</v>
      </c>
      <c r="B3620" s="863" t="s">
        <v>12453</v>
      </c>
      <c r="C3620" s="781" t="s">
        <v>80</v>
      </c>
      <c r="D3620" s="893" t="s">
        <v>12454</v>
      </c>
      <c r="E3620" s="781" t="s">
        <v>12455</v>
      </c>
      <c r="F3620" s="893" t="s">
        <v>10863</v>
      </c>
      <c r="G3620" s="986">
        <v>46211.0</v>
      </c>
      <c r="H3620" s="985">
        <v>19.0</v>
      </c>
      <c r="I3620" s="981" t="s">
        <v>2890</v>
      </c>
      <c r="J3620" s="19"/>
      <c r="K3620" s="19"/>
      <c r="L3620" s="12" t="s">
        <v>51</v>
      </c>
      <c r="M3620" s="19"/>
      <c r="N3620" s="19"/>
      <c r="O3620" s="34" t="s">
        <v>11674</v>
      </c>
      <c r="P3620" s="587" t="s">
        <v>1432</v>
      </c>
    </row>
    <row r="3621">
      <c r="A3621" s="781">
        <v>15.0</v>
      </c>
      <c r="B3621" s="863" t="s">
        <v>12456</v>
      </c>
      <c r="C3621" s="781" t="s">
        <v>80</v>
      </c>
      <c r="D3621" s="893" t="s">
        <v>12457</v>
      </c>
      <c r="E3621" s="781" t="s">
        <v>12458</v>
      </c>
      <c r="F3621" s="782" t="s">
        <v>12459</v>
      </c>
      <c r="G3621" s="986">
        <v>46210.0</v>
      </c>
      <c r="H3621" s="985">
        <v>18.0</v>
      </c>
      <c r="I3621" s="981" t="s">
        <v>2890</v>
      </c>
      <c r="J3621" s="19"/>
      <c r="K3621" s="19"/>
      <c r="L3621" s="12" t="s">
        <v>374</v>
      </c>
      <c r="M3621" s="19"/>
      <c r="N3621" s="19"/>
      <c r="O3621" s="34" t="s">
        <v>12166</v>
      </c>
      <c r="P3621" s="102" t="s">
        <v>1432</v>
      </c>
    </row>
    <row r="3622" hidden="1">
      <c r="A3622" s="781">
        <v>16.0</v>
      </c>
      <c r="B3622" s="863" t="s">
        <v>12460</v>
      </c>
      <c r="C3622" s="781" t="s">
        <v>80</v>
      </c>
      <c r="D3622" s="893" t="s">
        <v>12461</v>
      </c>
      <c r="E3622" s="886" t="s">
        <v>12462</v>
      </c>
      <c r="F3622" s="893" t="s">
        <v>12463</v>
      </c>
      <c r="G3622" s="986">
        <v>46210.0</v>
      </c>
      <c r="H3622" s="985">
        <v>18.0</v>
      </c>
      <c r="I3622" s="980" t="s">
        <v>5364</v>
      </c>
      <c r="J3622" s="19"/>
      <c r="K3622" s="19"/>
      <c r="L3622" s="12" t="s">
        <v>51</v>
      </c>
      <c r="M3622" s="19"/>
      <c r="N3622" s="19"/>
      <c r="O3622" s="12" t="s">
        <v>12464</v>
      </c>
      <c r="P3622" s="19"/>
    </row>
    <row r="3623" hidden="1">
      <c r="A3623" s="781">
        <v>17.0</v>
      </c>
      <c r="B3623" s="863" t="s">
        <v>12465</v>
      </c>
      <c r="C3623" s="781" t="s">
        <v>80</v>
      </c>
      <c r="D3623" s="893" t="s">
        <v>12466</v>
      </c>
      <c r="E3623" s="886" t="s">
        <v>12467</v>
      </c>
      <c r="F3623" s="893" t="s">
        <v>12463</v>
      </c>
      <c r="G3623" s="986">
        <v>46210.0</v>
      </c>
      <c r="H3623" s="985">
        <v>18.0</v>
      </c>
      <c r="I3623" s="981" t="s">
        <v>2890</v>
      </c>
      <c r="J3623" s="19"/>
      <c r="K3623" s="19"/>
      <c r="L3623" s="12" t="s">
        <v>51</v>
      </c>
      <c r="M3623" s="19"/>
      <c r="N3623" s="19"/>
      <c r="O3623" s="12" t="s">
        <v>12464</v>
      </c>
      <c r="P3623" s="19"/>
    </row>
    <row r="3624" hidden="1">
      <c r="A3624" s="781">
        <v>18.0</v>
      </c>
      <c r="B3624" s="863" t="s">
        <v>12468</v>
      </c>
      <c r="C3624" s="781" t="s">
        <v>80</v>
      </c>
      <c r="D3624" s="893" t="s">
        <v>12469</v>
      </c>
      <c r="E3624" s="866" t="s">
        <v>12470</v>
      </c>
      <c r="F3624" s="893" t="s">
        <v>3583</v>
      </c>
      <c r="G3624" s="986">
        <v>46206.0</v>
      </c>
      <c r="H3624" s="985">
        <v>14.0</v>
      </c>
      <c r="I3624" s="981" t="s">
        <v>2890</v>
      </c>
      <c r="J3624" s="19"/>
      <c r="K3624" s="19"/>
      <c r="L3624" s="33" t="s">
        <v>11863</v>
      </c>
      <c r="M3624" s="19"/>
      <c r="N3624" s="19"/>
      <c r="O3624" s="751">
        <v>46214.0</v>
      </c>
      <c r="P3624" s="19"/>
    </row>
    <row r="3625" hidden="1">
      <c r="A3625" s="781">
        <v>19.0</v>
      </c>
      <c r="B3625" s="856" t="s">
        <v>12471</v>
      </c>
      <c r="C3625" s="781" t="s">
        <v>80</v>
      </c>
      <c r="D3625" s="893" t="s">
        <v>12472</v>
      </c>
      <c r="E3625" s="865" t="s">
        <v>12473</v>
      </c>
      <c r="F3625" s="893" t="s">
        <v>3928</v>
      </c>
      <c r="G3625" s="986">
        <v>46206.0</v>
      </c>
      <c r="H3625" s="985">
        <v>14.0</v>
      </c>
      <c r="I3625" s="981" t="s">
        <v>2890</v>
      </c>
      <c r="J3625" s="19"/>
      <c r="K3625" s="19"/>
      <c r="L3625" s="12" t="s">
        <v>2541</v>
      </c>
      <c r="M3625" s="19"/>
      <c r="N3625" s="19"/>
      <c r="O3625" s="34" t="s">
        <v>12157</v>
      </c>
      <c r="P3625" s="19"/>
    </row>
    <row r="3626" hidden="1">
      <c r="A3626" s="781">
        <v>20.0</v>
      </c>
      <c r="B3626" s="863" t="s">
        <v>12474</v>
      </c>
      <c r="C3626" s="781" t="s">
        <v>80</v>
      </c>
      <c r="D3626" s="893" t="s">
        <v>12475</v>
      </c>
      <c r="E3626" s="866" t="s">
        <v>12476</v>
      </c>
      <c r="F3626" s="893" t="s">
        <v>3928</v>
      </c>
      <c r="G3626" s="986">
        <v>46206.0</v>
      </c>
      <c r="H3626" s="985">
        <v>14.0</v>
      </c>
      <c r="I3626" s="980" t="s">
        <v>5364</v>
      </c>
      <c r="J3626" s="19"/>
      <c r="K3626" s="19"/>
      <c r="L3626" s="12" t="s">
        <v>2541</v>
      </c>
      <c r="M3626" s="19"/>
      <c r="N3626" s="19"/>
      <c r="O3626" s="34" t="s">
        <v>12157</v>
      </c>
      <c r="P3626" s="19"/>
    </row>
    <row r="3627" hidden="1">
      <c r="A3627" s="781">
        <v>21.0</v>
      </c>
      <c r="B3627" s="863" t="s">
        <v>12477</v>
      </c>
      <c r="C3627" s="781" t="s">
        <v>80</v>
      </c>
      <c r="D3627" s="893" t="s">
        <v>12478</v>
      </c>
      <c r="E3627" s="865" t="s">
        <v>12479</v>
      </c>
      <c r="F3627" s="893" t="s">
        <v>3928</v>
      </c>
      <c r="G3627" s="986">
        <v>46206.0</v>
      </c>
      <c r="H3627" s="985">
        <v>14.0</v>
      </c>
      <c r="I3627" s="981" t="s">
        <v>2890</v>
      </c>
      <c r="J3627" s="19"/>
      <c r="K3627" s="19"/>
      <c r="L3627" s="12" t="s">
        <v>2541</v>
      </c>
      <c r="M3627" s="19"/>
      <c r="N3627" s="19"/>
      <c r="O3627" s="34" t="s">
        <v>12157</v>
      </c>
      <c r="P3627" s="19"/>
    </row>
    <row r="3628" hidden="1">
      <c r="A3628" s="781">
        <v>22.0</v>
      </c>
      <c r="B3628" s="867" t="s">
        <v>12480</v>
      </c>
      <c r="C3628" s="781" t="s">
        <v>80</v>
      </c>
      <c r="D3628" s="893" t="s">
        <v>12481</v>
      </c>
      <c r="E3628" s="865" t="s">
        <v>12482</v>
      </c>
      <c r="F3628" s="893" t="s">
        <v>3928</v>
      </c>
      <c r="G3628" s="986">
        <v>46206.0</v>
      </c>
      <c r="H3628" s="985">
        <v>14.0</v>
      </c>
      <c r="I3628" s="981" t="s">
        <v>2890</v>
      </c>
      <c r="J3628" s="19"/>
      <c r="K3628" s="19"/>
      <c r="L3628" s="12" t="s">
        <v>2541</v>
      </c>
      <c r="M3628" s="19"/>
      <c r="N3628" s="19"/>
      <c r="O3628" s="34" t="s">
        <v>11614</v>
      </c>
      <c r="P3628" s="19"/>
    </row>
    <row r="3629" hidden="1">
      <c r="A3629" s="781">
        <v>23.0</v>
      </c>
      <c r="B3629" s="863" t="s">
        <v>12483</v>
      </c>
      <c r="C3629" s="781" t="s">
        <v>80</v>
      </c>
      <c r="D3629" s="893" t="s">
        <v>12484</v>
      </c>
      <c r="E3629" s="866" t="s">
        <v>12485</v>
      </c>
      <c r="F3629" s="893" t="s">
        <v>3928</v>
      </c>
      <c r="G3629" s="986">
        <v>46206.0</v>
      </c>
      <c r="H3629" s="985">
        <v>14.0</v>
      </c>
      <c r="I3629" s="980" t="s">
        <v>5364</v>
      </c>
      <c r="J3629" s="19"/>
      <c r="K3629" s="19"/>
      <c r="L3629" s="12" t="s">
        <v>2541</v>
      </c>
      <c r="M3629" s="19"/>
      <c r="N3629" s="19"/>
      <c r="O3629" s="34" t="s">
        <v>12157</v>
      </c>
      <c r="P3629" s="19"/>
    </row>
    <row r="3630" hidden="1">
      <c r="A3630" s="781">
        <v>24.0</v>
      </c>
      <c r="B3630" s="863" t="s">
        <v>12486</v>
      </c>
      <c r="C3630" s="781" t="s">
        <v>80</v>
      </c>
      <c r="D3630" s="893" t="s">
        <v>12487</v>
      </c>
      <c r="E3630" s="865" t="s">
        <v>12488</v>
      </c>
      <c r="F3630" s="893" t="s">
        <v>3928</v>
      </c>
      <c r="G3630" s="986">
        <v>46206.0</v>
      </c>
      <c r="H3630" s="985">
        <v>14.0</v>
      </c>
      <c r="I3630" s="981" t="s">
        <v>2890</v>
      </c>
      <c r="J3630" s="19"/>
      <c r="K3630" s="19"/>
      <c r="L3630" s="128" t="s">
        <v>2541</v>
      </c>
      <c r="M3630" s="19"/>
      <c r="N3630" s="19"/>
      <c r="O3630" s="34" t="s">
        <v>12157</v>
      </c>
      <c r="P3630" s="19"/>
    </row>
    <row r="3631" hidden="1">
      <c r="A3631" s="781">
        <v>25.0</v>
      </c>
      <c r="B3631" s="856" t="s">
        <v>12489</v>
      </c>
      <c r="C3631" s="781" t="s">
        <v>80</v>
      </c>
      <c r="D3631" s="893" t="s">
        <v>12490</v>
      </c>
      <c r="E3631" s="865" t="s">
        <v>12491</v>
      </c>
      <c r="F3631" s="893" t="s">
        <v>8668</v>
      </c>
      <c r="G3631" s="986">
        <v>46206.0</v>
      </c>
      <c r="H3631" s="985">
        <v>14.0</v>
      </c>
      <c r="I3631" s="981" t="s">
        <v>2890</v>
      </c>
      <c r="J3631" s="19"/>
      <c r="K3631" s="19"/>
      <c r="L3631" s="128" t="s">
        <v>3099</v>
      </c>
      <c r="M3631" s="19"/>
      <c r="N3631" s="19"/>
      <c r="O3631" s="34" t="s">
        <v>1290</v>
      </c>
      <c r="P3631" s="19"/>
    </row>
    <row r="3632" hidden="1">
      <c r="A3632" s="781">
        <v>26.0</v>
      </c>
      <c r="B3632" s="856" t="s">
        <v>12492</v>
      </c>
      <c r="C3632" s="781" t="s">
        <v>80</v>
      </c>
      <c r="D3632" s="893" t="s">
        <v>12493</v>
      </c>
      <c r="E3632" s="865" t="s">
        <v>12494</v>
      </c>
      <c r="F3632" s="893" t="s">
        <v>8668</v>
      </c>
      <c r="G3632" s="986">
        <v>46206.0</v>
      </c>
      <c r="H3632" s="985">
        <v>14.0</v>
      </c>
      <c r="I3632" s="981" t="s">
        <v>2890</v>
      </c>
      <c r="J3632" s="19"/>
      <c r="K3632" s="19"/>
      <c r="L3632" s="128" t="s">
        <v>3099</v>
      </c>
      <c r="M3632" s="19"/>
      <c r="N3632" s="19"/>
      <c r="O3632" s="34" t="s">
        <v>1290</v>
      </c>
      <c r="P3632" s="19"/>
    </row>
    <row r="3633" hidden="1">
      <c r="A3633" s="781">
        <v>27.0</v>
      </c>
      <c r="B3633" s="167" t="s">
        <v>12495</v>
      </c>
      <c r="C3633" s="893" t="s">
        <v>80</v>
      </c>
      <c r="D3633" s="893" t="s">
        <v>12496</v>
      </c>
      <c r="E3633" s="987" t="s">
        <v>12497</v>
      </c>
      <c r="F3633" s="988" t="s">
        <v>12498</v>
      </c>
      <c r="G3633" s="989">
        <v>46206.0</v>
      </c>
      <c r="H3633" s="990">
        <v>15.0</v>
      </c>
      <c r="I3633" s="981" t="s">
        <v>2890</v>
      </c>
      <c r="J3633" s="19"/>
      <c r="K3633" s="19"/>
      <c r="L3633" s="12" t="s">
        <v>2541</v>
      </c>
      <c r="M3633" s="19"/>
      <c r="N3633" s="19"/>
      <c r="O3633" s="34" t="s">
        <v>1252</v>
      </c>
      <c r="P3633" s="19"/>
    </row>
    <row r="3634" hidden="1">
      <c r="A3634" s="781">
        <v>28.0</v>
      </c>
      <c r="B3634" s="167" t="s">
        <v>12499</v>
      </c>
      <c r="C3634" s="893" t="s">
        <v>80</v>
      </c>
      <c r="D3634" s="893" t="s">
        <v>12500</v>
      </c>
      <c r="E3634" s="987" t="s">
        <v>12501</v>
      </c>
      <c r="F3634" s="988" t="s">
        <v>12498</v>
      </c>
      <c r="G3634" s="989">
        <v>46206.0</v>
      </c>
      <c r="H3634" s="990">
        <v>15.0</v>
      </c>
      <c r="I3634" s="981" t="s">
        <v>2890</v>
      </c>
      <c r="J3634" s="19"/>
      <c r="K3634" s="19"/>
      <c r="L3634" s="12" t="s">
        <v>2541</v>
      </c>
      <c r="M3634" s="19"/>
      <c r="N3634" s="19"/>
      <c r="O3634" s="34" t="s">
        <v>1252</v>
      </c>
      <c r="P3634" s="19"/>
    </row>
    <row r="3635" hidden="1">
      <c r="A3635" s="781">
        <v>29.0</v>
      </c>
      <c r="B3635" s="167" t="s">
        <v>12502</v>
      </c>
      <c r="C3635" s="893" t="s">
        <v>80</v>
      </c>
      <c r="D3635" s="893" t="s">
        <v>12503</v>
      </c>
      <c r="E3635" s="987" t="s">
        <v>12504</v>
      </c>
      <c r="F3635" s="988" t="s">
        <v>12498</v>
      </c>
      <c r="G3635" s="989">
        <v>46206.0</v>
      </c>
      <c r="H3635" s="990">
        <v>15.0</v>
      </c>
      <c r="I3635" s="980" t="s">
        <v>10093</v>
      </c>
      <c r="J3635" s="19"/>
      <c r="K3635" s="19"/>
      <c r="L3635" s="12" t="s">
        <v>2541</v>
      </c>
      <c r="M3635" s="19"/>
      <c r="N3635" s="19"/>
      <c r="O3635" s="34" t="s">
        <v>1252</v>
      </c>
      <c r="P3635" s="19"/>
    </row>
    <row r="3636" hidden="1">
      <c r="A3636" s="781">
        <v>30.0</v>
      </c>
      <c r="B3636" s="167" t="s">
        <v>12505</v>
      </c>
      <c r="C3636" s="893" t="s">
        <v>80</v>
      </c>
      <c r="D3636" s="893" t="s">
        <v>12506</v>
      </c>
      <c r="E3636" s="987" t="s">
        <v>12507</v>
      </c>
      <c r="F3636" s="988" t="s">
        <v>12498</v>
      </c>
      <c r="G3636" s="989">
        <v>46206.0</v>
      </c>
      <c r="H3636" s="990">
        <v>15.0</v>
      </c>
      <c r="I3636" s="980" t="s">
        <v>10093</v>
      </c>
      <c r="J3636" s="19"/>
      <c r="K3636" s="19"/>
      <c r="L3636" s="12" t="s">
        <v>2541</v>
      </c>
      <c r="M3636" s="19"/>
      <c r="N3636" s="19"/>
      <c r="O3636" s="34" t="s">
        <v>1252</v>
      </c>
      <c r="P3636" s="19"/>
    </row>
    <row r="3637" hidden="1">
      <c r="A3637" s="781">
        <v>31.0</v>
      </c>
      <c r="B3637" s="167" t="s">
        <v>12508</v>
      </c>
      <c r="C3637" s="893" t="s">
        <v>80</v>
      </c>
      <c r="D3637" s="893" t="s">
        <v>12509</v>
      </c>
      <c r="E3637" s="987" t="s">
        <v>12510</v>
      </c>
      <c r="F3637" s="988" t="s">
        <v>12498</v>
      </c>
      <c r="G3637" s="989">
        <v>46206.0</v>
      </c>
      <c r="H3637" s="990">
        <v>15.0</v>
      </c>
      <c r="I3637" s="981" t="s">
        <v>2890</v>
      </c>
      <c r="J3637" s="19"/>
      <c r="K3637" s="19"/>
      <c r="L3637" s="12" t="s">
        <v>2541</v>
      </c>
      <c r="M3637" s="19"/>
      <c r="N3637" s="19"/>
      <c r="O3637" s="34" t="s">
        <v>1252</v>
      </c>
      <c r="P3637" s="19"/>
    </row>
    <row r="3638" hidden="1">
      <c r="A3638" s="781">
        <v>32.0</v>
      </c>
      <c r="B3638" s="167" t="s">
        <v>12511</v>
      </c>
      <c r="C3638" s="893" t="s">
        <v>80</v>
      </c>
      <c r="D3638" s="893" t="s">
        <v>12512</v>
      </c>
      <c r="E3638" s="987" t="s">
        <v>12513</v>
      </c>
      <c r="F3638" s="988" t="s">
        <v>12498</v>
      </c>
      <c r="G3638" s="989">
        <v>46206.0</v>
      </c>
      <c r="H3638" s="990">
        <v>15.0</v>
      </c>
      <c r="I3638" s="981" t="s">
        <v>2890</v>
      </c>
      <c r="J3638" s="19"/>
      <c r="K3638" s="19"/>
      <c r="L3638" s="12" t="s">
        <v>2541</v>
      </c>
      <c r="M3638" s="19"/>
      <c r="N3638" s="19"/>
      <c r="O3638" s="34" t="s">
        <v>1252</v>
      </c>
      <c r="P3638" s="19"/>
    </row>
    <row r="3639" hidden="1">
      <c r="A3639" s="781">
        <v>33.0</v>
      </c>
      <c r="B3639" s="167" t="s">
        <v>12514</v>
      </c>
      <c r="C3639" s="893" t="s">
        <v>80</v>
      </c>
      <c r="D3639" s="893" t="s">
        <v>12515</v>
      </c>
      <c r="E3639" s="987" t="s">
        <v>12516</v>
      </c>
      <c r="F3639" s="988" t="s">
        <v>12498</v>
      </c>
      <c r="G3639" s="989">
        <v>46206.0</v>
      </c>
      <c r="H3639" s="990">
        <v>15.0</v>
      </c>
      <c r="I3639" s="981" t="s">
        <v>2890</v>
      </c>
      <c r="J3639" s="19"/>
      <c r="K3639" s="19"/>
      <c r="L3639" s="12" t="s">
        <v>2541</v>
      </c>
      <c r="M3639" s="19"/>
      <c r="N3639" s="19"/>
      <c r="O3639" s="34" t="s">
        <v>1252</v>
      </c>
      <c r="P3639" s="19"/>
    </row>
    <row r="3640" hidden="1">
      <c r="A3640" s="781">
        <v>34.0</v>
      </c>
      <c r="B3640" s="167" t="s">
        <v>12517</v>
      </c>
      <c r="C3640" s="893" t="s">
        <v>80</v>
      </c>
      <c r="D3640" s="893" t="s">
        <v>12518</v>
      </c>
      <c r="E3640" s="987" t="s">
        <v>12519</v>
      </c>
      <c r="F3640" s="988" t="s">
        <v>12498</v>
      </c>
      <c r="G3640" s="989">
        <v>46206.0</v>
      </c>
      <c r="H3640" s="990">
        <v>15.0</v>
      </c>
      <c r="I3640" s="981" t="s">
        <v>2890</v>
      </c>
      <c r="J3640" s="19"/>
      <c r="K3640" s="19"/>
      <c r="L3640" s="12" t="s">
        <v>2541</v>
      </c>
      <c r="M3640" s="19"/>
      <c r="N3640" s="19"/>
      <c r="O3640" s="34" t="s">
        <v>1252</v>
      </c>
      <c r="P3640" s="19"/>
    </row>
    <row r="3641" hidden="1">
      <c r="A3641" s="781">
        <v>35.0</v>
      </c>
      <c r="B3641" s="167" t="s">
        <v>12520</v>
      </c>
      <c r="C3641" s="893" t="s">
        <v>80</v>
      </c>
      <c r="D3641" s="893" t="s">
        <v>12521</v>
      </c>
      <c r="E3641" s="987" t="s">
        <v>12522</v>
      </c>
      <c r="F3641" s="988" t="s">
        <v>12498</v>
      </c>
      <c r="G3641" s="989">
        <v>46206.0</v>
      </c>
      <c r="H3641" s="990">
        <v>15.0</v>
      </c>
      <c r="I3641" s="981" t="s">
        <v>2890</v>
      </c>
      <c r="J3641" s="19"/>
      <c r="K3641" s="19"/>
      <c r="L3641" s="12" t="s">
        <v>2541</v>
      </c>
      <c r="M3641" s="19"/>
      <c r="N3641" s="19"/>
      <c r="O3641" s="34" t="s">
        <v>1252</v>
      </c>
      <c r="P3641" s="19"/>
    </row>
    <row r="3642" hidden="1">
      <c r="A3642" s="781">
        <v>36.0</v>
      </c>
      <c r="B3642" s="167" t="s">
        <v>12523</v>
      </c>
      <c r="C3642" s="893" t="s">
        <v>80</v>
      </c>
      <c r="D3642" s="893" t="s">
        <v>12524</v>
      </c>
      <c r="E3642" s="987" t="s">
        <v>12525</v>
      </c>
      <c r="F3642" s="988" t="s">
        <v>12498</v>
      </c>
      <c r="G3642" s="989">
        <v>46206.0</v>
      </c>
      <c r="H3642" s="990">
        <v>15.0</v>
      </c>
      <c r="I3642" s="980" t="s">
        <v>12526</v>
      </c>
      <c r="J3642" s="19"/>
      <c r="K3642" s="19"/>
      <c r="L3642" s="12" t="s">
        <v>2541</v>
      </c>
      <c r="M3642" s="19"/>
      <c r="N3642" s="19"/>
      <c r="O3642" s="34" t="s">
        <v>1252</v>
      </c>
      <c r="P3642" s="19"/>
    </row>
    <row r="3643" hidden="1">
      <c r="A3643" s="781">
        <v>37.0</v>
      </c>
      <c r="B3643" s="167" t="s">
        <v>12527</v>
      </c>
      <c r="C3643" s="893" t="s">
        <v>80</v>
      </c>
      <c r="D3643" s="893" t="s">
        <v>12528</v>
      </c>
      <c r="E3643" s="987" t="s">
        <v>12529</v>
      </c>
      <c r="F3643" s="988" t="s">
        <v>12498</v>
      </c>
      <c r="G3643" s="989">
        <v>46206.0</v>
      </c>
      <c r="H3643" s="990">
        <v>15.0</v>
      </c>
      <c r="I3643" s="980" t="s">
        <v>10093</v>
      </c>
      <c r="J3643" s="19"/>
      <c r="K3643" s="19"/>
      <c r="L3643" s="12" t="s">
        <v>2541</v>
      </c>
      <c r="M3643" s="19"/>
      <c r="N3643" s="19"/>
      <c r="O3643" s="34" t="s">
        <v>1252</v>
      </c>
      <c r="P3643" s="19"/>
    </row>
    <row r="3644" hidden="1">
      <c r="A3644" s="781">
        <v>38.0</v>
      </c>
      <c r="B3644" s="167" t="s">
        <v>12530</v>
      </c>
      <c r="C3644" s="893" t="s">
        <v>80</v>
      </c>
      <c r="D3644" s="893" t="s">
        <v>12531</v>
      </c>
      <c r="E3644" s="987" t="s">
        <v>12532</v>
      </c>
      <c r="F3644" s="988" t="s">
        <v>12498</v>
      </c>
      <c r="G3644" s="989">
        <v>46206.0</v>
      </c>
      <c r="H3644" s="990">
        <v>15.0</v>
      </c>
      <c r="I3644" s="981" t="s">
        <v>2890</v>
      </c>
      <c r="J3644" s="19"/>
      <c r="K3644" s="19"/>
      <c r="L3644" s="12" t="s">
        <v>2541</v>
      </c>
      <c r="M3644" s="19"/>
      <c r="N3644" s="19"/>
      <c r="O3644" s="34" t="s">
        <v>1252</v>
      </c>
      <c r="P3644" s="19"/>
    </row>
    <row r="3645" hidden="1">
      <c r="A3645" s="781">
        <v>39.0</v>
      </c>
      <c r="B3645" s="167" t="s">
        <v>12533</v>
      </c>
      <c r="C3645" s="893" t="s">
        <v>80</v>
      </c>
      <c r="D3645" s="893" t="s">
        <v>12534</v>
      </c>
      <c r="E3645" s="987" t="s">
        <v>12535</v>
      </c>
      <c r="F3645" s="988" t="s">
        <v>12498</v>
      </c>
      <c r="G3645" s="989">
        <v>46206.0</v>
      </c>
      <c r="H3645" s="990">
        <v>15.0</v>
      </c>
      <c r="I3645" s="981" t="s">
        <v>2890</v>
      </c>
      <c r="J3645" s="19"/>
      <c r="K3645" s="19"/>
      <c r="L3645" s="12" t="s">
        <v>2541</v>
      </c>
      <c r="M3645" s="19"/>
      <c r="N3645" s="19"/>
      <c r="O3645" s="34" t="s">
        <v>1252</v>
      </c>
      <c r="P3645" s="19"/>
    </row>
    <row r="3646" hidden="1">
      <c r="A3646" s="781">
        <v>40.0</v>
      </c>
      <c r="B3646" s="167" t="s">
        <v>12536</v>
      </c>
      <c r="C3646" s="893" t="s">
        <v>80</v>
      </c>
      <c r="D3646" s="893" t="s">
        <v>12537</v>
      </c>
      <c r="E3646" s="987" t="s">
        <v>12538</v>
      </c>
      <c r="F3646" s="988" t="s">
        <v>12498</v>
      </c>
      <c r="G3646" s="989">
        <v>46206.0</v>
      </c>
      <c r="H3646" s="990">
        <v>15.0</v>
      </c>
      <c r="I3646" s="980" t="s">
        <v>10093</v>
      </c>
      <c r="J3646" s="19"/>
      <c r="K3646" s="19"/>
      <c r="L3646" s="12" t="s">
        <v>2541</v>
      </c>
      <c r="M3646" s="19"/>
      <c r="N3646" s="19"/>
      <c r="O3646" s="34" t="s">
        <v>1252</v>
      </c>
      <c r="P3646" s="19"/>
    </row>
    <row r="3647" hidden="1">
      <c r="A3647" s="339" t="s">
        <v>12539</v>
      </c>
      <c r="Q3647" s="35"/>
      <c r="R3647" s="35"/>
      <c r="S3647" s="35"/>
      <c r="T3647" s="35"/>
      <c r="U3647" s="35"/>
      <c r="V3647" s="35"/>
      <c r="W3647" s="35"/>
      <c r="X3647" s="35"/>
      <c r="Y3647" s="35"/>
      <c r="Z3647" s="35"/>
      <c r="AA3647" s="35"/>
      <c r="AB3647" s="35"/>
      <c r="AC3647" s="35"/>
      <c r="AD3647" s="35"/>
      <c r="AE3647" s="35"/>
      <c r="AF3647" s="35"/>
    </row>
    <row r="3648" hidden="1">
      <c r="A3648" s="670" t="s">
        <v>47</v>
      </c>
      <c r="B3648" s="670" t="s">
        <v>7</v>
      </c>
      <c r="C3648" s="670" t="s">
        <v>9</v>
      </c>
      <c r="D3648" s="670" t="s">
        <v>10</v>
      </c>
      <c r="E3648" s="670" t="s">
        <v>11</v>
      </c>
      <c r="F3648" s="670" t="s">
        <v>12</v>
      </c>
      <c r="G3648" s="670" t="s">
        <v>2378</v>
      </c>
      <c r="H3648" s="670" t="s">
        <v>2681</v>
      </c>
      <c r="I3648" s="4" t="s">
        <v>2847</v>
      </c>
      <c r="J3648" s="8" t="s">
        <v>14</v>
      </c>
      <c r="K3648" s="9" t="s">
        <v>16</v>
      </c>
      <c r="L3648" s="9" t="s">
        <v>4330</v>
      </c>
      <c r="M3648" s="9" t="s">
        <v>18</v>
      </c>
      <c r="N3648" s="9" t="s">
        <v>19</v>
      </c>
      <c r="O3648" s="9" t="s">
        <v>20</v>
      </c>
      <c r="P3648" s="9" t="s">
        <v>21</v>
      </c>
      <c r="Q3648" s="35"/>
      <c r="R3648" s="35"/>
      <c r="S3648" s="35"/>
      <c r="T3648" s="35"/>
      <c r="U3648" s="35"/>
      <c r="V3648" s="35"/>
      <c r="W3648" s="35"/>
      <c r="X3648" s="35"/>
      <c r="Y3648" s="35"/>
      <c r="Z3648" s="35"/>
      <c r="AA3648" s="35"/>
      <c r="AB3648" s="35"/>
      <c r="AC3648" s="35"/>
      <c r="AD3648" s="35"/>
      <c r="AE3648" s="35"/>
      <c r="AF3648" s="35"/>
    </row>
    <row r="3649" hidden="1">
      <c r="A3649" s="342">
        <v>1.0</v>
      </c>
      <c r="B3649" s="991" t="s">
        <v>12540</v>
      </c>
      <c r="C3649" s="12" t="s">
        <v>80</v>
      </c>
      <c r="D3649" s="306" t="s">
        <v>12541</v>
      </c>
      <c r="E3649" s="992" t="s">
        <v>12542</v>
      </c>
      <c r="F3649" s="342" t="s">
        <v>44</v>
      </c>
      <c r="G3649" s="989">
        <v>46206.0</v>
      </c>
      <c r="H3649" s="306">
        <v>15.0</v>
      </c>
      <c r="I3649" s="306" t="s">
        <v>2890</v>
      </c>
      <c r="L3649" s="12" t="s">
        <v>2541</v>
      </c>
      <c r="M3649" s="19"/>
      <c r="N3649" s="19"/>
      <c r="O3649" s="34" t="s">
        <v>1252</v>
      </c>
      <c r="P3649" s="19"/>
    </row>
    <row r="3650" hidden="1">
      <c r="A3650" s="342">
        <v>2.0</v>
      </c>
      <c r="B3650" s="991" t="s">
        <v>12543</v>
      </c>
      <c r="C3650" s="12" t="s">
        <v>80</v>
      </c>
      <c r="D3650" s="306" t="s">
        <v>12544</v>
      </c>
      <c r="E3650" s="992" t="s">
        <v>12545</v>
      </c>
      <c r="F3650" s="342" t="s">
        <v>44</v>
      </c>
      <c r="G3650" s="989">
        <v>46206.0</v>
      </c>
      <c r="H3650" s="306">
        <v>15.0</v>
      </c>
      <c r="I3650" s="514" t="s">
        <v>10093</v>
      </c>
      <c r="L3650" s="12" t="s">
        <v>2541</v>
      </c>
      <c r="M3650" s="19"/>
      <c r="N3650" s="19"/>
      <c r="O3650" s="34" t="s">
        <v>1252</v>
      </c>
      <c r="P3650" s="19"/>
    </row>
    <row r="3651" hidden="1">
      <c r="A3651" s="342">
        <v>3.0</v>
      </c>
      <c r="B3651" s="991" t="s">
        <v>12546</v>
      </c>
      <c r="C3651" s="12" t="s">
        <v>80</v>
      </c>
      <c r="D3651" s="306" t="s">
        <v>12547</v>
      </c>
      <c r="E3651" s="992" t="s">
        <v>12548</v>
      </c>
      <c r="F3651" s="342" t="s">
        <v>44</v>
      </c>
      <c r="G3651" s="989">
        <v>46206.0</v>
      </c>
      <c r="H3651" s="306">
        <v>15.0</v>
      </c>
      <c r="I3651" s="306" t="s">
        <v>2890</v>
      </c>
      <c r="L3651" s="12" t="s">
        <v>2541</v>
      </c>
      <c r="M3651" s="19"/>
      <c r="N3651" s="19"/>
      <c r="O3651" s="34" t="s">
        <v>1252</v>
      </c>
      <c r="P3651" s="19"/>
    </row>
    <row r="3652" hidden="1">
      <c r="A3652" s="342">
        <v>4.0</v>
      </c>
      <c r="B3652" s="991" t="s">
        <v>12549</v>
      </c>
      <c r="C3652" s="12" t="s">
        <v>80</v>
      </c>
      <c r="D3652" s="306" t="s">
        <v>12550</v>
      </c>
      <c r="E3652" s="992" t="s">
        <v>12551</v>
      </c>
      <c r="F3652" s="342" t="s">
        <v>44</v>
      </c>
      <c r="G3652" s="989">
        <v>46206.0</v>
      </c>
      <c r="H3652" s="306">
        <v>15.0</v>
      </c>
      <c r="I3652" s="306" t="s">
        <v>2890</v>
      </c>
      <c r="L3652" s="12" t="s">
        <v>2541</v>
      </c>
      <c r="M3652" s="19"/>
      <c r="N3652" s="19"/>
      <c r="O3652" s="34" t="s">
        <v>1252</v>
      </c>
      <c r="P3652" s="19"/>
    </row>
    <row r="3653" hidden="1">
      <c r="A3653" s="342">
        <v>5.0</v>
      </c>
      <c r="B3653" s="991" t="s">
        <v>12552</v>
      </c>
      <c r="C3653" s="12" t="s">
        <v>80</v>
      </c>
      <c r="D3653" s="306" t="s">
        <v>12553</v>
      </c>
      <c r="E3653" s="992" t="s">
        <v>12554</v>
      </c>
      <c r="F3653" s="342" t="s">
        <v>44</v>
      </c>
      <c r="G3653" s="989">
        <v>46206.0</v>
      </c>
      <c r="H3653" s="306">
        <v>15.0</v>
      </c>
      <c r="I3653" s="514" t="s">
        <v>10093</v>
      </c>
      <c r="L3653" s="12" t="s">
        <v>2541</v>
      </c>
      <c r="M3653" s="19"/>
      <c r="N3653" s="19"/>
      <c r="O3653" s="34" t="s">
        <v>1252</v>
      </c>
      <c r="P3653" s="19"/>
    </row>
    <row r="3654" hidden="1">
      <c r="A3654" s="342">
        <v>6.0</v>
      </c>
      <c r="B3654" s="991" t="s">
        <v>12555</v>
      </c>
      <c r="C3654" s="12" t="s">
        <v>80</v>
      </c>
      <c r="D3654" s="306" t="s">
        <v>12556</v>
      </c>
      <c r="E3654" s="992" t="s">
        <v>12557</v>
      </c>
      <c r="F3654" s="342" t="s">
        <v>44</v>
      </c>
      <c r="G3654" s="989">
        <v>46206.0</v>
      </c>
      <c r="H3654" s="306">
        <v>15.0</v>
      </c>
      <c r="I3654" s="485" t="s">
        <v>3465</v>
      </c>
      <c r="L3654" s="12" t="s">
        <v>11863</v>
      </c>
      <c r="M3654" s="19"/>
      <c r="N3654" s="19"/>
      <c r="O3654" s="34" t="s">
        <v>1252</v>
      </c>
      <c r="P3654" s="19"/>
    </row>
    <row r="3655" hidden="1">
      <c r="A3655" s="342">
        <v>7.0</v>
      </c>
      <c r="B3655" s="991" t="s">
        <v>12558</v>
      </c>
      <c r="C3655" s="12" t="s">
        <v>80</v>
      </c>
      <c r="D3655" s="306" t="s">
        <v>12559</v>
      </c>
      <c r="E3655" s="992" t="s">
        <v>12560</v>
      </c>
      <c r="F3655" s="342" t="s">
        <v>44</v>
      </c>
      <c r="G3655" s="989">
        <v>46206.0</v>
      </c>
      <c r="H3655" s="306">
        <v>15.0</v>
      </c>
      <c r="I3655" s="514" t="s">
        <v>4002</v>
      </c>
      <c r="L3655" s="12" t="s">
        <v>11863</v>
      </c>
      <c r="M3655" s="19"/>
      <c r="N3655" s="19"/>
      <c r="O3655" s="34" t="s">
        <v>1252</v>
      </c>
      <c r="P3655" s="19"/>
    </row>
    <row r="3656" hidden="1">
      <c r="A3656" s="342">
        <v>8.0</v>
      </c>
      <c r="B3656" s="143" t="s">
        <v>12561</v>
      </c>
      <c r="C3656" s="12" t="s">
        <v>80</v>
      </c>
      <c r="D3656" s="306" t="s">
        <v>12562</v>
      </c>
      <c r="E3656" s="992" t="s">
        <v>12563</v>
      </c>
      <c r="F3656" s="342" t="s">
        <v>44</v>
      </c>
      <c r="G3656" s="989">
        <v>46206.0</v>
      </c>
      <c r="H3656" s="306">
        <v>15.0</v>
      </c>
      <c r="I3656" s="485" t="s">
        <v>3465</v>
      </c>
      <c r="L3656" s="12" t="s">
        <v>11863</v>
      </c>
      <c r="M3656" s="19"/>
      <c r="N3656" s="19"/>
      <c r="O3656" s="34" t="s">
        <v>1252</v>
      </c>
      <c r="P3656" s="19"/>
    </row>
    <row r="3657" hidden="1">
      <c r="A3657" s="342">
        <v>9.0</v>
      </c>
      <c r="B3657" s="991" t="s">
        <v>12564</v>
      </c>
      <c r="C3657" s="12" t="s">
        <v>80</v>
      </c>
      <c r="D3657" s="306" t="s">
        <v>12565</v>
      </c>
      <c r="E3657" s="992" t="s">
        <v>12566</v>
      </c>
      <c r="F3657" s="342" t="s">
        <v>44</v>
      </c>
      <c r="G3657" s="989">
        <v>46206.0</v>
      </c>
      <c r="H3657" s="306">
        <v>15.0</v>
      </c>
      <c r="I3657" s="306" t="s">
        <v>2890</v>
      </c>
      <c r="L3657" s="12" t="s">
        <v>11863</v>
      </c>
      <c r="M3657" s="19"/>
      <c r="N3657" s="19"/>
      <c r="O3657" s="34" t="s">
        <v>1252</v>
      </c>
      <c r="P3657" s="19"/>
    </row>
    <row r="3658" hidden="1">
      <c r="A3658" s="342">
        <v>10.0</v>
      </c>
      <c r="B3658" s="991" t="s">
        <v>12567</v>
      </c>
      <c r="C3658" s="12" t="s">
        <v>80</v>
      </c>
      <c r="D3658" s="306" t="s">
        <v>12568</v>
      </c>
      <c r="E3658" s="992" t="s">
        <v>12569</v>
      </c>
      <c r="F3658" s="342" t="s">
        <v>44</v>
      </c>
      <c r="G3658" s="989">
        <v>46206.0</v>
      </c>
      <c r="H3658" s="306">
        <v>15.0</v>
      </c>
      <c r="I3658" s="514" t="s">
        <v>10093</v>
      </c>
      <c r="L3658" s="12" t="s">
        <v>11863</v>
      </c>
      <c r="M3658" s="19"/>
      <c r="N3658" s="19"/>
      <c r="O3658" s="34" t="s">
        <v>1252</v>
      </c>
      <c r="P3658" s="19"/>
    </row>
    <row r="3659" hidden="1">
      <c r="A3659" s="342">
        <v>11.0</v>
      </c>
      <c r="B3659" s="991" t="s">
        <v>12570</v>
      </c>
      <c r="C3659" s="12" t="s">
        <v>80</v>
      </c>
      <c r="D3659" s="306" t="s">
        <v>12571</v>
      </c>
      <c r="E3659" s="992" t="s">
        <v>12572</v>
      </c>
      <c r="F3659" s="342" t="s">
        <v>44</v>
      </c>
      <c r="G3659" s="989">
        <v>46206.0</v>
      </c>
      <c r="H3659" s="306">
        <v>15.0</v>
      </c>
      <c r="I3659" s="306" t="s">
        <v>2890</v>
      </c>
      <c r="L3659" s="12" t="s">
        <v>11863</v>
      </c>
      <c r="M3659" s="19"/>
      <c r="N3659" s="19"/>
      <c r="O3659" s="34" t="s">
        <v>1252</v>
      </c>
      <c r="P3659" s="19"/>
    </row>
    <row r="3660" hidden="1">
      <c r="A3660" s="342">
        <v>12.0</v>
      </c>
      <c r="B3660" s="991" t="s">
        <v>12573</v>
      </c>
      <c r="C3660" s="12" t="s">
        <v>80</v>
      </c>
      <c r="D3660" s="306" t="s">
        <v>12574</v>
      </c>
      <c r="E3660" s="992" t="s">
        <v>12575</v>
      </c>
      <c r="F3660" s="342" t="s">
        <v>44</v>
      </c>
      <c r="G3660" s="989">
        <v>46206.0</v>
      </c>
      <c r="H3660" s="306">
        <v>15.0</v>
      </c>
      <c r="I3660" s="306" t="s">
        <v>2890</v>
      </c>
      <c r="L3660" s="12" t="s">
        <v>11863</v>
      </c>
      <c r="M3660" s="19"/>
      <c r="N3660" s="19"/>
      <c r="O3660" s="34" t="s">
        <v>1252</v>
      </c>
      <c r="P3660" s="19"/>
    </row>
    <row r="3661" hidden="1">
      <c r="A3661" s="342">
        <v>13.0</v>
      </c>
      <c r="B3661" s="991" t="s">
        <v>12576</v>
      </c>
      <c r="C3661" s="12" t="s">
        <v>80</v>
      </c>
      <c r="D3661" s="306" t="s">
        <v>12577</v>
      </c>
      <c r="E3661" s="992" t="s">
        <v>12578</v>
      </c>
      <c r="F3661" s="342" t="s">
        <v>44</v>
      </c>
      <c r="G3661" s="989">
        <v>46206.0</v>
      </c>
      <c r="H3661" s="306">
        <v>15.0</v>
      </c>
      <c r="I3661" s="306" t="s">
        <v>2890</v>
      </c>
      <c r="L3661" s="12" t="s">
        <v>11863</v>
      </c>
      <c r="M3661" s="19"/>
      <c r="N3661" s="19"/>
      <c r="O3661" s="34" t="s">
        <v>1252</v>
      </c>
      <c r="P3661" s="19"/>
    </row>
    <row r="3662" hidden="1">
      <c r="A3662" s="342">
        <v>14.0</v>
      </c>
      <c r="B3662" s="991" t="s">
        <v>12579</v>
      </c>
      <c r="C3662" s="12" t="s">
        <v>80</v>
      </c>
      <c r="D3662" s="306" t="s">
        <v>12580</v>
      </c>
      <c r="E3662" s="992" t="s">
        <v>12581</v>
      </c>
      <c r="F3662" s="342" t="s">
        <v>44</v>
      </c>
      <c r="G3662" s="989">
        <v>46206.0</v>
      </c>
      <c r="H3662" s="306">
        <v>15.0</v>
      </c>
      <c r="I3662" s="306" t="s">
        <v>2890</v>
      </c>
      <c r="L3662" s="12" t="s">
        <v>11863</v>
      </c>
      <c r="M3662" s="19"/>
      <c r="N3662" s="19"/>
      <c r="O3662" s="34" t="s">
        <v>1252</v>
      </c>
      <c r="P3662" s="19"/>
    </row>
    <row r="3663" hidden="1">
      <c r="A3663" s="342">
        <v>15.0</v>
      </c>
      <c r="B3663" s="991" t="s">
        <v>12582</v>
      </c>
      <c r="C3663" s="12" t="s">
        <v>80</v>
      </c>
      <c r="D3663" s="306" t="s">
        <v>12583</v>
      </c>
      <c r="E3663" s="992" t="s">
        <v>12584</v>
      </c>
      <c r="F3663" s="342" t="s">
        <v>44</v>
      </c>
      <c r="G3663" s="989">
        <v>46206.0</v>
      </c>
      <c r="H3663" s="306">
        <v>15.0</v>
      </c>
      <c r="I3663" s="306" t="s">
        <v>2890</v>
      </c>
      <c r="L3663" s="12" t="s">
        <v>11863</v>
      </c>
      <c r="M3663" s="19"/>
      <c r="N3663" s="19"/>
      <c r="O3663" s="34" t="s">
        <v>1252</v>
      </c>
      <c r="P3663" s="19"/>
    </row>
    <row r="3664" hidden="1">
      <c r="A3664" s="342">
        <v>16.0</v>
      </c>
      <c r="B3664" s="991" t="s">
        <v>12585</v>
      </c>
      <c r="C3664" s="12" t="s">
        <v>80</v>
      </c>
      <c r="D3664" s="306" t="s">
        <v>12586</v>
      </c>
      <c r="E3664" s="992" t="s">
        <v>12587</v>
      </c>
      <c r="F3664" s="342" t="s">
        <v>44</v>
      </c>
      <c r="G3664" s="989">
        <v>46206.0</v>
      </c>
      <c r="H3664" s="306">
        <v>15.0</v>
      </c>
      <c r="I3664" s="306" t="s">
        <v>2890</v>
      </c>
      <c r="L3664" s="12" t="s">
        <v>11863</v>
      </c>
      <c r="M3664" s="19"/>
      <c r="N3664" s="19"/>
      <c r="O3664" s="34" t="s">
        <v>1252</v>
      </c>
      <c r="P3664" s="19"/>
    </row>
    <row r="3665" hidden="1">
      <c r="A3665" s="342">
        <v>17.0</v>
      </c>
      <c r="B3665" s="991" t="s">
        <v>12588</v>
      </c>
      <c r="C3665" s="12" t="s">
        <v>80</v>
      </c>
      <c r="D3665" s="306" t="s">
        <v>12589</v>
      </c>
      <c r="E3665" s="992" t="s">
        <v>12590</v>
      </c>
      <c r="F3665" s="342" t="s">
        <v>44</v>
      </c>
      <c r="G3665" s="989">
        <v>46206.0</v>
      </c>
      <c r="H3665" s="306">
        <v>15.0</v>
      </c>
      <c r="I3665" s="306" t="s">
        <v>2890</v>
      </c>
      <c r="L3665" s="12" t="s">
        <v>11863</v>
      </c>
      <c r="M3665" s="19"/>
      <c r="N3665" s="19"/>
      <c r="O3665" s="34" t="s">
        <v>1252</v>
      </c>
      <c r="P3665" s="19"/>
    </row>
    <row r="3666" hidden="1">
      <c r="A3666" s="342">
        <v>18.0</v>
      </c>
      <c r="B3666" s="719" t="s">
        <v>12591</v>
      </c>
      <c r="C3666" s="342" t="s">
        <v>80</v>
      </c>
      <c r="D3666" s="306" t="s">
        <v>12592</v>
      </c>
      <c r="E3666" s="342" t="s">
        <v>12593</v>
      </c>
      <c r="F3666" s="342" t="s">
        <v>12594</v>
      </c>
      <c r="G3666" s="986">
        <v>46204.0</v>
      </c>
      <c r="H3666" s="33">
        <v>12.0</v>
      </c>
      <c r="I3666" s="306" t="s">
        <v>2890</v>
      </c>
      <c r="L3666" s="12" t="s">
        <v>4195</v>
      </c>
      <c r="M3666" s="19"/>
      <c r="N3666" s="19"/>
      <c r="O3666" s="34" t="s">
        <v>1252</v>
      </c>
      <c r="P3666" s="587" t="s">
        <v>1432</v>
      </c>
    </row>
    <row r="3667" hidden="1">
      <c r="A3667" s="342">
        <v>19.0</v>
      </c>
      <c r="B3667" s="991" t="s">
        <v>12595</v>
      </c>
      <c r="C3667" s="12" t="s">
        <v>80</v>
      </c>
      <c r="D3667" s="306" t="s">
        <v>12596</v>
      </c>
      <c r="E3667" s="992" t="s">
        <v>12597</v>
      </c>
      <c r="F3667" s="342" t="s">
        <v>44</v>
      </c>
      <c r="G3667" s="989">
        <v>46206.0</v>
      </c>
      <c r="H3667" s="306">
        <v>15.0</v>
      </c>
      <c r="I3667" s="306" t="s">
        <v>2890</v>
      </c>
      <c r="L3667" s="12" t="s">
        <v>11863</v>
      </c>
      <c r="M3667" s="19"/>
      <c r="N3667" s="19"/>
      <c r="O3667" s="34" t="s">
        <v>1252</v>
      </c>
      <c r="P3667" s="19"/>
    </row>
    <row r="3668" hidden="1">
      <c r="A3668" s="342">
        <v>20.0</v>
      </c>
      <c r="B3668" s="991" t="s">
        <v>12598</v>
      </c>
      <c r="C3668" s="12" t="s">
        <v>80</v>
      </c>
      <c r="D3668" s="306" t="s">
        <v>12599</v>
      </c>
      <c r="E3668" s="992" t="s">
        <v>12600</v>
      </c>
      <c r="F3668" s="342" t="s">
        <v>44</v>
      </c>
      <c r="G3668" s="989">
        <v>46206.0</v>
      </c>
      <c r="H3668" s="306">
        <v>15.0</v>
      </c>
      <c r="I3668" s="514" t="s">
        <v>10093</v>
      </c>
      <c r="L3668" s="12" t="s">
        <v>11863</v>
      </c>
      <c r="M3668" s="19"/>
      <c r="N3668" s="19"/>
      <c r="O3668" s="34" t="s">
        <v>1252</v>
      </c>
      <c r="P3668" s="19"/>
    </row>
    <row r="3669" hidden="1">
      <c r="A3669" s="342">
        <v>21.0</v>
      </c>
      <c r="B3669" s="991" t="s">
        <v>12601</v>
      </c>
      <c r="C3669" s="12" t="s">
        <v>80</v>
      </c>
      <c r="D3669" s="306" t="s">
        <v>12602</v>
      </c>
      <c r="E3669" s="992" t="s">
        <v>12603</v>
      </c>
      <c r="F3669" s="342" t="s">
        <v>44</v>
      </c>
      <c r="G3669" s="989">
        <v>46206.0</v>
      </c>
      <c r="H3669" s="306">
        <v>15.0</v>
      </c>
      <c r="I3669" s="306" t="s">
        <v>2890</v>
      </c>
      <c r="L3669" s="12" t="s">
        <v>3099</v>
      </c>
      <c r="M3669" s="19"/>
      <c r="N3669" s="19"/>
      <c r="O3669" s="34" t="s">
        <v>1252</v>
      </c>
      <c r="P3669" s="19"/>
    </row>
    <row r="3670" hidden="1">
      <c r="A3670" s="342">
        <v>22.0</v>
      </c>
      <c r="B3670" s="991" t="s">
        <v>12604</v>
      </c>
      <c r="C3670" s="12" t="s">
        <v>80</v>
      </c>
      <c r="D3670" s="306" t="s">
        <v>12605</v>
      </c>
      <c r="E3670" s="992" t="s">
        <v>12606</v>
      </c>
      <c r="F3670" s="342" t="s">
        <v>44</v>
      </c>
      <c r="G3670" s="989">
        <v>46206.0</v>
      </c>
      <c r="H3670" s="306">
        <v>15.0</v>
      </c>
      <c r="I3670" s="306" t="s">
        <v>2890</v>
      </c>
      <c r="L3670" s="12" t="s">
        <v>3099</v>
      </c>
      <c r="M3670" s="19"/>
      <c r="N3670" s="19"/>
      <c r="O3670" s="34" t="s">
        <v>1252</v>
      </c>
      <c r="P3670" s="19"/>
    </row>
    <row r="3671" hidden="1">
      <c r="A3671" s="342">
        <v>23.0</v>
      </c>
      <c r="B3671" s="512" t="s">
        <v>12607</v>
      </c>
      <c r="C3671" s="342" t="s">
        <v>80</v>
      </c>
      <c r="D3671" s="306" t="s">
        <v>12608</v>
      </c>
      <c r="E3671" s="342" t="s">
        <v>12609</v>
      </c>
      <c r="F3671" s="342" t="s">
        <v>12610</v>
      </c>
      <c r="G3671" s="986">
        <v>46207.0</v>
      </c>
      <c r="H3671" s="33">
        <v>15.0</v>
      </c>
      <c r="I3671" s="306" t="s">
        <v>2890</v>
      </c>
      <c r="L3671" s="12" t="s">
        <v>51</v>
      </c>
      <c r="M3671" s="19"/>
      <c r="N3671" s="19"/>
      <c r="O3671" s="34" t="s">
        <v>12157</v>
      </c>
      <c r="P3671" s="19"/>
    </row>
    <row r="3672" hidden="1">
      <c r="A3672" s="342">
        <v>24.0</v>
      </c>
      <c r="B3672" s="991" t="s">
        <v>12611</v>
      </c>
      <c r="C3672" s="12" t="s">
        <v>80</v>
      </c>
      <c r="D3672" s="306" t="s">
        <v>12612</v>
      </c>
      <c r="E3672" s="987" t="s">
        <v>12613</v>
      </c>
      <c r="F3672" s="342" t="s">
        <v>44</v>
      </c>
      <c r="G3672" s="989">
        <v>46206.0</v>
      </c>
      <c r="H3672" s="306">
        <v>15.0</v>
      </c>
      <c r="I3672" s="514" t="s">
        <v>5364</v>
      </c>
      <c r="L3672" s="12" t="s">
        <v>3099</v>
      </c>
      <c r="M3672" s="19"/>
      <c r="N3672" s="19"/>
      <c r="O3672" s="34" t="s">
        <v>1252</v>
      </c>
      <c r="P3672" s="19"/>
    </row>
    <row r="3673" hidden="1">
      <c r="A3673" s="342">
        <v>25.0</v>
      </c>
      <c r="B3673" s="991" t="s">
        <v>12614</v>
      </c>
      <c r="C3673" s="12" t="s">
        <v>80</v>
      </c>
      <c r="D3673" s="306" t="s">
        <v>12615</v>
      </c>
      <c r="E3673" s="987" t="s">
        <v>12616</v>
      </c>
      <c r="F3673" s="342" t="s">
        <v>44</v>
      </c>
      <c r="G3673" s="989">
        <v>46206.0</v>
      </c>
      <c r="H3673" s="306">
        <v>15.0</v>
      </c>
      <c r="I3673" s="514" t="s">
        <v>3043</v>
      </c>
      <c r="L3673" s="12" t="s">
        <v>3099</v>
      </c>
      <c r="M3673" s="19"/>
      <c r="N3673" s="19"/>
      <c r="O3673" s="34" t="s">
        <v>1252</v>
      </c>
      <c r="P3673" s="19"/>
    </row>
    <row r="3674" hidden="1">
      <c r="A3674" s="342">
        <v>26.0</v>
      </c>
      <c r="B3674" s="991" t="s">
        <v>12617</v>
      </c>
      <c r="C3674" s="12" t="s">
        <v>80</v>
      </c>
      <c r="D3674" s="306" t="s">
        <v>12618</v>
      </c>
      <c r="E3674" s="987" t="s">
        <v>12619</v>
      </c>
      <c r="F3674" s="342" t="s">
        <v>44</v>
      </c>
      <c r="G3674" s="989">
        <v>46206.0</v>
      </c>
      <c r="H3674" s="306">
        <v>15.0</v>
      </c>
      <c r="I3674" s="306" t="s">
        <v>2890</v>
      </c>
      <c r="L3674" s="12" t="s">
        <v>3099</v>
      </c>
      <c r="M3674" s="19"/>
      <c r="N3674" s="19"/>
      <c r="O3674" s="34" t="s">
        <v>1252</v>
      </c>
      <c r="P3674" s="19"/>
    </row>
    <row r="3675" hidden="1">
      <c r="A3675" s="342">
        <v>27.0</v>
      </c>
      <c r="B3675" s="991" t="s">
        <v>12620</v>
      </c>
      <c r="C3675" s="12" t="s">
        <v>80</v>
      </c>
      <c r="D3675" s="306" t="s">
        <v>12621</v>
      </c>
      <c r="E3675" s="987" t="s">
        <v>12622</v>
      </c>
      <c r="F3675" s="342" t="s">
        <v>44</v>
      </c>
      <c r="G3675" s="989">
        <v>46206.0</v>
      </c>
      <c r="H3675" s="306">
        <v>15.0</v>
      </c>
      <c r="I3675" s="306" t="s">
        <v>2890</v>
      </c>
      <c r="L3675" s="12" t="s">
        <v>3099</v>
      </c>
      <c r="M3675" s="19"/>
      <c r="N3675" s="19"/>
      <c r="O3675" s="34" t="s">
        <v>1252</v>
      </c>
      <c r="P3675" s="19"/>
    </row>
    <row r="3676" hidden="1">
      <c r="A3676" s="342">
        <v>28.0</v>
      </c>
      <c r="B3676" s="991" t="s">
        <v>12623</v>
      </c>
      <c r="C3676" s="12" t="s">
        <v>80</v>
      </c>
      <c r="D3676" s="306" t="s">
        <v>12624</v>
      </c>
      <c r="E3676" s="987" t="s">
        <v>12625</v>
      </c>
      <c r="F3676" s="342" t="s">
        <v>44</v>
      </c>
      <c r="G3676" s="989">
        <v>46206.0</v>
      </c>
      <c r="H3676" s="306">
        <v>15.0</v>
      </c>
      <c r="I3676" s="306" t="s">
        <v>2890</v>
      </c>
      <c r="L3676" s="12" t="s">
        <v>3099</v>
      </c>
      <c r="M3676" s="19"/>
      <c r="N3676" s="19"/>
      <c r="O3676" s="34" t="s">
        <v>1252</v>
      </c>
      <c r="P3676" s="19"/>
    </row>
    <row r="3677" hidden="1">
      <c r="A3677" s="342">
        <v>29.0</v>
      </c>
      <c r="B3677" s="991" t="s">
        <v>12626</v>
      </c>
      <c r="C3677" s="12" t="s">
        <v>80</v>
      </c>
      <c r="D3677" s="306" t="s">
        <v>12627</v>
      </c>
      <c r="E3677" s="987" t="s">
        <v>12628</v>
      </c>
      <c r="F3677" s="342" t="s">
        <v>44</v>
      </c>
      <c r="G3677" s="989">
        <v>46206.0</v>
      </c>
      <c r="H3677" s="306">
        <v>15.0</v>
      </c>
      <c r="I3677" s="514" t="s">
        <v>5364</v>
      </c>
      <c r="L3677" s="12" t="s">
        <v>3099</v>
      </c>
      <c r="M3677" s="19"/>
      <c r="N3677" s="19"/>
      <c r="O3677" s="34" t="s">
        <v>1252</v>
      </c>
      <c r="P3677" s="19"/>
    </row>
    <row r="3678" hidden="1">
      <c r="A3678" s="342">
        <v>30.0</v>
      </c>
      <c r="B3678" s="991" t="s">
        <v>12629</v>
      </c>
      <c r="C3678" s="12" t="s">
        <v>80</v>
      </c>
      <c r="D3678" s="306" t="s">
        <v>12630</v>
      </c>
      <c r="E3678" s="987" t="s">
        <v>12631</v>
      </c>
      <c r="F3678" s="342" t="s">
        <v>44</v>
      </c>
      <c r="G3678" s="989">
        <v>46206.0</v>
      </c>
      <c r="H3678" s="306">
        <v>15.0</v>
      </c>
      <c r="I3678" s="306" t="s">
        <v>2890</v>
      </c>
      <c r="L3678" s="12" t="s">
        <v>3099</v>
      </c>
      <c r="M3678" s="19"/>
      <c r="N3678" s="19"/>
      <c r="O3678" s="34" t="s">
        <v>1252</v>
      </c>
      <c r="P3678" s="19"/>
    </row>
    <row r="3679" hidden="1">
      <c r="A3679" s="342">
        <v>31.0</v>
      </c>
      <c r="B3679" s="991" t="s">
        <v>12632</v>
      </c>
      <c r="C3679" s="12" t="s">
        <v>80</v>
      </c>
      <c r="D3679" s="306" t="s">
        <v>12633</v>
      </c>
      <c r="E3679" s="987" t="s">
        <v>12634</v>
      </c>
      <c r="F3679" s="342" t="s">
        <v>44</v>
      </c>
      <c r="G3679" s="989">
        <v>46206.0</v>
      </c>
      <c r="H3679" s="306">
        <v>15.0</v>
      </c>
      <c r="I3679" s="306" t="s">
        <v>2890</v>
      </c>
      <c r="L3679" s="12" t="s">
        <v>3099</v>
      </c>
      <c r="M3679" s="19"/>
      <c r="N3679" s="19"/>
      <c r="O3679" s="34" t="s">
        <v>1252</v>
      </c>
      <c r="P3679" s="19"/>
    </row>
    <row r="3680" hidden="1">
      <c r="A3680" s="342">
        <v>32.0</v>
      </c>
      <c r="B3680" s="991" t="s">
        <v>12635</v>
      </c>
      <c r="C3680" s="12" t="s">
        <v>80</v>
      </c>
      <c r="D3680" s="306" t="s">
        <v>12636</v>
      </c>
      <c r="E3680" s="987" t="s">
        <v>12637</v>
      </c>
      <c r="F3680" s="342" t="s">
        <v>44</v>
      </c>
      <c r="G3680" s="989">
        <v>46206.0</v>
      </c>
      <c r="H3680" s="306">
        <v>15.0</v>
      </c>
      <c r="I3680" s="306" t="s">
        <v>2890</v>
      </c>
      <c r="L3680" s="12" t="s">
        <v>3099</v>
      </c>
      <c r="M3680" s="19"/>
      <c r="N3680" s="19"/>
      <c r="O3680" s="34" t="s">
        <v>1252</v>
      </c>
      <c r="P3680" s="19"/>
    </row>
    <row r="3681" hidden="1">
      <c r="A3681" s="342">
        <v>33.0</v>
      </c>
      <c r="B3681" s="991" t="s">
        <v>12638</v>
      </c>
      <c r="C3681" s="12" t="s">
        <v>80</v>
      </c>
      <c r="D3681" s="306" t="s">
        <v>12639</v>
      </c>
      <c r="E3681" s="987" t="s">
        <v>12640</v>
      </c>
      <c r="F3681" s="342" t="s">
        <v>44</v>
      </c>
      <c r="G3681" s="989">
        <v>46206.0</v>
      </c>
      <c r="H3681" s="306">
        <v>15.0</v>
      </c>
      <c r="I3681" s="306" t="s">
        <v>2890</v>
      </c>
      <c r="L3681" s="12" t="s">
        <v>3099</v>
      </c>
      <c r="M3681" s="19"/>
      <c r="N3681" s="19"/>
      <c r="O3681" s="34" t="s">
        <v>1252</v>
      </c>
      <c r="P3681" s="19"/>
    </row>
    <row r="3682" hidden="1">
      <c r="A3682" s="342">
        <v>34.0</v>
      </c>
      <c r="B3682" s="991" t="s">
        <v>12641</v>
      </c>
      <c r="C3682" s="12" t="s">
        <v>80</v>
      </c>
      <c r="D3682" s="306" t="s">
        <v>12642</v>
      </c>
      <c r="E3682" s="987" t="s">
        <v>12643</v>
      </c>
      <c r="F3682" s="342" t="s">
        <v>44</v>
      </c>
      <c r="G3682" s="989">
        <v>46206.0</v>
      </c>
      <c r="H3682" s="306">
        <v>15.0</v>
      </c>
      <c r="I3682" s="306" t="s">
        <v>2890</v>
      </c>
      <c r="L3682" s="12" t="s">
        <v>3099</v>
      </c>
      <c r="M3682" s="19"/>
      <c r="N3682" s="19"/>
      <c r="O3682" s="34" t="s">
        <v>1252</v>
      </c>
      <c r="P3682" s="19"/>
    </row>
    <row r="3683" hidden="1">
      <c r="A3683" s="342">
        <v>35.0</v>
      </c>
      <c r="B3683" s="991" t="s">
        <v>12644</v>
      </c>
      <c r="C3683" s="12" t="s">
        <v>80</v>
      </c>
      <c r="D3683" s="306" t="s">
        <v>12645</v>
      </c>
      <c r="E3683" s="987" t="s">
        <v>12646</v>
      </c>
      <c r="F3683" s="342" t="s">
        <v>44</v>
      </c>
      <c r="G3683" s="989">
        <v>46206.0</v>
      </c>
      <c r="H3683" s="306">
        <v>15.0</v>
      </c>
      <c r="I3683" s="306" t="s">
        <v>2890</v>
      </c>
      <c r="L3683" s="12" t="s">
        <v>3099</v>
      </c>
      <c r="M3683" s="19"/>
      <c r="N3683" s="19"/>
      <c r="O3683" s="34" t="s">
        <v>1252</v>
      </c>
      <c r="P3683" s="19"/>
    </row>
    <row r="3684" hidden="1">
      <c r="A3684" s="342">
        <v>36.0</v>
      </c>
      <c r="B3684" s="991" t="s">
        <v>12647</v>
      </c>
      <c r="C3684" s="12" t="s">
        <v>80</v>
      </c>
      <c r="D3684" s="306" t="s">
        <v>12648</v>
      </c>
      <c r="E3684" s="987" t="s">
        <v>12649</v>
      </c>
      <c r="F3684" s="342" t="s">
        <v>44</v>
      </c>
      <c r="G3684" s="989">
        <v>46206.0</v>
      </c>
      <c r="H3684" s="306">
        <v>15.0</v>
      </c>
      <c r="I3684" s="306" t="s">
        <v>2890</v>
      </c>
      <c r="L3684" s="12" t="s">
        <v>3099</v>
      </c>
      <c r="M3684" s="19"/>
      <c r="N3684" s="19"/>
      <c r="O3684" s="34" t="s">
        <v>1252</v>
      </c>
      <c r="P3684" s="19"/>
    </row>
    <row r="3685" hidden="1">
      <c r="A3685" s="342">
        <v>37.0</v>
      </c>
      <c r="B3685" s="991" t="s">
        <v>12650</v>
      </c>
      <c r="C3685" s="12" t="s">
        <v>80</v>
      </c>
      <c r="D3685" s="306" t="s">
        <v>12651</v>
      </c>
      <c r="E3685" s="987" t="s">
        <v>12652</v>
      </c>
      <c r="F3685" s="342" t="s">
        <v>44</v>
      </c>
      <c r="G3685" s="989">
        <v>46206.0</v>
      </c>
      <c r="H3685" s="306">
        <v>15.0</v>
      </c>
      <c r="I3685" s="306" t="s">
        <v>2890</v>
      </c>
      <c r="L3685" s="12" t="s">
        <v>3099</v>
      </c>
      <c r="M3685" s="19"/>
      <c r="N3685" s="19"/>
      <c r="O3685" s="34" t="s">
        <v>1252</v>
      </c>
      <c r="P3685" s="19"/>
    </row>
    <row r="3686" hidden="1">
      <c r="A3686" s="342">
        <v>38.0</v>
      </c>
      <c r="B3686" s="991" t="s">
        <v>12653</v>
      </c>
      <c r="C3686" s="12" t="s">
        <v>80</v>
      </c>
      <c r="D3686" s="306" t="s">
        <v>12654</v>
      </c>
      <c r="E3686" s="987" t="s">
        <v>12655</v>
      </c>
      <c r="F3686" s="342" t="s">
        <v>44</v>
      </c>
      <c r="G3686" s="989">
        <v>46206.0</v>
      </c>
      <c r="H3686" s="306">
        <v>15.0</v>
      </c>
      <c r="I3686" s="306" t="s">
        <v>2890</v>
      </c>
      <c r="L3686" s="12" t="s">
        <v>3099</v>
      </c>
      <c r="M3686" s="19"/>
      <c r="N3686" s="19"/>
      <c r="O3686" s="34" t="s">
        <v>1252</v>
      </c>
      <c r="P3686" s="19"/>
    </row>
    <row r="3687" hidden="1">
      <c r="A3687" s="342">
        <v>39.0</v>
      </c>
      <c r="B3687" s="991" t="s">
        <v>12656</v>
      </c>
      <c r="C3687" s="12" t="s">
        <v>80</v>
      </c>
      <c r="D3687" s="306" t="s">
        <v>12657</v>
      </c>
      <c r="E3687" s="987" t="s">
        <v>12658</v>
      </c>
      <c r="F3687" s="342" t="s">
        <v>44</v>
      </c>
      <c r="G3687" s="989">
        <v>46206.0</v>
      </c>
      <c r="H3687" s="306">
        <v>15.0</v>
      </c>
      <c r="I3687" s="306" t="s">
        <v>10783</v>
      </c>
      <c r="L3687" s="12" t="s">
        <v>3099</v>
      </c>
      <c r="M3687" s="19"/>
      <c r="N3687" s="19"/>
      <c r="O3687" s="34" t="s">
        <v>1252</v>
      </c>
      <c r="P3687" s="19"/>
    </row>
    <row r="3688" hidden="1">
      <c r="A3688" s="342">
        <v>40.0</v>
      </c>
      <c r="B3688" s="991" t="s">
        <v>12659</v>
      </c>
      <c r="C3688" s="12" t="s">
        <v>80</v>
      </c>
      <c r="D3688" s="306" t="s">
        <v>12660</v>
      </c>
      <c r="E3688" s="987" t="s">
        <v>12661</v>
      </c>
      <c r="F3688" s="342" t="s">
        <v>44</v>
      </c>
      <c r="G3688" s="989">
        <v>46206.0</v>
      </c>
      <c r="H3688" s="306">
        <v>15.0</v>
      </c>
      <c r="I3688" s="485" t="s">
        <v>3465</v>
      </c>
      <c r="L3688" s="12" t="s">
        <v>3099</v>
      </c>
      <c r="M3688" s="19"/>
      <c r="N3688" s="19"/>
      <c r="O3688" s="34" t="s">
        <v>11519</v>
      </c>
      <c r="P3688" s="19"/>
    </row>
    <row r="3689">
      <c r="A3689" s="339" t="s">
        <v>12662</v>
      </c>
      <c r="Q3689" s="35"/>
      <c r="R3689" s="35"/>
      <c r="S3689" s="35"/>
      <c r="T3689" s="35"/>
      <c r="U3689" s="35"/>
      <c r="V3689" s="35"/>
      <c r="W3689" s="35"/>
      <c r="X3689" s="35"/>
      <c r="Y3689" s="35"/>
      <c r="Z3689" s="35"/>
      <c r="AA3689" s="35"/>
      <c r="AB3689" s="35"/>
      <c r="AC3689" s="35"/>
      <c r="AD3689" s="35"/>
      <c r="AE3689" s="35"/>
      <c r="AF3689" s="35"/>
    </row>
    <row r="3690">
      <c r="A3690" s="670" t="s">
        <v>47</v>
      </c>
      <c r="B3690" s="670" t="s">
        <v>7</v>
      </c>
      <c r="C3690" s="670" t="s">
        <v>9</v>
      </c>
      <c r="D3690" s="670" t="s">
        <v>10</v>
      </c>
      <c r="E3690" s="670" t="s">
        <v>11</v>
      </c>
      <c r="F3690" s="670" t="s">
        <v>12</v>
      </c>
      <c r="G3690" s="670" t="s">
        <v>2378</v>
      </c>
      <c r="H3690" s="670" t="s">
        <v>2681</v>
      </c>
      <c r="I3690" s="4" t="s">
        <v>2847</v>
      </c>
      <c r="J3690" s="8" t="s">
        <v>14</v>
      </c>
      <c r="K3690" s="9" t="s">
        <v>16</v>
      </c>
      <c r="L3690" s="10" t="s">
        <v>11871</v>
      </c>
      <c r="M3690" s="9" t="s">
        <v>18</v>
      </c>
      <c r="N3690" s="9" t="s">
        <v>19</v>
      </c>
      <c r="O3690" s="9" t="s">
        <v>20</v>
      </c>
      <c r="P3690" s="9" t="s">
        <v>21</v>
      </c>
      <c r="Q3690" s="35"/>
      <c r="R3690" s="35"/>
      <c r="S3690" s="35"/>
      <c r="T3690" s="35"/>
      <c r="U3690" s="35"/>
      <c r="V3690" s="35"/>
      <c r="W3690" s="35"/>
      <c r="X3690" s="35"/>
      <c r="Y3690" s="35"/>
      <c r="Z3690" s="35"/>
      <c r="AA3690" s="35"/>
      <c r="AB3690" s="35"/>
      <c r="AC3690" s="35"/>
      <c r="AD3690" s="35"/>
      <c r="AE3690" s="35"/>
      <c r="AF3690" s="35"/>
    </row>
    <row r="3691" hidden="1">
      <c r="A3691" s="342">
        <v>1.0</v>
      </c>
      <c r="B3691" s="341" t="s">
        <v>12663</v>
      </c>
      <c r="C3691" s="275" t="s">
        <v>80</v>
      </c>
      <c r="D3691" s="306" t="s">
        <v>12664</v>
      </c>
      <c r="E3691" s="993" t="s">
        <v>12665</v>
      </c>
      <c r="F3691" s="275" t="s">
        <v>5809</v>
      </c>
      <c r="G3691" s="148">
        <v>46119.0</v>
      </c>
      <c r="H3691" s="118">
        <v>11.0</v>
      </c>
      <c r="I3691" s="275" t="s">
        <v>2890</v>
      </c>
      <c r="J3691" s="19"/>
      <c r="K3691" s="19"/>
      <c r="L3691" s="12" t="s">
        <v>3099</v>
      </c>
      <c r="M3691" s="19"/>
      <c r="N3691" s="19"/>
      <c r="O3691" s="34" t="s">
        <v>12666</v>
      </c>
      <c r="P3691" s="19"/>
    </row>
    <row r="3692" hidden="1">
      <c r="A3692" s="342">
        <v>2.0</v>
      </c>
      <c r="B3692" s="341" t="s">
        <v>12667</v>
      </c>
      <c r="C3692" s="275" t="s">
        <v>80</v>
      </c>
      <c r="D3692" s="306" t="s">
        <v>12668</v>
      </c>
      <c r="E3692" s="993" t="s">
        <v>12669</v>
      </c>
      <c r="F3692" s="275" t="s">
        <v>5809</v>
      </c>
      <c r="G3692" s="148">
        <v>46119.0</v>
      </c>
      <c r="H3692" s="118">
        <v>11.0</v>
      </c>
      <c r="I3692" s="522" t="s">
        <v>10783</v>
      </c>
      <c r="J3692" s="19"/>
      <c r="K3692" s="19"/>
      <c r="L3692" s="12" t="s">
        <v>3099</v>
      </c>
      <c r="M3692" s="19"/>
      <c r="N3692" s="19"/>
      <c r="O3692" s="34" t="s">
        <v>12666</v>
      </c>
      <c r="P3692" s="19"/>
    </row>
    <row r="3693" hidden="1">
      <c r="A3693" s="342">
        <v>3.0</v>
      </c>
      <c r="B3693" s="341" t="s">
        <v>12670</v>
      </c>
      <c r="C3693" s="275" t="s">
        <v>80</v>
      </c>
      <c r="D3693" s="306" t="s">
        <v>12671</v>
      </c>
      <c r="E3693" s="993" t="s">
        <v>12672</v>
      </c>
      <c r="F3693" s="275" t="s">
        <v>5809</v>
      </c>
      <c r="G3693" s="148">
        <v>46119.0</v>
      </c>
      <c r="H3693" s="118">
        <v>11.0</v>
      </c>
      <c r="I3693" s="275" t="s">
        <v>2890</v>
      </c>
      <c r="J3693" s="19"/>
      <c r="K3693" s="19"/>
      <c r="L3693" s="12" t="s">
        <v>3099</v>
      </c>
      <c r="M3693" s="19"/>
      <c r="N3693" s="19"/>
      <c r="O3693" s="34" t="s">
        <v>11519</v>
      </c>
      <c r="P3693" s="19"/>
    </row>
    <row r="3694" hidden="1">
      <c r="A3694" s="342">
        <v>4.0</v>
      </c>
      <c r="B3694" s="341" t="s">
        <v>12673</v>
      </c>
      <c r="C3694" s="275" t="s">
        <v>80</v>
      </c>
      <c r="D3694" s="306" t="s">
        <v>12674</v>
      </c>
      <c r="E3694" s="993" t="s">
        <v>12675</v>
      </c>
      <c r="F3694" s="275" t="s">
        <v>5809</v>
      </c>
      <c r="G3694" s="994">
        <v>46207.0</v>
      </c>
      <c r="H3694" s="118">
        <v>11.0</v>
      </c>
      <c r="I3694" s="275" t="s">
        <v>2890</v>
      </c>
      <c r="J3694" s="19"/>
      <c r="K3694" s="19"/>
      <c r="L3694" s="12" t="s">
        <v>3099</v>
      </c>
      <c r="M3694" s="19"/>
      <c r="N3694" s="19"/>
      <c r="O3694" s="34" t="s">
        <v>12666</v>
      </c>
      <c r="P3694" s="19"/>
    </row>
    <row r="3695" hidden="1">
      <c r="A3695" s="342">
        <v>5.0</v>
      </c>
      <c r="B3695" s="341" t="s">
        <v>12676</v>
      </c>
      <c r="C3695" s="275" t="s">
        <v>80</v>
      </c>
      <c r="D3695" s="306" t="s">
        <v>12677</v>
      </c>
      <c r="E3695" s="993" t="s">
        <v>12678</v>
      </c>
      <c r="F3695" s="275" t="s">
        <v>5809</v>
      </c>
      <c r="G3695" s="148">
        <v>46119.0</v>
      </c>
      <c r="H3695" s="118">
        <v>11.0</v>
      </c>
      <c r="I3695" s="275" t="s">
        <v>2890</v>
      </c>
      <c r="J3695" s="19"/>
      <c r="K3695" s="19"/>
      <c r="L3695" s="12" t="s">
        <v>3099</v>
      </c>
      <c r="M3695" s="19"/>
      <c r="N3695" s="19"/>
      <c r="O3695" s="34" t="s">
        <v>12666</v>
      </c>
      <c r="P3695" s="19"/>
    </row>
    <row r="3696" hidden="1">
      <c r="A3696" s="342">
        <v>6.0</v>
      </c>
      <c r="B3696" s="341" t="s">
        <v>12679</v>
      </c>
      <c r="C3696" s="275" t="s">
        <v>80</v>
      </c>
      <c r="D3696" s="306" t="s">
        <v>12680</v>
      </c>
      <c r="E3696" s="993" t="s">
        <v>12681</v>
      </c>
      <c r="F3696" s="275" t="s">
        <v>5809</v>
      </c>
      <c r="G3696" s="148">
        <v>46119.0</v>
      </c>
      <c r="H3696" s="118">
        <v>11.0</v>
      </c>
      <c r="I3696" s="522" t="s">
        <v>10093</v>
      </c>
      <c r="J3696" s="19"/>
      <c r="K3696" s="19"/>
      <c r="L3696" s="12" t="s">
        <v>3099</v>
      </c>
      <c r="M3696" s="19"/>
      <c r="N3696" s="19"/>
      <c r="O3696" s="34" t="s">
        <v>12666</v>
      </c>
      <c r="P3696" s="19"/>
    </row>
    <row r="3697" hidden="1">
      <c r="A3697" s="342">
        <v>7.0</v>
      </c>
      <c r="B3697" s="341" t="s">
        <v>12682</v>
      </c>
      <c r="C3697" s="275" t="s">
        <v>80</v>
      </c>
      <c r="D3697" s="306" t="s">
        <v>12683</v>
      </c>
      <c r="E3697" s="993" t="s">
        <v>12684</v>
      </c>
      <c r="F3697" s="275" t="s">
        <v>5809</v>
      </c>
      <c r="G3697" s="148">
        <v>46119.0</v>
      </c>
      <c r="H3697" s="118">
        <v>11.0</v>
      </c>
      <c r="I3697" s="275" t="s">
        <v>2890</v>
      </c>
      <c r="J3697" s="19"/>
      <c r="K3697" s="19"/>
      <c r="L3697" s="12" t="s">
        <v>3099</v>
      </c>
      <c r="M3697" s="19"/>
      <c r="N3697" s="19"/>
      <c r="O3697" s="34" t="s">
        <v>12666</v>
      </c>
      <c r="P3697" s="19"/>
    </row>
    <row r="3698" hidden="1">
      <c r="A3698" s="342">
        <v>8.0</v>
      </c>
      <c r="B3698" s="341" t="s">
        <v>12685</v>
      </c>
      <c r="C3698" s="275" t="s">
        <v>80</v>
      </c>
      <c r="D3698" s="306" t="s">
        <v>12686</v>
      </c>
      <c r="E3698" s="993" t="s">
        <v>12687</v>
      </c>
      <c r="F3698" s="275" t="s">
        <v>5809</v>
      </c>
      <c r="G3698" s="148">
        <v>46119.0</v>
      </c>
      <c r="H3698" s="118">
        <v>11.0</v>
      </c>
      <c r="I3698" s="275" t="s">
        <v>2890</v>
      </c>
      <c r="J3698" s="19"/>
      <c r="K3698" s="19"/>
      <c r="L3698" s="12" t="s">
        <v>3099</v>
      </c>
      <c r="M3698" s="19"/>
      <c r="N3698" s="19"/>
      <c r="O3698" s="34" t="s">
        <v>12666</v>
      </c>
      <c r="P3698" s="19"/>
    </row>
    <row r="3699" hidden="1">
      <c r="A3699" s="342">
        <v>9.0</v>
      </c>
      <c r="B3699" s="341" t="s">
        <v>12688</v>
      </c>
      <c r="C3699" s="275" t="s">
        <v>80</v>
      </c>
      <c r="D3699" s="306" t="s">
        <v>12689</v>
      </c>
      <c r="E3699" s="993" t="s">
        <v>12690</v>
      </c>
      <c r="F3699" s="275" t="s">
        <v>5809</v>
      </c>
      <c r="G3699" s="148">
        <v>46119.0</v>
      </c>
      <c r="H3699" s="118">
        <v>11.0</v>
      </c>
      <c r="I3699" s="275" t="s">
        <v>2890</v>
      </c>
      <c r="J3699" s="19"/>
      <c r="K3699" s="19"/>
      <c r="L3699" s="12" t="s">
        <v>3099</v>
      </c>
      <c r="M3699" s="19"/>
      <c r="N3699" s="19"/>
      <c r="O3699" s="34" t="s">
        <v>12691</v>
      </c>
      <c r="P3699" s="19"/>
    </row>
    <row r="3700" hidden="1">
      <c r="A3700" s="342">
        <v>10.0</v>
      </c>
      <c r="B3700" s="341" t="s">
        <v>12692</v>
      </c>
      <c r="C3700" s="275" t="s">
        <v>80</v>
      </c>
      <c r="D3700" s="306" t="s">
        <v>12693</v>
      </c>
      <c r="E3700" s="993" t="s">
        <v>12694</v>
      </c>
      <c r="F3700" s="275" t="s">
        <v>5809</v>
      </c>
      <c r="G3700" s="148">
        <v>46119.0</v>
      </c>
      <c r="H3700" s="118">
        <v>11.0</v>
      </c>
      <c r="I3700" s="275" t="s">
        <v>2890</v>
      </c>
      <c r="J3700" s="19"/>
      <c r="K3700" s="19"/>
      <c r="L3700" s="12" t="s">
        <v>3099</v>
      </c>
      <c r="M3700" s="19"/>
      <c r="N3700" s="19"/>
      <c r="O3700" s="34" t="s">
        <v>12666</v>
      </c>
      <c r="P3700" s="19"/>
    </row>
    <row r="3701" hidden="1">
      <c r="A3701" s="342">
        <v>11.0</v>
      </c>
      <c r="B3701" s="341" t="s">
        <v>12695</v>
      </c>
      <c r="C3701" s="275" t="s">
        <v>80</v>
      </c>
      <c r="D3701" s="306" t="s">
        <v>12696</v>
      </c>
      <c r="E3701" s="993" t="s">
        <v>12697</v>
      </c>
      <c r="F3701" s="275" t="s">
        <v>5809</v>
      </c>
      <c r="G3701" s="148">
        <v>46119.0</v>
      </c>
      <c r="H3701" s="118">
        <v>11.0</v>
      </c>
      <c r="I3701" s="275" t="s">
        <v>2890</v>
      </c>
      <c r="J3701" s="19"/>
      <c r="K3701" s="19"/>
      <c r="L3701" s="12" t="s">
        <v>3099</v>
      </c>
      <c r="M3701" s="19"/>
      <c r="N3701" s="19"/>
      <c r="O3701" s="34" t="s">
        <v>11519</v>
      </c>
      <c r="P3701" s="19"/>
    </row>
    <row r="3702" hidden="1">
      <c r="A3702" s="342">
        <v>12.0</v>
      </c>
      <c r="B3702" s="341" t="s">
        <v>12698</v>
      </c>
      <c r="C3702" s="275" t="s">
        <v>80</v>
      </c>
      <c r="D3702" s="306" t="s">
        <v>12699</v>
      </c>
      <c r="E3702" s="993" t="s">
        <v>12700</v>
      </c>
      <c r="F3702" s="275" t="s">
        <v>5809</v>
      </c>
      <c r="G3702" s="148">
        <v>46119.0</v>
      </c>
      <c r="H3702" s="118">
        <v>11.0</v>
      </c>
      <c r="I3702" s="275" t="s">
        <v>2890</v>
      </c>
      <c r="J3702" s="19"/>
      <c r="K3702" s="19"/>
      <c r="L3702" s="12" t="s">
        <v>3099</v>
      </c>
      <c r="M3702" s="19"/>
      <c r="N3702" s="19"/>
      <c r="O3702" s="34" t="s">
        <v>1290</v>
      </c>
      <c r="P3702" s="19"/>
    </row>
    <row r="3703" hidden="1">
      <c r="A3703" s="342">
        <v>13.0</v>
      </c>
      <c r="B3703" s="341" t="s">
        <v>12701</v>
      </c>
      <c r="C3703" s="275" t="s">
        <v>80</v>
      </c>
      <c r="D3703" s="306" t="s">
        <v>12702</v>
      </c>
      <c r="E3703" s="993" t="s">
        <v>12703</v>
      </c>
      <c r="F3703" s="275" t="s">
        <v>5809</v>
      </c>
      <c r="G3703" s="148">
        <v>46119.0</v>
      </c>
      <c r="H3703" s="118">
        <v>11.0</v>
      </c>
      <c r="I3703" s="522" t="s">
        <v>10093</v>
      </c>
      <c r="J3703" s="19"/>
      <c r="K3703" s="19"/>
      <c r="L3703" s="12" t="s">
        <v>3099</v>
      </c>
      <c r="M3703" s="19"/>
      <c r="N3703" s="19"/>
      <c r="O3703" s="34" t="s">
        <v>1290</v>
      </c>
      <c r="P3703" s="19"/>
    </row>
    <row r="3704" hidden="1">
      <c r="A3704" s="342">
        <v>14.0</v>
      </c>
      <c r="B3704" s="341" t="s">
        <v>12704</v>
      </c>
      <c r="C3704" s="275" t="s">
        <v>80</v>
      </c>
      <c r="D3704" s="306" t="s">
        <v>12705</v>
      </c>
      <c r="E3704" s="993" t="s">
        <v>12706</v>
      </c>
      <c r="F3704" s="275" t="s">
        <v>5809</v>
      </c>
      <c r="G3704" s="148">
        <v>46119.0</v>
      </c>
      <c r="H3704" s="118">
        <v>11.0</v>
      </c>
      <c r="I3704" s="540" t="s">
        <v>3465</v>
      </c>
      <c r="J3704" s="19"/>
      <c r="K3704" s="19"/>
      <c r="L3704" s="12" t="s">
        <v>3099</v>
      </c>
      <c r="M3704" s="19"/>
      <c r="N3704" s="19"/>
      <c r="O3704" s="34" t="s">
        <v>1290</v>
      </c>
      <c r="P3704" s="19"/>
    </row>
    <row r="3705" hidden="1">
      <c r="A3705" s="342">
        <v>15.0</v>
      </c>
      <c r="B3705" s="341" t="s">
        <v>12707</v>
      </c>
      <c r="C3705" s="275" t="s">
        <v>80</v>
      </c>
      <c r="D3705" s="306" t="s">
        <v>12708</v>
      </c>
      <c r="E3705" s="993" t="s">
        <v>12709</v>
      </c>
      <c r="F3705" s="275" t="s">
        <v>5809</v>
      </c>
      <c r="G3705" s="148">
        <v>46119.0</v>
      </c>
      <c r="H3705" s="118">
        <v>11.0</v>
      </c>
      <c r="I3705" s="275" t="s">
        <v>2890</v>
      </c>
      <c r="J3705" s="19"/>
      <c r="K3705" s="19"/>
      <c r="L3705" s="12" t="s">
        <v>3099</v>
      </c>
      <c r="M3705" s="19"/>
      <c r="N3705" s="19"/>
      <c r="O3705" s="34" t="s">
        <v>1290</v>
      </c>
      <c r="P3705" s="19"/>
    </row>
    <row r="3706" hidden="1">
      <c r="A3706" s="342">
        <v>16.0</v>
      </c>
      <c r="B3706" s="341" t="s">
        <v>12710</v>
      </c>
      <c r="C3706" s="275" t="s">
        <v>80</v>
      </c>
      <c r="D3706" s="306" t="s">
        <v>12711</v>
      </c>
      <c r="E3706" s="993" t="s">
        <v>12712</v>
      </c>
      <c r="F3706" s="275" t="s">
        <v>5809</v>
      </c>
      <c r="G3706" s="148">
        <v>46119.0</v>
      </c>
      <c r="H3706" s="118">
        <v>11.0</v>
      </c>
      <c r="I3706" s="275" t="s">
        <v>2890</v>
      </c>
      <c r="J3706" s="19"/>
      <c r="K3706" s="19"/>
      <c r="L3706" s="12" t="s">
        <v>3099</v>
      </c>
      <c r="M3706" s="19"/>
      <c r="N3706" s="19"/>
      <c r="O3706" s="34" t="s">
        <v>1290</v>
      </c>
      <c r="P3706" s="19"/>
    </row>
    <row r="3707">
      <c r="A3707" s="339" t="s">
        <v>12713</v>
      </c>
      <c r="Q3707" s="35"/>
      <c r="R3707" s="35"/>
      <c r="S3707" s="35"/>
      <c r="T3707" s="35"/>
      <c r="U3707" s="35"/>
      <c r="V3707" s="35"/>
      <c r="W3707" s="35"/>
      <c r="X3707" s="35"/>
      <c r="Y3707" s="35"/>
      <c r="Z3707" s="35"/>
      <c r="AA3707" s="35"/>
      <c r="AB3707" s="35"/>
      <c r="AC3707" s="35"/>
      <c r="AD3707" s="35"/>
      <c r="AE3707" s="35"/>
      <c r="AF3707" s="35"/>
    </row>
    <row r="3708">
      <c r="A3708" s="670" t="s">
        <v>47</v>
      </c>
      <c r="B3708" s="670" t="s">
        <v>7</v>
      </c>
      <c r="C3708" s="670" t="s">
        <v>9</v>
      </c>
      <c r="D3708" s="670" t="s">
        <v>10</v>
      </c>
      <c r="E3708" s="670" t="s">
        <v>11</v>
      </c>
      <c r="F3708" s="670" t="s">
        <v>12</v>
      </c>
      <c r="G3708" s="670" t="s">
        <v>2378</v>
      </c>
      <c r="H3708" s="670" t="s">
        <v>2681</v>
      </c>
      <c r="I3708" s="4" t="s">
        <v>2847</v>
      </c>
      <c r="J3708" s="8" t="s">
        <v>14</v>
      </c>
      <c r="K3708" s="9" t="s">
        <v>16</v>
      </c>
      <c r="L3708" s="10" t="s">
        <v>11871</v>
      </c>
      <c r="M3708" s="9" t="s">
        <v>18</v>
      </c>
      <c r="N3708" s="9" t="s">
        <v>19</v>
      </c>
      <c r="O3708" s="9" t="s">
        <v>20</v>
      </c>
      <c r="P3708" s="9" t="s">
        <v>21</v>
      </c>
      <c r="Q3708" s="35"/>
      <c r="R3708" s="35"/>
      <c r="S3708" s="35"/>
      <c r="T3708" s="35"/>
      <c r="U3708" s="35"/>
      <c r="V3708" s="35"/>
      <c r="W3708" s="35"/>
      <c r="X3708" s="35"/>
      <c r="Y3708" s="35"/>
      <c r="Z3708" s="35"/>
      <c r="AA3708" s="35"/>
      <c r="AB3708" s="35"/>
      <c r="AC3708" s="35"/>
      <c r="AD3708" s="35"/>
      <c r="AE3708" s="35"/>
      <c r="AF3708" s="35"/>
    </row>
    <row r="3709">
      <c r="A3709" s="995">
        <v>1.0</v>
      </c>
      <c r="B3709" s="996" t="s">
        <v>12714</v>
      </c>
      <c r="C3709" s="619" t="s">
        <v>80</v>
      </c>
      <c r="D3709" s="619" t="s">
        <v>12715</v>
      </c>
      <c r="E3709" s="995" t="s">
        <v>12716</v>
      </c>
      <c r="F3709" s="619" t="s">
        <v>349</v>
      </c>
      <c r="G3709" s="997">
        <v>46210.0</v>
      </c>
      <c r="H3709" s="118"/>
      <c r="I3709" s="715" t="s">
        <v>2890</v>
      </c>
      <c r="J3709" s="19"/>
      <c r="K3709" s="19"/>
      <c r="L3709" s="12" t="s">
        <v>374</v>
      </c>
      <c r="M3709" s="19"/>
      <c r="N3709" s="19"/>
      <c r="O3709" s="998">
        <v>46207.0</v>
      </c>
      <c r="P3709" s="19"/>
    </row>
    <row r="3710">
      <c r="A3710" s="999">
        <v>2.0</v>
      </c>
      <c r="B3710" s="1000" t="s">
        <v>12717</v>
      </c>
      <c r="C3710" s="306" t="s">
        <v>2307</v>
      </c>
      <c r="D3710" s="306" t="s">
        <v>12718</v>
      </c>
      <c r="E3710" s="999" t="s">
        <v>12719</v>
      </c>
      <c r="F3710" s="306" t="s">
        <v>4297</v>
      </c>
      <c r="G3710" s="471" t="s">
        <v>11628</v>
      </c>
      <c r="H3710" s="941">
        <v>6.0</v>
      </c>
      <c r="I3710" s="719" t="s">
        <v>10093</v>
      </c>
      <c r="J3710" s="19"/>
      <c r="K3710" s="19"/>
      <c r="L3710" s="12" t="s">
        <v>699</v>
      </c>
      <c r="M3710" s="19"/>
      <c r="N3710" s="19"/>
      <c r="O3710" s="998">
        <v>46214.0</v>
      </c>
      <c r="P3710" s="19"/>
    </row>
    <row r="3711">
      <c r="A3711" s="999">
        <v>3.0</v>
      </c>
      <c r="B3711" s="1000" t="s">
        <v>12720</v>
      </c>
      <c r="C3711" s="306" t="s">
        <v>2307</v>
      </c>
      <c r="D3711" s="306" t="s">
        <v>12721</v>
      </c>
      <c r="E3711" s="999" t="s">
        <v>12722</v>
      </c>
      <c r="F3711" s="306" t="s">
        <v>4297</v>
      </c>
      <c r="G3711" s="471" t="s">
        <v>11628</v>
      </c>
      <c r="H3711" s="941">
        <v>6.0</v>
      </c>
      <c r="I3711" s="718" t="s">
        <v>2890</v>
      </c>
      <c r="J3711" s="19"/>
      <c r="K3711" s="19"/>
      <c r="L3711" s="12" t="s">
        <v>699</v>
      </c>
      <c r="M3711" s="19"/>
      <c r="N3711" s="19"/>
      <c r="O3711" s="34" t="s">
        <v>12723</v>
      </c>
      <c r="P3711" s="19"/>
    </row>
    <row r="3712">
      <c r="A3712" s="999">
        <v>4.0</v>
      </c>
      <c r="B3712" s="1000" t="s">
        <v>12724</v>
      </c>
      <c r="C3712" s="306" t="s">
        <v>2403</v>
      </c>
      <c r="D3712" s="306" t="s">
        <v>12725</v>
      </c>
      <c r="E3712" s="999" t="s">
        <v>12726</v>
      </c>
      <c r="F3712" s="306" t="s">
        <v>4297</v>
      </c>
      <c r="G3712" s="471" t="s">
        <v>11628</v>
      </c>
      <c r="H3712" s="941">
        <v>6.0</v>
      </c>
      <c r="I3712" s="719" t="s">
        <v>10093</v>
      </c>
      <c r="J3712" s="19"/>
      <c r="K3712" s="19"/>
      <c r="L3712" s="12" t="s">
        <v>699</v>
      </c>
      <c r="M3712" s="19"/>
      <c r="N3712" s="19"/>
      <c r="O3712" s="34" t="s">
        <v>12723</v>
      </c>
      <c r="P3712" s="19"/>
    </row>
    <row r="3713">
      <c r="A3713" s="999">
        <v>5.0</v>
      </c>
      <c r="B3713" s="1000" t="s">
        <v>12727</v>
      </c>
      <c r="C3713" s="306" t="s">
        <v>2403</v>
      </c>
      <c r="D3713" s="306" t="s">
        <v>12728</v>
      </c>
      <c r="E3713" s="999" t="s">
        <v>12729</v>
      </c>
      <c r="F3713" s="306" t="s">
        <v>12730</v>
      </c>
      <c r="G3713" s="471" t="s">
        <v>11628</v>
      </c>
      <c r="H3713" s="941">
        <v>6.0</v>
      </c>
      <c r="I3713" s="718" t="s">
        <v>2890</v>
      </c>
      <c r="J3713" s="34" t="s">
        <v>4873</v>
      </c>
      <c r="K3713" s="148">
        <v>46119.0</v>
      </c>
      <c r="L3713" s="12" t="s">
        <v>699</v>
      </c>
      <c r="M3713" s="19"/>
      <c r="N3713" s="19"/>
      <c r="O3713" s="34" t="s">
        <v>12723</v>
      </c>
      <c r="P3713" s="19"/>
    </row>
    <row r="3714">
      <c r="A3714" s="999">
        <v>6.0</v>
      </c>
      <c r="B3714" s="1000" t="s">
        <v>12731</v>
      </c>
      <c r="C3714" s="306" t="s">
        <v>2307</v>
      </c>
      <c r="D3714" s="306" t="s">
        <v>12732</v>
      </c>
      <c r="E3714" s="999" t="s">
        <v>12733</v>
      </c>
      <c r="F3714" s="306" t="s">
        <v>148</v>
      </c>
      <c r="G3714" s="471" t="s">
        <v>11628</v>
      </c>
      <c r="H3714" s="941">
        <v>6.0</v>
      </c>
      <c r="I3714" s="719" t="s">
        <v>10093</v>
      </c>
      <c r="J3714" s="19"/>
      <c r="K3714" s="19"/>
      <c r="L3714" s="12" t="s">
        <v>699</v>
      </c>
      <c r="M3714" s="19"/>
      <c r="N3714" s="19"/>
      <c r="O3714" s="998"/>
      <c r="P3714" s="102" t="s">
        <v>1432</v>
      </c>
    </row>
    <row r="3715" hidden="1">
      <c r="A3715" s="999">
        <v>7.0</v>
      </c>
      <c r="B3715" s="1000" t="s">
        <v>12734</v>
      </c>
      <c r="C3715" s="306" t="s">
        <v>12735</v>
      </c>
      <c r="D3715" s="306" t="s">
        <v>12736</v>
      </c>
      <c r="E3715" s="999" t="s">
        <v>12737</v>
      </c>
      <c r="F3715" s="306" t="s">
        <v>160</v>
      </c>
      <c r="G3715" s="471" t="s">
        <v>11614</v>
      </c>
      <c r="H3715" s="118"/>
      <c r="I3715" s="718" t="s">
        <v>2890</v>
      </c>
      <c r="J3715" s="19"/>
      <c r="K3715" s="19"/>
      <c r="L3715" s="12" t="s">
        <v>374</v>
      </c>
      <c r="M3715" s="19"/>
      <c r="N3715" s="19"/>
      <c r="O3715" s="1001">
        <v>46088.0</v>
      </c>
      <c r="P3715" s="19"/>
    </row>
    <row r="3716" hidden="1">
      <c r="A3716" s="999">
        <v>8.0</v>
      </c>
      <c r="B3716" s="1002" t="s">
        <v>12738</v>
      </c>
      <c r="C3716" s="342" t="s">
        <v>80</v>
      </c>
      <c r="D3716" s="306" t="s">
        <v>12739</v>
      </c>
      <c r="E3716" s="1003" t="s">
        <v>12740</v>
      </c>
      <c r="F3716" s="306" t="s">
        <v>5809</v>
      </c>
      <c r="G3716" s="997">
        <v>46119.0</v>
      </c>
      <c r="H3716" s="1004">
        <v>11.0</v>
      </c>
      <c r="I3716" s="718" t="s">
        <v>2890</v>
      </c>
      <c r="J3716" s="19"/>
      <c r="K3716" s="19"/>
      <c r="L3716" s="12" t="s">
        <v>3099</v>
      </c>
      <c r="M3716" s="19"/>
      <c r="N3716" s="19"/>
      <c r="O3716" s="998" t="s">
        <v>11519</v>
      </c>
      <c r="P3716" s="19"/>
    </row>
    <row r="3717" hidden="1">
      <c r="A3717" s="999">
        <v>9.0</v>
      </c>
      <c r="B3717" s="1002" t="s">
        <v>12741</v>
      </c>
      <c r="C3717" s="342" t="s">
        <v>80</v>
      </c>
      <c r="D3717" s="306" t="s">
        <v>12742</v>
      </c>
      <c r="E3717" s="1003" t="s">
        <v>12743</v>
      </c>
      <c r="F3717" s="306" t="s">
        <v>5809</v>
      </c>
      <c r="G3717" s="1005">
        <v>46119.0</v>
      </c>
      <c r="H3717" s="1004">
        <v>11.0</v>
      </c>
      <c r="I3717" s="719" t="s">
        <v>10093</v>
      </c>
      <c r="J3717" s="19"/>
      <c r="K3717" s="19"/>
      <c r="L3717" s="12" t="s">
        <v>3099</v>
      </c>
      <c r="M3717" s="19"/>
      <c r="N3717" s="19"/>
      <c r="O3717" s="998" t="s">
        <v>12065</v>
      </c>
      <c r="P3717" s="19"/>
    </row>
    <row r="3718">
      <c r="A3718" s="999">
        <v>10.0</v>
      </c>
      <c r="B3718" s="1000" t="s">
        <v>12744</v>
      </c>
      <c r="C3718" s="306" t="s">
        <v>80</v>
      </c>
      <c r="D3718" s="306" t="s">
        <v>12745</v>
      </c>
      <c r="E3718" s="999" t="s">
        <v>12746</v>
      </c>
      <c r="F3718" s="306" t="s">
        <v>172</v>
      </c>
      <c r="G3718" s="1006">
        <v>46213.0</v>
      </c>
      <c r="H3718" s="118">
        <v>17.0</v>
      </c>
      <c r="I3718" s="718" t="s">
        <v>2890</v>
      </c>
      <c r="J3718" s="19"/>
      <c r="K3718" s="19"/>
      <c r="L3718" s="12" t="s">
        <v>4195</v>
      </c>
      <c r="M3718" s="19"/>
      <c r="N3718" s="19"/>
      <c r="O3718" s="1007" t="s">
        <v>12149</v>
      </c>
      <c r="P3718" s="19"/>
    </row>
    <row r="3719">
      <c r="A3719" s="999">
        <v>11.0</v>
      </c>
      <c r="B3719" s="1000" t="s">
        <v>12747</v>
      </c>
      <c r="C3719" s="306" t="s">
        <v>80</v>
      </c>
      <c r="D3719" s="306" t="s">
        <v>12748</v>
      </c>
      <c r="E3719" s="1008" t="s">
        <v>12749</v>
      </c>
      <c r="F3719" s="306" t="s">
        <v>12750</v>
      </c>
      <c r="G3719" s="1006">
        <v>46214.0</v>
      </c>
      <c r="H3719" s="118">
        <v>18.0</v>
      </c>
      <c r="I3719" s="718" t="s">
        <v>2890</v>
      </c>
      <c r="J3719" s="19"/>
      <c r="K3719" s="19"/>
      <c r="L3719" s="12" t="s">
        <v>699</v>
      </c>
      <c r="M3719" s="19"/>
      <c r="N3719" s="19"/>
      <c r="O3719" s="1007" t="s">
        <v>12751</v>
      </c>
      <c r="P3719" s="946" t="s">
        <v>1432</v>
      </c>
    </row>
    <row r="3720">
      <c r="A3720" s="999">
        <v>12.0</v>
      </c>
      <c r="B3720" s="1000" t="s">
        <v>12752</v>
      </c>
      <c r="C3720" s="306" t="s">
        <v>80</v>
      </c>
      <c r="D3720" s="306" t="s">
        <v>12753</v>
      </c>
      <c r="E3720" s="1008" t="s">
        <v>12754</v>
      </c>
      <c r="F3720" s="306" t="s">
        <v>12755</v>
      </c>
      <c r="G3720" s="1006">
        <v>46214.0</v>
      </c>
      <c r="H3720" s="118">
        <v>18.0</v>
      </c>
      <c r="I3720" s="718" t="s">
        <v>2890</v>
      </c>
      <c r="J3720" s="19"/>
      <c r="K3720" s="19"/>
      <c r="L3720" s="12" t="s">
        <v>699</v>
      </c>
      <c r="M3720" s="19"/>
      <c r="N3720" s="19"/>
      <c r="O3720" s="1007" t="s">
        <v>12751</v>
      </c>
      <c r="P3720" s="946" t="s">
        <v>1432</v>
      </c>
    </row>
    <row r="3721">
      <c r="A3721" s="999">
        <v>13.0</v>
      </c>
      <c r="B3721" s="1000" t="s">
        <v>12756</v>
      </c>
      <c r="C3721" s="306" t="s">
        <v>80</v>
      </c>
      <c r="D3721" s="306" t="s">
        <v>12757</v>
      </c>
      <c r="E3721" s="999" t="s">
        <v>12758</v>
      </c>
      <c r="F3721" s="306" t="s">
        <v>12759</v>
      </c>
      <c r="G3721" s="1006">
        <v>46215.0</v>
      </c>
      <c r="H3721" s="118">
        <v>19.0</v>
      </c>
      <c r="I3721" s="718" t="s">
        <v>2890</v>
      </c>
      <c r="J3721" s="19"/>
      <c r="K3721" s="19"/>
      <c r="L3721" s="12" t="s">
        <v>51</v>
      </c>
      <c r="M3721" s="19"/>
      <c r="N3721" s="34" t="s">
        <v>12760</v>
      </c>
      <c r="O3721" s="19"/>
      <c r="P3721" s="19"/>
    </row>
    <row r="3722" hidden="1">
      <c r="A3722" s="999">
        <v>14.0</v>
      </c>
      <c r="B3722" s="1000" t="s">
        <v>12761</v>
      </c>
      <c r="C3722" s="306" t="s">
        <v>80</v>
      </c>
      <c r="D3722" s="306" t="s">
        <v>12762</v>
      </c>
      <c r="E3722" s="999" t="s">
        <v>12763</v>
      </c>
      <c r="F3722" s="306" t="s">
        <v>12764</v>
      </c>
      <c r="G3722" s="1006">
        <v>46363.0</v>
      </c>
      <c r="H3722" s="118">
        <v>19.0</v>
      </c>
      <c r="I3722" s="719" t="s">
        <v>5895</v>
      </c>
      <c r="J3722" s="19"/>
      <c r="K3722" s="19"/>
      <c r="L3722" s="12" t="s">
        <v>374</v>
      </c>
      <c r="M3722" s="19"/>
      <c r="N3722" s="19"/>
      <c r="O3722" s="34" t="s">
        <v>12464</v>
      </c>
      <c r="P3722" s="19"/>
    </row>
    <row r="3723" hidden="1">
      <c r="A3723" s="999">
        <v>15.0</v>
      </c>
      <c r="B3723" s="1000" t="s">
        <v>12765</v>
      </c>
      <c r="C3723" s="306" t="s">
        <v>80</v>
      </c>
      <c r="D3723" s="306" t="s">
        <v>12766</v>
      </c>
      <c r="E3723" s="1009" t="s">
        <v>12767</v>
      </c>
      <c r="F3723" s="306" t="s">
        <v>3583</v>
      </c>
      <c r="G3723" s="1006">
        <v>46180.0</v>
      </c>
      <c r="H3723" s="118">
        <v>13.0</v>
      </c>
      <c r="I3723" s="718" t="s">
        <v>2890</v>
      </c>
      <c r="J3723" s="19"/>
      <c r="K3723" s="19"/>
      <c r="L3723" s="12" t="s">
        <v>2541</v>
      </c>
      <c r="M3723" s="19"/>
      <c r="N3723" s="19"/>
      <c r="O3723" s="34" t="s">
        <v>12065</v>
      </c>
      <c r="P3723" s="19"/>
    </row>
    <row r="3724" hidden="1">
      <c r="A3724" s="999">
        <v>16.0</v>
      </c>
      <c r="B3724" s="1000" t="s">
        <v>12768</v>
      </c>
      <c r="C3724" s="306" t="s">
        <v>80</v>
      </c>
      <c r="D3724" s="306" t="s">
        <v>12769</v>
      </c>
      <c r="E3724" s="1009" t="s">
        <v>12770</v>
      </c>
      <c r="F3724" s="306" t="s">
        <v>3583</v>
      </c>
      <c r="G3724" s="1006">
        <v>46180.0</v>
      </c>
      <c r="H3724" s="118">
        <v>13.0</v>
      </c>
      <c r="I3724" s="718" t="s">
        <v>2890</v>
      </c>
      <c r="J3724" s="19"/>
      <c r="K3724" s="19"/>
      <c r="L3724" s="12" t="s">
        <v>2541</v>
      </c>
      <c r="M3724" s="19"/>
      <c r="N3724" s="19"/>
      <c r="O3724" s="34" t="s">
        <v>12065</v>
      </c>
      <c r="P3724" s="19"/>
    </row>
    <row r="3725" hidden="1">
      <c r="A3725" s="999">
        <v>17.0</v>
      </c>
      <c r="B3725" s="1000" t="s">
        <v>12771</v>
      </c>
      <c r="C3725" s="306" t="s">
        <v>80</v>
      </c>
      <c r="D3725" s="306" t="s">
        <v>12772</v>
      </c>
      <c r="E3725" s="1009" t="s">
        <v>12773</v>
      </c>
      <c r="F3725" s="306" t="s">
        <v>3583</v>
      </c>
      <c r="G3725" s="1006">
        <v>46180.0</v>
      </c>
      <c r="H3725" s="118">
        <v>13.0</v>
      </c>
      <c r="I3725" s="718" t="s">
        <v>2890</v>
      </c>
      <c r="J3725" s="19"/>
      <c r="K3725" s="19"/>
      <c r="L3725" s="12" t="s">
        <v>11863</v>
      </c>
      <c r="M3725" s="19"/>
      <c r="N3725" s="19"/>
      <c r="O3725" s="148">
        <v>46333.0</v>
      </c>
      <c r="P3725" s="19"/>
    </row>
    <row r="3726" hidden="1">
      <c r="A3726" s="999">
        <v>18.0</v>
      </c>
      <c r="B3726" s="1000" t="s">
        <v>12774</v>
      </c>
      <c r="C3726" s="306" t="s">
        <v>12413</v>
      </c>
      <c r="D3726" s="306" t="s">
        <v>12775</v>
      </c>
      <c r="E3726" s="1009" t="s">
        <v>12776</v>
      </c>
      <c r="F3726" s="306" t="s">
        <v>3583</v>
      </c>
      <c r="G3726" s="1006">
        <v>46180.0</v>
      </c>
      <c r="H3726" s="118">
        <v>13.0</v>
      </c>
      <c r="I3726" s="718" t="s">
        <v>2890</v>
      </c>
      <c r="J3726" s="19"/>
      <c r="K3726" s="19"/>
      <c r="L3726" s="12" t="s">
        <v>11863</v>
      </c>
      <c r="M3726" s="19"/>
      <c r="N3726" s="19"/>
      <c r="O3726" s="148">
        <v>46333.0</v>
      </c>
      <c r="P3726" s="19"/>
    </row>
    <row r="3727">
      <c r="A3727" s="1010">
        <v>19.0</v>
      </c>
      <c r="B3727" s="1011" t="s">
        <v>12777</v>
      </c>
      <c r="C3727" s="485" t="s">
        <v>80</v>
      </c>
      <c r="D3727" s="485" t="s">
        <v>12778</v>
      </c>
      <c r="E3727" s="1010" t="s">
        <v>12779</v>
      </c>
      <c r="F3727" s="485" t="s">
        <v>9951</v>
      </c>
      <c r="G3727" s="1012">
        <v>46215.0</v>
      </c>
      <c r="H3727" s="941">
        <v>13.0</v>
      </c>
      <c r="I3727" s="1013" t="s">
        <v>10093</v>
      </c>
      <c r="J3727" s="412"/>
      <c r="K3727" s="412"/>
      <c r="L3727" s="37" t="s">
        <v>2541</v>
      </c>
      <c r="M3727" s="412"/>
      <c r="N3727" s="277" t="s">
        <v>404</v>
      </c>
      <c r="O3727" s="277" t="s">
        <v>404</v>
      </c>
      <c r="P3727" s="412"/>
      <c r="Q3727" s="405"/>
      <c r="R3727" s="405"/>
      <c r="S3727" s="405"/>
      <c r="T3727" s="405"/>
      <c r="U3727" s="405"/>
      <c r="V3727" s="405"/>
      <c r="W3727" s="405"/>
      <c r="X3727" s="405"/>
      <c r="Y3727" s="405"/>
      <c r="Z3727" s="405"/>
      <c r="AA3727" s="405"/>
      <c r="AB3727" s="405"/>
      <c r="AC3727" s="405"/>
      <c r="AD3727" s="405"/>
      <c r="AE3727" s="405"/>
      <c r="AF3727" s="405"/>
    </row>
    <row r="3728" hidden="1">
      <c r="A3728" s="999">
        <v>20.0</v>
      </c>
      <c r="B3728" s="1000" t="s">
        <v>12780</v>
      </c>
      <c r="C3728" s="306" t="s">
        <v>80</v>
      </c>
      <c r="D3728" s="306" t="s">
        <v>12781</v>
      </c>
      <c r="E3728" s="999" t="s">
        <v>12782</v>
      </c>
      <c r="F3728" s="306" t="s">
        <v>12783</v>
      </c>
      <c r="G3728" s="1012">
        <v>46216.0</v>
      </c>
      <c r="H3728" s="118">
        <v>19.0</v>
      </c>
      <c r="I3728" s="718" t="s">
        <v>2890</v>
      </c>
      <c r="J3728" s="19"/>
      <c r="K3728" s="19"/>
      <c r="L3728" s="12" t="s">
        <v>4195</v>
      </c>
      <c r="M3728" s="19"/>
      <c r="N3728" s="34" t="s">
        <v>12784</v>
      </c>
      <c r="O3728" s="34" t="s">
        <v>12784</v>
      </c>
      <c r="P3728" s="19"/>
    </row>
    <row r="3729">
      <c r="A3729" s="999">
        <v>21.0</v>
      </c>
      <c r="B3729" s="1000" t="s">
        <v>12785</v>
      </c>
      <c r="C3729" s="306" t="s">
        <v>80</v>
      </c>
      <c r="D3729" s="306" t="s">
        <v>12786</v>
      </c>
      <c r="E3729" s="999" t="s">
        <v>12787</v>
      </c>
      <c r="F3729" s="306" t="s">
        <v>148</v>
      </c>
      <c r="G3729" s="1012">
        <v>46215.0</v>
      </c>
      <c r="H3729" s="118">
        <v>19.0</v>
      </c>
      <c r="I3729" s="718" t="s">
        <v>2890</v>
      </c>
      <c r="J3729" s="19"/>
      <c r="K3729" s="19"/>
      <c r="L3729" s="12" t="s">
        <v>2541</v>
      </c>
      <c r="M3729" s="19"/>
      <c r="N3729" s="19"/>
      <c r="O3729" s="19"/>
      <c r="P3729" s="19"/>
    </row>
    <row r="3730">
      <c r="A3730" s="1010">
        <v>22.0</v>
      </c>
      <c r="B3730" s="1011" t="s">
        <v>12788</v>
      </c>
      <c r="C3730" s="485" t="s">
        <v>80</v>
      </c>
      <c r="D3730" s="485" t="s">
        <v>12789</v>
      </c>
      <c r="E3730" s="1010" t="s">
        <v>12790</v>
      </c>
      <c r="F3730" s="485" t="s">
        <v>160</v>
      </c>
      <c r="G3730" s="1012">
        <v>46215.0</v>
      </c>
      <c r="H3730" s="941">
        <v>19.0</v>
      </c>
      <c r="I3730" s="1013" t="s">
        <v>2890</v>
      </c>
      <c r="J3730" s="412"/>
      <c r="K3730" s="412"/>
      <c r="L3730" s="12" t="s">
        <v>2541</v>
      </c>
      <c r="M3730" s="412"/>
      <c r="N3730" s="277" t="s">
        <v>404</v>
      </c>
      <c r="O3730" s="277" t="s">
        <v>404</v>
      </c>
      <c r="P3730" s="412"/>
      <c r="Q3730" s="405"/>
      <c r="R3730" s="405"/>
      <c r="S3730" s="405"/>
      <c r="T3730" s="405"/>
      <c r="U3730" s="405"/>
      <c r="V3730" s="405"/>
      <c r="W3730" s="405"/>
      <c r="X3730" s="405"/>
      <c r="Y3730" s="405"/>
      <c r="Z3730" s="405"/>
      <c r="AA3730" s="405"/>
      <c r="AB3730" s="405"/>
      <c r="AC3730" s="405"/>
      <c r="AD3730" s="405"/>
      <c r="AE3730" s="405"/>
      <c r="AF3730" s="405"/>
    </row>
    <row r="3731" hidden="1">
      <c r="A3731" s="999">
        <v>23.0</v>
      </c>
      <c r="B3731" s="1000" t="s">
        <v>12791</v>
      </c>
      <c r="C3731" s="306" t="s">
        <v>80</v>
      </c>
      <c r="D3731" s="306" t="s">
        <v>12792</v>
      </c>
      <c r="E3731" s="999" t="s">
        <v>12793</v>
      </c>
      <c r="F3731" s="306" t="s">
        <v>10098</v>
      </c>
      <c r="G3731" s="1012">
        <v>46219.0</v>
      </c>
      <c r="H3731" s="118">
        <v>19.0</v>
      </c>
      <c r="I3731" s="718" t="s">
        <v>2890</v>
      </c>
      <c r="J3731" s="19"/>
      <c r="K3731" s="19"/>
      <c r="L3731" s="12" t="s">
        <v>9469</v>
      </c>
      <c r="M3731" s="19"/>
      <c r="N3731" s="19"/>
      <c r="O3731" s="34" t="s">
        <v>12794</v>
      </c>
      <c r="P3731" s="102" t="s">
        <v>11953</v>
      </c>
    </row>
    <row r="3732" hidden="1">
      <c r="A3732" s="999">
        <v>24.0</v>
      </c>
      <c r="B3732" s="1000" t="s">
        <v>12795</v>
      </c>
      <c r="C3732" s="306" t="s">
        <v>80</v>
      </c>
      <c r="D3732" s="306" t="s">
        <v>12796</v>
      </c>
      <c r="E3732" s="1009" t="s">
        <v>12797</v>
      </c>
      <c r="F3732" s="306" t="s">
        <v>3928</v>
      </c>
      <c r="G3732" s="1012">
        <v>46220.0</v>
      </c>
      <c r="H3732" s="118">
        <v>13.0</v>
      </c>
      <c r="I3732" s="718" t="s">
        <v>2890</v>
      </c>
      <c r="J3732" s="19"/>
      <c r="K3732" s="19"/>
      <c r="L3732" s="128" t="s">
        <v>2541</v>
      </c>
      <c r="M3732" s="19"/>
      <c r="N3732" s="19"/>
      <c r="O3732" s="34" t="s">
        <v>12276</v>
      </c>
      <c r="P3732" s="19"/>
    </row>
    <row r="3733" hidden="1">
      <c r="A3733" s="999">
        <v>25.0</v>
      </c>
      <c r="B3733" s="1000" t="s">
        <v>12798</v>
      </c>
      <c r="C3733" s="306" t="s">
        <v>80</v>
      </c>
      <c r="D3733" s="306" t="s">
        <v>12799</v>
      </c>
      <c r="E3733" s="1009" t="s">
        <v>12800</v>
      </c>
      <c r="F3733" s="306" t="s">
        <v>3928</v>
      </c>
      <c r="G3733" s="1012">
        <v>46221.0</v>
      </c>
      <c r="H3733" s="118">
        <v>13.0</v>
      </c>
      <c r="I3733" s="1014" t="s">
        <v>12801</v>
      </c>
      <c r="J3733" s="19"/>
      <c r="K3733" s="19"/>
      <c r="L3733" s="128" t="s">
        <v>2541</v>
      </c>
      <c r="M3733" s="19"/>
      <c r="N3733" s="19"/>
      <c r="O3733" s="34" t="s">
        <v>12276</v>
      </c>
      <c r="P3733" s="19"/>
    </row>
    <row r="3734" hidden="1">
      <c r="A3734" s="999">
        <v>26.0</v>
      </c>
      <c r="B3734" s="1000" t="s">
        <v>12802</v>
      </c>
      <c r="C3734" s="306" t="s">
        <v>80</v>
      </c>
      <c r="D3734" s="306" t="s">
        <v>12803</v>
      </c>
      <c r="E3734" s="1009" t="s">
        <v>12804</v>
      </c>
      <c r="F3734" s="306" t="s">
        <v>3928</v>
      </c>
      <c r="G3734" s="1012">
        <v>46222.0</v>
      </c>
      <c r="H3734" s="118">
        <v>13.0</v>
      </c>
      <c r="I3734" s="718" t="s">
        <v>2890</v>
      </c>
      <c r="J3734" s="19"/>
      <c r="K3734" s="19"/>
      <c r="L3734" s="128" t="s">
        <v>2541</v>
      </c>
      <c r="M3734" s="19"/>
      <c r="N3734" s="19"/>
      <c r="O3734" s="34" t="s">
        <v>12276</v>
      </c>
      <c r="P3734" s="19"/>
    </row>
    <row r="3735" hidden="1">
      <c r="A3735" s="999">
        <v>27.0</v>
      </c>
      <c r="B3735" s="1000" t="s">
        <v>12805</v>
      </c>
      <c r="C3735" s="306" t="s">
        <v>80</v>
      </c>
      <c r="D3735" s="306" t="s">
        <v>12806</v>
      </c>
      <c r="E3735" s="1009" t="s">
        <v>12807</v>
      </c>
      <c r="F3735" s="306" t="s">
        <v>3928</v>
      </c>
      <c r="G3735" s="1012">
        <v>46223.0</v>
      </c>
      <c r="H3735" s="118">
        <v>13.0</v>
      </c>
      <c r="I3735" s="718" t="s">
        <v>2890</v>
      </c>
      <c r="J3735" s="19"/>
      <c r="K3735" s="19"/>
      <c r="L3735" s="128" t="s">
        <v>2541</v>
      </c>
      <c r="M3735" s="19"/>
      <c r="N3735" s="19"/>
      <c r="O3735" s="34" t="s">
        <v>12276</v>
      </c>
      <c r="P3735" s="19"/>
    </row>
    <row r="3736" hidden="1">
      <c r="A3736" s="999">
        <v>28.0</v>
      </c>
      <c r="B3736" s="1000" t="s">
        <v>12808</v>
      </c>
      <c r="C3736" s="306" t="s">
        <v>80</v>
      </c>
      <c r="D3736" s="306" t="s">
        <v>12809</v>
      </c>
      <c r="E3736" s="1009" t="s">
        <v>12810</v>
      </c>
      <c r="F3736" s="306" t="s">
        <v>3928</v>
      </c>
      <c r="G3736" s="1012">
        <v>46224.0</v>
      </c>
      <c r="H3736" s="118">
        <v>13.0</v>
      </c>
      <c r="I3736" s="718" t="s">
        <v>2890</v>
      </c>
      <c r="J3736" s="19"/>
      <c r="K3736" s="19"/>
      <c r="L3736" s="128" t="s">
        <v>2541</v>
      </c>
      <c r="M3736" s="19"/>
      <c r="N3736" s="19"/>
      <c r="O3736" s="34" t="s">
        <v>12276</v>
      </c>
      <c r="P3736" s="19"/>
    </row>
    <row r="3737" hidden="1">
      <c r="A3737" s="999">
        <v>29.0</v>
      </c>
      <c r="B3737" s="1000" t="s">
        <v>12811</v>
      </c>
      <c r="C3737" s="306" t="s">
        <v>5937</v>
      </c>
      <c r="D3737" s="306" t="s">
        <v>12812</v>
      </c>
      <c r="E3737" s="1008" t="s">
        <v>12813</v>
      </c>
      <c r="F3737" s="306" t="s">
        <v>243</v>
      </c>
      <c r="G3737" s="1012">
        <v>46225.0</v>
      </c>
      <c r="H3737" s="118">
        <v>19.0</v>
      </c>
      <c r="I3737" s="719" t="s">
        <v>10093</v>
      </c>
      <c r="J3737" s="34" t="s">
        <v>4873</v>
      </c>
      <c r="K3737" s="148">
        <v>46333.0</v>
      </c>
      <c r="L3737" s="12" t="s">
        <v>4195</v>
      </c>
      <c r="M3737" s="19"/>
      <c r="N3737" s="19"/>
      <c r="O3737" s="34" t="s">
        <v>11514</v>
      </c>
      <c r="P3737" s="587" t="s">
        <v>1432</v>
      </c>
    </row>
    <row r="3738" hidden="1">
      <c r="A3738" s="999">
        <v>30.0</v>
      </c>
      <c r="B3738" s="1000" t="s">
        <v>12814</v>
      </c>
      <c r="C3738" s="306" t="s">
        <v>5937</v>
      </c>
      <c r="D3738" s="306" t="s">
        <v>12815</v>
      </c>
      <c r="E3738" s="1008" t="s">
        <v>12816</v>
      </c>
      <c r="F3738" s="306" t="s">
        <v>243</v>
      </c>
      <c r="G3738" s="1012">
        <v>46226.0</v>
      </c>
      <c r="H3738" s="118">
        <v>19.0</v>
      </c>
      <c r="I3738" s="718" t="s">
        <v>2890</v>
      </c>
      <c r="J3738" s="34" t="s">
        <v>4873</v>
      </c>
      <c r="K3738" s="148">
        <v>46333.0</v>
      </c>
      <c r="L3738" s="12" t="s">
        <v>4195</v>
      </c>
      <c r="M3738" s="19"/>
      <c r="N3738" s="19"/>
      <c r="O3738" s="34" t="s">
        <v>11514</v>
      </c>
      <c r="P3738" s="587" t="s">
        <v>1432</v>
      </c>
    </row>
    <row r="3739" hidden="1">
      <c r="A3739" s="1015">
        <v>31.0</v>
      </c>
      <c r="B3739" s="1016" t="s">
        <v>12817</v>
      </c>
      <c r="C3739" s="1017" t="s">
        <v>5937</v>
      </c>
      <c r="D3739" s="1017" t="s">
        <v>12818</v>
      </c>
      <c r="E3739" s="1015" t="s">
        <v>12819</v>
      </c>
      <c r="F3739" s="1017" t="s">
        <v>243</v>
      </c>
      <c r="G3739" s="1012">
        <v>46227.0</v>
      </c>
      <c r="H3739" s="1018">
        <v>19.0</v>
      </c>
      <c r="I3739" s="1019" t="s">
        <v>10093</v>
      </c>
      <c r="J3739" s="1020"/>
      <c r="K3739" s="1020"/>
      <c r="L3739" s="798" t="s">
        <v>4195</v>
      </c>
      <c r="M3739" s="1020"/>
      <c r="N3739" s="1020"/>
      <c r="O3739" s="1021" t="s">
        <v>12820</v>
      </c>
      <c r="P3739" s="797" t="s">
        <v>1432</v>
      </c>
      <c r="Q3739" s="793"/>
      <c r="R3739" s="793"/>
      <c r="S3739" s="793"/>
      <c r="T3739" s="793"/>
      <c r="U3739" s="793"/>
      <c r="V3739" s="793"/>
      <c r="W3739" s="793"/>
      <c r="X3739" s="793"/>
      <c r="Y3739" s="793"/>
      <c r="Z3739" s="793"/>
      <c r="AA3739" s="793"/>
      <c r="AB3739" s="793"/>
      <c r="AC3739" s="793"/>
      <c r="AD3739" s="793"/>
      <c r="AE3739" s="793"/>
      <c r="AF3739" s="793"/>
    </row>
    <row r="3740">
      <c r="A3740" s="999">
        <v>32.0</v>
      </c>
      <c r="B3740" s="1000" t="s">
        <v>12821</v>
      </c>
      <c r="C3740" s="306" t="s">
        <v>80</v>
      </c>
      <c r="D3740" s="306" t="s">
        <v>12822</v>
      </c>
      <c r="E3740" s="999" t="s">
        <v>12823</v>
      </c>
      <c r="F3740" s="306" t="s">
        <v>9083</v>
      </c>
      <c r="G3740" s="1012">
        <v>46215.0</v>
      </c>
      <c r="H3740" s="118">
        <v>19.0</v>
      </c>
      <c r="I3740" s="719" t="s">
        <v>10093</v>
      </c>
      <c r="J3740" s="19"/>
      <c r="K3740" s="19"/>
      <c r="L3740" s="12" t="s">
        <v>51</v>
      </c>
      <c r="M3740" s="19"/>
      <c r="N3740" s="34" t="s">
        <v>9561</v>
      </c>
      <c r="O3740" s="19"/>
      <c r="P3740" s="102" t="s">
        <v>1432</v>
      </c>
    </row>
    <row r="3741">
      <c r="A3741" s="645"/>
      <c r="B3741" s="339" t="s">
        <v>12824</v>
      </c>
    </row>
    <row r="3742">
      <c r="A3742" s="670" t="s">
        <v>47</v>
      </c>
      <c r="B3742" s="670" t="s">
        <v>7</v>
      </c>
      <c r="C3742" s="670" t="s">
        <v>9</v>
      </c>
      <c r="D3742" s="670" t="s">
        <v>10</v>
      </c>
      <c r="E3742" s="670" t="s">
        <v>11</v>
      </c>
      <c r="F3742" s="670" t="s">
        <v>12</v>
      </c>
      <c r="G3742" s="670" t="s">
        <v>2378</v>
      </c>
      <c r="H3742" s="670" t="s">
        <v>2681</v>
      </c>
      <c r="I3742" s="4" t="s">
        <v>2847</v>
      </c>
      <c r="J3742" s="8" t="s">
        <v>14</v>
      </c>
      <c r="K3742" s="9" t="s">
        <v>16</v>
      </c>
      <c r="L3742" s="10" t="s">
        <v>11871</v>
      </c>
      <c r="M3742" s="9" t="s">
        <v>18</v>
      </c>
      <c r="N3742" s="9" t="s">
        <v>19</v>
      </c>
      <c r="O3742" s="9" t="s">
        <v>20</v>
      </c>
      <c r="P3742" s="9" t="s">
        <v>21</v>
      </c>
      <c r="R3742" s="35"/>
      <c r="S3742" s="35"/>
      <c r="T3742" s="35"/>
      <c r="U3742" s="35"/>
      <c r="V3742" s="35"/>
      <c r="W3742" s="35"/>
      <c r="X3742" s="35"/>
      <c r="Y3742" s="35"/>
      <c r="Z3742" s="35"/>
      <c r="AA3742" s="35"/>
      <c r="AB3742" s="35"/>
      <c r="AC3742" s="35"/>
      <c r="AD3742" s="35"/>
      <c r="AE3742" s="35"/>
      <c r="AF3742" s="35"/>
    </row>
    <row r="3743">
      <c r="A3743" s="999">
        <v>1.0</v>
      </c>
      <c r="B3743" s="1000" t="s">
        <v>12825</v>
      </c>
      <c r="C3743" s="1022" t="s">
        <v>2307</v>
      </c>
      <c r="D3743" s="342" t="s">
        <v>12826</v>
      </c>
      <c r="E3743" s="1023" t="s">
        <v>12827</v>
      </c>
      <c r="F3743" s="306" t="s">
        <v>12828</v>
      </c>
      <c r="G3743" s="1005">
        <v>46149.0</v>
      </c>
      <c r="H3743" s="941">
        <v>9.0</v>
      </c>
      <c r="I3743" s="1024" t="s">
        <v>11973</v>
      </c>
      <c r="J3743" s="19"/>
      <c r="K3743" s="19"/>
      <c r="L3743" s="12" t="s">
        <v>699</v>
      </c>
      <c r="M3743" s="19"/>
      <c r="N3743" s="19"/>
      <c r="O3743" s="34" t="s">
        <v>12723</v>
      </c>
      <c r="P3743" s="102" t="s">
        <v>1432</v>
      </c>
    </row>
    <row r="3744">
      <c r="A3744" s="999">
        <v>2.0</v>
      </c>
      <c r="B3744" s="1000" t="s">
        <v>12829</v>
      </c>
      <c r="C3744" s="1025" t="s">
        <v>2307</v>
      </c>
      <c r="D3744" s="342" t="s">
        <v>12830</v>
      </c>
      <c r="E3744" s="1023" t="s">
        <v>12831</v>
      </c>
      <c r="F3744" s="306" t="s">
        <v>1519</v>
      </c>
      <c r="G3744" s="1005">
        <v>46149.0</v>
      </c>
      <c r="H3744" s="941">
        <v>9.0</v>
      </c>
      <c r="I3744" s="341" t="s">
        <v>2890</v>
      </c>
      <c r="J3744" s="19"/>
      <c r="K3744" s="19"/>
      <c r="L3744" s="12" t="s">
        <v>699</v>
      </c>
      <c r="M3744" s="19"/>
      <c r="N3744" s="19"/>
      <c r="O3744" s="998" t="s">
        <v>12832</v>
      </c>
      <c r="P3744" s="102" t="s">
        <v>1432</v>
      </c>
    </row>
    <row r="3745" hidden="1">
      <c r="A3745" s="999">
        <v>3.0</v>
      </c>
      <c r="B3745" s="1000" t="s">
        <v>12833</v>
      </c>
      <c r="C3745" s="306" t="s">
        <v>80</v>
      </c>
      <c r="D3745" s="306" t="s">
        <v>12834</v>
      </c>
      <c r="E3745" s="1023" t="s">
        <v>11956</v>
      </c>
      <c r="F3745" s="306" t="s">
        <v>9068</v>
      </c>
      <c r="G3745" s="118" t="s">
        <v>11008</v>
      </c>
      <c r="H3745" s="118">
        <v>19.0</v>
      </c>
      <c r="I3745" s="341" t="s">
        <v>2890</v>
      </c>
      <c r="J3745" s="19"/>
      <c r="K3745" s="19"/>
      <c r="L3745" s="12" t="s">
        <v>4195</v>
      </c>
      <c r="M3745" s="19"/>
      <c r="N3745" s="19"/>
      <c r="O3745" s="998" t="s">
        <v>12065</v>
      </c>
      <c r="P3745" s="19"/>
    </row>
    <row r="3746" hidden="1">
      <c r="A3746" s="999">
        <v>4.0</v>
      </c>
      <c r="B3746" s="1000" t="s">
        <v>12835</v>
      </c>
      <c r="C3746" s="306" t="s">
        <v>80</v>
      </c>
      <c r="D3746" s="306" t="s">
        <v>12836</v>
      </c>
      <c r="E3746" s="1023" t="s">
        <v>11959</v>
      </c>
      <c r="F3746" s="306" t="s">
        <v>556</v>
      </c>
      <c r="G3746" s="118"/>
      <c r="H3746" s="118"/>
      <c r="I3746" s="597" t="s">
        <v>5334</v>
      </c>
      <c r="J3746" s="19"/>
      <c r="K3746" s="19"/>
      <c r="L3746" s="12" t="s">
        <v>51</v>
      </c>
      <c r="M3746" s="19"/>
      <c r="N3746" s="19"/>
      <c r="O3746" s="998">
        <v>46210.0</v>
      </c>
      <c r="P3746" s="587" t="s">
        <v>1432</v>
      </c>
    </row>
    <row r="3747" hidden="1">
      <c r="A3747" s="999">
        <v>5.0</v>
      </c>
      <c r="B3747" s="1000" t="s">
        <v>12837</v>
      </c>
      <c r="C3747" s="306" t="s">
        <v>80</v>
      </c>
      <c r="D3747" s="306" t="s">
        <v>12838</v>
      </c>
      <c r="E3747" s="1023" t="s">
        <v>11962</v>
      </c>
      <c r="F3747" s="306" t="s">
        <v>12420</v>
      </c>
      <c r="G3747" s="118" t="s">
        <v>11308</v>
      </c>
      <c r="H3747" s="118">
        <v>21.0</v>
      </c>
      <c r="I3747" s="341" t="s">
        <v>2890</v>
      </c>
      <c r="J3747" s="19"/>
      <c r="K3747" s="19"/>
      <c r="L3747" s="12" t="s">
        <v>374</v>
      </c>
      <c r="M3747" s="19"/>
      <c r="N3747" s="19"/>
      <c r="O3747" s="1001">
        <v>46119.0</v>
      </c>
      <c r="P3747" s="19"/>
    </row>
    <row r="3748" hidden="1">
      <c r="A3748" s="999">
        <v>6.0</v>
      </c>
      <c r="B3748" s="1000" t="s">
        <v>12839</v>
      </c>
      <c r="C3748" s="306" t="s">
        <v>12413</v>
      </c>
      <c r="D3748" s="306" t="s">
        <v>12840</v>
      </c>
      <c r="E3748" s="1026" t="s">
        <v>11969</v>
      </c>
      <c r="F3748" s="306" t="s">
        <v>4390</v>
      </c>
      <c r="G3748" s="118" t="s">
        <v>11568</v>
      </c>
      <c r="H3748" s="118">
        <v>20.0</v>
      </c>
      <c r="I3748" s="341" t="s">
        <v>2890</v>
      </c>
      <c r="J3748" s="19"/>
      <c r="K3748" s="19"/>
      <c r="L3748" s="12" t="s">
        <v>11863</v>
      </c>
      <c r="M3748" s="19"/>
      <c r="N3748" s="19"/>
      <c r="O3748" s="998" t="s">
        <v>11519</v>
      </c>
      <c r="P3748" s="19"/>
    </row>
    <row r="3749" hidden="1">
      <c r="A3749" s="999">
        <v>7.0</v>
      </c>
      <c r="B3749" s="1000" t="s">
        <v>12841</v>
      </c>
      <c r="C3749" s="306" t="s">
        <v>12413</v>
      </c>
      <c r="D3749" s="306" t="s">
        <v>12842</v>
      </c>
      <c r="E3749" s="1026" t="s">
        <v>11972</v>
      </c>
      <c r="F3749" s="306" t="s">
        <v>4390</v>
      </c>
      <c r="G3749" s="118" t="s">
        <v>11568</v>
      </c>
      <c r="H3749" s="118">
        <v>20.0</v>
      </c>
      <c r="I3749" s="341" t="s">
        <v>2890</v>
      </c>
      <c r="J3749" s="19"/>
      <c r="K3749" s="19"/>
      <c r="L3749" s="12" t="s">
        <v>2541</v>
      </c>
      <c r="M3749" s="19"/>
      <c r="N3749" s="19"/>
      <c r="O3749" s="998" t="s">
        <v>11519</v>
      </c>
      <c r="P3749" s="19"/>
    </row>
    <row r="3750" hidden="1">
      <c r="A3750" s="999">
        <v>8.0</v>
      </c>
      <c r="B3750" s="1000" t="s">
        <v>12843</v>
      </c>
      <c r="C3750" s="306" t="s">
        <v>80</v>
      </c>
      <c r="D3750" s="306" t="s">
        <v>12844</v>
      </c>
      <c r="E3750" s="1026" t="s">
        <v>11979</v>
      </c>
      <c r="F3750" s="306" t="s">
        <v>3928</v>
      </c>
      <c r="G3750" s="118" t="s">
        <v>12845</v>
      </c>
      <c r="H3750" s="118">
        <v>20.0</v>
      </c>
      <c r="I3750" s="597" t="s">
        <v>10093</v>
      </c>
      <c r="J3750" s="19"/>
      <c r="K3750" s="19"/>
      <c r="L3750" s="128" t="s">
        <v>9469</v>
      </c>
      <c r="M3750" s="19"/>
      <c r="N3750" s="19"/>
      <c r="O3750" s="998">
        <v>46060.0</v>
      </c>
      <c r="P3750" s="19"/>
    </row>
    <row r="3751" hidden="1">
      <c r="A3751" s="999">
        <v>9.0</v>
      </c>
      <c r="B3751" s="1000" t="s">
        <v>12846</v>
      </c>
      <c r="C3751" s="306" t="s">
        <v>80</v>
      </c>
      <c r="D3751" s="306" t="s">
        <v>12847</v>
      </c>
      <c r="E3751" s="1026" t="s">
        <v>11982</v>
      </c>
      <c r="F3751" s="306" t="s">
        <v>3928</v>
      </c>
      <c r="G3751" s="118" t="s">
        <v>12845</v>
      </c>
      <c r="H3751" s="118">
        <v>20.0</v>
      </c>
      <c r="I3751" s="341" t="s">
        <v>2890</v>
      </c>
      <c r="J3751" s="19"/>
      <c r="K3751" s="19"/>
      <c r="L3751" s="128" t="s">
        <v>9469</v>
      </c>
      <c r="M3751" s="19"/>
      <c r="N3751" s="19"/>
      <c r="O3751" s="998">
        <v>46060.0</v>
      </c>
      <c r="P3751" s="19"/>
    </row>
    <row r="3752" hidden="1">
      <c r="A3752" s="999">
        <v>10.0</v>
      </c>
      <c r="B3752" s="1000" t="s">
        <v>12848</v>
      </c>
      <c r="C3752" s="306" t="s">
        <v>80</v>
      </c>
      <c r="D3752" s="306" t="s">
        <v>12849</v>
      </c>
      <c r="E3752" s="1027" t="s">
        <v>11988</v>
      </c>
      <c r="F3752" s="306" t="s">
        <v>1700</v>
      </c>
      <c r="G3752" s="118" t="s">
        <v>11437</v>
      </c>
      <c r="H3752" s="118">
        <v>22.0</v>
      </c>
      <c r="I3752" s="341" t="s">
        <v>2890</v>
      </c>
      <c r="J3752" s="19"/>
      <c r="K3752" s="19"/>
      <c r="L3752" s="12" t="s">
        <v>374</v>
      </c>
      <c r="M3752" s="19"/>
      <c r="N3752" s="19"/>
      <c r="O3752" s="1001" t="s">
        <v>12065</v>
      </c>
      <c r="P3752" s="587" t="s">
        <v>1432</v>
      </c>
    </row>
    <row r="3753" hidden="1">
      <c r="A3753" s="999">
        <v>11.0</v>
      </c>
      <c r="B3753" s="1000" t="s">
        <v>12850</v>
      </c>
      <c r="C3753" s="306" t="s">
        <v>80</v>
      </c>
      <c r="D3753" s="306" t="s">
        <v>12851</v>
      </c>
      <c r="E3753" s="1027" t="s">
        <v>11991</v>
      </c>
      <c r="F3753" s="306" t="s">
        <v>1700</v>
      </c>
      <c r="G3753" s="118" t="s">
        <v>11437</v>
      </c>
      <c r="H3753" s="118">
        <v>22.0</v>
      </c>
      <c r="I3753" s="341" t="s">
        <v>2890</v>
      </c>
      <c r="J3753" s="19"/>
      <c r="K3753" s="19"/>
      <c r="L3753" s="12" t="s">
        <v>374</v>
      </c>
      <c r="M3753" s="19"/>
      <c r="N3753" s="19"/>
      <c r="O3753" s="1001" t="s">
        <v>12065</v>
      </c>
      <c r="P3753" s="587" t="s">
        <v>1432</v>
      </c>
    </row>
    <row r="3754" hidden="1">
      <c r="A3754" s="999">
        <v>12.0</v>
      </c>
      <c r="B3754" s="1000" t="s">
        <v>12852</v>
      </c>
      <c r="C3754" s="306" t="s">
        <v>80</v>
      </c>
      <c r="D3754" s="342" t="s">
        <v>12853</v>
      </c>
      <c r="E3754" s="1023" t="s">
        <v>12854</v>
      </c>
      <c r="F3754" s="306" t="s">
        <v>556</v>
      </c>
      <c r="G3754" s="118" t="s">
        <v>12157</v>
      </c>
      <c r="H3754" s="118">
        <v>19.0</v>
      </c>
      <c r="I3754" s="597" t="s">
        <v>10093</v>
      </c>
      <c r="J3754" s="19"/>
      <c r="K3754" s="19"/>
      <c r="L3754" s="12" t="s">
        <v>4195</v>
      </c>
      <c r="M3754" s="19"/>
      <c r="N3754" s="34" t="s">
        <v>12855</v>
      </c>
      <c r="O3754" s="998">
        <v>46333.0</v>
      </c>
      <c r="P3754" s="19"/>
    </row>
    <row r="3755">
      <c r="A3755" s="999">
        <v>13.0</v>
      </c>
      <c r="B3755" s="1000" t="s">
        <v>12856</v>
      </c>
      <c r="C3755" s="306" t="s">
        <v>80</v>
      </c>
      <c r="D3755" s="342" t="s">
        <v>12857</v>
      </c>
      <c r="E3755" s="1023" t="s">
        <v>12858</v>
      </c>
      <c r="F3755" s="306" t="s">
        <v>556</v>
      </c>
      <c r="G3755" s="118" t="s">
        <v>12157</v>
      </c>
      <c r="H3755" s="118">
        <v>19.0</v>
      </c>
      <c r="I3755" s="341" t="s">
        <v>2890</v>
      </c>
      <c r="J3755" s="19"/>
      <c r="K3755" s="19"/>
      <c r="L3755" s="128" t="s">
        <v>9469</v>
      </c>
      <c r="M3755" s="19"/>
      <c r="N3755" s="19"/>
      <c r="O3755" s="34" t="s">
        <v>12751</v>
      </c>
      <c r="P3755" s="19"/>
    </row>
    <row r="3756">
      <c r="A3756" s="1028">
        <v>14.0</v>
      </c>
      <c r="B3756" s="1029" t="s">
        <v>12859</v>
      </c>
      <c r="C3756" s="1030" t="s">
        <v>6606</v>
      </c>
      <c r="D3756" s="1031" t="s">
        <v>12860</v>
      </c>
      <c r="E3756" s="1032" t="s">
        <v>12861</v>
      </c>
      <c r="F3756" s="1033" t="s">
        <v>172</v>
      </c>
      <c r="G3756" s="1034" t="s">
        <v>1129</v>
      </c>
      <c r="H3756" s="1034">
        <v>21.0</v>
      </c>
      <c r="I3756" s="1035" t="s">
        <v>2890</v>
      </c>
      <c r="J3756" s="1036"/>
      <c r="K3756" s="1036"/>
      <c r="L3756" s="1037" t="s">
        <v>374</v>
      </c>
      <c r="M3756" s="1036"/>
      <c r="N3756" s="1036"/>
      <c r="O3756" s="1038" t="s">
        <v>1553</v>
      </c>
      <c r="P3756" s="1036"/>
      <c r="Q3756" s="1039"/>
      <c r="R3756" s="1039"/>
      <c r="S3756" s="1039"/>
      <c r="T3756" s="1039"/>
      <c r="U3756" s="1039"/>
      <c r="V3756" s="1039"/>
      <c r="W3756" s="1039"/>
      <c r="X3756" s="1039"/>
      <c r="Y3756" s="1039"/>
      <c r="Z3756" s="1039"/>
      <c r="AA3756" s="1039"/>
      <c r="AB3756" s="1039"/>
      <c r="AC3756" s="1039"/>
      <c r="AD3756" s="1039"/>
      <c r="AE3756" s="1039"/>
      <c r="AF3756" s="1039"/>
    </row>
    <row r="3757">
      <c r="A3757" s="339" t="s">
        <v>12862</v>
      </c>
    </row>
    <row r="3758">
      <c r="A3758" s="670" t="s">
        <v>47</v>
      </c>
      <c r="B3758" s="670" t="s">
        <v>7</v>
      </c>
      <c r="C3758" s="670" t="s">
        <v>9</v>
      </c>
      <c r="D3758" s="670" t="s">
        <v>10</v>
      </c>
      <c r="E3758" s="670" t="s">
        <v>11</v>
      </c>
      <c r="F3758" s="670" t="s">
        <v>12</v>
      </c>
      <c r="G3758" s="670" t="s">
        <v>2378</v>
      </c>
      <c r="H3758" s="670" t="s">
        <v>2681</v>
      </c>
      <c r="I3758" s="4" t="s">
        <v>2847</v>
      </c>
      <c r="J3758" s="8" t="s">
        <v>14</v>
      </c>
      <c r="K3758" s="9" t="s">
        <v>16</v>
      </c>
      <c r="L3758" s="10" t="s">
        <v>11871</v>
      </c>
      <c r="M3758" s="9" t="s">
        <v>18</v>
      </c>
      <c r="N3758" s="9" t="s">
        <v>19</v>
      </c>
      <c r="O3758" s="9" t="s">
        <v>20</v>
      </c>
      <c r="P3758" s="9" t="s">
        <v>21</v>
      </c>
      <c r="R3758" s="35"/>
      <c r="S3758" s="35"/>
      <c r="T3758" s="35"/>
      <c r="U3758" s="35"/>
      <c r="V3758" s="35"/>
      <c r="W3758" s="35"/>
      <c r="X3758" s="35"/>
      <c r="Y3758" s="35"/>
      <c r="Z3758" s="35"/>
      <c r="AA3758" s="35"/>
      <c r="AB3758" s="35"/>
      <c r="AC3758" s="35"/>
      <c r="AD3758" s="35"/>
      <c r="AE3758" s="35"/>
      <c r="AF3758" s="35"/>
    </row>
    <row r="3759" hidden="1">
      <c r="A3759" s="504">
        <v>1.0</v>
      </c>
      <c r="B3759" s="511" t="s">
        <v>12863</v>
      </c>
      <c r="C3759" s="282" t="s">
        <v>80</v>
      </c>
      <c r="D3759" s="504" t="s">
        <v>12864</v>
      </c>
      <c r="E3759" s="504" t="s">
        <v>12865</v>
      </c>
      <c r="F3759" s="282" t="s">
        <v>12866</v>
      </c>
      <c r="G3759" s="1005">
        <v>46088.0</v>
      </c>
      <c r="H3759" s="118"/>
      <c r="I3759" s="1040" t="s">
        <v>5364</v>
      </c>
      <c r="J3759" s="19"/>
      <c r="K3759" s="19"/>
      <c r="L3759" s="12" t="s">
        <v>2541</v>
      </c>
      <c r="M3759" s="19"/>
      <c r="N3759" s="19"/>
      <c r="O3759" s="148">
        <v>46241.0</v>
      </c>
      <c r="P3759" s="19"/>
    </row>
    <row r="3760" hidden="1">
      <c r="A3760" s="504">
        <v>2.0</v>
      </c>
      <c r="B3760" s="511" t="s">
        <v>12867</v>
      </c>
      <c r="C3760" s="282" t="s">
        <v>80</v>
      </c>
      <c r="D3760" s="504" t="s">
        <v>12868</v>
      </c>
      <c r="E3760" s="504" t="s">
        <v>12869</v>
      </c>
      <c r="F3760" s="282" t="s">
        <v>349</v>
      </c>
      <c r="G3760" s="1005">
        <v>46088.0</v>
      </c>
      <c r="H3760" s="118"/>
      <c r="I3760" s="33" t="s">
        <v>2890</v>
      </c>
      <c r="J3760" s="19"/>
      <c r="K3760" s="19"/>
      <c r="L3760" s="12" t="s">
        <v>2541</v>
      </c>
      <c r="M3760" s="19"/>
      <c r="N3760" s="19"/>
      <c r="O3760" s="148">
        <v>46241.0</v>
      </c>
      <c r="P3760" s="19"/>
    </row>
    <row r="3761" hidden="1">
      <c r="A3761" s="504">
        <v>3.0</v>
      </c>
      <c r="B3761" s="511" t="s">
        <v>12870</v>
      </c>
      <c r="C3761" s="282" t="s">
        <v>80</v>
      </c>
      <c r="D3761" s="504" t="s">
        <v>12871</v>
      </c>
      <c r="E3761" s="504" t="s">
        <v>12872</v>
      </c>
      <c r="F3761" s="282" t="s">
        <v>2120</v>
      </c>
      <c r="G3761" s="1005">
        <v>46088.0</v>
      </c>
      <c r="H3761" s="118"/>
      <c r="I3761" s="33" t="s">
        <v>2890</v>
      </c>
      <c r="J3761" s="34" t="s">
        <v>1696</v>
      </c>
      <c r="K3761" s="19"/>
      <c r="L3761" s="12" t="s">
        <v>51</v>
      </c>
      <c r="M3761" s="19"/>
      <c r="N3761" s="19"/>
      <c r="O3761" s="148">
        <v>46088.0</v>
      </c>
      <c r="P3761" s="19"/>
    </row>
    <row r="3762" hidden="1">
      <c r="A3762" s="504">
        <v>4.0</v>
      </c>
      <c r="B3762" s="715" t="s">
        <v>12873</v>
      </c>
      <c r="C3762" s="282" t="s">
        <v>80</v>
      </c>
      <c r="D3762" s="504" t="s">
        <v>12874</v>
      </c>
      <c r="E3762" s="504" t="s">
        <v>12875</v>
      </c>
      <c r="F3762" s="282" t="s">
        <v>12876</v>
      </c>
      <c r="G3762" s="1005">
        <v>46302.0</v>
      </c>
      <c r="H3762" s="118"/>
      <c r="I3762" s="33" t="s">
        <v>2890</v>
      </c>
      <c r="J3762" s="19"/>
      <c r="K3762" s="19"/>
      <c r="L3762" s="12" t="s">
        <v>4195</v>
      </c>
      <c r="M3762" s="19"/>
      <c r="N3762" s="19"/>
      <c r="O3762" s="34" t="s">
        <v>12877</v>
      </c>
      <c r="P3762" s="587" t="s">
        <v>1432</v>
      </c>
    </row>
    <row r="3763" hidden="1">
      <c r="A3763" s="504">
        <v>5.0</v>
      </c>
      <c r="B3763" s="715" t="s">
        <v>12878</v>
      </c>
      <c r="C3763" s="1041"/>
      <c r="D3763" s="504" t="s">
        <v>12879</v>
      </c>
      <c r="E3763" s="504" t="s">
        <v>12880</v>
      </c>
      <c r="F3763" s="1041"/>
      <c r="G3763" s="118"/>
      <c r="H3763" s="118"/>
      <c r="I3763" s="33" t="s">
        <v>2890</v>
      </c>
      <c r="J3763" s="19"/>
      <c r="K3763" s="19"/>
      <c r="L3763" s="12" t="s">
        <v>374</v>
      </c>
      <c r="M3763" s="19"/>
      <c r="N3763" s="19"/>
      <c r="O3763" s="34" t="s">
        <v>11628</v>
      </c>
      <c r="P3763" s="19"/>
    </row>
    <row r="3764" hidden="1">
      <c r="A3764" s="504">
        <v>6.0</v>
      </c>
      <c r="B3764" s="715" t="s">
        <v>12881</v>
      </c>
      <c r="C3764" s="282" t="s">
        <v>80</v>
      </c>
      <c r="D3764" s="504" t="s">
        <v>12882</v>
      </c>
      <c r="E3764" s="504" t="s">
        <v>12883</v>
      </c>
      <c r="F3764" s="282" t="s">
        <v>12884</v>
      </c>
      <c r="G3764" s="1005">
        <v>46180.0</v>
      </c>
      <c r="H3764" s="118"/>
      <c r="I3764" s="33" t="s">
        <v>2890</v>
      </c>
      <c r="J3764" s="19"/>
      <c r="K3764" s="19"/>
      <c r="L3764" s="12" t="s">
        <v>4195</v>
      </c>
      <c r="M3764" s="19"/>
      <c r="N3764" s="19"/>
      <c r="O3764" s="665">
        <v>46060.0</v>
      </c>
      <c r="P3764" s="587" t="s">
        <v>1432</v>
      </c>
    </row>
    <row r="3765" hidden="1">
      <c r="A3765" s="342">
        <v>7.0</v>
      </c>
      <c r="B3765" s="512" t="s">
        <v>12885</v>
      </c>
      <c r="C3765" s="275" t="s">
        <v>3059</v>
      </c>
      <c r="D3765" s="342" t="s">
        <v>12886</v>
      </c>
      <c r="E3765" s="911" t="s">
        <v>12887</v>
      </c>
      <c r="F3765" s="275" t="s">
        <v>12888</v>
      </c>
      <c r="G3765" s="118" t="s">
        <v>11437</v>
      </c>
      <c r="H3765" s="118"/>
      <c r="I3765" s="33" t="s">
        <v>2890</v>
      </c>
      <c r="J3765" s="19"/>
      <c r="K3765" s="19"/>
      <c r="L3765" s="12" t="s">
        <v>374</v>
      </c>
      <c r="M3765" s="19"/>
      <c r="N3765" s="19"/>
      <c r="O3765" s="34" t="s">
        <v>11614</v>
      </c>
      <c r="P3765" s="19"/>
    </row>
    <row r="3766" hidden="1">
      <c r="A3766" s="342">
        <v>8.0</v>
      </c>
      <c r="B3766" s="512" t="s">
        <v>12889</v>
      </c>
      <c r="C3766" s="275" t="s">
        <v>3059</v>
      </c>
      <c r="D3766" s="342" t="s">
        <v>12890</v>
      </c>
      <c r="E3766" s="911" t="s">
        <v>12891</v>
      </c>
      <c r="F3766" s="275" t="s">
        <v>12888</v>
      </c>
      <c r="G3766" s="118" t="s">
        <v>11437</v>
      </c>
      <c r="H3766" s="118"/>
      <c r="I3766" s="33" t="s">
        <v>3465</v>
      </c>
      <c r="J3766" s="19"/>
      <c r="K3766" s="19"/>
      <c r="L3766" s="12" t="s">
        <v>374</v>
      </c>
      <c r="M3766" s="19"/>
      <c r="N3766" s="19"/>
      <c r="O3766" s="34" t="s">
        <v>11614</v>
      </c>
      <c r="P3766" s="19"/>
    </row>
    <row r="3767">
      <c r="A3767" s="929">
        <v>9.0</v>
      </c>
      <c r="B3767" s="929" t="s">
        <v>12892</v>
      </c>
      <c r="C3767" s="929" t="s">
        <v>2307</v>
      </c>
      <c r="D3767" s="929" t="s">
        <v>12893</v>
      </c>
      <c r="E3767" s="929" t="s">
        <v>12894</v>
      </c>
      <c r="F3767" s="929" t="s">
        <v>12895</v>
      </c>
      <c r="G3767" s="1042" t="s">
        <v>11809</v>
      </c>
      <c r="H3767" s="929"/>
      <c r="I3767" s="929" t="s">
        <v>2890</v>
      </c>
      <c r="J3767" s="929"/>
      <c r="K3767" s="929"/>
      <c r="L3767" s="930" t="s">
        <v>699</v>
      </c>
      <c r="M3767" s="929"/>
      <c r="N3767" s="929"/>
      <c r="O3767" s="929" t="s">
        <v>12896</v>
      </c>
      <c r="P3767" s="929" t="s">
        <v>1432</v>
      </c>
      <c r="Q3767" s="929"/>
      <c r="R3767" s="929"/>
      <c r="S3767" s="929"/>
      <c r="T3767" s="929"/>
      <c r="U3767" s="929"/>
      <c r="V3767" s="929"/>
      <c r="W3767" s="929"/>
      <c r="X3767" s="929"/>
      <c r="Y3767" s="929"/>
      <c r="Z3767" s="929"/>
      <c r="AA3767" s="929"/>
      <c r="AB3767" s="929"/>
      <c r="AC3767" s="929"/>
      <c r="AD3767" s="929"/>
      <c r="AE3767" s="929"/>
      <c r="AF3767" s="929"/>
    </row>
    <row r="3768">
      <c r="A3768" s="929">
        <v>10.0</v>
      </c>
      <c r="B3768" s="929" t="s">
        <v>12897</v>
      </c>
      <c r="C3768" s="929" t="s">
        <v>2403</v>
      </c>
      <c r="D3768" s="929" t="s">
        <v>12898</v>
      </c>
      <c r="E3768" s="929" t="s">
        <v>12899</v>
      </c>
      <c r="F3768" s="929" t="s">
        <v>148</v>
      </c>
      <c r="G3768" s="1042" t="s">
        <v>11809</v>
      </c>
      <c r="H3768" s="929"/>
      <c r="I3768" s="929" t="s">
        <v>10093</v>
      </c>
      <c r="J3768" s="929"/>
      <c r="K3768" s="929"/>
      <c r="L3768" s="930" t="s">
        <v>699</v>
      </c>
      <c r="M3768" s="929"/>
      <c r="N3768" s="929"/>
      <c r="O3768" s="929" t="s">
        <v>12896</v>
      </c>
      <c r="P3768" s="929" t="s">
        <v>1432</v>
      </c>
      <c r="Q3768" s="929"/>
      <c r="R3768" s="929"/>
      <c r="S3768" s="929"/>
      <c r="T3768" s="929"/>
      <c r="U3768" s="929"/>
      <c r="V3768" s="929"/>
      <c r="W3768" s="929"/>
      <c r="X3768" s="929"/>
      <c r="Y3768" s="929"/>
      <c r="Z3768" s="929"/>
      <c r="AA3768" s="929"/>
      <c r="AB3768" s="929"/>
      <c r="AC3768" s="929"/>
      <c r="AD3768" s="929"/>
      <c r="AE3768" s="929"/>
      <c r="AF3768" s="929"/>
    </row>
    <row r="3769">
      <c r="A3769" s="342" t="s">
        <v>12900</v>
      </c>
      <c r="B3769" s="718" t="s">
        <v>12901</v>
      </c>
      <c r="C3769" s="275" t="s">
        <v>2307</v>
      </c>
      <c r="D3769" s="342" t="s">
        <v>12902</v>
      </c>
      <c r="E3769" s="342" t="s">
        <v>12903</v>
      </c>
      <c r="F3769" s="275" t="s">
        <v>12904</v>
      </c>
      <c r="G3769" s="1043" t="s">
        <v>12905</v>
      </c>
      <c r="H3769" s="118"/>
      <c r="I3769" s="33" t="s">
        <v>2890</v>
      </c>
      <c r="J3769" s="19"/>
      <c r="K3769" s="19"/>
      <c r="L3769" s="12" t="s">
        <v>699</v>
      </c>
      <c r="M3769" s="19"/>
      <c r="N3769" s="19"/>
      <c r="O3769" s="998" t="s">
        <v>12906</v>
      </c>
      <c r="P3769" s="74" t="s">
        <v>1432</v>
      </c>
    </row>
    <row r="3770">
      <c r="A3770" s="342">
        <v>12.0</v>
      </c>
      <c r="B3770" s="718" t="s">
        <v>12907</v>
      </c>
      <c r="C3770" s="275" t="s">
        <v>2307</v>
      </c>
      <c r="D3770" s="342" t="s">
        <v>12908</v>
      </c>
      <c r="E3770" s="342" t="s">
        <v>12909</v>
      </c>
      <c r="F3770" s="275" t="s">
        <v>148</v>
      </c>
      <c r="G3770" s="1043">
        <v>46206.0</v>
      </c>
      <c r="H3770" s="118"/>
      <c r="I3770" s="485" t="s">
        <v>3465</v>
      </c>
      <c r="J3770" s="19"/>
      <c r="K3770" s="19"/>
      <c r="L3770" s="12" t="s">
        <v>699</v>
      </c>
      <c r="M3770" s="19"/>
      <c r="N3770" s="19"/>
      <c r="O3770" s="1044"/>
      <c r="P3770" s="1045" t="s">
        <v>1432</v>
      </c>
    </row>
    <row r="3771">
      <c r="A3771" s="342">
        <v>13.0</v>
      </c>
      <c r="B3771" s="718" t="s">
        <v>12910</v>
      </c>
      <c r="C3771" s="275" t="s">
        <v>2307</v>
      </c>
      <c r="D3771" s="342" t="s">
        <v>12911</v>
      </c>
      <c r="E3771" s="342" t="s">
        <v>12912</v>
      </c>
      <c r="F3771" s="275" t="s">
        <v>12913</v>
      </c>
      <c r="G3771" s="1043">
        <v>46205.0</v>
      </c>
      <c r="H3771" s="118"/>
      <c r="I3771" s="33" t="s">
        <v>2890</v>
      </c>
      <c r="J3771" s="19"/>
      <c r="K3771" s="19"/>
      <c r="L3771" s="12" t="s">
        <v>699</v>
      </c>
      <c r="M3771" s="19"/>
      <c r="N3771" s="19"/>
      <c r="O3771" s="1046" t="s">
        <v>12914</v>
      </c>
      <c r="P3771" s="102" t="s">
        <v>1432</v>
      </c>
    </row>
    <row r="3772">
      <c r="A3772" s="342">
        <v>14.0</v>
      </c>
      <c r="B3772" s="718" t="s">
        <v>12915</v>
      </c>
      <c r="C3772" s="275" t="s">
        <v>80</v>
      </c>
      <c r="D3772" s="342" t="s">
        <v>12916</v>
      </c>
      <c r="E3772" s="342" t="s">
        <v>12917</v>
      </c>
      <c r="F3772" s="275" t="s">
        <v>12918</v>
      </c>
      <c r="G3772" s="1043">
        <v>46363.0</v>
      </c>
      <c r="H3772" s="118"/>
      <c r="I3772" s="485" t="s">
        <v>9338</v>
      </c>
      <c r="J3772" s="19"/>
      <c r="K3772" s="19"/>
      <c r="L3772" s="12" t="s">
        <v>51</v>
      </c>
      <c r="M3772" s="19"/>
      <c r="N3772" s="19"/>
      <c r="O3772" s="1007" t="s">
        <v>12919</v>
      </c>
      <c r="P3772" s="19"/>
    </row>
    <row r="3773">
      <c r="A3773" s="342">
        <v>15.0</v>
      </c>
      <c r="B3773" s="718" t="s">
        <v>12920</v>
      </c>
      <c r="C3773" s="275" t="s">
        <v>80</v>
      </c>
      <c r="D3773" s="342" t="s">
        <v>12921</v>
      </c>
      <c r="E3773" s="342" t="s">
        <v>12922</v>
      </c>
      <c r="F3773" s="275" t="s">
        <v>12918</v>
      </c>
      <c r="G3773" s="1043">
        <v>46363.0</v>
      </c>
      <c r="H3773" s="118"/>
      <c r="I3773" s="33" t="s">
        <v>2890</v>
      </c>
      <c r="J3773" s="19"/>
      <c r="K3773" s="19"/>
      <c r="L3773" s="12" t="s">
        <v>51</v>
      </c>
      <c r="M3773" s="19"/>
      <c r="N3773" s="19"/>
      <c r="O3773" s="1007" t="s">
        <v>12919</v>
      </c>
      <c r="P3773" s="19"/>
    </row>
    <row r="3774">
      <c r="A3774" s="342">
        <v>16.0</v>
      </c>
      <c r="B3774" s="512" t="s">
        <v>12923</v>
      </c>
      <c r="C3774" s="275" t="s">
        <v>80</v>
      </c>
      <c r="D3774" s="342" t="s">
        <v>12924</v>
      </c>
      <c r="E3774" s="1047" t="s">
        <v>12925</v>
      </c>
      <c r="F3774" s="275" t="s">
        <v>25</v>
      </c>
      <c r="G3774" s="1043">
        <v>46333.0</v>
      </c>
      <c r="H3774" s="118"/>
      <c r="I3774" s="33" t="s">
        <v>2890</v>
      </c>
      <c r="J3774" s="19"/>
      <c r="K3774" s="19"/>
      <c r="L3774" s="12" t="s">
        <v>374</v>
      </c>
      <c r="M3774" s="19"/>
      <c r="N3774" s="19"/>
      <c r="O3774" s="1007" t="s">
        <v>11815</v>
      </c>
      <c r="P3774" s="102" t="s">
        <v>1432</v>
      </c>
    </row>
    <row r="3775">
      <c r="A3775" s="342">
        <v>17.0</v>
      </c>
      <c r="B3775" s="512" t="s">
        <v>12926</v>
      </c>
      <c r="C3775" s="275" t="s">
        <v>80</v>
      </c>
      <c r="D3775" s="342" t="s">
        <v>12927</v>
      </c>
      <c r="E3775" s="911" t="s">
        <v>12928</v>
      </c>
      <c r="F3775" s="275" t="s">
        <v>12866</v>
      </c>
      <c r="G3775" s="1043">
        <v>46088.0</v>
      </c>
      <c r="H3775" s="118"/>
      <c r="I3775" s="1040" t="s">
        <v>12929</v>
      </c>
      <c r="J3775" s="19"/>
      <c r="K3775" s="19"/>
      <c r="L3775" s="12" t="s">
        <v>2541</v>
      </c>
      <c r="M3775" s="19"/>
      <c r="N3775" s="19"/>
      <c r="O3775" s="1007">
        <v>46241.0</v>
      </c>
      <c r="P3775" s="19"/>
    </row>
    <row r="3776">
      <c r="A3776" s="342">
        <v>18.0</v>
      </c>
      <c r="B3776" s="512" t="s">
        <v>12930</v>
      </c>
      <c r="C3776" s="275" t="s">
        <v>80</v>
      </c>
      <c r="D3776" s="342" t="s">
        <v>12931</v>
      </c>
      <c r="E3776" s="911" t="s">
        <v>12932</v>
      </c>
      <c r="F3776" s="275" t="s">
        <v>12866</v>
      </c>
      <c r="G3776" s="1043">
        <v>46088.0</v>
      </c>
      <c r="H3776" s="118"/>
      <c r="I3776" s="33" t="s">
        <v>2890</v>
      </c>
      <c r="J3776" s="19"/>
      <c r="K3776" s="19"/>
      <c r="L3776" s="12" t="s">
        <v>2541</v>
      </c>
      <c r="M3776" s="19"/>
      <c r="N3776" s="19"/>
      <c r="O3776" s="1007">
        <v>46241.0</v>
      </c>
      <c r="P3776" s="19"/>
    </row>
    <row r="3777">
      <c r="A3777" s="1048">
        <v>19.0</v>
      </c>
      <c r="B3777" s="1049" t="s">
        <v>12933</v>
      </c>
      <c r="C3777" s="1050" t="s">
        <v>80</v>
      </c>
      <c r="D3777" s="1048" t="s">
        <v>12934</v>
      </c>
      <c r="E3777" s="1048" t="s">
        <v>12935</v>
      </c>
      <c r="F3777" s="1050" t="s">
        <v>25</v>
      </c>
      <c r="G3777" s="1051">
        <v>46211.0</v>
      </c>
      <c r="H3777" s="1052"/>
      <c r="I3777" s="1053" t="s">
        <v>2890</v>
      </c>
      <c r="J3777" s="1054"/>
      <c r="K3777" s="1054"/>
      <c r="L3777" s="1055" t="s">
        <v>4195</v>
      </c>
      <c r="M3777" s="1054"/>
      <c r="N3777" s="1054"/>
      <c r="O3777" s="1056" t="s">
        <v>12936</v>
      </c>
      <c r="P3777" s="1054"/>
      <c r="Q3777" s="1057"/>
      <c r="R3777" s="1057"/>
      <c r="S3777" s="1057"/>
      <c r="T3777" s="1057"/>
      <c r="U3777" s="1057"/>
      <c r="V3777" s="1057"/>
      <c r="W3777" s="1057"/>
      <c r="X3777" s="1057"/>
      <c r="Y3777" s="1057"/>
      <c r="Z3777" s="1057"/>
      <c r="AA3777" s="1057"/>
      <c r="AB3777" s="1057"/>
      <c r="AC3777" s="1057"/>
      <c r="AD3777" s="1057"/>
      <c r="AE3777" s="1057"/>
      <c r="AF3777" s="1057"/>
    </row>
    <row r="3778">
      <c r="A3778" s="342">
        <v>20.0</v>
      </c>
      <c r="B3778" s="512" t="s">
        <v>12937</v>
      </c>
      <c r="C3778" s="275" t="s">
        <v>80</v>
      </c>
      <c r="D3778" s="342" t="s">
        <v>12938</v>
      </c>
      <c r="E3778" s="342" t="s">
        <v>12939</v>
      </c>
      <c r="F3778" s="275" t="s">
        <v>12940</v>
      </c>
      <c r="G3778" s="1043">
        <v>46212.0</v>
      </c>
      <c r="H3778" s="118"/>
      <c r="I3778" s="33" t="s">
        <v>2890</v>
      </c>
      <c r="J3778" s="19"/>
      <c r="K3778" s="19"/>
      <c r="L3778" s="12" t="s">
        <v>4195</v>
      </c>
      <c r="M3778" s="19"/>
      <c r="N3778" s="19"/>
      <c r="O3778" s="1007" t="s">
        <v>12941</v>
      </c>
      <c r="P3778" s="19"/>
    </row>
    <row r="3779">
      <c r="A3779" s="342">
        <v>21.0</v>
      </c>
      <c r="B3779" s="512" t="s">
        <v>12942</v>
      </c>
      <c r="C3779" s="275" t="s">
        <v>80</v>
      </c>
      <c r="D3779" s="342" t="s">
        <v>12943</v>
      </c>
      <c r="E3779" s="342" t="s">
        <v>12944</v>
      </c>
      <c r="F3779" s="275" t="s">
        <v>1487</v>
      </c>
      <c r="G3779" s="1043">
        <v>46211.0</v>
      </c>
      <c r="H3779" s="118"/>
      <c r="I3779" s="33" t="s">
        <v>2890</v>
      </c>
      <c r="J3779" s="19"/>
      <c r="K3779" s="19"/>
      <c r="L3779" s="12" t="s">
        <v>374</v>
      </c>
      <c r="M3779" s="19"/>
      <c r="N3779" s="19"/>
      <c r="O3779" s="1007" t="s">
        <v>12845</v>
      </c>
      <c r="P3779" s="19"/>
    </row>
    <row r="3780">
      <c r="A3780" s="342">
        <v>22.0</v>
      </c>
      <c r="B3780" s="512" t="s">
        <v>12945</v>
      </c>
      <c r="C3780" s="275" t="s">
        <v>12413</v>
      </c>
      <c r="D3780" s="342" t="s">
        <v>12946</v>
      </c>
      <c r="E3780" s="342" t="s">
        <v>12947</v>
      </c>
      <c r="F3780" s="275" t="s">
        <v>12948</v>
      </c>
      <c r="G3780" s="1043">
        <v>46211.0</v>
      </c>
      <c r="H3780" s="118"/>
      <c r="I3780" s="33" t="s">
        <v>2890</v>
      </c>
      <c r="J3780" s="19"/>
      <c r="K3780" s="19"/>
      <c r="L3780" s="12" t="s">
        <v>4195</v>
      </c>
      <c r="M3780" s="19"/>
      <c r="N3780" s="19"/>
      <c r="O3780" s="1007" t="s">
        <v>11815</v>
      </c>
      <c r="P3780" s="102" t="s">
        <v>11953</v>
      </c>
    </row>
    <row r="3781">
      <c r="A3781" s="342">
        <v>23.0</v>
      </c>
      <c r="B3781" s="718" t="s">
        <v>12949</v>
      </c>
      <c r="C3781" s="275" t="s">
        <v>80</v>
      </c>
      <c r="D3781" s="342" t="s">
        <v>12950</v>
      </c>
      <c r="E3781" s="342" t="s">
        <v>12951</v>
      </c>
      <c r="F3781" s="275" t="s">
        <v>9068</v>
      </c>
      <c r="G3781" s="1043">
        <v>46212.0</v>
      </c>
      <c r="H3781" s="118"/>
      <c r="I3781" s="1040" t="s">
        <v>10093</v>
      </c>
      <c r="J3781" s="19"/>
      <c r="K3781" s="19"/>
      <c r="L3781" s="12" t="s">
        <v>51</v>
      </c>
      <c r="M3781" s="19"/>
      <c r="N3781" s="19"/>
      <c r="O3781" s="1007" t="s">
        <v>12952</v>
      </c>
      <c r="P3781" s="102" t="s">
        <v>11953</v>
      </c>
    </row>
    <row r="3782">
      <c r="A3782" s="342">
        <v>24.0</v>
      </c>
      <c r="B3782" s="718" t="s">
        <v>12953</v>
      </c>
      <c r="C3782" s="275" t="s">
        <v>80</v>
      </c>
      <c r="D3782" s="342" t="s">
        <v>12954</v>
      </c>
      <c r="E3782" s="342" t="s">
        <v>12955</v>
      </c>
      <c r="F3782" s="275" t="s">
        <v>12956</v>
      </c>
      <c r="G3782" s="1043">
        <v>46211.0</v>
      </c>
      <c r="H3782" s="118"/>
      <c r="I3782" s="1040" t="s">
        <v>10198</v>
      </c>
      <c r="J3782" s="19"/>
      <c r="K3782" s="19"/>
      <c r="L3782" s="12" t="s">
        <v>11863</v>
      </c>
      <c r="M3782" s="19"/>
      <c r="N3782" s="19"/>
      <c r="O3782" s="34" t="s">
        <v>12957</v>
      </c>
      <c r="P3782" s="102" t="s">
        <v>11953</v>
      </c>
    </row>
    <row r="3783">
      <c r="A3783" s="342">
        <v>25.0</v>
      </c>
      <c r="B3783" s="718" t="s">
        <v>12958</v>
      </c>
      <c r="C3783" s="275" t="s">
        <v>6810</v>
      </c>
      <c r="D3783" s="342" t="s">
        <v>12959</v>
      </c>
      <c r="E3783" s="911" t="s">
        <v>12960</v>
      </c>
      <c r="F3783" s="275" t="s">
        <v>243</v>
      </c>
      <c r="G3783" s="1043">
        <v>46213.0</v>
      </c>
      <c r="H3783" s="118"/>
      <c r="I3783" s="33" t="s">
        <v>2890</v>
      </c>
      <c r="J3783" s="19"/>
      <c r="K3783" s="19"/>
      <c r="L3783" s="12" t="s">
        <v>699</v>
      </c>
      <c r="M3783" s="19"/>
      <c r="N3783" s="19"/>
      <c r="O3783" s="1007" t="s">
        <v>12157</v>
      </c>
      <c r="P3783" s="19"/>
    </row>
    <row r="3784">
      <c r="A3784" s="342">
        <v>26.0</v>
      </c>
      <c r="B3784" s="718" t="s">
        <v>12961</v>
      </c>
      <c r="C3784" s="275" t="s">
        <v>6810</v>
      </c>
      <c r="D3784" s="342" t="s">
        <v>12962</v>
      </c>
      <c r="E3784" s="911" t="s">
        <v>12963</v>
      </c>
      <c r="F3784" s="275" t="s">
        <v>243</v>
      </c>
      <c r="G3784" s="1043">
        <v>46213.0</v>
      </c>
      <c r="H3784" s="118"/>
      <c r="I3784" s="33" t="s">
        <v>2890</v>
      </c>
      <c r="J3784" s="19"/>
      <c r="K3784" s="19"/>
      <c r="L3784" s="12" t="s">
        <v>699</v>
      </c>
      <c r="M3784" s="19"/>
      <c r="N3784" s="19"/>
      <c r="O3784" s="1007" t="s">
        <v>12157</v>
      </c>
      <c r="P3784" s="19"/>
    </row>
    <row r="3785">
      <c r="A3785" s="342">
        <v>27.0</v>
      </c>
      <c r="B3785" s="718" t="s">
        <v>12964</v>
      </c>
      <c r="C3785" s="275" t="s">
        <v>80</v>
      </c>
      <c r="D3785" s="342" t="s">
        <v>12965</v>
      </c>
      <c r="E3785" s="342" t="s">
        <v>12966</v>
      </c>
      <c r="F3785" s="275" t="s">
        <v>556</v>
      </c>
      <c r="G3785" s="1043">
        <v>46212.0</v>
      </c>
      <c r="H3785" s="118"/>
      <c r="I3785" s="33" t="s">
        <v>2890</v>
      </c>
      <c r="J3785" s="19"/>
      <c r="K3785" s="19"/>
      <c r="L3785" s="12" t="s">
        <v>374</v>
      </c>
      <c r="M3785" s="19"/>
      <c r="N3785" s="19"/>
      <c r="O3785" s="1007" t="s">
        <v>12065</v>
      </c>
      <c r="P3785" s="19"/>
    </row>
    <row r="3786">
      <c r="A3786" s="342">
        <v>28.0</v>
      </c>
      <c r="B3786" s="512" t="s">
        <v>12967</v>
      </c>
      <c r="C3786" s="275" t="s">
        <v>80</v>
      </c>
      <c r="D3786" s="342" t="s">
        <v>12968</v>
      </c>
      <c r="E3786" s="342" t="s">
        <v>12969</v>
      </c>
      <c r="F3786" s="275" t="s">
        <v>556</v>
      </c>
      <c r="G3786" s="1043">
        <v>46212.0</v>
      </c>
      <c r="H3786" s="118"/>
      <c r="I3786" s="485" t="s">
        <v>3465</v>
      </c>
      <c r="J3786" s="19"/>
      <c r="K3786" s="19"/>
      <c r="L3786" s="33" t="s">
        <v>4195</v>
      </c>
      <c r="M3786" s="19"/>
      <c r="N3786" s="34" t="s">
        <v>12970</v>
      </c>
      <c r="O3786" s="1007" t="s">
        <v>12691</v>
      </c>
      <c r="P3786" s="19"/>
    </row>
    <row r="3787">
      <c r="A3787" s="342">
        <v>29.0</v>
      </c>
      <c r="B3787" s="512" t="s">
        <v>12971</v>
      </c>
      <c r="C3787" s="275" t="s">
        <v>80</v>
      </c>
      <c r="D3787" s="342" t="s">
        <v>12972</v>
      </c>
      <c r="E3787" s="342" t="s">
        <v>12973</v>
      </c>
      <c r="F3787" s="275" t="s">
        <v>556</v>
      </c>
      <c r="G3787" s="1043">
        <v>46212.0</v>
      </c>
      <c r="H3787" s="118"/>
      <c r="I3787" s="33" t="s">
        <v>2890</v>
      </c>
      <c r="J3787" s="19"/>
      <c r="K3787" s="19"/>
      <c r="L3787" s="33" t="s">
        <v>51</v>
      </c>
      <c r="M3787" s="19"/>
      <c r="N3787" s="19"/>
      <c r="O3787" s="34" t="s">
        <v>12906</v>
      </c>
      <c r="P3787" s="1045" t="s">
        <v>1432</v>
      </c>
    </row>
    <row r="3788" hidden="1">
      <c r="A3788" s="342">
        <v>30.0</v>
      </c>
      <c r="B3788" s="512" t="s">
        <v>12974</v>
      </c>
      <c r="C3788" s="275" t="s">
        <v>80</v>
      </c>
      <c r="D3788" s="342" t="s">
        <v>12975</v>
      </c>
      <c r="E3788" s="342" t="s">
        <v>12976</v>
      </c>
      <c r="F3788" s="275" t="s">
        <v>556</v>
      </c>
      <c r="G3788" s="1005">
        <v>46272.0</v>
      </c>
      <c r="H3788" s="118"/>
      <c r="I3788" s="33" t="s">
        <v>2890</v>
      </c>
      <c r="J3788" s="19"/>
      <c r="K3788" s="19"/>
      <c r="L3788" s="33" t="s">
        <v>374</v>
      </c>
      <c r="M3788" s="19"/>
      <c r="N3788" s="19"/>
      <c r="O3788" s="1007" t="s">
        <v>12166</v>
      </c>
      <c r="P3788" s="587" t="s">
        <v>1432</v>
      </c>
    </row>
    <row r="3789" hidden="1">
      <c r="A3789" s="342">
        <v>31.0</v>
      </c>
      <c r="B3789" s="512" t="s">
        <v>12977</v>
      </c>
      <c r="C3789" s="275" t="s">
        <v>80</v>
      </c>
      <c r="D3789" s="342" t="s">
        <v>12978</v>
      </c>
      <c r="E3789" s="342" t="s">
        <v>12979</v>
      </c>
      <c r="F3789" s="275" t="s">
        <v>9560</v>
      </c>
      <c r="G3789" s="1005">
        <v>46302.0</v>
      </c>
      <c r="H3789" s="118"/>
      <c r="I3789" s="33" t="s">
        <v>2890</v>
      </c>
      <c r="J3789" s="19"/>
      <c r="K3789" s="19"/>
      <c r="L3789" s="12" t="s">
        <v>4195</v>
      </c>
      <c r="M3789" s="19"/>
      <c r="N3789" s="19"/>
      <c r="O3789" s="1007" t="s">
        <v>12980</v>
      </c>
      <c r="P3789" s="19"/>
    </row>
    <row r="3790" hidden="1">
      <c r="A3790" s="342">
        <v>32.0</v>
      </c>
      <c r="B3790" s="512" t="s">
        <v>12981</v>
      </c>
      <c r="C3790" s="275" t="s">
        <v>80</v>
      </c>
      <c r="D3790" s="342" t="s">
        <v>12982</v>
      </c>
      <c r="E3790" s="342" t="s">
        <v>12983</v>
      </c>
      <c r="F3790" s="275" t="s">
        <v>1294</v>
      </c>
      <c r="G3790" s="1005">
        <v>46302.0</v>
      </c>
      <c r="H3790" s="118"/>
      <c r="I3790" s="33" t="s">
        <v>2890</v>
      </c>
      <c r="J3790" s="19"/>
      <c r="K3790" s="19"/>
      <c r="L3790" s="12" t="s">
        <v>11863</v>
      </c>
      <c r="M3790" s="19"/>
      <c r="N3790" s="19"/>
      <c r="O3790" s="1007" t="s">
        <v>12157</v>
      </c>
      <c r="P3790" s="19"/>
    </row>
    <row r="3791" hidden="1">
      <c r="A3791" s="342">
        <v>33.0</v>
      </c>
      <c r="B3791" s="718" t="s">
        <v>12984</v>
      </c>
      <c r="C3791" s="275" t="s">
        <v>80</v>
      </c>
      <c r="D3791" s="342" t="s">
        <v>12985</v>
      </c>
      <c r="E3791" s="911" t="s">
        <v>12986</v>
      </c>
      <c r="F3791" s="275" t="s">
        <v>2214</v>
      </c>
      <c r="G3791" s="1005">
        <v>46302.0</v>
      </c>
      <c r="H3791" s="118"/>
      <c r="I3791" s="33" t="s">
        <v>2890</v>
      </c>
      <c r="J3791" s="19"/>
      <c r="K3791" s="19"/>
      <c r="L3791" s="12" t="s">
        <v>2541</v>
      </c>
      <c r="M3791" s="19"/>
      <c r="N3791" s="19"/>
      <c r="O3791" s="1007" t="s">
        <v>12919</v>
      </c>
      <c r="P3791" s="102" t="s">
        <v>11953</v>
      </c>
    </row>
    <row r="3792" hidden="1">
      <c r="A3792" s="342">
        <v>34.0</v>
      </c>
      <c r="B3792" s="718" t="s">
        <v>12987</v>
      </c>
      <c r="C3792" s="275" t="s">
        <v>80</v>
      </c>
      <c r="D3792" s="342" t="s">
        <v>12988</v>
      </c>
      <c r="E3792" s="911" t="s">
        <v>12989</v>
      </c>
      <c r="F3792" s="275" t="s">
        <v>2214</v>
      </c>
      <c r="G3792" s="1005">
        <v>46302.0</v>
      </c>
      <c r="H3792" s="118"/>
      <c r="I3792" s="1040" t="s">
        <v>10198</v>
      </c>
      <c r="J3792" s="19"/>
      <c r="K3792" s="19"/>
      <c r="L3792" s="12" t="s">
        <v>2541</v>
      </c>
      <c r="M3792" s="19"/>
      <c r="N3792" s="19"/>
      <c r="O3792" s="1007" t="s">
        <v>12919</v>
      </c>
      <c r="P3792" s="102" t="s">
        <v>11953</v>
      </c>
    </row>
    <row r="3793">
      <c r="A3793" s="342">
        <v>35.0</v>
      </c>
      <c r="B3793" s="718" t="s">
        <v>12990</v>
      </c>
      <c r="C3793" s="1058" t="s">
        <v>10101</v>
      </c>
      <c r="D3793" s="342" t="s">
        <v>12991</v>
      </c>
      <c r="E3793" s="342" t="s">
        <v>12992</v>
      </c>
      <c r="F3793" s="275" t="s">
        <v>12993</v>
      </c>
      <c r="G3793" s="118"/>
      <c r="H3793" s="118"/>
      <c r="I3793" s="33" t="s">
        <v>2890</v>
      </c>
      <c r="J3793" s="19"/>
      <c r="K3793" s="19"/>
      <c r="L3793" s="12"/>
      <c r="M3793" s="19"/>
      <c r="N3793" s="19"/>
      <c r="O3793" s="1044"/>
      <c r="P3793" s="19"/>
    </row>
    <row r="3794" hidden="1">
      <c r="A3794" s="342">
        <v>36.0</v>
      </c>
      <c r="B3794" s="718" t="s">
        <v>12994</v>
      </c>
      <c r="C3794" s="275" t="s">
        <v>80</v>
      </c>
      <c r="D3794" s="342" t="s">
        <v>12995</v>
      </c>
      <c r="E3794" s="911" t="s">
        <v>12996</v>
      </c>
      <c r="F3794" s="275" t="s">
        <v>8425</v>
      </c>
      <c r="G3794" s="1005">
        <v>46333.0</v>
      </c>
      <c r="H3794" s="118"/>
      <c r="I3794" s="33" t="s">
        <v>2890</v>
      </c>
      <c r="J3794" s="19"/>
      <c r="K3794" s="19"/>
      <c r="L3794" s="12" t="s">
        <v>4195</v>
      </c>
      <c r="M3794" s="19"/>
      <c r="N3794" s="19"/>
      <c r="O3794" s="1046" t="s">
        <v>12997</v>
      </c>
      <c r="P3794" s="102" t="s">
        <v>11953</v>
      </c>
    </row>
    <row r="3795" hidden="1">
      <c r="A3795" s="342">
        <v>37.0</v>
      </c>
      <c r="B3795" s="718" t="s">
        <v>12998</v>
      </c>
      <c r="C3795" s="275" t="s">
        <v>80</v>
      </c>
      <c r="D3795" s="342" t="s">
        <v>12999</v>
      </c>
      <c r="E3795" s="911" t="s">
        <v>13000</v>
      </c>
      <c r="F3795" s="275" t="s">
        <v>8425</v>
      </c>
      <c r="G3795" s="1005">
        <v>46333.0</v>
      </c>
      <c r="H3795" s="118"/>
      <c r="I3795" s="33" t="s">
        <v>2890</v>
      </c>
      <c r="J3795" s="19"/>
      <c r="K3795" s="19"/>
      <c r="L3795" s="12" t="s">
        <v>4195</v>
      </c>
      <c r="M3795" s="19"/>
      <c r="N3795" s="19"/>
      <c r="O3795" s="1046" t="s">
        <v>12997</v>
      </c>
      <c r="P3795" s="102" t="s">
        <v>11953</v>
      </c>
    </row>
    <row r="3796" hidden="1">
      <c r="A3796" s="342">
        <v>38.0</v>
      </c>
      <c r="B3796" s="718" t="s">
        <v>13001</v>
      </c>
      <c r="C3796" s="275" t="s">
        <v>80</v>
      </c>
      <c r="D3796" s="342" t="s">
        <v>13002</v>
      </c>
      <c r="E3796" s="342" t="s">
        <v>13003</v>
      </c>
      <c r="F3796" s="275" t="s">
        <v>9068</v>
      </c>
      <c r="G3796" s="118" t="s">
        <v>12065</v>
      </c>
      <c r="H3796" s="118"/>
      <c r="I3796" s="33" t="s">
        <v>2890</v>
      </c>
      <c r="J3796" s="19"/>
      <c r="K3796" s="19"/>
      <c r="L3796" s="12" t="s">
        <v>374</v>
      </c>
      <c r="M3796" s="19"/>
      <c r="N3796" s="19"/>
      <c r="O3796" s="136" t="s">
        <v>12065</v>
      </c>
      <c r="P3796" s="19"/>
    </row>
    <row r="3797" hidden="1">
      <c r="A3797" s="342">
        <v>39.0</v>
      </c>
      <c r="B3797" s="718" t="s">
        <v>13004</v>
      </c>
      <c r="C3797" s="275" t="s">
        <v>80</v>
      </c>
      <c r="D3797" s="342" t="s">
        <v>13005</v>
      </c>
      <c r="E3797" s="342" t="s">
        <v>13006</v>
      </c>
      <c r="F3797" s="275" t="s">
        <v>2654</v>
      </c>
      <c r="G3797" s="118" t="s">
        <v>12065</v>
      </c>
      <c r="H3797" s="118"/>
      <c r="I3797" s="33" t="s">
        <v>2890</v>
      </c>
      <c r="J3797" s="19"/>
      <c r="K3797" s="19"/>
      <c r="L3797" s="12" t="s">
        <v>4195</v>
      </c>
      <c r="M3797" s="19"/>
      <c r="N3797" s="19"/>
      <c r="O3797" s="1007" t="s">
        <v>11514</v>
      </c>
      <c r="P3797" s="19"/>
    </row>
    <row r="3798" hidden="1">
      <c r="A3798" s="342">
        <v>40.0</v>
      </c>
      <c r="B3798" s="718" t="s">
        <v>13007</v>
      </c>
      <c r="C3798" s="275" t="s">
        <v>80</v>
      </c>
      <c r="D3798" s="342" t="s">
        <v>13008</v>
      </c>
      <c r="E3798" s="1059" t="s">
        <v>13009</v>
      </c>
      <c r="F3798" s="275" t="s">
        <v>3928</v>
      </c>
      <c r="G3798" s="1060">
        <v>46210.0</v>
      </c>
      <c r="H3798" s="118"/>
      <c r="I3798" s="33" t="s">
        <v>2890</v>
      </c>
      <c r="J3798" s="19"/>
      <c r="K3798" s="19"/>
      <c r="L3798" s="128" t="s">
        <v>9469</v>
      </c>
      <c r="M3798" s="19"/>
      <c r="N3798" s="19"/>
      <c r="O3798" s="1007" t="s">
        <v>12276</v>
      </c>
      <c r="P3798" s="19"/>
    </row>
    <row r="3799" hidden="1">
      <c r="A3799" s="342">
        <v>41.0</v>
      </c>
      <c r="B3799" s="718" t="s">
        <v>13010</v>
      </c>
      <c r="C3799" s="275" t="s">
        <v>80</v>
      </c>
      <c r="D3799" s="342" t="s">
        <v>13011</v>
      </c>
      <c r="E3799" s="1059" t="s">
        <v>13012</v>
      </c>
      <c r="F3799" s="275" t="s">
        <v>3928</v>
      </c>
      <c r="G3799" s="1060">
        <v>46210.0</v>
      </c>
      <c r="H3799" s="118"/>
      <c r="I3799" s="1040" t="s">
        <v>5364</v>
      </c>
      <c r="J3799" s="19"/>
      <c r="K3799" s="19"/>
      <c r="L3799" s="128" t="s">
        <v>9469</v>
      </c>
      <c r="M3799" s="19"/>
      <c r="N3799" s="19"/>
      <c r="O3799" s="1007" t="s">
        <v>12276</v>
      </c>
      <c r="P3799" s="19"/>
    </row>
    <row r="3800" hidden="1">
      <c r="A3800" s="342">
        <v>42.0</v>
      </c>
      <c r="B3800" s="718" t="s">
        <v>13013</v>
      </c>
      <c r="C3800" s="275" t="s">
        <v>80</v>
      </c>
      <c r="D3800" s="342" t="s">
        <v>13014</v>
      </c>
      <c r="E3800" s="1059" t="s">
        <v>13015</v>
      </c>
      <c r="F3800" s="275" t="s">
        <v>3928</v>
      </c>
      <c r="G3800" s="1060">
        <v>46210.0</v>
      </c>
      <c r="H3800" s="118"/>
      <c r="I3800" s="33" t="s">
        <v>2890</v>
      </c>
      <c r="J3800" s="19"/>
      <c r="K3800" s="19"/>
      <c r="L3800" s="128" t="s">
        <v>9469</v>
      </c>
      <c r="M3800" s="19"/>
      <c r="N3800" s="19"/>
      <c r="O3800" s="1007">
        <v>46333.0</v>
      </c>
      <c r="P3800" s="19"/>
    </row>
    <row r="3801" hidden="1">
      <c r="A3801" s="342">
        <v>43.0</v>
      </c>
      <c r="B3801" s="718" t="s">
        <v>13016</v>
      </c>
      <c r="C3801" s="275" t="s">
        <v>80</v>
      </c>
      <c r="D3801" s="342" t="s">
        <v>13017</v>
      </c>
      <c r="E3801" s="1059" t="s">
        <v>13018</v>
      </c>
      <c r="F3801" s="275" t="s">
        <v>3928</v>
      </c>
      <c r="G3801" s="1060">
        <v>46210.0</v>
      </c>
      <c r="H3801" s="118"/>
      <c r="I3801" s="1040" t="s">
        <v>3231</v>
      </c>
      <c r="J3801" s="19"/>
      <c r="K3801" s="19"/>
      <c r="L3801" s="128" t="s">
        <v>9469</v>
      </c>
      <c r="M3801" s="19"/>
      <c r="N3801" s="19"/>
      <c r="O3801" s="1007" t="s">
        <v>12276</v>
      </c>
      <c r="P3801" s="19"/>
    </row>
    <row r="3802" hidden="1">
      <c r="A3802" s="342">
        <v>44.0</v>
      </c>
      <c r="B3802" s="718" t="s">
        <v>13019</v>
      </c>
      <c r="C3802" s="275" t="s">
        <v>80</v>
      </c>
      <c r="D3802" s="342" t="s">
        <v>13020</v>
      </c>
      <c r="E3802" s="1059" t="s">
        <v>13021</v>
      </c>
      <c r="F3802" s="275" t="s">
        <v>3928</v>
      </c>
      <c r="G3802" s="1060">
        <v>46210.0</v>
      </c>
      <c r="H3802" s="118"/>
      <c r="I3802" s="33" t="s">
        <v>2890</v>
      </c>
      <c r="J3802" s="19"/>
      <c r="K3802" s="19"/>
      <c r="L3802" s="128" t="s">
        <v>9469</v>
      </c>
      <c r="M3802" s="19"/>
      <c r="N3802" s="19"/>
      <c r="O3802" s="1007" t="s">
        <v>12276</v>
      </c>
      <c r="P3802" s="19"/>
    </row>
    <row r="3803" hidden="1">
      <c r="A3803" s="342">
        <v>45.0</v>
      </c>
      <c r="B3803" s="718" t="s">
        <v>13022</v>
      </c>
      <c r="C3803" s="275" t="s">
        <v>80</v>
      </c>
      <c r="D3803" s="342" t="s">
        <v>13023</v>
      </c>
      <c r="E3803" s="1059" t="s">
        <v>13024</v>
      </c>
      <c r="F3803" s="275" t="s">
        <v>3928</v>
      </c>
      <c r="G3803" s="1060">
        <v>46210.0</v>
      </c>
      <c r="H3803" s="118"/>
      <c r="I3803" s="33" t="s">
        <v>2890</v>
      </c>
      <c r="J3803" s="19"/>
      <c r="K3803" s="19"/>
      <c r="L3803" s="128" t="s">
        <v>9469</v>
      </c>
      <c r="M3803" s="19"/>
      <c r="N3803" s="19"/>
      <c r="O3803" s="1007" t="s">
        <v>12276</v>
      </c>
      <c r="P3803" s="19"/>
    </row>
    <row r="3804" hidden="1">
      <c r="A3804" s="342">
        <v>46.0</v>
      </c>
      <c r="B3804" s="718" t="s">
        <v>13025</v>
      </c>
      <c r="C3804" s="275" t="s">
        <v>80</v>
      </c>
      <c r="D3804" s="342" t="s">
        <v>13026</v>
      </c>
      <c r="E3804" s="1059" t="s">
        <v>13027</v>
      </c>
      <c r="F3804" s="275" t="s">
        <v>3928</v>
      </c>
      <c r="G3804" s="1060">
        <v>46210.0</v>
      </c>
      <c r="H3804" s="118"/>
      <c r="I3804" s="33" t="s">
        <v>2890</v>
      </c>
      <c r="J3804" s="19"/>
      <c r="K3804" s="19"/>
      <c r="L3804" s="128" t="s">
        <v>9469</v>
      </c>
      <c r="M3804" s="19"/>
      <c r="N3804" s="19"/>
      <c r="O3804" s="1007" t="s">
        <v>12276</v>
      </c>
      <c r="P3804" s="19"/>
    </row>
    <row r="3805" hidden="1">
      <c r="A3805" s="342">
        <v>47.0</v>
      </c>
      <c r="B3805" s="718" t="s">
        <v>13028</v>
      </c>
      <c r="C3805" s="275" t="s">
        <v>80</v>
      </c>
      <c r="D3805" s="342" t="s">
        <v>13029</v>
      </c>
      <c r="E3805" s="342" t="s">
        <v>13030</v>
      </c>
      <c r="F3805" s="275" t="s">
        <v>1959</v>
      </c>
      <c r="G3805" s="118" t="s">
        <v>11519</v>
      </c>
      <c r="H3805" s="118"/>
      <c r="I3805" s="33" t="s">
        <v>2890</v>
      </c>
      <c r="J3805" s="19"/>
      <c r="K3805" s="19"/>
      <c r="L3805" s="12" t="s">
        <v>51</v>
      </c>
      <c r="M3805" s="19"/>
      <c r="N3805" s="19"/>
      <c r="O3805" s="1061" t="s">
        <v>12464</v>
      </c>
      <c r="P3805" s="19"/>
    </row>
    <row r="3806">
      <c r="A3806" s="1031">
        <v>48.0</v>
      </c>
      <c r="B3806" s="1062" t="s">
        <v>13031</v>
      </c>
      <c r="C3806" s="1063" t="s">
        <v>80</v>
      </c>
      <c r="D3806" s="1031" t="s">
        <v>13032</v>
      </c>
      <c r="E3806" s="1031" t="s">
        <v>13033</v>
      </c>
      <c r="F3806" s="1063" t="s">
        <v>510</v>
      </c>
      <c r="G3806" s="1034" t="s">
        <v>12065</v>
      </c>
      <c r="H3806" s="1034"/>
      <c r="I3806" s="1064" t="s">
        <v>2890</v>
      </c>
      <c r="J3806" s="1036"/>
      <c r="K3806" s="1036"/>
      <c r="L3806" s="1037" t="s">
        <v>374</v>
      </c>
      <c r="M3806" s="1036"/>
      <c r="N3806" s="1036"/>
      <c r="O3806" s="1065" t="s">
        <v>13034</v>
      </c>
      <c r="P3806" s="1065" t="s">
        <v>13035</v>
      </c>
      <c r="Q3806" s="1039"/>
      <c r="R3806" s="1039"/>
      <c r="S3806" s="1039"/>
      <c r="T3806" s="1039"/>
      <c r="U3806" s="1039"/>
      <c r="V3806" s="1039"/>
      <c r="W3806" s="1039"/>
      <c r="X3806" s="1039"/>
      <c r="Y3806" s="1039"/>
      <c r="Z3806" s="1039"/>
      <c r="AA3806" s="1039"/>
      <c r="AB3806" s="1039"/>
      <c r="AC3806" s="1039"/>
      <c r="AD3806" s="1039"/>
      <c r="AE3806" s="1039"/>
      <c r="AF3806" s="1039"/>
    </row>
    <row r="3807" hidden="1">
      <c r="A3807" s="342">
        <v>49.0</v>
      </c>
      <c r="B3807" s="718" t="s">
        <v>13036</v>
      </c>
      <c r="C3807" s="275" t="s">
        <v>80</v>
      </c>
      <c r="D3807" s="342" t="s">
        <v>13037</v>
      </c>
      <c r="E3807" s="1059" t="s">
        <v>13038</v>
      </c>
      <c r="F3807" s="275" t="s">
        <v>3928</v>
      </c>
      <c r="G3807" s="1005">
        <v>46302.0</v>
      </c>
      <c r="H3807" s="118"/>
      <c r="I3807" s="33" t="s">
        <v>2890</v>
      </c>
      <c r="J3807" s="19"/>
      <c r="K3807" s="19"/>
      <c r="L3807" s="128" t="s">
        <v>9469</v>
      </c>
      <c r="M3807" s="19"/>
      <c r="N3807" s="19"/>
      <c r="O3807" s="34" t="s">
        <v>12919</v>
      </c>
      <c r="P3807" s="19"/>
    </row>
    <row r="3808" hidden="1">
      <c r="A3808" s="342">
        <v>50.0</v>
      </c>
      <c r="B3808" s="718" t="s">
        <v>13039</v>
      </c>
      <c r="C3808" s="275" t="s">
        <v>80</v>
      </c>
      <c r="D3808" s="342" t="s">
        <v>13040</v>
      </c>
      <c r="E3808" s="1059" t="s">
        <v>13041</v>
      </c>
      <c r="F3808" s="275" t="s">
        <v>3928</v>
      </c>
      <c r="G3808" s="1005">
        <v>46302.0</v>
      </c>
      <c r="H3808" s="118"/>
      <c r="I3808" s="1040" t="s">
        <v>10690</v>
      </c>
      <c r="J3808" s="19"/>
      <c r="K3808" s="19"/>
      <c r="L3808" s="128" t="s">
        <v>9469</v>
      </c>
      <c r="M3808" s="19"/>
      <c r="N3808" s="19"/>
      <c r="O3808" s="34" t="s">
        <v>12919</v>
      </c>
      <c r="P3808" s="19"/>
    </row>
    <row r="3809" hidden="1">
      <c r="A3809" s="342">
        <v>51.0</v>
      </c>
      <c r="B3809" s="718" t="s">
        <v>13042</v>
      </c>
      <c r="C3809" s="275" t="s">
        <v>80</v>
      </c>
      <c r="D3809" s="342" t="s">
        <v>13043</v>
      </c>
      <c r="E3809" s="1059" t="s">
        <v>13044</v>
      </c>
      <c r="F3809" s="275" t="s">
        <v>3928</v>
      </c>
      <c r="G3809" s="1005">
        <v>46302.0</v>
      </c>
      <c r="H3809" s="118"/>
      <c r="I3809" s="33" t="s">
        <v>2890</v>
      </c>
      <c r="J3809" s="19"/>
      <c r="K3809" s="19"/>
      <c r="L3809" s="128" t="s">
        <v>9469</v>
      </c>
      <c r="M3809" s="19"/>
      <c r="N3809" s="19"/>
      <c r="O3809" s="34" t="s">
        <v>12919</v>
      </c>
      <c r="P3809" s="19"/>
    </row>
    <row r="3810" hidden="1">
      <c r="A3810" s="342">
        <v>52.0</v>
      </c>
      <c r="B3810" s="718" t="s">
        <v>13045</v>
      </c>
      <c r="C3810" s="275" t="s">
        <v>80</v>
      </c>
      <c r="D3810" s="342" t="s">
        <v>13046</v>
      </c>
      <c r="E3810" s="1059" t="s">
        <v>13047</v>
      </c>
      <c r="F3810" s="275" t="s">
        <v>3928</v>
      </c>
      <c r="G3810" s="1005">
        <v>46302.0</v>
      </c>
      <c r="H3810" s="118"/>
      <c r="I3810" s="33" t="s">
        <v>2890</v>
      </c>
      <c r="J3810" s="19"/>
      <c r="K3810" s="19"/>
      <c r="L3810" s="128" t="s">
        <v>9469</v>
      </c>
      <c r="M3810" s="19"/>
      <c r="N3810" s="19"/>
      <c r="O3810" s="34" t="s">
        <v>12919</v>
      </c>
      <c r="P3810" s="19"/>
    </row>
    <row r="3811" hidden="1">
      <c r="A3811" s="342">
        <v>53.0</v>
      </c>
      <c r="B3811" s="718" t="s">
        <v>13048</v>
      </c>
      <c r="C3811" s="275" t="s">
        <v>80</v>
      </c>
      <c r="D3811" s="342" t="s">
        <v>13049</v>
      </c>
      <c r="E3811" s="1059" t="s">
        <v>13050</v>
      </c>
      <c r="F3811" s="275" t="s">
        <v>3583</v>
      </c>
      <c r="G3811" s="1005">
        <v>46333.0</v>
      </c>
      <c r="H3811" s="118"/>
      <c r="I3811" s="1040" t="s">
        <v>13051</v>
      </c>
      <c r="J3811" s="19"/>
      <c r="K3811" s="19"/>
      <c r="L3811" s="12" t="s">
        <v>11863</v>
      </c>
      <c r="M3811" s="19"/>
      <c r="N3811" s="19"/>
      <c r="O3811" s="34" t="s">
        <v>1129</v>
      </c>
      <c r="P3811" s="19"/>
    </row>
    <row r="3812" hidden="1">
      <c r="A3812" s="342">
        <v>54.0</v>
      </c>
      <c r="B3812" s="718" t="s">
        <v>13052</v>
      </c>
      <c r="C3812" s="275" t="s">
        <v>80</v>
      </c>
      <c r="D3812" s="342" t="s">
        <v>13053</v>
      </c>
      <c r="E3812" s="1059" t="s">
        <v>13054</v>
      </c>
      <c r="F3812" s="275" t="s">
        <v>3583</v>
      </c>
      <c r="G3812" s="1005">
        <v>46333.0</v>
      </c>
      <c r="H3812" s="118"/>
      <c r="I3812" s="1040" t="s">
        <v>10093</v>
      </c>
      <c r="J3812" s="19"/>
      <c r="K3812" s="19"/>
      <c r="L3812" s="12" t="s">
        <v>11863</v>
      </c>
      <c r="M3812" s="19"/>
      <c r="N3812" s="19"/>
      <c r="O3812" s="34" t="s">
        <v>1129</v>
      </c>
      <c r="P3812" s="19"/>
    </row>
    <row r="3813" hidden="1">
      <c r="A3813" s="342">
        <v>55.0</v>
      </c>
      <c r="B3813" s="718" t="s">
        <v>13055</v>
      </c>
      <c r="C3813" s="275" t="s">
        <v>80</v>
      </c>
      <c r="D3813" s="342" t="s">
        <v>13056</v>
      </c>
      <c r="E3813" s="1059" t="s">
        <v>13057</v>
      </c>
      <c r="F3813" s="275" t="s">
        <v>3583</v>
      </c>
      <c r="G3813" s="1005">
        <v>46333.0</v>
      </c>
      <c r="H3813" s="118"/>
      <c r="I3813" s="1040" t="s">
        <v>13058</v>
      </c>
      <c r="J3813" s="19"/>
      <c r="K3813" s="19"/>
      <c r="L3813" s="12" t="s">
        <v>11863</v>
      </c>
      <c r="M3813" s="19"/>
      <c r="N3813" s="19"/>
      <c r="O3813" s="34" t="s">
        <v>1129</v>
      </c>
      <c r="P3813" s="19"/>
    </row>
    <row r="3814" hidden="1">
      <c r="A3814" s="342">
        <v>56.0</v>
      </c>
      <c r="B3814" s="718" t="s">
        <v>11950</v>
      </c>
      <c r="C3814" s="275" t="s">
        <v>80</v>
      </c>
      <c r="D3814" s="342" t="s">
        <v>13059</v>
      </c>
      <c r="E3814" s="342" t="s">
        <v>11952</v>
      </c>
      <c r="F3814" s="275" t="s">
        <v>9951</v>
      </c>
      <c r="G3814" s="118" t="s">
        <v>11437</v>
      </c>
      <c r="H3814" s="118"/>
      <c r="I3814" s="33" t="s">
        <v>2890</v>
      </c>
      <c r="J3814" s="19"/>
      <c r="K3814" s="19"/>
      <c r="L3814" s="12" t="s">
        <v>11863</v>
      </c>
      <c r="M3814" s="19"/>
      <c r="N3814" s="19"/>
      <c r="O3814" s="34" t="s">
        <v>11519</v>
      </c>
      <c r="P3814" s="19"/>
    </row>
    <row r="3815">
      <c r="A3815" s="339" t="s">
        <v>13060</v>
      </c>
      <c r="Q3815" s="35"/>
      <c r="R3815" s="35"/>
      <c r="S3815" s="35"/>
      <c r="T3815" s="35"/>
      <c r="U3815" s="35"/>
      <c r="V3815" s="35"/>
      <c r="W3815" s="35"/>
      <c r="X3815" s="35"/>
      <c r="Y3815" s="35"/>
      <c r="Z3815" s="35"/>
      <c r="AA3815" s="35"/>
      <c r="AB3815" s="35"/>
      <c r="AC3815" s="35"/>
      <c r="AD3815" s="35"/>
      <c r="AE3815" s="35"/>
      <c r="AF3815" s="35"/>
    </row>
    <row r="3816">
      <c r="A3816" s="670" t="s">
        <v>47</v>
      </c>
      <c r="B3816" s="670" t="s">
        <v>7</v>
      </c>
      <c r="C3816" s="670" t="s">
        <v>9</v>
      </c>
      <c r="D3816" s="670" t="s">
        <v>10</v>
      </c>
      <c r="E3816" s="670" t="s">
        <v>11</v>
      </c>
      <c r="F3816" s="670" t="s">
        <v>12</v>
      </c>
      <c r="G3816" s="670" t="s">
        <v>2378</v>
      </c>
      <c r="H3816" s="670" t="s">
        <v>2681</v>
      </c>
      <c r="I3816" s="4" t="s">
        <v>2847</v>
      </c>
      <c r="J3816" s="8" t="s">
        <v>14</v>
      </c>
      <c r="K3816" s="9" t="s">
        <v>16</v>
      </c>
      <c r="L3816" s="10" t="s">
        <v>11871</v>
      </c>
      <c r="M3816" s="9" t="s">
        <v>18</v>
      </c>
      <c r="N3816" s="9" t="s">
        <v>19</v>
      </c>
      <c r="O3816" s="9" t="s">
        <v>20</v>
      </c>
      <c r="P3816" s="9" t="s">
        <v>21</v>
      </c>
      <c r="Q3816" s="35"/>
      <c r="R3816" s="35"/>
      <c r="S3816" s="35"/>
      <c r="T3816" s="35"/>
      <c r="U3816" s="35"/>
      <c r="V3816" s="35"/>
      <c r="W3816" s="35"/>
      <c r="X3816" s="35"/>
      <c r="Y3816" s="35"/>
      <c r="Z3816" s="35"/>
      <c r="AA3816" s="35"/>
      <c r="AB3816" s="35"/>
      <c r="AC3816" s="35"/>
      <c r="AD3816" s="35"/>
      <c r="AE3816" s="35"/>
      <c r="AF3816" s="35"/>
    </row>
    <row r="3817">
      <c r="A3817" s="995">
        <v>1.0</v>
      </c>
      <c r="B3817" s="996" t="s">
        <v>13061</v>
      </c>
      <c r="C3817" s="504" t="s">
        <v>80</v>
      </c>
      <c r="D3817" s="504" t="s">
        <v>13062</v>
      </c>
      <c r="E3817" s="1066" t="s">
        <v>13063</v>
      </c>
      <c r="F3817" s="504" t="s">
        <v>12876</v>
      </c>
      <c r="G3817" s="1067" t="str">
        <f t="array" ref="G3817">IF(TRIM(E3991)="","",IFERROR(TEXT(INDEX(TAT_HELPER!D:D,MATCH(TRIM(E3991),TRIM(TAT_HELPER!A:A),0)),"dd-mm-yyyy"),""))
</f>
        <v>11-07-2026</v>
      </c>
      <c r="H3817" s="645"/>
      <c r="I3817" s="619" t="s">
        <v>2890</v>
      </c>
      <c r="J3817" s="19"/>
      <c r="K3817" s="19"/>
      <c r="L3817" s="12" t="s">
        <v>4195</v>
      </c>
      <c r="M3817" s="19"/>
      <c r="N3817" s="19"/>
      <c r="O3817" s="998" t="s">
        <v>1129</v>
      </c>
      <c r="P3817" s="19"/>
    </row>
    <row r="3818">
      <c r="A3818" s="999">
        <v>2.0</v>
      </c>
      <c r="B3818" s="1000" t="s">
        <v>13064</v>
      </c>
      <c r="C3818" s="342" t="s">
        <v>2307</v>
      </c>
      <c r="D3818" s="53" t="s">
        <v>12830</v>
      </c>
      <c r="E3818" s="1023" t="s">
        <v>13065</v>
      </c>
      <c r="F3818" s="342" t="s">
        <v>5949</v>
      </c>
      <c r="G3818" s="1068">
        <v>46119.0</v>
      </c>
      <c r="H3818" s="645"/>
      <c r="I3818" s="306" t="s">
        <v>2890</v>
      </c>
      <c r="J3818" s="19"/>
      <c r="K3818" s="19"/>
      <c r="L3818" s="12" t="s">
        <v>699</v>
      </c>
      <c r="M3818" s="19"/>
      <c r="N3818" s="19"/>
      <c r="O3818" s="998" t="s">
        <v>12832</v>
      </c>
      <c r="P3818" s="102" t="s">
        <v>1432</v>
      </c>
    </row>
    <row r="3819">
      <c r="A3819" s="999">
        <v>3.0</v>
      </c>
      <c r="B3819" s="1000" t="s">
        <v>13066</v>
      </c>
      <c r="C3819" s="342" t="s">
        <v>2307</v>
      </c>
      <c r="D3819" s="53" t="s">
        <v>13067</v>
      </c>
      <c r="E3819" s="1023" t="s">
        <v>13068</v>
      </c>
      <c r="F3819" s="342" t="s">
        <v>10577</v>
      </c>
      <c r="G3819" s="1068">
        <v>46180.0</v>
      </c>
      <c r="H3819" s="645"/>
      <c r="I3819" s="306" t="s">
        <v>2890</v>
      </c>
      <c r="J3819" s="19"/>
      <c r="K3819" s="19"/>
      <c r="L3819" s="12" t="s">
        <v>699</v>
      </c>
      <c r="M3819" s="19"/>
      <c r="N3819" s="19"/>
      <c r="O3819" s="1069"/>
      <c r="P3819" s="19"/>
    </row>
    <row r="3820">
      <c r="A3820" s="999">
        <v>4.0</v>
      </c>
      <c r="B3820" s="1000" t="s">
        <v>13069</v>
      </c>
      <c r="C3820" s="342" t="s">
        <v>2403</v>
      </c>
      <c r="D3820" s="53" t="s">
        <v>13070</v>
      </c>
      <c r="E3820" s="1023" t="s">
        <v>13071</v>
      </c>
      <c r="F3820" s="342" t="s">
        <v>10577</v>
      </c>
      <c r="G3820" s="1068">
        <v>46180.0</v>
      </c>
      <c r="H3820" s="645"/>
      <c r="I3820" s="1070" t="s">
        <v>10093</v>
      </c>
      <c r="J3820" s="19"/>
      <c r="K3820" s="19"/>
      <c r="L3820" s="12" t="s">
        <v>699</v>
      </c>
      <c r="M3820" s="19"/>
      <c r="N3820" s="19"/>
      <c r="O3820" s="1069"/>
      <c r="P3820" s="19"/>
    </row>
    <row r="3821">
      <c r="A3821" s="999">
        <v>5.0</v>
      </c>
      <c r="B3821" s="1000" t="s">
        <v>13072</v>
      </c>
      <c r="C3821" s="342" t="s">
        <v>2403</v>
      </c>
      <c r="D3821" s="53" t="s">
        <v>13073</v>
      </c>
      <c r="E3821" s="1023" t="s">
        <v>13074</v>
      </c>
      <c r="F3821" s="342" t="s">
        <v>4297</v>
      </c>
      <c r="G3821" s="1068">
        <v>46180.0</v>
      </c>
      <c r="H3821" s="645"/>
      <c r="I3821" s="306" t="s">
        <v>2890</v>
      </c>
      <c r="J3821" s="19"/>
      <c r="K3821" s="19"/>
      <c r="L3821" s="12" t="s">
        <v>699</v>
      </c>
      <c r="M3821" s="19"/>
      <c r="N3821" s="19"/>
      <c r="O3821" s="34" t="s">
        <v>13075</v>
      </c>
      <c r="P3821" s="19"/>
    </row>
    <row r="3822" hidden="1">
      <c r="A3822" s="999">
        <v>6.0</v>
      </c>
      <c r="B3822" s="1000" t="s">
        <v>13076</v>
      </c>
      <c r="C3822" s="342" t="s">
        <v>80</v>
      </c>
      <c r="D3822" s="342" t="s">
        <v>13077</v>
      </c>
      <c r="E3822" s="1023" t="s">
        <v>13078</v>
      </c>
      <c r="F3822" s="342" t="s">
        <v>815</v>
      </c>
      <c r="G3822" s="1068">
        <v>46088.0</v>
      </c>
      <c r="H3822" s="645"/>
      <c r="I3822" s="1070" t="s">
        <v>10093</v>
      </c>
      <c r="J3822" s="19"/>
      <c r="K3822" s="19"/>
      <c r="L3822" s="12" t="s">
        <v>4195</v>
      </c>
      <c r="M3822" s="19"/>
      <c r="N3822" s="34" t="s">
        <v>13079</v>
      </c>
      <c r="O3822" s="998" t="s">
        <v>12464</v>
      </c>
      <c r="P3822" s="19"/>
    </row>
    <row r="3823">
      <c r="A3823" s="999">
        <v>7.0</v>
      </c>
      <c r="B3823" s="1000" t="s">
        <v>13080</v>
      </c>
      <c r="C3823" s="342" t="s">
        <v>2307</v>
      </c>
      <c r="D3823" s="342" t="s">
        <v>13081</v>
      </c>
      <c r="E3823" s="1023" t="s">
        <v>13082</v>
      </c>
      <c r="F3823" s="342" t="s">
        <v>13083</v>
      </c>
      <c r="G3823" s="1068">
        <v>46088.0</v>
      </c>
      <c r="H3823" s="645"/>
      <c r="I3823" s="1070" t="s">
        <v>3231</v>
      </c>
      <c r="J3823" s="19"/>
      <c r="K3823" s="19"/>
      <c r="L3823" s="12" t="s">
        <v>699</v>
      </c>
      <c r="M3823" s="19"/>
      <c r="N3823" s="19"/>
      <c r="O3823" s="34" t="s">
        <v>13075</v>
      </c>
      <c r="P3823" s="102" t="s">
        <v>1432</v>
      </c>
    </row>
    <row r="3824">
      <c r="A3824" s="999">
        <v>8.0</v>
      </c>
      <c r="B3824" s="1000" t="s">
        <v>13084</v>
      </c>
      <c r="C3824" s="342" t="s">
        <v>2403</v>
      </c>
      <c r="D3824" s="342" t="s">
        <v>13085</v>
      </c>
      <c r="E3824" s="1023" t="s">
        <v>13086</v>
      </c>
      <c r="F3824" s="342" t="s">
        <v>13083</v>
      </c>
      <c r="G3824" s="1068">
        <v>46088.0</v>
      </c>
      <c r="H3824" s="645"/>
      <c r="I3824" s="306" t="s">
        <v>2890</v>
      </c>
      <c r="J3824" s="19"/>
      <c r="K3824" s="19"/>
      <c r="L3824" s="12" t="s">
        <v>699</v>
      </c>
      <c r="M3824" s="19"/>
      <c r="N3824" s="19"/>
      <c r="O3824" s="34" t="s">
        <v>13075</v>
      </c>
      <c r="P3824" s="102" t="s">
        <v>1432</v>
      </c>
    </row>
    <row r="3825" hidden="1">
      <c r="A3825" s="999">
        <v>9.0</v>
      </c>
      <c r="B3825" s="1000" t="s">
        <v>13087</v>
      </c>
      <c r="C3825" s="342" t="s">
        <v>3059</v>
      </c>
      <c r="D3825" s="342" t="s">
        <v>13088</v>
      </c>
      <c r="E3825" s="1023" t="s">
        <v>13089</v>
      </c>
      <c r="F3825" s="342" t="s">
        <v>13090</v>
      </c>
      <c r="G3825" s="306" t="s">
        <v>12157</v>
      </c>
      <c r="H3825" s="645"/>
      <c r="I3825" s="306" t="s">
        <v>2890</v>
      </c>
      <c r="J3825" s="19"/>
      <c r="K3825" s="19"/>
      <c r="L3825" s="12" t="s">
        <v>374</v>
      </c>
      <c r="M3825" s="19"/>
      <c r="N3825" s="19"/>
      <c r="O3825" s="1001">
        <v>46119.0</v>
      </c>
      <c r="P3825" s="19"/>
    </row>
    <row r="3826" hidden="1">
      <c r="A3826" s="999">
        <v>10.0</v>
      </c>
      <c r="B3826" s="1000" t="s">
        <v>13091</v>
      </c>
      <c r="C3826" s="342" t="s">
        <v>1185</v>
      </c>
      <c r="D3826" s="342" t="s">
        <v>13092</v>
      </c>
      <c r="E3826" s="1023" t="s">
        <v>13093</v>
      </c>
      <c r="F3826" s="342" t="s">
        <v>25</v>
      </c>
      <c r="G3826" s="306" t="s">
        <v>12157</v>
      </c>
      <c r="H3826" s="645"/>
      <c r="I3826" s="306" t="s">
        <v>2890</v>
      </c>
      <c r="J3826" s="19"/>
      <c r="K3826" s="19"/>
      <c r="L3826" s="12" t="s">
        <v>9469</v>
      </c>
      <c r="M3826" s="19"/>
      <c r="N3826" s="19"/>
      <c r="O3826" s="998" t="s">
        <v>12952</v>
      </c>
      <c r="P3826" s="102" t="s">
        <v>1432</v>
      </c>
    </row>
    <row r="3827">
      <c r="A3827" s="999">
        <v>11.0</v>
      </c>
      <c r="B3827" s="1000" t="s">
        <v>13094</v>
      </c>
      <c r="C3827" s="342" t="s">
        <v>2307</v>
      </c>
      <c r="D3827" s="342" t="s">
        <v>13095</v>
      </c>
      <c r="E3827" s="1023" t="s">
        <v>13096</v>
      </c>
      <c r="F3827" s="342" t="s">
        <v>13097</v>
      </c>
      <c r="G3827" s="1068">
        <v>46088.0</v>
      </c>
      <c r="H3827" s="645"/>
      <c r="I3827" s="1070" t="s">
        <v>10093</v>
      </c>
      <c r="J3827" s="19"/>
      <c r="K3827" s="19"/>
      <c r="L3827" s="12" t="s">
        <v>699</v>
      </c>
      <c r="M3827" s="19"/>
      <c r="N3827" s="19"/>
      <c r="O3827" s="34" t="s">
        <v>12751</v>
      </c>
      <c r="P3827" s="102" t="s">
        <v>1432</v>
      </c>
    </row>
    <row r="3828" hidden="1">
      <c r="A3828" s="999">
        <v>12.0</v>
      </c>
      <c r="B3828" s="1000" t="s">
        <v>13098</v>
      </c>
      <c r="C3828" s="342" t="s">
        <v>80</v>
      </c>
      <c r="D3828" s="342" t="s">
        <v>13099</v>
      </c>
      <c r="E3828" s="1023" t="s">
        <v>13100</v>
      </c>
      <c r="F3828" s="342" t="s">
        <v>13101</v>
      </c>
      <c r="G3828" s="1068">
        <v>46088.0</v>
      </c>
      <c r="H3828" s="645"/>
      <c r="I3828" s="1070" t="s">
        <v>13102</v>
      </c>
      <c r="J3828" s="19"/>
      <c r="K3828" s="19"/>
      <c r="L3828" s="12" t="s">
        <v>374</v>
      </c>
      <c r="M3828" s="19"/>
      <c r="N3828" s="19"/>
      <c r="O3828" s="998" t="s">
        <v>12941</v>
      </c>
      <c r="P3828" s="587" t="s">
        <v>1432</v>
      </c>
    </row>
    <row r="3829" hidden="1">
      <c r="A3829" s="999">
        <v>13.0</v>
      </c>
      <c r="B3829" s="1000" t="s">
        <v>13103</v>
      </c>
      <c r="C3829" s="342" t="s">
        <v>3059</v>
      </c>
      <c r="D3829" s="342" t="s">
        <v>13104</v>
      </c>
      <c r="E3829" s="1023" t="s">
        <v>13105</v>
      </c>
      <c r="F3829" s="342" t="s">
        <v>9068</v>
      </c>
      <c r="G3829" s="1068">
        <v>46272.0</v>
      </c>
      <c r="H3829" s="645"/>
      <c r="I3829" s="1070" t="s">
        <v>10093</v>
      </c>
      <c r="J3829" s="19"/>
      <c r="K3829" s="19"/>
      <c r="L3829" s="12" t="s">
        <v>374</v>
      </c>
      <c r="M3829" s="19"/>
      <c r="N3829" s="19"/>
      <c r="O3829" s="998">
        <v>46210.0</v>
      </c>
      <c r="P3829" s="19"/>
    </row>
    <row r="3830" hidden="1">
      <c r="A3830" s="999">
        <v>14.0</v>
      </c>
      <c r="B3830" s="1000" t="s">
        <v>13106</v>
      </c>
      <c r="C3830" s="342" t="s">
        <v>80</v>
      </c>
      <c r="D3830" s="342" t="s">
        <v>13107</v>
      </c>
      <c r="E3830" s="1071" t="s">
        <v>13108</v>
      </c>
      <c r="F3830" s="342" t="s">
        <v>3583</v>
      </c>
      <c r="G3830" s="1068">
        <v>46272.0</v>
      </c>
      <c r="H3830" s="645"/>
      <c r="I3830" s="306" t="s">
        <v>2890</v>
      </c>
      <c r="J3830" s="19"/>
      <c r="K3830" s="19"/>
      <c r="L3830" s="12" t="s">
        <v>11863</v>
      </c>
      <c r="M3830" s="19"/>
      <c r="N3830" s="19"/>
      <c r="O3830" s="998" t="s">
        <v>12157</v>
      </c>
      <c r="P3830" s="19"/>
    </row>
    <row r="3831" hidden="1">
      <c r="A3831" s="999">
        <v>15.0</v>
      </c>
      <c r="B3831" s="1000" t="s">
        <v>13109</v>
      </c>
      <c r="C3831" s="342" t="s">
        <v>80</v>
      </c>
      <c r="D3831" s="342" t="s">
        <v>13110</v>
      </c>
      <c r="E3831" s="1072" t="s">
        <v>13111</v>
      </c>
      <c r="F3831" s="342" t="s">
        <v>556</v>
      </c>
      <c r="G3831" s="306" t="s">
        <v>11519</v>
      </c>
      <c r="H3831" s="645"/>
      <c r="I3831" s="1070" t="s">
        <v>10093</v>
      </c>
      <c r="J3831" s="19"/>
      <c r="K3831" s="19"/>
      <c r="L3831" s="12" t="s">
        <v>374</v>
      </c>
      <c r="M3831" s="19"/>
      <c r="N3831" s="34" t="s">
        <v>13112</v>
      </c>
      <c r="O3831" s="998" t="s">
        <v>11815</v>
      </c>
      <c r="P3831" s="19"/>
    </row>
    <row r="3832" hidden="1">
      <c r="A3832" s="999">
        <v>16.0</v>
      </c>
      <c r="B3832" s="1000" t="s">
        <v>13113</v>
      </c>
      <c r="C3832" s="342" t="s">
        <v>80</v>
      </c>
      <c r="D3832" s="342" t="s">
        <v>13114</v>
      </c>
      <c r="E3832" s="1023" t="s">
        <v>13115</v>
      </c>
      <c r="F3832" s="342" t="s">
        <v>556</v>
      </c>
      <c r="G3832" s="306" t="s">
        <v>12157</v>
      </c>
      <c r="H3832" s="645"/>
      <c r="I3832" s="306" t="s">
        <v>2890</v>
      </c>
      <c r="J3832" s="19"/>
      <c r="K3832" s="19"/>
      <c r="L3832" s="12" t="s">
        <v>374</v>
      </c>
      <c r="M3832" s="19"/>
      <c r="N3832" s="34" t="s">
        <v>13112</v>
      </c>
      <c r="O3832" s="998" t="s">
        <v>12845</v>
      </c>
      <c r="P3832" s="19"/>
    </row>
    <row r="3833">
      <c r="A3833" s="999">
        <v>17.0</v>
      </c>
      <c r="B3833" s="1000" t="s">
        <v>13116</v>
      </c>
      <c r="C3833" s="1073" t="s">
        <v>13117</v>
      </c>
      <c r="D3833" s="342" t="s">
        <v>13118</v>
      </c>
      <c r="E3833" s="1023" t="s">
        <v>13119</v>
      </c>
      <c r="F3833" s="342" t="s">
        <v>160</v>
      </c>
      <c r="G3833" s="306" t="s">
        <v>12157</v>
      </c>
      <c r="H3833" s="645"/>
      <c r="I3833" s="1070" t="s">
        <v>10093</v>
      </c>
      <c r="J3833" s="19"/>
      <c r="K3833" s="19"/>
      <c r="L3833" s="12" t="s">
        <v>51</v>
      </c>
      <c r="M3833" s="19"/>
      <c r="N3833" s="19"/>
      <c r="O3833" s="34" t="s">
        <v>13120</v>
      </c>
      <c r="P3833" s="102" t="s">
        <v>1432</v>
      </c>
    </row>
    <row r="3834">
      <c r="A3834" s="999">
        <v>18.0</v>
      </c>
      <c r="B3834" s="1000" t="s">
        <v>13121</v>
      </c>
      <c r="C3834" s="342" t="s">
        <v>3059</v>
      </c>
      <c r="D3834" s="342" t="s">
        <v>13122</v>
      </c>
      <c r="E3834" s="1023" t="s">
        <v>13123</v>
      </c>
      <c r="F3834" s="342" t="s">
        <v>172</v>
      </c>
      <c r="G3834" s="306" t="s">
        <v>1290</v>
      </c>
      <c r="H3834" s="645"/>
      <c r="I3834" s="306" t="s">
        <v>2890</v>
      </c>
      <c r="J3834" s="19"/>
      <c r="K3834" s="19"/>
      <c r="L3834" s="12" t="s">
        <v>374</v>
      </c>
      <c r="M3834" s="19"/>
      <c r="N3834" s="19"/>
      <c r="O3834" s="998">
        <v>46207.0</v>
      </c>
      <c r="P3834" s="19"/>
    </row>
    <row r="3835" hidden="1">
      <c r="A3835" s="999">
        <v>19.0</v>
      </c>
      <c r="B3835" s="1000" t="s">
        <v>13124</v>
      </c>
      <c r="C3835" s="342" t="s">
        <v>80</v>
      </c>
      <c r="D3835" s="342" t="s">
        <v>13125</v>
      </c>
      <c r="E3835" s="1023" t="s">
        <v>13126</v>
      </c>
      <c r="F3835" s="342" t="s">
        <v>160</v>
      </c>
      <c r="G3835" s="306" t="s">
        <v>1290</v>
      </c>
      <c r="H3835" s="645"/>
      <c r="I3835" s="306" t="s">
        <v>2890</v>
      </c>
      <c r="J3835" s="19"/>
      <c r="K3835" s="19"/>
      <c r="L3835" s="12" t="s">
        <v>4195</v>
      </c>
      <c r="M3835" s="19"/>
      <c r="N3835" s="19"/>
      <c r="O3835" s="998" t="s">
        <v>11815</v>
      </c>
      <c r="P3835" s="19"/>
    </row>
    <row r="3836">
      <c r="A3836" s="999">
        <v>20.0</v>
      </c>
      <c r="B3836" s="1074" t="s">
        <v>13127</v>
      </c>
      <c r="C3836" s="53" t="s">
        <v>80</v>
      </c>
      <c r="D3836" s="342" t="s">
        <v>13128</v>
      </c>
      <c r="E3836" s="1075" t="s">
        <v>13129</v>
      </c>
      <c r="F3836" s="53" t="s">
        <v>13130</v>
      </c>
      <c r="G3836" s="306" t="s">
        <v>1290</v>
      </c>
      <c r="H3836" s="645"/>
      <c r="I3836" s="1070"/>
      <c r="J3836" s="19"/>
      <c r="K3836" s="19"/>
      <c r="L3836" s="12" t="s">
        <v>9469</v>
      </c>
      <c r="M3836" s="19"/>
      <c r="N3836" s="19"/>
      <c r="O3836" s="1076" t="s">
        <v>11753</v>
      </c>
      <c r="P3836" s="19"/>
    </row>
    <row r="3837">
      <c r="A3837" s="999">
        <v>21.0</v>
      </c>
      <c r="B3837" s="1000" t="s">
        <v>13131</v>
      </c>
      <c r="C3837" s="342" t="s">
        <v>80</v>
      </c>
      <c r="D3837" s="342" t="s">
        <v>13132</v>
      </c>
      <c r="E3837" s="1077" t="s">
        <v>13133</v>
      </c>
      <c r="F3837" s="342" t="s">
        <v>708</v>
      </c>
      <c r="G3837" s="306" t="s">
        <v>1290</v>
      </c>
      <c r="H3837" s="645"/>
      <c r="I3837" s="1070" t="s">
        <v>10093</v>
      </c>
      <c r="J3837" s="19"/>
      <c r="K3837" s="19"/>
      <c r="L3837" s="12" t="s">
        <v>11863</v>
      </c>
      <c r="M3837" s="19"/>
      <c r="N3837" s="19"/>
      <c r="O3837" s="998" t="s">
        <v>13034</v>
      </c>
      <c r="P3837" s="102" t="s">
        <v>1432</v>
      </c>
    </row>
    <row r="3838">
      <c r="A3838" s="999">
        <v>22.0</v>
      </c>
      <c r="B3838" s="1000" t="s">
        <v>13134</v>
      </c>
      <c r="C3838" s="342" t="s">
        <v>80</v>
      </c>
      <c r="D3838" s="342" t="s">
        <v>13135</v>
      </c>
      <c r="E3838" s="1077" t="s">
        <v>13136</v>
      </c>
      <c r="F3838" s="342" t="s">
        <v>708</v>
      </c>
      <c r="G3838" s="306" t="s">
        <v>1290</v>
      </c>
      <c r="H3838" s="645"/>
      <c r="I3838" s="306" t="s">
        <v>2890</v>
      </c>
      <c r="J3838" s="19"/>
      <c r="K3838" s="19"/>
      <c r="L3838" s="12" t="s">
        <v>11863</v>
      </c>
      <c r="M3838" s="19"/>
      <c r="N3838" s="19"/>
      <c r="O3838" s="998" t="s">
        <v>13034</v>
      </c>
      <c r="P3838" s="102" t="s">
        <v>1432</v>
      </c>
    </row>
    <row r="3839">
      <c r="A3839" s="999">
        <v>23.0</v>
      </c>
      <c r="B3839" s="1000" t="s">
        <v>13137</v>
      </c>
      <c r="C3839" s="342" t="s">
        <v>80</v>
      </c>
      <c r="D3839" s="342" t="s">
        <v>13138</v>
      </c>
      <c r="E3839" s="1023" t="s">
        <v>13139</v>
      </c>
      <c r="F3839" s="342" t="s">
        <v>13140</v>
      </c>
      <c r="G3839" s="306" t="s">
        <v>1290</v>
      </c>
      <c r="H3839" s="645"/>
      <c r="I3839" s="485" t="s">
        <v>9308</v>
      </c>
      <c r="J3839" s="19"/>
      <c r="K3839" s="19"/>
      <c r="L3839" s="12" t="s">
        <v>2541</v>
      </c>
      <c r="M3839" s="19"/>
      <c r="N3839" s="19"/>
      <c r="O3839" s="998" t="s">
        <v>1290</v>
      </c>
      <c r="P3839" s="102" t="s">
        <v>1432</v>
      </c>
    </row>
    <row r="3840" hidden="1">
      <c r="A3840" s="999">
        <v>24.0</v>
      </c>
      <c r="B3840" s="1000" t="s">
        <v>13141</v>
      </c>
      <c r="C3840" s="342" t="s">
        <v>80</v>
      </c>
      <c r="D3840" s="342" t="s">
        <v>13142</v>
      </c>
      <c r="E3840" s="1078" t="s">
        <v>13143</v>
      </c>
      <c r="F3840" s="1079" t="s">
        <v>3928</v>
      </c>
      <c r="G3840" s="1068">
        <v>46302.0</v>
      </c>
      <c r="H3840" s="645"/>
      <c r="I3840" s="1070" t="s">
        <v>3231</v>
      </c>
      <c r="J3840" s="19"/>
      <c r="K3840" s="19"/>
      <c r="L3840" s="12" t="s">
        <v>9469</v>
      </c>
      <c r="M3840" s="19"/>
      <c r="N3840" s="19"/>
      <c r="O3840" s="998" t="s">
        <v>12919</v>
      </c>
      <c r="P3840" s="19"/>
    </row>
    <row r="3841" hidden="1">
      <c r="A3841" s="999">
        <v>25.0</v>
      </c>
      <c r="B3841" s="1000" t="s">
        <v>13144</v>
      </c>
      <c r="C3841" s="342" t="s">
        <v>80</v>
      </c>
      <c r="D3841" s="342" t="s">
        <v>13145</v>
      </c>
      <c r="E3841" s="1078" t="s">
        <v>13146</v>
      </c>
      <c r="F3841" s="1079" t="s">
        <v>3928</v>
      </c>
      <c r="G3841" s="1068">
        <v>46302.0</v>
      </c>
      <c r="H3841" s="645"/>
      <c r="I3841" s="306" t="s">
        <v>2890</v>
      </c>
      <c r="J3841" s="19"/>
      <c r="K3841" s="19"/>
      <c r="L3841" s="12" t="s">
        <v>9469</v>
      </c>
      <c r="M3841" s="19"/>
      <c r="N3841" s="19"/>
      <c r="O3841" s="998" t="s">
        <v>12919</v>
      </c>
      <c r="P3841" s="19"/>
    </row>
    <row r="3842" hidden="1">
      <c r="A3842" s="999">
        <v>26.0</v>
      </c>
      <c r="B3842" s="1000" t="s">
        <v>13147</v>
      </c>
      <c r="C3842" s="342" t="s">
        <v>80</v>
      </c>
      <c r="D3842" s="342" t="s">
        <v>13148</v>
      </c>
      <c r="E3842" s="1078" t="s">
        <v>13149</v>
      </c>
      <c r="F3842" s="1079" t="s">
        <v>3928</v>
      </c>
      <c r="G3842" s="1068">
        <v>46302.0</v>
      </c>
      <c r="H3842" s="645"/>
      <c r="I3842" s="306" t="s">
        <v>2890</v>
      </c>
      <c r="J3842" s="19"/>
      <c r="K3842" s="19"/>
      <c r="L3842" s="12" t="s">
        <v>9469</v>
      </c>
      <c r="M3842" s="19"/>
      <c r="N3842" s="19"/>
      <c r="O3842" s="998" t="s">
        <v>12919</v>
      </c>
      <c r="P3842" s="19"/>
    </row>
    <row r="3843" hidden="1">
      <c r="A3843" s="999">
        <v>27.0</v>
      </c>
      <c r="B3843" s="1000" t="s">
        <v>13150</v>
      </c>
      <c r="C3843" s="342" t="s">
        <v>80</v>
      </c>
      <c r="D3843" s="342" t="s">
        <v>13151</v>
      </c>
      <c r="E3843" s="1078" t="s">
        <v>13152</v>
      </c>
      <c r="F3843" s="1079" t="s">
        <v>3928</v>
      </c>
      <c r="G3843" s="1068">
        <v>46302.0</v>
      </c>
      <c r="H3843" s="645"/>
      <c r="I3843" s="306" t="s">
        <v>2890</v>
      </c>
      <c r="J3843" s="19"/>
      <c r="K3843" s="19"/>
      <c r="L3843" s="12" t="s">
        <v>9469</v>
      </c>
      <c r="M3843" s="19"/>
      <c r="N3843" s="19"/>
      <c r="O3843" s="998" t="s">
        <v>12919</v>
      </c>
      <c r="P3843" s="19"/>
    </row>
    <row r="3844" hidden="1">
      <c r="A3844" s="999">
        <v>28.0</v>
      </c>
      <c r="B3844" s="1000" t="s">
        <v>13153</v>
      </c>
      <c r="C3844" s="342" t="s">
        <v>80</v>
      </c>
      <c r="D3844" s="342" t="s">
        <v>13154</v>
      </c>
      <c r="E3844" s="1078" t="s">
        <v>13155</v>
      </c>
      <c r="F3844" s="1079" t="s">
        <v>3928</v>
      </c>
      <c r="G3844" s="1068">
        <v>46302.0</v>
      </c>
      <c r="H3844" s="645"/>
      <c r="I3844" s="306" t="s">
        <v>2890</v>
      </c>
      <c r="J3844" s="19"/>
      <c r="K3844" s="19"/>
      <c r="L3844" s="12" t="s">
        <v>9469</v>
      </c>
      <c r="M3844" s="19"/>
      <c r="N3844" s="19"/>
      <c r="O3844" s="998" t="s">
        <v>12919</v>
      </c>
      <c r="P3844" s="19"/>
    </row>
    <row r="3845" hidden="1">
      <c r="A3845" s="999">
        <v>29.0</v>
      </c>
      <c r="B3845" s="1000" t="s">
        <v>13156</v>
      </c>
      <c r="C3845" s="342" t="s">
        <v>80</v>
      </c>
      <c r="D3845" s="342" t="s">
        <v>13157</v>
      </c>
      <c r="E3845" s="1078" t="s">
        <v>13158</v>
      </c>
      <c r="F3845" s="1079" t="s">
        <v>3928</v>
      </c>
      <c r="G3845" s="1068">
        <v>46302.0</v>
      </c>
      <c r="H3845" s="645"/>
      <c r="I3845" s="306" t="s">
        <v>10783</v>
      </c>
      <c r="J3845" s="19"/>
      <c r="K3845" s="19"/>
      <c r="L3845" s="12" t="s">
        <v>9469</v>
      </c>
      <c r="M3845" s="19"/>
      <c r="N3845" s="19"/>
      <c r="O3845" s="998" t="s">
        <v>12919</v>
      </c>
      <c r="P3845" s="19"/>
    </row>
    <row r="3846">
      <c r="A3846" s="999">
        <v>30.0</v>
      </c>
      <c r="B3846" s="1000" t="s">
        <v>13159</v>
      </c>
      <c r="C3846" s="342" t="s">
        <v>80</v>
      </c>
      <c r="D3846" s="342" t="s">
        <v>13160</v>
      </c>
      <c r="E3846" s="1078" t="s">
        <v>13161</v>
      </c>
      <c r="F3846" s="1079" t="s">
        <v>3928</v>
      </c>
      <c r="G3846" s="306" t="s">
        <v>11519</v>
      </c>
      <c r="H3846" s="645"/>
      <c r="I3846" s="306" t="s">
        <v>2890</v>
      </c>
      <c r="J3846" s="19"/>
      <c r="K3846" s="19"/>
      <c r="L3846" s="12" t="s">
        <v>9469</v>
      </c>
      <c r="M3846" s="19"/>
      <c r="N3846" s="19"/>
      <c r="O3846" s="998" t="s">
        <v>13162</v>
      </c>
      <c r="P3846" s="19"/>
    </row>
    <row r="3847">
      <c r="A3847" s="999">
        <v>31.0</v>
      </c>
      <c r="B3847" s="1000" t="s">
        <v>13163</v>
      </c>
      <c r="C3847" s="342" t="s">
        <v>80</v>
      </c>
      <c r="D3847" s="342" t="s">
        <v>13164</v>
      </c>
      <c r="E3847" s="1078" t="s">
        <v>13165</v>
      </c>
      <c r="F3847" s="1079" t="s">
        <v>3928</v>
      </c>
      <c r="G3847" s="306" t="s">
        <v>11519</v>
      </c>
      <c r="H3847" s="645"/>
      <c r="I3847" s="306" t="s">
        <v>2890</v>
      </c>
      <c r="J3847" s="19"/>
      <c r="K3847" s="19"/>
      <c r="L3847" s="12" t="s">
        <v>9469</v>
      </c>
      <c r="M3847" s="19"/>
      <c r="N3847" s="19"/>
      <c r="O3847" s="998" t="s">
        <v>13162</v>
      </c>
      <c r="P3847" s="19"/>
    </row>
    <row r="3848">
      <c r="A3848" s="999">
        <v>32.0</v>
      </c>
      <c r="B3848" s="1000" t="s">
        <v>13166</v>
      </c>
      <c r="C3848" s="342" t="s">
        <v>80</v>
      </c>
      <c r="D3848" s="342" t="s">
        <v>13167</v>
      </c>
      <c r="E3848" s="1078" t="s">
        <v>13168</v>
      </c>
      <c r="F3848" s="1079" t="s">
        <v>3928</v>
      </c>
      <c r="G3848" s="306" t="s">
        <v>11519</v>
      </c>
      <c r="H3848" s="645"/>
      <c r="I3848" s="1070" t="s">
        <v>10093</v>
      </c>
      <c r="J3848" s="19"/>
      <c r="K3848" s="19"/>
      <c r="L3848" s="12" t="s">
        <v>9469</v>
      </c>
      <c r="M3848" s="19"/>
      <c r="N3848" s="19"/>
      <c r="O3848" s="998" t="s">
        <v>13162</v>
      </c>
      <c r="P3848" s="19"/>
    </row>
    <row r="3849">
      <c r="A3849" s="999">
        <v>33.0</v>
      </c>
      <c r="B3849" s="1000" t="s">
        <v>13169</v>
      </c>
      <c r="C3849" s="342" t="s">
        <v>80</v>
      </c>
      <c r="D3849" s="342" t="s">
        <v>13170</v>
      </c>
      <c r="E3849" s="1078" t="s">
        <v>13171</v>
      </c>
      <c r="F3849" s="1079" t="s">
        <v>3928</v>
      </c>
      <c r="G3849" s="306" t="s">
        <v>11519</v>
      </c>
      <c r="H3849" s="645"/>
      <c r="I3849" s="306" t="s">
        <v>2890</v>
      </c>
      <c r="J3849" s="19"/>
      <c r="K3849" s="19"/>
      <c r="L3849" s="12" t="s">
        <v>9469</v>
      </c>
      <c r="M3849" s="19"/>
      <c r="N3849" s="19"/>
      <c r="O3849" s="998" t="s">
        <v>13162</v>
      </c>
      <c r="P3849" s="19"/>
    </row>
    <row r="3850">
      <c r="A3850" s="999">
        <v>34.0</v>
      </c>
      <c r="B3850" s="1000" t="s">
        <v>13172</v>
      </c>
      <c r="C3850" s="342" t="s">
        <v>80</v>
      </c>
      <c r="D3850" s="342" t="s">
        <v>13173</v>
      </c>
      <c r="E3850" s="1078" t="s">
        <v>13174</v>
      </c>
      <c r="F3850" s="1079" t="s">
        <v>3928</v>
      </c>
      <c r="G3850" s="306" t="s">
        <v>11519</v>
      </c>
      <c r="H3850" s="645"/>
      <c r="I3850" s="306" t="s">
        <v>2890</v>
      </c>
      <c r="J3850" s="19"/>
      <c r="K3850" s="19"/>
      <c r="L3850" s="12" t="s">
        <v>9469</v>
      </c>
      <c r="M3850" s="19"/>
      <c r="N3850" s="19"/>
      <c r="O3850" s="998" t="s">
        <v>13162</v>
      </c>
      <c r="P3850" s="19"/>
    </row>
    <row r="3851">
      <c r="A3851" s="999">
        <v>35.0</v>
      </c>
      <c r="B3851" s="1000" t="s">
        <v>13175</v>
      </c>
      <c r="C3851" s="342" t="s">
        <v>80</v>
      </c>
      <c r="D3851" s="342" t="s">
        <v>13176</v>
      </c>
      <c r="E3851" s="1078" t="s">
        <v>13177</v>
      </c>
      <c r="F3851" s="1079" t="s">
        <v>3928</v>
      </c>
      <c r="G3851" s="306" t="s">
        <v>11519</v>
      </c>
      <c r="H3851" s="645"/>
      <c r="I3851" s="306" t="s">
        <v>2890</v>
      </c>
      <c r="J3851" s="19"/>
      <c r="K3851" s="19"/>
      <c r="L3851" s="12" t="s">
        <v>9469</v>
      </c>
      <c r="M3851" s="19"/>
      <c r="N3851" s="19"/>
      <c r="O3851" s="998" t="s">
        <v>13162</v>
      </c>
      <c r="P3851" s="19"/>
    </row>
    <row r="3852">
      <c r="A3852" s="999">
        <v>36.0</v>
      </c>
      <c r="B3852" s="1000" t="s">
        <v>13178</v>
      </c>
      <c r="C3852" s="342" t="s">
        <v>80</v>
      </c>
      <c r="D3852" s="342" t="s">
        <v>13179</v>
      </c>
      <c r="E3852" s="1078" t="s">
        <v>13180</v>
      </c>
      <c r="F3852" s="1079" t="s">
        <v>3928</v>
      </c>
      <c r="G3852" s="306" t="s">
        <v>11519</v>
      </c>
      <c r="H3852" s="645"/>
      <c r="I3852" s="306" t="s">
        <v>2890</v>
      </c>
      <c r="J3852" s="19"/>
      <c r="K3852" s="19"/>
      <c r="L3852" s="12" t="s">
        <v>9469</v>
      </c>
      <c r="M3852" s="19"/>
      <c r="N3852" s="19"/>
      <c r="O3852" s="998" t="s">
        <v>13162</v>
      </c>
      <c r="P3852" s="19"/>
    </row>
    <row r="3853">
      <c r="A3853" s="999">
        <v>37.0</v>
      </c>
      <c r="B3853" s="1000" t="s">
        <v>13181</v>
      </c>
      <c r="C3853" s="342" t="s">
        <v>80</v>
      </c>
      <c r="D3853" s="342" t="s">
        <v>13182</v>
      </c>
      <c r="E3853" s="1078" t="s">
        <v>13183</v>
      </c>
      <c r="F3853" s="1079" t="s">
        <v>3928</v>
      </c>
      <c r="G3853" s="306" t="s">
        <v>11519</v>
      </c>
      <c r="H3853" s="645"/>
      <c r="I3853" s="485" t="s">
        <v>3465</v>
      </c>
      <c r="J3853" s="19"/>
      <c r="K3853" s="19"/>
      <c r="L3853" s="12" t="s">
        <v>9469</v>
      </c>
      <c r="M3853" s="19"/>
      <c r="N3853" s="19"/>
      <c r="O3853" s="998" t="s">
        <v>13162</v>
      </c>
      <c r="P3853" s="19"/>
    </row>
    <row r="3854">
      <c r="A3854" s="999">
        <v>38.0</v>
      </c>
      <c r="B3854" s="1000" t="s">
        <v>13184</v>
      </c>
      <c r="C3854" s="342" t="s">
        <v>80</v>
      </c>
      <c r="D3854" s="342" t="s">
        <v>13185</v>
      </c>
      <c r="E3854" s="1078" t="s">
        <v>13186</v>
      </c>
      <c r="F3854" s="1079" t="s">
        <v>3928</v>
      </c>
      <c r="G3854" s="306" t="s">
        <v>11519</v>
      </c>
      <c r="H3854" s="645"/>
      <c r="I3854" s="306" t="s">
        <v>2890</v>
      </c>
      <c r="J3854" s="19"/>
      <c r="K3854" s="19"/>
      <c r="L3854" s="12" t="s">
        <v>9469</v>
      </c>
      <c r="M3854" s="19"/>
      <c r="N3854" s="34"/>
      <c r="O3854" s="998" t="s">
        <v>13162</v>
      </c>
      <c r="P3854" s="19"/>
    </row>
    <row r="3855" hidden="1">
      <c r="A3855" s="999">
        <v>39.0</v>
      </c>
      <c r="B3855" s="1080" t="s">
        <v>13187</v>
      </c>
      <c r="C3855" s="342" t="s">
        <v>80</v>
      </c>
      <c r="D3855" s="342" t="s">
        <v>13188</v>
      </c>
      <c r="E3855" s="1023" t="s">
        <v>13189</v>
      </c>
      <c r="F3855" s="342" t="s">
        <v>13190</v>
      </c>
      <c r="G3855" s="306" t="s">
        <v>12157</v>
      </c>
      <c r="H3855" s="645"/>
      <c r="I3855" s="306" t="s">
        <v>2890</v>
      </c>
      <c r="J3855" s="19"/>
      <c r="K3855" s="19"/>
      <c r="L3855" s="12" t="s">
        <v>51</v>
      </c>
      <c r="M3855" s="19"/>
      <c r="N3855" s="19"/>
      <c r="O3855" s="998" t="s">
        <v>12794</v>
      </c>
      <c r="P3855" s="587" t="s">
        <v>1432</v>
      </c>
    </row>
    <row r="3856" hidden="1">
      <c r="A3856" s="999">
        <v>40.0</v>
      </c>
      <c r="B3856" s="1080" t="s">
        <v>13191</v>
      </c>
      <c r="C3856" s="342" t="s">
        <v>80</v>
      </c>
      <c r="D3856" s="342" t="s">
        <v>13192</v>
      </c>
      <c r="E3856" s="1023" t="s">
        <v>13193</v>
      </c>
      <c r="F3856" s="342" t="s">
        <v>11627</v>
      </c>
      <c r="G3856" s="306" t="s">
        <v>12065</v>
      </c>
      <c r="H3856" s="645"/>
      <c r="I3856" s="1070" t="s">
        <v>10093</v>
      </c>
      <c r="J3856" s="19"/>
      <c r="K3856" s="19"/>
      <c r="L3856" s="12" t="s">
        <v>4195</v>
      </c>
      <c r="M3856" s="19"/>
      <c r="N3856" s="19"/>
      <c r="O3856" s="998" t="s">
        <v>13194</v>
      </c>
      <c r="P3856" s="102" t="s">
        <v>1432</v>
      </c>
    </row>
    <row r="3857" hidden="1">
      <c r="A3857" s="999">
        <v>41.0</v>
      </c>
      <c r="B3857" s="1080" t="s">
        <v>13195</v>
      </c>
      <c r="C3857" s="12" t="s">
        <v>80</v>
      </c>
      <c r="D3857" s="342" t="s">
        <v>13196</v>
      </c>
      <c r="E3857" s="1023" t="s">
        <v>13197</v>
      </c>
      <c r="F3857" s="647"/>
      <c r="G3857" s="653"/>
      <c r="H3857" s="645"/>
      <c r="I3857" s="306" t="s">
        <v>2890</v>
      </c>
      <c r="J3857" s="19"/>
      <c r="K3857" s="19"/>
      <c r="L3857" s="12" t="s">
        <v>374</v>
      </c>
      <c r="M3857" s="19"/>
      <c r="N3857" s="19"/>
      <c r="O3857" s="998" t="s">
        <v>11815</v>
      </c>
      <c r="P3857" s="102" t="s">
        <v>1432</v>
      </c>
    </row>
    <row r="3858" hidden="1">
      <c r="A3858" s="999">
        <v>42.0</v>
      </c>
      <c r="B3858" s="1000" t="s">
        <v>13198</v>
      </c>
      <c r="C3858" s="342" t="s">
        <v>80</v>
      </c>
      <c r="D3858" s="342" t="s">
        <v>13199</v>
      </c>
      <c r="E3858" s="1023" t="s">
        <v>13200</v>
      </c>
      <c r="F3858" s="342" t="s">
        <v>10863</v>
      </c>
      <c r="G3858" s="306" t="s">
        <v>1129</v>
      </c>
      <c r="H3858" s="645"/>
      <c r="I3858" s="306" t="s">
        <v>2890</v>
      </c>
      <c r="J3858" s="19"/>
      <c r="K3858" s="19"/>
      <c r="L3858" s="12" t="s">
        <v>51</v>
      </c>
      <c r="M3858" s="19"/>
      <c r="N3858" s="19"/>
      <c r="O3858" s="998" t="s">
        <v>11810</v>
      </c>
      <c r="P3858" s="19"/>
    </row>
    <row r="3859" hidden="1">
      <c r="A3859" s="999">
        <v>43.0</v>
      </c>
      <c r="B3859" s="1080" t="s">
        <v>13201</v>
      </c>
      <c r="C3859" s="342" t="s">
        <v>80</v>
      </c>
      <c r="D3859" s="342" t="s">
        <v>13202</v>
      </c>
      <c r="E3859" s="1023" t="s">
        <v>13203</v>
      </c>
      <c r="F3859" s="342" t="s">
        <v>8964</v>
      </c>
      <c r="G3859" s="306" t="s">
        <v>1129</v>
      </c>
      <c r="H3859" s="645"/>
      <c r="I3859" s="306" t="s">
        <v>2890</v>
      </c>
      <c r="J3859" s="19"/>
      <c r="K3859" s="19"/>
      <c r="L3859" s="12" t="s">
        <v>2541</v>
      </c>
      <c r="M3859" s="19"/>
      <c r="N3859" s="19"/>
      <c r="O3859" s="998" t="s">
        <v>12919</v>
      </c>
      <c r="P3859" s="102" t="s">
        <v>1432</v>
      </c>
    </row>
    <row r="3860">
      <c r="A3860" s="930">
        <v>44.0</v>
      </c>
      <c r="B3860" s="929" t="s">
        <v>13204</v>
      </c>
      <c r="C3860" s="1081" t="s">
        <v>80</v>
      </c>
      <c r="D3860" s="1081" t="s">
        <v>13205</v>
      </c>
      <c r="E3860" s="930" t="s">
        <v>13206</v>
      </c>
      <c r="F3860" s="1081" t="s">
        <v>403</v>
      </c>
      <c r="G3860" s="1082" t="s">
        <v>1290</v>
      </c>
      <c r="H3860" s="1083"/>
      <c r="I3860" s="1084" t="s">
        <v>2890</v>
      </c>
      <c r="J3860" s="1085"/>
      <c r="K3860" s="1085"/>
      <c r="L3860" s="1086" t="s">
        <v>51</v>
      </c>
      <c r="M3860" s="1085"/>
      <c r="N3860" s="1087"/>
      <c r="O3860" s="1088" t="s">
        <v>11758</v>
      </c>
      <c r="P3860" s="1089"/>
      <c r="Q3860" s="1090"/>
      <c r="R3860" s="1090"/>
      <c r="S3860" s="1090"/>
      <c r="T3860" s="1090"/>
      <c r="U3860" s="1090"/>
      <c r="V3860" s="1090"/>
      <c r="W3860" s="1090"/>
      <c r="X3860" s="1090"/>
      <c r="Y3860" s="1090"/>
      <c r="Z3860" s="1090"/>
      <c r="AA3860" s="1090"/>
      <c r="AB3860" s="1090"/>
      <c r="AC3860" s="1090"/>
      <c r="AD3860" s="1090"/>
      <c r="AE3860" s="1090"/>
      <c r="AF3860" s="1090"/>
    </row>
    <row r="3861">
      <c r="A3861" s="930">
        <v>45.0</v>
      </c>
      <c r="B3861" s="929" t="s">
        <v>13207</v>
      </c>
      <c r="C3861" s="1081" t="s">
        <v>80</v>
      </c>
      <c r="D3861" s="1081" t="s">
        <v>13208</v>
      </c>
      <c r="E3861" s="930" t="s">
        <v>13209</v>
      </c>
      <c r="F3861" s="1081" t="s">
        <v>403</v>
      </c>
      <c r="G3861" s="1082" t="s">
        <v>1290</v>
      </c>
      <c r="H3861" s="1083"/>
      <c r="I3861" s="1084" t="s">
        <v>2890</v>
      </c>
      <c r="J3861" s="1085"/>
      <c r="K3861" s="1085"/>
      <c r="L3861" s="1086" t="s">
        <v>51</v>
      </c>
      <c r="M3861" s="1085"/>
      <c r="N3861" s="1087"/>
      <c r="O3861" s="1088" t="s">
        <v>11758</v>
      </c>
      <c r="P3861" s="1089"/>
      <c r="Q3861" s="1090"/>
      <c r="R3861" s="1090"/>
      <c r="S3861" s="1090"/>
      <c r="T3861" s="1090"/>
      <c r="U3861" s="1090"/>
      <c r="V3861" s="1090"/>
      <c r="W3861" s="1090"/>
      <c r="X3861" s="1090"/>
      <c r="Y3861" s="1090"/>
      <c r="Z3861" s="1090"/>
      <c r="AA3861" s="1090"/>
      <c r="AB3861" s="1090"/>
      <c r="AC3861" s="1090"/>
      <c r="AD3861" s="1090"/>
      <c r="AE3861" s="1090"/>
      <c r="AF3861" s="1090"/>
    </row>
    <row r="3862">
      <c r="A3862" s="1091">
        <v>46.0</v>
      </c>
      <c r="B3862" s="1092" t="s">
        <v>13210</v>
      </c>
      <c r="C3862" s="1093" t="s">
        <v>1185</v>
      </c>
      <c r="D3862" s="1093" t="s">
        <v>13211</v>
      </c>
      <c r="E3862" s="1094" t="s">
        <v>13212</v>
      </c>
      <c r="F3862" s="1093" t="s">
        <v>2315</v>
      </c>
      <c r="G3862" s="1095" t="s">
        <v>1290</v>
      </c>
      <c r="H3862" s="1096"/>
      <c r="I3862" s="1095" t="s">
        <v>2890</v>
      </c>
      <c r="J3862" s="1097"/>
      <c r="K3862" s="1097"/>
      <c r="L3862" s="1098" t="s">
        <v>4195</v>
      </c>
      <c r="M3862" s="1097"/>
      <c r="N3862" s="1097"/>
      <c r="O3862" s="1088" t="s">
        <v>11758</v>
      </c>
      <c r="P3862" s="1097"/>
      <c r="Q3862" s="1099"/>
      <c r="R3862" s="1099"/>
      <c r="S3862" s="1099"/>
      <c r="T3862" s="1099"/>
      <c r="U3862" s="1099"/>
      <c r="V3862" s="1099"/>
      <c r="W3862" s="1099"/>
      <c r="X3862" s="1099"/>
      <c r="Y3862" s="1099"/>
      <c r="Z3862" s="1099"/>
      <c r="AA3862" s="1099"/>
      <c r="AB3862" s="1099"/>
      <c r="AC3862" s="1099"/>
      <c r="AD3862" s="1099"/>
      <c r="AE3862" s="1099"/>
      <c r="AF3862" s="1099"/>
    </row>
    <row r="3863" hidden="1">
      <c r="A3863" s="999">
        <v>47.0</v>
      </c>
      <c r="B3863" s="1000" t="s">
        <v>13213</v>
      </c>
      <c r="C3863" s="342" t="s">
        <v>8495</v>
      </c>
      <c r="D3863" s="342" t="s">
        <v>13214</v>
      </c>
      <c r="E3863" s="1023" t="s">
        <v>13215</v>
      </c>
      <c r="F3863" s="342" t="s">
        <v>13216</v>
      </c>
      <c r="G3863" s="306" t="s">
        <v>1129</v>
      </c>
      <c r="H3863" s="645"/>
      <c r="I3863" s="306" t="s">
        <v>2890</v>
      </c>
      <c r="J3863" s="19"/>
      <c r="K3863" s="19"/>
      <c r="L3863" s="14"/>
      <c r="M3863" s="19"/>
      <c r="N3863" s="34" t="s">
        <v>10094</v>
      </c>
      <c r="O3863" s="1069"/>
      <c r="P3863" s="19"/>
    </row>
    <row r="3864">
      <c r="A3864" s="999">
        <v>48.0</v>
      </c>
      <c r="B3864" s="1000" t="s">
        <v>13217</v>
      </c>
      <c r="C3864" s="342" t="s">
        <v>80</v>
      </c>
      <c r="D3864" s="342" t="s">
        <v>13218</v>
      </c>
      <c r="E3864" s="1077" t="s">
        <v>13219</v>
      </c>
      <c r="F3864" s="342" t="s">
        <v>148</v>
      </c>
      <c r="G3864" s="306" t="s">
        <v>1129</v>
      </c>
      <c r="H3864" s="645"/>
      <c r="I3864" s="306" t="s">
        <v>2890</v>
      </c>
      <c r="J3864" s="19"/>
      <c r="K3864" s="19"/>
      <c r="L3864" s="12" t="s">
        <v>2541</v>
      </c>
      <c r="M3864" s="19"/>
      <c r="N3864" s="19"/>
      <c r="O3864" s="998" t="s">
        <v>13075</v>
      </c>
      <c r="P3864" s="587" t="s">
        <v>1432</v>
      </c>
    </row>
    <row r="3865">
      <c r="A3865" s="999">
        <v>49.0</v>
      </c>
      <c r="B3865" s="1000" t="s">
        <v>13220</v>
      </c>
      <c r="C3865" s="342" t="s">
        <v>80</v>
      </c>
      <c r="D3865" s="342" t="s">
        <v>13221</v>
      </c>
      <c r="E3865" s="1077" t="s">
        <v>13222</v>
      </c>
      <c r="F3865" s="342" t="s">
        <v>148</v>
      </c>
      <c r="G3865" s="306" t="s">
        <v>1129</v>
      </c>
      <c r="H3865" s="645"/>
      <c r="I3865" s="306" t="s">
        <v>2890</v>
      </c>
      <c r="J3865" s="19"/>
      <c r="K3865" s="19"/>
      <c r="L3865" s="12" t="s">
        <v>2541</v>
      </c>
      <c r="M3865" s="19"/>
      <c r="N3865" s="19"/>
      <c r="O3865" s="998" t="s">
        <v>13075</v>
      </c>
      <c r="P3865" s="587" t="s">
        <v>1432</v>
      </c>
    </row>
    <row r="3866" hidden="1">
      <c r="A3866" s="999">
        <v>50.0</v>
      </c>
      <c r="B3866" s="1000" t="s">
        <v>13223</v>
      </c>
      <c r="C3866" s="342" t="s">
        <v>80</v>
      </c>
      <c r="D3866" s="342" t="s">
        <v>13224</v>
      </c>
      <c r="E3866" s="1077" t="s">
        <v>13225</v>
      </c>
      <c r="F3866" s="342" t="s">
        <v>13226</v>
      </c>
      <c r="G3866" s="306" t="s">
        <v>1129</v>
      </c>
      <c r="H3866" s="645"/>
      <c r="I3866" s="306" t="s">
        <v>2890</v>
      </c>
      <c r="J3866" s="34" t="s">
        <v>4873</v>
      </c>
      <c r="K3866" s="19"/>
      <c r="L3866" s="12" t="s">
        <v>4195</v>
      </c>
      <c r="M3866" s="19"/>
      <c r="N3866" s="19"/>
      <c r="O3866" s="998" t="s">
        <v>12941</v>
      </c>
      <c r="P3866" s="19"/>
    </row>
    <row r="3867" hidden="1">
      <c r="A3867" s="999">
        <v>51.0</v>
      </c>
      <c r="B3867" s="1000" t="s">
        <v>13227</v>
      </c>
      <c r="C3867" s="342" t="s">
        <v>80</v>
      </c>
      <c r="D3867" s="342" t="s">
        <v>13228</v>
      </c>
      <c r="E3867" s="1077" t="s">
        <v>13229</v>
      </c>
      <c r="F3867" s="342" t="s">
        <v>13226</v>
      </c>
      <c r="G3867" s="306" t="s">
        <v>1129</v>
      </c>
      <c r="H3867" s="645"/>
      <c r="I3867" s="306" t="s">
        <v>2890</v>
      </c>
      <c r="J3867" s="19"/>
      <c r="K3867" s="19"/>
      <c r="L3867" s="12" t="s">
        <v>4195</v>
      </c>
      <c r="M3867" s="19"/>
      <c r="N3867" s="19"/>
      <c r="O3867" s="998" t="s">
        <v>12941</v>
      </c>
      <c r="P3867" s="19"/>
    </row>
    <row r="3868">
      <c r="A3868" s="999">
        <v>52.0</v>
      </c>
      <c r="B3868" s="1000" t="s">
        <v>13230</v>
      </c>
      <c r="C3868" s="342" t="s">
        <v>80</v>
      </c>
      <c r="D3868" s="342" t="s">
        <v>13231</v>
      </c>
      <c r="E3868" s="1077" t="s">
        <v>13232</v>
      </c>
      <c r="F3868" s="342" t="s">
        <v>4771</v>
      </c>
      <c r="G3868" s="306" t="s">
        <v>12464</v>
      </c>
      <c r="H3868" s="645"/>
      <c r="I3868" s="306" t="s">
        <v>2890</v>
      </c>
      <c r="J3868" s="19"/>
      <c r="K3868" s="19"/>
      <c r="L3868" s="12" t="s">
        <v>699</v>
      </c>
      <c r="M3868" s="19"/>
      <c r="N3868" s="19"/>
      <c r="O3868" s="1069"/>
      <c r="P3868" s="19"/>
    </row>
    <row r="3869">
      <c r="A3869" s="999">
        <v>53.0</v>
      </c>
      <c r="B3869" s="1000" t="s">
        <v>13233</v>
      </c>
      <c r="C3869" s="342" t="s">
        <v>80</v>
      </c>
      <c r="D3869" s="342" t="s">
        <v>13234</v>
      </c>
      <c r="E3869" s="1077" t="s">
        <v>13235</v>
      </c>
      <c r="F3869" s="342" t="s">
        <v>4771</v>
      </c>
      <c r="G3869" s="306" t="s">
        <v>12464</v>
      </c>
      <c r="H3869" s="645"/>
      <c r="I3869" s="306" t="s">
        <v>2890</v>
      </c>
      <c r="J3869" s="19"/>
      <c r="K3869" s="19"/>
      <c r="L3869" s="12" t="s">
        <v>699</v>
      </c>
      <c r="M3869" s="19"/>
      <c r="N3869" s="19"/>
      <c r="O3869" s="1069"/>
      <c r="P3869" s="19"/>
    </row>
    <row r="3870" hidden="1">
      <c r="A3870" s="999">
        <v>54.0</v>
      </c>
      <c r="B3870" s="1000" t="s">
        <v>13236</v>
      </c>
      <c r="C3870" s="342" t="s">
        <v>80</v>
      </c>
      <c r="D3870" s="342" t="s">
        <v>13237</v>
      </c>
      <c r="E3870" s="1077" t="s">
        <v>13238</v>
      </c>
      <c r="F3870" s="342" t="s">
        <v>11312</v>
      </c>
      <c r="G3870" s="306" t="s">
        <v>12464</v>
      </c>
      <c r="H3870" s="645"/>
      <c r="I3870" s="485" t="s">
        <v>11112</v>
      </c>
      <c r="J3870" s="19"/>
      <c r="K3870" s="19"/>
      <c r="L3870" s="12" t="s">
        <v>11863</v>
      </c>
      <c r="M3870" s="19"/>
      <c r="N3870" s="19"/>
      <c r="O3870" s="998" t="s">
        <v>12162</v>
      </c>
      <c r="P3870" s="102" t="s">
        <v>11953</v>
      </c>
    </row>
    <row r="3871">
      <c r="A3871" s="999">
        <v>55.0</v>
      </c>
      <c r="B3871" s="1000" t="s">
        <v>13239</v>
      </c>
      <c r="C3871" s="342" t="s">
        <v>80</v>
      </c>
      <c r="D3871" s="342" t="s">
        <v>13240</v>
      </c>
      <c r="E3871" s="1023" t="s">
        <v>13241</v>
      </c>
      <c r="F3871" s="342" t="s">
        <v>13242</v>
      </c>
      <c r="G3871" s="306" t="s">
        <v>12464</v>
      </c>
      <c r="H3871" s="645"/>
      <c r="I3871" s="306" t="s">
        <v>2890</v>
      </c>
      <c r="J3871" s="19"/>
      <c r="K3871" s="19"/>
      <c r="L3871" s="12" t="s">
        <v>374</v>
      </c>
      <c r="M3871" s="19"/>
      <c r="N3871" s="19"/>
      <c r="O3871" s="998" t="s">
        <v>12919</v>
      </c>
      <c r="P3871" s="102" t="s">
        <v>1432</v>
      </c>
    </row>
    <row r="3872" hidden="1">
      <c r="A3872" s="999">
        <v>56.0</v>
      </c>
      <c r="B3872" s="1000" t="s">
        <v>13243</v>
      </c>
      <c r="C3872" s="342" t="s">
        <v>80</v>
      </c>
      <c r="D3872" s="342" t="s">
        <v>13244</v>
      </c>
      <c r="E3872" s="1077" t="s">
        <v>13245</v>
      </c>
      <c r="F3872" s="342" t="s">
        <v>11312</v>
      </c>
      <c r="G3872" s="306" t="s">
        <v>12464</v>
      </c>
      <c r="H3872" s="645"/>
      <c r="I3872" s="306" t="s">
        <v>2890</v>
      </c>
      <c r="J3872" s="19"/>
      <c r="K3872" s="19"/>
      <c r="L3872" s="12" t="s">
        <v>11863</v>
      </c>
      <c r="M3872" s="19"/>
      <c r="N3872" s="19"/>
      <c r="O3872" s="998" t="s">
        <v>12162</v>
      </c>
      <c r="P3872" s="102" t="s">
        <v>1432</v>
      </c>
    </row>
    <row r="3873">
      <c r="A3873" s="1100">
        <v>57.0</v>
      </c>
      <c r="B3873" s="1101" t="s">
        <v>13246</v>
      </c>
      <c r="C3873" s="1048" t="s">
        <v>80</v>
      </c>
      <c r="D3873" s="1048" t="s">
        <v>13247</v>
      </c>
      <c r="E3873" s="1102" t="s">
        <v>13248</v>
      </c>
      <c r="F3873" s="1048" t="s">
        <v>9083</v>
      </c>
      <c r="G3873" s="1103" t="s">
        <v>13249</v>
      </c>
      <c r="H3873" s="1104"/>
      <c r="I3873" s="1103" t="s">
        <v>2890</v>
      </c>
      <c r="J3873" s="1054"/>
      <c r="K3873" s="1054"/>
      <c r="L3873" s="1055" t="s">
        <v>374</v>
      </c>
      <c r="M3873" s="1054"/>
      <c r="N3873" s="1054"/>
      <c r="O3873" s="1105" t="s">
        <v>11758</v>
      </c>
      <c r="P3873" s="1106" t="s">
        <v>1432</v>
      </c>
      <c r="Q3873" s="1057"/>
      <c r="R3873" s="1057"/>
      <c r="S3873" s="1057"/>
      <c r="T3873" s="1057"/>
      <c r="U3873" s="1057"/>
      <c r="V3873" s="1057"/>
      <c r="W3873" s="1057"/>
      <c r="X3873" s="1057"/>
      <c r="Y3873" s="1057"/>
      <c r="Z3873" s="1057"/>
      <c r="AA3873" s="1057"/>
      <c r="AB3873" s="1057"/>
      <c r="AC3873" s="1057"/>
      <c r="AD3873" s="1057"/>
      <c r="AE3873" s="1057"/>
      <c r="AF3873" s="1057"/>
    </row>
    <row r="3874">
      <c r="A3874" s="1100">
        <v>58.0</v>
      </c>
      <c r="B3874" s="1101" t="s">
        <v>13250</v>
      </c>
      <c r="C3874" s="1048" t="s">
        <v>80</v>
      </c>
      <c r="D3874" s="1048" t="s">
        <v>13251</v>
      </c>
      <c r="E3874" s="1102" t="s">
        <v>13252</v>
      </c>
      <c r="F3874" s="1048" t="s">
        <v>9083</v>
      </c>
      <c r="G3874" s="1103" t="s">
        <v>13249</v>
      </c>
      <c r="H3874" s="1104"/>
      <c r="I3874" s="1103" t="s">
        <v>2890</v>
      </c>
      <c r="J3874" s="1054"/>
      <c r="K3874" s="1054"/>
      <c r="L3874" s="1055" t="s">
        <v>374</v>
      </c>
      <c r="M3874" s="1054"/>
      <c r="N3874" s="1054"/>
      <c r="O3874" s="1105" t="s">
        <v>13253</v>
      </c>
      <c r="P3874" s="1106" t="s">
        <v>1432</v>
      </c>
      <c r="Q3874" s="1057"/>
      <c r="R3874" s="1057"/>
      <c r="S3874" s="1057"/>
      <c r="T3874" s="1057"/>
      <c r="U3874" s="1057"/>
      <c r="V3874" s="1057"/>
      <c r="W3874" s="1057"/>
      <c r="X3874" s="1057"/>
      <c r="Y3874" s="1057"/>
      <c r="Z3874" s="1057"/>
      <c r="AA3874" s="1057"/>
      <c r="AB3874" s="1057"/>
      <c r="AC3874" s="1057"/>
      <c r="AD3874" s="1057"/>
      <c r="AE3874" s="1057"/>
      <c r="AF3874" s="1057"/>
    </row>
    <row r="3875" hidden="1">
      <c r="A3875" s="999">
        <v>59.0</v>
      </c>
      <c r="B3875" s="1000" t="s">
        <v>13254</v>
      </c>
      <c r="C3875" s="342" t="s">
        <v>651</v>
      </c>
      <c r="D3875" s="342" t="s">
        <v>13255</v>
      </c>
      <c r="E3875" s="1023" t="s">
        <v>13256</v>
      </c>
      <c r="F3875" s="342" t="s">
        <v>5436</v>
      </c>
      <c r="G3875" s="306" t="s">
        <v>13249</v>
      </c>
      <c r="H3875" s="645"/>
      <c r="I3875" s="306" t="s">
        <v>2890</v>
      </c>
      <c r="J3875" s="19"/>
      <c r="K3875" s="19"/>
      <c r="L3875" s="12" t="s">
        <v>51</v>
      </c>
      <c r="M3875" s="19"/>
      <c r="N3875" s="19"/>
      <c r="O3875" s="34" t="s">
        <v>12162</v>
      </c>
      <c r="P3875" s="102" t="s">
        <v>1432</v>
      </c>
    </row>
    <row r="3876" hidden="1">
      <c r="A3876" s="999">
        <v>60.0</v>
      </c>
      <c r="B3876" s="1000" t="s">
        <v>13257</v>
      </c>
      <c r="C3876" s="342" t="s">
        <v>6368</v>
      </c>
      <c r="D3876" s="342" t="s">
        <v>13258</v>
      </c>
      <c r="E3876" s="1023" t="s">
        <v>13259</v>
      </c>
      <c r="F3876" s="342" t="s">
        <v>1199</v>
      </c>
      <c r="G3876" s="306" t="s">
        <v>13249</v>
      </c>
      <c r="H3876" s="645"/>
      <c r="I3876" s="306" t="s">
        <v>2890</v>
      </c>
      <c r="J3876" s="19"/>
      <c r="K3876" s="19"/>
      <c r="L3876" s="12" t="s">
        <v>51</v>
      </c>
      <c r="M3876" s="19"/>
      <c r="N3876" s="19"/>
      <c r="O3876" s="34" t="s">
        <v>12065</v>
      </c>
      <c r="P3876" s="19"/>
    </row>
    <row r="3877" hidden="1">
      <c r="A3877" s="999">
        <v>61.0</v>
      </c>
      <c r="B3877" s="1000" t="s">
        <v>13260</v>
      </c>
      <c r="C3877" s="342" t="s">
        <v>1185</v>
      </c>
      <c r="D3877" s="342" t="s">
        <v>13261</v>
      </c>
      <c r="E3877" s="1023" t="s">
        <v>13262</v>
      </c>
      <c r="F3877" s="342" t="s">
        <v>13263</v>
      </c>
      <c r="G3877" s="306" t="s">
        <v>13249</v>
      </c>
      <c r="H3877" s="645"/>
      <c r="I3877" s="1070" t="s">
        <v>11403</v>
      </c>
      <c r="J3877" s="19"/>
      <c r="K3877" s="19"/>
      <c r="L3877" s="12" t="s">
        <v>4195</v>
      </c>
      <c r="M3877" s="19"/>
      <c r="N3877" s="19"/>
      <c r="O3877" s="34" t="s">
        <v>12919</v>
      </c>
      <c r="P3877" s="102" t="s">
        <v>1432</v>
      </c>
    </row>
    <row r="3878" hidden="1">
      <c r="A3878" s="999">
        <v>62.0</v>
      </c>
      <c r="B3878" s="1000" t="s">
        <v>13264</v>
      </c>
      <c r="C3878" s="342" t="s">
        <v>651</v>
      </c>
      <c r="D3878" s="342" t="s">
        <v>13265</v>
      </c>
      <c r="E3878" s="1023" t="s">
        <v>13266</v>
      </c>
      <c r="F3878" s="342" t="s">
        <v>5436</v>
      </c>
      <c r="G3878" s="306" t="s">
        <v>13249</v>
      </c>
      <c r="H3878" s="645"/>
      <c r="I3878" s="306" t="s">
        <v>2890</v>
      </c>
      <c r="J3878" s="19"/>
      <c r="K3878" s="19"/>
      <c r="L3878" s="12" t="s">
        <v>374</v>
      </c>
      <c r="M3878" s="19"/>
      <c r="N3878" s="19"/>
      <c r="O3878" s="12" t="s">
        <v>12941</v>
      </c>
      <c r="P3878" s="102" t="s">
        <v>1432</v>
      </c>
    </row>
    <row r="3879" hidden="1">
      <c r="A3879" s="999">
        <v>63.0</v>
      </c>
      <c r="B3879" s="1000" t="s">
        <v>13267</v>
      </c>
      <c r="C3879" s="342" t="s">
        <v>80</v>
      </c>
      <c r="D3879" s="342" t="s">
        <v>13268</v>
      </c>
      <c r="E3879" s="1077" t="s">
        <v>13269</v>
      </c>
      <c r="F3879" s="342" t="s">
        <v>9068</v>
      </c>
      <c r="G3879" s="306" t="s">
        <v>12166</v>
      </c>
      <c r="H3879" s="645"/>
      <c r="I3879" s="306" t="s">
        <v>2890</v>
      </c>
      <c r="J3879" s="19"/>
      <c r="K3879" s="19"/>
      <c r="L3879" s="12" t="s">
        <v>51</v>
      </c>
      <c r="M3879" s="19"/>
      <c r="N3879" s="19"/>
      <c r="O3879" s="34" t="s">
        <v>12919</v>
      </c>
      <c r="P3879" s="587" t="s">
        <v>1432</v>
      </c>
    </row>
    <row r="3880" hidden="1">
      <c r="A3880" s="999">
        <v>64.0</v>
      </c>
      <c r="B3880" s="1000" t="s">
        <v>13270</v>
      </c>
      <c r="C3880" s="342" t="s">
        <v>80</v>
      </c>
      <c r="D3880" s="342" t="s">
        <v>13271</v>
      </c>
      <c r="E3880" s="1077" t="s">
        <v>13272</v>
      </c>
      <c r="F3880" s="342" t="s">
        <v>9068</v>
      </c>
      <c r="G3880" s="306" t="s">
        <v>12166</v>
      </c>
      <c r="H3880" s="645"/>
      <c r="I3880" s="306" t="s">
        <v>2890</v>
      </c>
      <c r="J3880" s="19"/>
      <c r="K3880" s="19"/>
      <c r="L3880" s="12" t="s">
        <v>51</v>
      </c>
      <c r="M3880" s="19"/>
      <c r="N3880" s="19"/>
      <c r="O3880" s="34" t="s">
        <v>12919</v>
      </c>
      <c r="P3880" s="587" t="s">
        <v>1432</v>
      </c>
    </row>
    <row r="3881">
      <c r="A3881" s="339" t="s">
        <v>13273</v>
      </c>
      <c r="Q3881" s="35"/>
      <c r="R3881" s="35"/>
      <c r="S3881" s="35"/>
      <c r="T3881" s="35"/>
      <c r="U3881" s="35"/>
      <c r="V3881" s="35"/>
      <c r="W3881" s="35"/>
      <c r="X3881" s="35"/>
      <c r="Y3881" s="35"/>
      <c r="Z3881" s="35"/>
      <c r="AA3881" s="35"/>
      <c r="AB3881" s="35"/>
      <c r="AC3881" s="35"/>
      <c r="AD3881" s="35"/>
      <c r="AE3881" s="35"/>
      <c r="AF3881" s="35"/>
    </row>
    <row r="3882">
      <c r="A3882" s="670" t="s">
        <v>47</v>
      </c>
      <c r="B3882" s="670" t="s">
        <v>7</v>
      </c>
      <c r="C3882" s="670" t="s">
        <v>9</v>
      </c>
      <c r="D3882" s="670" t="s">
        <v>10</v>
      </c>
      <c r="E3882" s="670" t="s">
        <v>11</v>
      </c>
      <c r="F3882" s="670" t="s">
        <v>12</v>
      </c>
      <c r="G3882" s="670" t="s">
        <v>2378</v>
      </c>
      <c r="H3882" s="670" t="s">
        <v>2681</v>
      </c>
      <c r="I3882" s="4" t="s">
        <v>2847</v>
      </c>
      <c r="J3882" s="8" t="s">
        <v>14</v>
      </c>
      <c r="K3882" s="9" t="s">
        <v>16</v>
      </c>
      <c r="L3882" s="10" t="s">
        <v>11871</v>
      </c>
      <c r="M3882" s="9" t="s">
        <v>18</v>
      </c>
      <c r="N3882" s="9" t="s">
        <v>19</v>
      </c>
      <c r="O3882" s="9" t="s">
        <v>20</v>
      </c>
      <c r="P3882" s="9" t="s">
        <v>21</v>
      </c>
      <c r="Q3882" s="35"/>
      <c r="R3882" s="35"/>
      <c r="S3882" s="35"/>
      <c r="T3882" s="35"/>
      <c r="U3882" s="35"/>
      <c r="V3882" s="35"/>
      <c r="W3882" s="35"/>
      <c r="X3882" s="35"/>
      <c r="Y3882" s="35"/>
      <c r="Z3882" s="35"/>
      <c r="AA3882" s="35"/>
      <c r="AB3882" s="35"/>
      <c r="AC3882" s="35"/>
      <c r="AD3882" s="35"/>
      <c r="AE3882" s="35"/>
      <c r="AF3882" s="35"/>
    </row>
    <row r="3883" hidden="1">
      <c r="A3883" s="995">
        <v>1.0</v>
      </c>
      <c r="B3883" s="996" t="s">
        <v>13274</v>
      </c>
      <c r="C3883" s="504" t="s">
        <v>80</v>
      </c>
      <c r="D3883" s="504" t="s">
        <v>13275</v>
      </c>
      <c r="E3883" s="995" t="s">
        <v>13276</v>
      </c>
      <c r="F3883" s="504" t="s">
        <v>12876</v>
      </c>
      <c r="G3883" s="526" t="s">
        <v>1129</v>
      </c>
      <c r="H3883" s="645"/>
      <c r="I3883" s="619" t="s">
        <v>2890</v>
      </c>
      <c r="L3883" s="292" t="s">
        <v>374</v>
      </c>
      <c r="O3883" s="23">
        <v>46302.0</v>
      </c>
    </row>
    <row r="3884" hidden="1">
      <c r="A3884" s="995">
        <v>2.0</v>
      </c>
      <c r="B3884" s="996" t="s">
        <v>13277</v>
      </c>
      <c r="C3884" s="504" t="s">
        <v>80</v>
      </c>
      <c r="D3884" s="504" t="s">
        <v>13278</v>
      </c>
      <c r="E3884" s="995" t="s">
        <v>12184</v>
      </c>
      <c r="F3884" s="504" t="s">
        <v>8888</v>
      </c>
      <c r="G3884" s="526" t="s">
        <v>11628</v>
      </c>
      <c r="H3884" s="645"/>
      <c r="I3884" s="1107" t="s">
        <v>10093</v>
      </c>
      <c r="L3884" s="292" t="s">
        <v>4195</v>
      </c>
      <c r="N3884" s="143" t="s">
        <v>12025</v>
      </c>
      <c r="O3884" s="571">
        <v>46272.0</v>
      </c>
    </row>
    <row r="3885" hidden="1">
      <c r="A3885" s="995">
        <v>3.0</v>
      </c>
      <c r="B3885" s="996" t="s">
        <v>13279</v>
      </c>
      <c r="C3885" s="504" t="s">
        <v>80</v>
      </c>
      <c r="D3885" s="504" t="s">
        <v>13280</v>
      </c>
      <c r="E3885" s="995" t="s">
        <v>13281</v>
      </c>
      <c r="F3885" s="504" t="s">
        <v>12876</v>
      </c>
      <c r="G3885" s="526" t="s">
        <v>12464</v>
      </c>
      <c r="H3885" s="645"/>
      <c r="I3885" s="619" t="s">
        <v>2890</v>
      </c>
      <c r="L3885" s="12" t="s">
        <v>51</v>
      </c>
      <c r="O3885" s="571">
        <v>46302.0</v>
      </c>
    </row>
    <row r="3886" hidden="1">
      <c r="A3886" s="995">
        <v>4.0</v>
      </c>
      <c r="B3886" s="996" t="s">
        <v>13282</v>
      </c>
      <c r="C3886" s="504" t="s">
        <v>80</v>
      </c>
      <c r="D3886" s="504" t="s">
        <v>13283</v>
      </c>
      <c r="E3886" s="995" t="s">
        <v>13284</v>
      </c>
      <c r="F3886" s="504" t="s">
        <v>12876</v>
      </c>
      <c r="G3886" s="526" t="s">
        <v>12464</v>
      </c>
      <c r="H3886" s="645"/>
      <c r="I3886" s="1107" t="s">
        <v>10093</v>
      </c>
      <c r="L3886" s="12" t="s">
        <v>51</v>
      </c>
      <c r="O3886" s="571">
        <v>46302.0</v>
      </c>
    </row>
    <row r="3887" hidden="1">
      <c r="A3887" s="1015">
        <v>5.0</v>
      </c>
      <c r="B3887" s="1016" t="s">
        <v>13285</v>
      </c>
      <c r="C3887" s="1108" t="s">
        <v>5937</v>
      </c>
      <c r="D3887" s="1108" t="s">
        <v>13286</v>
      </c>
      <c r="E3887" s="1015" t="s">
        <v>13287</v>
      </c>
      <c r="F3887" s="1108" t="s">
        <v>243</v>
      </c>
      <c r="G3887" s="801" t="s">
        <v>12166</v>
      </c>
      <c r="H3887" s="1109"/>
      <c r="I3887" s="1017" t="s">
        <v>2890</v>
      </c>
      <c r="J3887" s="1020"/>
      <c r="K3887" s="1020"/>
      <c r="L3887" s="798" t="s">
        <v>4195</v>
      </c>
      <c r="M3887" s="1020"/>
      <c r="N3887" s="1020"/>
      <c r="O3887" s="1021" t="s">
        <v>12820</v>
      </c>
      <c r="P3887" s="1020"/>
      <c r="Q3887" s="793"/>
      <c r="R3887" s="793"/>
      <c r="S3887" s="793"/>
      <c r="T3887" s="793"/>
      <c r="U3887" s="793"/>
      <c r="V3887" s="793"/>
      <c r="W3887" s="793"/>
      <c r="X3887" s="793"/>
      <c r="Y3887" s="793"/>
      <c r="Z3887" s="793"/>
      <c r="AA3887" s="793"/>
      <c r="AB3887" s="793"/>
      <c r="AC3887" s="793"/>
      <c r="AD3887" s="793"/>
      <c r="AE3887" s="793"/>
      <c r="AF3887" s="793"/>
    </row>
    <row r="3888" hidden="1">
      <c r="A3888" s="999">
        <v>6.0</v>
      </c>
      <c r="B3888" s="1000" t="s">
        <v>13288</v>
      </c>
      <c r="C3888" s="342" t="s">
        <v>80</v>
      </c>
      <c r="D3888" s="342" t="s">
        <v>13289</v>
      </c>
      <c r="E3888" s="999" t="s">
        <v>13290</v>
      </c>
      <c r="F3888" s="342" t="s">
        <v>556</v>
      </c>
      <c r="G3888" s="471" t="s">
        <v>11810</v>
      </c>
      <c r="H3888" s="645"/>
      <c r="I3888" s="306" t="s">
        <v>2890</v>
      </c>
      <c r="J3888" s="19"/>
      <c r="K3888" s="19"/>
      <c r="L3888" s="12" t="s">
        <v>51</v>
      </c>
      <c r="M3888" s="19"/>
      <c r="N3888" s="19"/>
      <c r="O3888" s="34" t="s">
        <v>12162</v>
      </c>
      <c r="P3888" s="19"/>
    </row>
    <row r="3889" hidden="1">
      <c r="A3889" s="999">
        <v>7.0</v>
      </c>
      <c r="B3889" s="1000" t="s">
        <v>13291</v>
      </c>
      <c r="C3889" s="342" t="s">
        <v>80</v>
      </c>
      <c r="D3889" s="342" t="s">
        <v>13292</v>
      </c>
      <c r="E3889" s="999" t="s">
        <v>13293</v>
      </c>
      <c r="F3889" s="342" t="s">
        <v>556</v>
      </c>
      <c r="G3889" s="471" t="s">
        <v>1290</v>
      </c>
      <c r="H3889" s="645"/>
      <c r="I3889" s="306" t="s">
        <v>2890</v>
      </c>
      <c r="J3889" s="19"/>
      <c r="K3889" s="19"/>
      <c r="L3889" s="12" t="s">
        <v>4195</v>
      </c>
      <c r="M3889" s="19"/>
      <c r="N3889" s="34" t="s">
        <v>13294</v>
      </c>
      <c r="O3889" s="34" t="s">
        <v>13295</v>
      </c>
      <c r="P3889" s="19"/>
    </row>
    <row r="3890">
      <c r="A3890" s="999">
        <v>8.0</v>
      </c>
      <c r="B3890" s="1000" t="s">
        <v>13296</v>
      </c>
      <c r="C3890" s="342" t="s">
        <v>80</v>
      </c>
      <c r="D3890" s="342" t="s">
        <v>13297</v>
      </c>
      <c r="E3890" s="999" t="s">
        <v>13298</v>
      </c>
      <c r="F3890" s="342" t="s">
        <v>556</v>
      </c>
      <c r="G3890" s="471" t="s">
        <v>12166</v>
      </c>
      <c r="H3890" s="645"/>
      <c r="I3890" s="514" t="s">
        <v>3231</v>
      </c>
      <c r="J3890" s="19"/>
      <c r="K3890" s="19"/>
      <c r="L3890" s="12" t="s">
        <v>9469</v>
      </c>
      <c r="M3890" s="19"/>
      <c r="N3890" s="19"/>
      <c r="O3890" s="34" t="s">
        <v>11753</v>
      </c>
      <c r="P3890" s="102" t="s">
        <v>1432</v>
      </c>
    </row>
    <row r="3891" hidden="1">
      <c r="A3891" s="999">
        <v>9.0</v>
      </c>
      <c r="B3891" s="1000" t="s">
        <v>13299</v>
      </c>
      <c r="C3891" s="342" t="s">
        <v>80</v>
      </c>
      <c r="D3891" s="342" t="s">
        <v>13300</v>
      </c>
      <c r="E3891" s="999" t="s">
        <v>13301</v>
      </c>
      <c r="F3891" s="342" t="s">
        <v>556</v>
      </c>
      <c r="G3891" s="471" t="s">
        <v>12166</v>
      </c>
      <c r="H3891" s="645"/>
      <c r="I3891" s="306" t="s">
        <v>2890</v>
      </c>
      <c r="J3891" s="19"/>
      <c r="K3891" s="19"/>
      <c r="L3891" s="12" t="s">
        <v>51</v>
      </c>
      <c r="M3891" s="19"/>
      <c r="N3891" s="19"/>
      <c r="O3891" s="34" t="s">
        <v>13194</v>
      </c>
      <c r="P3891" s="19"/>
    </row>
    <row r="3892">
      <c r="A3892" s="999">
        <v>10.0</v>
      </c>
      <c r="B3892" s="1000" t="s">
        <v>13302</v>
      </c>
      <c r="C3892" s="342" t="s">
        <v>1185</v>
      </c>
      <c r="D3892" s="342" t="s">
        <v>13303</v>
      </c>
      <c r="E3892" s="999" t="s">
        <v>13304</v>
      </c>
      <c r="F3892" s="342" t="s">
        <v>25</v>
      </c>
      <c r="G3892" s="471" t="s">
        <v>12166</v>
      </c>
      <c r="H3892" s="645"/>
      <c r="I3892" s="306" t="s">
        <v>2890</v>
      </c>
      <c r="J3892" s="19"/>
      <c r="K3892" s="19"/>
      <c r="L3892" s="12" t="s">
        <v>4195</v>
      </c>
      <c r="M3892" s="19"/>
      <c r="N3892" s="19"/>
      <c r="O3892" s="19"/>
      <c r="P3892" s="102" t="s">
        <v>1432</v>
      </c>
    </row>
    <row r="3893" hidden="1">
      <c r="A3893" s="999">
        <v>11.0</v>
      </c>
      <c r="B3893" s="1000" t="s">
        <v>13305</v>
      </c>
      <c r="C3893" s="342" t="s">
        <v>1185</v>
      </c>
      <c r="D3893" s="342" t="s">
        <v>13306</v>
      </c>
      <c r="E3893" s="999" t="s">
        <v>13307</v>
      </c>
      <c r="F3893" s="342" t="s">
        <v>25</v>
      </c>
      <c r="G3893" s="471" t="s">
        <v>12166</v>
      </c>
      <c r="H3893" s="645"/>
      <c r="I3893" s="306" t="s">
        <v>2890</v>
      </c>
      <c r="J3893" s="19"/>
      <c r="K3893" s="19"/>
      <c r="L3893" s="12" t="s">
        <v>374</v>
      </c>
      <c r="M3893" s="19"/>
      <c r="N3893" s="19"/>
      <c r="O3893" s="34" t="s">
        <v>12919</v>
      </c>
      <c r="P3893" s="102" t="s">
        <v>1432</v>
      </c>
    </row>
    <row r="3894" hidden="1">
      <c r="A3894" s="999">
        <v>12.0</v>
      </c>
      <c r="B3894" s="1000" t="s">
        <v>13308</v>
      </c>
      <c r="C3894" s="342" t="s">
        <v>1185</v>
      </c>
      <c r="D3894" s="342" t="s">
        <v>13309</v>
      </c>
      <c r="E3894" s="999" t="s">
        <v>13310</v>
      </c>
      <c r="F3894" s="342" t="s">
        <v>25</v>
      </c>
      <c r="G3894" s="471" t="s">
        <v>13249</v>
      </c>
      <c r="H3894" s="645"/>
      <c r="I3894" s="306" t="s">
        <v>2890</v>
      </c>
      <c r="J3894" s="19"/>
      <c r="K3894" s="19"/>
      <c r="L3894" s="12" t="s">
        <v>51</v>
      </c>
      <c r="M3894" s="19"/>
      <c r="N3894" s="19"/>
      <c r="O3894" s="34" t="s">
        <v>11753</v>
      </c>
      <c r="P3894" s="19"/>
    </row>
    <row r="3895">
      <c r="A3895" s="999">
        <v>13.0</v>
      </c>
      <c r="B3895" s="1000" t="s">
        <v>13311</v>
      </c>
      <c r="C3895" s="342" t="s">
        <v>651</v>
      </c>
      <c r="D3895" s="342" t="s">
        <v>13312</v>
      </c>
      <c r="E3895" s="999" t="s">
        <v>13313</v>
      </c>
      <c r="F3895" s="342" t="s">
        <v>4779</v>
      </c>
      <c r="G3895" s="471" t="s">
        <v>12166</v>
      </c>
      <c r="H3895" s="645"/>
      <c r="I3895" s="306" t="s">
        <v>2890</v>
      </c>
      <c r="J3895" s="19"/>
      <c r="K3895" s="19"/>
      <c r="L3895" s="12" t="s">
        <v>4195</v>
      </c>
      <c r="M3895" s="19"/>
      <c r="N3895" s="19"/>
      <c r="O3895" s="19"/>
      <c r="P3895" s="102" t="s">
        <v>1432</v>
      </c>
    </row>
    <row r="3896">
      <c r="A3896" s="1028">
        <v>14.0</v>
      </c>
      <c r="B3896" s="1110" t="s">
        <v>13314</v>
      </c>
      <c r="C3896" s="1031" t="s">
        <v>80</v>
      </c>
      <c r="D3896" s="1031" t="s">
        <v>13315</v>
      </c>
      <c r="E3896" s="1028" t="s">
        <v>13316</v>
      </c>
      <c r="F3896" s="1031" t="s">
        <v>556</v>
      </c>
      <c r="G3896" s="558" t="s">
        <v>12166</v>
      </c>
      <c r="H3896" s="1111"/>
      <c r="I3896" s="1033" t="s">
        <v>2890</v>
      </c>
      <c r="J3896" s="1036"/>
      <c r="K3896" s="1036"/>
      <c r="L3896" s="1037" t="s">
        <v>374</v>
      </c>
      <c r="M3896" s="1036"/>
      <c r="N3896" s="1036"/>
      <c r="O3896" s="1065" t="s">
        <v>11758</v>
      </c>
      <c r="P3896" s="1036"/>
      <c r="Q3896" s="1039"/>
      <c r="R3896" s="1039"/>
      <c r="S3896" s="1039"/>
      <c r="T3896" s="1039"/>
      <c r="U3896" s="1039"/>
      <c r="V3896" s="1039"/>
      <c r="W3896" s="1039"/>
      <c r="X3896" s="1039"/>
      <c r="Y3896" s="1039"/>
      <c r="Z3896" s="1039"/>
      <c r="AA3896" s="1039"/>
      <c r="AB3896" s="1039"/>
      <c r="AC3896" s="1039"/>
      <c r="AD3896" s="1039"/>
      <c r="AE3896" s="1039"/>
      <c r="AF3896" s="1039"/>
    </row>
    <row r="3897" hidden="1">
      <c r="A3897" s="999">
        <v>15.0</v>
      </c>
      <c r="B3897" s="1000" t="s">
        <v>13317</v>
      </c>
      <c r="C3897" s="342" t="s">
        <v>80</v>
      </c>
      <c r="D3897" s="342" t="s">
        <v>13318</v>
      </c>
      <c r="E3897" s="999" t="s">
        <v>13319</v>
      </c>
      <c r="F3897" s="342" t="s">
        <v>556</v>
      </c>
      <c r="G3897" s="471" t="s">
        <v>12166</v>
      </c>
      <c r="H3897" s="645"/>
      <c r="I3897" s="514" t="s">
        <v>5364</v>
      </c>
      <c r="J3897" s="19"/>
      <c r="K3897" s="19"/>
      <c r="L3897" s="12" t="s">
        <v>51</v>
      </c>
      <c r="M3897" s="19"/>
      <c r="N3897" s="34" t="s">
        <v>8685</v>
      </c>
      <c r="O3897" s="34" t="s">
        <v>11823</v>
      </c>
      <c r="P3897" s="19"/>
    </row>
    <row r="3898" hidden="1">
      <c r="A3898" s="999">
        <v>16.0</v>
      </c>
      <c r="B3898" s="1000" t="s">
        <v>13320</v>
      </c>
      <c r="C3898" s="342" t="s">
        <v>80</v>
      </c>
      <c r="D3898" s="342" t="s">
        <v>13321</v>
      </c>
      <c r="E3898" s="1009" t="s">
        <v>13322</v>
      </c>
      <c r="F3898" s="342" t="s">
        <v>3583</v>
      </c>
      <c r="G3898" s="471" t="s">
        <v>12157</v>
      </c>
      <c r="H3898" s="645"/>
      <c r="I3898" s="306" t="s">
        <v>2890</v>
      </c>
      <c r="J3898" s="19"/>
      <c r="K3898" s="19"/>
      <c r="L3898" s="12" t="s">
        <v>11863</v>
      </c>
      <c r="M3898" s="19"/>
      <c r="N3898" s="19"/>
      <c r="O3898" s="34" t="s">
        <v>11810</v>
      </c>
      <c r="P3898" s="19"/>
    </row>
    <row r="3899">
      <c r="A3899" s="999">
        <v>17.0</v>
      </c>
      <c r="B3899" s="1000" t="s">
        <v>13323</v>
      </c>
      <c r="C3899" s="342" t="s">
        <v>80</v>
      </c>
      <c r="D3899" s="342" t="s">
        <v>13324</v>
      </c>
      <c r="E3899" s="999" t="s">
        <v>13325</v>
      </c>
      <c r="F3899" s="342" t="s">
        <v>9657</v>
      </c>
      <c r="G3899" s="471" t="s">
        <v>13326</v>
      </c>
      <c r="H3899" s="645"/>
      <c r="I3899" s="514" t="s">
        <v>10198</v>
      </c>
      <c r="J3899" s="19"/>
      <c r="K3899" s="19"/>
      <c r="L3899" s="12" t="s">
        <v>4195</v>
      </c>
      <c r="M3899" s="19"/>
      <c r="N3899" s="19"/>
      <c r="O3899" s="19"/>
      <c r="P3899" s="19"/>
    </row>
    <row r="3900">
      <c r="A3900" s="999">
        <v>18.0</v>
      </c>
      <c r="B3900" s="1000" t="s">
        <v>13327</v>
      </c>
      <c r="C3900" s="342" t="s">
        <v>80</v>
      </c>
      <c r="D3900" s="342" t="s">
        <v>13328</v>
      </c>
      <c r="E3900" s="999" t="s">
        <v>13329</v>
      </c>
      <c r="F3900" s="342" t="s">
        <v>172</v>
      </c>
      <c r="G3900" s="471" t="s">
        <v>13326</v>
      </c>
      <c r="H3900" s="645"/>
      <c r="I3900" s="306" t="s">
        <v>2890</v>
      </c>
      <c r="J3900" s="19"/>
      <c r="K3900" s="19"/>
      <c r="L3900" s="12" t="s">
        <v>4195</v>
      </c>
      <c r="M3900" s="19"/>
      <c r="N3900" s="19"/>
      <c r="O3900" s="19"/>
      <c r="P3900" s="19"/>
    </row>
    <row r="3901">
      <c r="A3901" s="1100">
        <v>19.0</v>
      </c>
      <c r="B3901" s="1101" t="s">
        <v>13330</v>
      </c>
      <c r="C3901" s="1048" t="s">
        <v>1058</v>
      </c>
      <c r="D3901" s="1048" t="s">
        <v>13331</v>
      </c>
      <c r="E3901" s="1100" t="s">
        <v>13332</v>
      </c>
      <c r="F3901" s="1048" t="s">
        <v>1316</v>
      </c>
      <c r="G3901" s="1112" t="s">
        <v>13326</v>
      </c>
      <c r="H3901" s="1104"/>
      <c r="I3901" s="1103" t="s">
        <v>2890</v>
      </c>
      <c r="J3901" s="1054"/>
      <c r="K3901" s="1054"/>
      <c r="L3901" s="1055" t="s">
        <v>4195</v>
      </c>
      <c r="M3901" s="1054"/>
      <c r="N3901" s="1054"/>
      <c r="O3901" s="1113" t="s">
        <v>13333</v>
      </c>
      <c r="P3901" s="1106" t="s">
        <v>11953</v>
      </c>
      <c r="Q3901" s="1057"/>
      <c r="R3901" s="1057"/>
      <c r="S3901" s="1057"/>
      <c r="T3901" s="1057"/>
      <c r="U3901" s="1057"/>
      <c r="V3901" s="1057"/>
      <c r="W3901" s="1057"/>
      <c r="X3901" s="1057"/>
      <c r="Y3901" s="1057"/>
      <c r="Z3901" s="1057"/>
      <c r="AA3901" s="1057"/>
      <c r="AB3901" s="1057"/>
      <c r="AC3901" s="1057"/>
      <c r="AD3901" s="1057"/>
      <c r="AE3901" s="1057"/>
      <c r="AF3901" s="1057"/>
    </row>
    <row r="3902">
      <c r="A3902" s="1100">
        <v>20.0</v>
      </c>
      <c r="B3902" s="1101" t="s">
        <v>13334</v>
      </c>
      <c r="C3902" s="1048" t="s">
        <v>1058</v>
      </c>
      <c r="D3902" s="1048" t="s">
        <v>13335</v>
      </c>
      <c r="E3902" s="1100" t="s">
        <v>13336</v>
      </c>
      <c r="F3902" s="1048" t="s">
        <v>1316</v>
      </c>
      <c r="G3902" s="1112" t="s">
        <v>13326</v>
      </c>
      <c r="H3902" s="1104"/>
      <c r="I3902" s="1114" t="s">
        <v>9599</v>
      </c>
      <c r="J3902" s="1054"/>
      <c r="K3902" s="1054"/>
      <c r="L3902" s="1055" t="s">
        <v>4195</v>
      </c>
      <c r="M3902" s="1054"/>
      <c r="N3902" s="1054"/>
      <c r="O3902" s="1113" t="s">
        <v>13333</v>
      </c>
      <c r="P3902" s="1054"/>
      <c r="Q3902" s="1057"/>
      <c r="R3902" s="1057"/>
      <c r="S3902" s="1057"/>
      <c r="T3902" s="1057"/>
      <c r="U3902" s="1057"/>
      <c r="V3902" s="1057"/>
      <c r="W3902" s="1057"/>
      <c r="X3902" s="1057"/>
      <c r="Y3902" s="1057"/>
      <c r="Z3902" s="1057"/>
      <c r="AA3902" s="1057"/>
      <c r="AB3902" s="1057"/>
      <c r="AC3902" s="1057"/>
      <c r="AD3902" s="1057"/>
      <c r="AE3902" s="1057"/>
      <c r="AF3902" s="1057"/>
    </row>
    <row r="3903">
      <c r="A3903" s="999">
        <v>21.0</v>
      </c>
      <c r="B3903" s="1000" t="s">
        <v>13337</v>
      </c>
      <c r="C3903" s="342" t="s">
        <v>80</v>
      </c>
      <c r="D3903" s="342" t="s">
        <v>13338</v>
      </c>
      <c r="E3903" s="1115" t="s">
        <v>13339</v>
      </c>
      <c r="F3903" s="342" t="s">
        <v>310</v>
      </c>
      <c r="G3903" s="471" t="s">
        <v>12166</v>
      </c>
      <c r="H3903" s="645"/>
      <c r="I3903" s="306" t="s">
        <v>2890</v>
      </c>
      <c r="J3903" s="19"/>
      <c r="K3903" s="19"/>
      <c r="L3903" s="12" t="s">
        <v>374</v>
      </c>
      <c r="M3903" s="19"/>
      <c r="N3903" s="19"/>
      <c r="O3903" s="19"/>
      <c r="P3903" s="19"/>
    </row>
    <row r="3904" hidden="1">
      <c r="A3904" s="999">
        <v>22.0</v>
      </c>
      <c r="B3904" s="1000" t="s">
        <v>13340</v>
      </c>
      <c r="C3904" s="342" t="s">
        <v>80</v>
      </c>
      <c r="D3904" s="342" t="s">
        <v>13341</v>
      </c>
      <c r="E3904" s="999" t="s">
        <v>13342</v>
      </c>
      <c r="F3904" s="342" t="s">
        <v>13343</v>
      </c>
      <c r="G3904" s="471" t="s">
        <v>13326</v>
      </c>
      <c r="H3904" s="645"/>
      <c r="I3904" s="306" t="s">
        <v>2890</v>
      </c>
      <c r="J3904" s="19"/>
      <c r="K3904" s="19"/>
      <c r="L3904" s="12" t="s">
        <v>51</v>
      </c>
      <c r="M3904" s="19"/>
      <c r="N3904" s="19"/>
      <c r="O3904" s="34" t="s">
        <v>12941</v>
      </c>
      <c r="P3904" s="19"/>
    </row>
    <row r="3905">
      <c r="A3905" s="999">
        <v>23.0</v>
      </c>
      <c r="B3905" s="1000" t="s">
        <v>13344</v>
      </c>
      <c r="C3905" s="342" t="s">
        <v>80</v>
      </c>
      <c r="D3905" s="342" t="s">
        <v>13345</v>
      </c>
      <c r="E3905" s="999" t="s">
        <v>13346</v>
      </c>
      <c r="F3905" s="342" t="s">
        <v>556</v>
      </c>
      <c r="G3905" s="471" t="s">
        <v>13326</v>
      </c>
      <c r="H3905" s="645"/>
      <c r="I3905" s="514" t="s">
        <v>3231</v>
      </c>
      <c r="J3905" s="19"/>
      <c r="K3905" s="19"/>
      <c r="L3905" s="12" t="s">
        <v>374</v>
      </c>
      <c r="M3905" s="19"/>
      <c r="N3905" s="19"/>
      <c r="O3905" s="19"/>
      <c r="P3905" s="19"/>
    </row>
    <row r="3906">
      <c r="A3906" s="1028">
        <v>24.0</v>
      </c>
      <c r="B3906" s="1110" t="s">
        <v>13347</v>
      </c>
      <c r="C3906" s="1031" t="s">
        <v>80</v>
      </c>
      <c r="D3906" s="1031" t="s">
        <v>13348</v>
      </c>
      <c r="E3906" s="1028" t="s">
        <v>13349</v>
      </c>
      <c r="F3906" s="1031" t="s">
        <v>556</v>
      </c>
      <c r="G3906" s="558" t="s">
        <v>13326</v>
      </c>
      <c r="H3906" s="1111"/>
      <c r="I3906" s="1116" t="s">
        <v>10690</v>
      </c>
      <c r="J3906" s="1036"/>
      <c r="K3906" s="1036"/>
      <c r="L3906" s="1064" t="s">
        <v>374</v>
      </c>
      <c r="M3906" s="1036"/>
      <c r="N3906" s="1036"/>
      <c r="O3906" s="1065" t="s">
        <v>11758</v>
      </c>
      <c r="P3906" s="1036"/>
      <c r="Q3906" s="1039"/>
      <c r="R3906" s="1039"/>
      <c r="S3906" s="1039"/>
      <c r="T3906" s="1039"/>
      <c r="U3906" s="1039"/>
      <c r="V3906" s="1039"/>
      <c r="W3906" s="1039"/>
      <c r="X3906" s="1039"/>
      <c r="Y3906" s="1039"/>
      <c r="Z3906" s="1039"/>
      <c r="AA3906" s="1039"/>
      <c r="AB3906" s="1039"/>
      <c r="AC3906" s="1039"/>
      <c r="AD3906" s="1039"/>
      <c r="AE3906" s="1039"/>
      <c r="AF3906" s="1039"/>
    </row>
    <row r="3907">
      <c r="A3907" s="1117">
        <v>25.0</v>
      </c>
      <c r="B3907" s="1118" t="s">
        <v>13350</v>
      </c>
      <c r="C3907" s="918" t="s">
        <v>80</v>
      </c>
      <c r="D3907" s="918" t="s">
        <v>13351</v>
      </c>
      <c r="E3907" s="1117" t="s">
        <v>13352</v>
      </c>
      <c r="F3907" s="918" t="s">
        <v>556</v>
      </c>
      <c r="G3907" s="1119" t="s">
        <v>13326</v>
      </c>
      <c r="H3907" s="1120"/>
      <c r="I3907" s="1121" t="s">
        <v>3043</v>
      </c>
      <c r="J3907" s="925"/>
      <c r="K3907" s="925"/>
      <c r="L3907" s="1122" t="s">
        <v>51</v>
      </c>
      <c r="M3907" s="925"/>
      <c r="N3907" s="927"/>
      <c r="O3907" s="927" t="s">
        <v>11758</v>
      </c>
      <c r="P3907" s="925"/>
      <c r="Q3907" s="923"/>
      <c r="R3907" s="923"/>
      <c r="S3907" s="923"/>
      <c r="T3907" s="923"/>
      <c r="U3907" s="923"/>
      <c r="V3907" s="923"/>
      <c r="W3907" s="923"/>
      <c r="X3907" s="923"/>
      <c r="Y3907" s="923"/>
      <c r="Z3907" s="923"/>
      <c r="AA3907" s="923"/>
      <c r="AB3907" s="923"/>
      <c r="AC3907" s="923"/>
      <c r="AD3907" s="923"/>
      <c r="AE3907" s="923"/>
      <c r="AF3907" s="923"/>
    </row>
    <row r="3908">
      <c r="A3908" s="1123">
        <v>26.0</v>
      </c>
      <c r="B3908" s="1124" t="s">
        <v>13353</v>
      </c>
      <c r="C3908" s="914" t="s">
        <v>80</v>
      </c>
      <c r="D3908" s="914" t="s">
        <v>13354</v>
      </c>
      <c r="E3908" s="1123" t="s">
        <v>13355</v>
      </c>
      <c r="F3908" s="914" t="s">
        <v>13356</v>
      </c>
      <c r="G3908" s="1125" t="s">
        <v>13326</v>
      </c>
      <c r="H3908" s="1126"/>
      <c r="I3908" s="1127" t="s">
        <v>2890</v>
      </c>
      <c r="J3908" s="1128"/>
      <c r="K3908" s="1128"/>
      <c r="L3908" s="1129" t="s">
        <v>699</v>
      </c>
      <c r="M3908" s="1128"/>
      <c r="N3908" s="1128"/>
      <c r="O3908" s="1130" t="s">
        <v>11758</v>
      </c>
      <c r="P3908" s="1131" t="s">
        <v>11953</v>
      </c>
      <c r="Q3908" s="1132"/>
      <c r="R3908" s="1132"/>
      <c r="S3908" s="1132"/>
      <c r="T3908" s="1132"/>
      <c r="U3908" s="1132"/>
      <c r="V3908" s="1132"/>
      <c r="W3908" s="1132"/>
      <c r="X3908" s="1132"/>
      <c r="Y3908" s="1132"/>
      <c r="Z3908" s="1132"/>
      <c r="AA3908" s="1132"/>
      <c r="AB3908" s="1132"/>
      <c r="AC3908" s="1132"/>
      <c r="AD3908" s="1132"/>
      <c r="AE3908" s="1132"/>
      <c r="AF3908" s="1132"/>
    </row>
    <row r="3909">
      <c r="A3909" s="1123">
        <v>27.0</v>
      </c>
      <c r="B3909" s="1124" t="s">
        <v>13357</v>
      </c>
      <c r="C3909" s="914" t="s">
        <v>80</v>
      </c>
      <c r="D3909" s="914" t="s">
        <v>13358</v>
      </c>
      <c r="E3909" s="1123" t="s">
        <v>13359</v>
      </c>
      <c r="F3909" s="914" t="s">
        <v>13356</v>
      </c>
      <c r="G3909" s="1125" t="s">
        <v>13326</v>
      </c>
      <c r="H3909" s="1126"/>
      <c r="I3909" s="1133" t="s">
        <v>10690</v>
      </c>
      <c r="J3909" s="1128"/>
      <c r="K3909" s="1128"/>
      <c r="L3909" s="1129" t="s">
        <v>699</v>
      </c>
      <c r="M3909" s="1128"/>
      <c r="N3909" s="1128"/>
      <c r="O3909" s="1130" t="s">
        <v>11758</v>
      </c>
      <c r="P3909" s="1131" t="s">
        <v>11953</v>
      </c>
      <c r="Q3909" s="1132"/>
      <c r="R3909" s="1132"/>
      <c r="S3909" s="1132"/>
      <c r="T3909" s="1132"/>
      <c r="U3909" s="1132"/>
      <c r="V3909" s="1132"/>
      <c r="W3909" s="1132"/>
      <c r="X3909" s="1132"/>
      <c r="Y3909" s="1132"/>
      <c r="Z3909" s="1132"/>
      <c r="AA3909" s="1132"/>
      <c r="AB3909" s="1132"/>
      <c r="AC3909" s="1132"/>
      <c r="AD3909" s="1132"/>
      <c r="AE3909" s="1132"/>
      <c r="AF3909" s="1132"/>
    </row>
    <row r="3910">
      <c r="A3910" s="1134">
        <v>28.0</v>
      </c>
      <c r="B3910" s="1135" t="s">
        <v>13360</v>
      </c>
      <c r="C3910" s="562" t="s">
        <v>80</v>
      </c>
      <c r="D3910" s="562" t="s">
        <v>13361</v>
      </c>
      <c r="E3910" s="1134" t="s">
        <v>13362</v>
      </c>
      <c r="F3910" s="562" t="s">
        <v>13363</v>
      </c>
      <c r="G3910" s="560" t="s">
        <v>11810</v>
      </c>
      <c r="H3910" s="1136"/>
      <c r="I3910" s="1137" t="s">
        <v>10093</v>
      </c>
      <c r="J3910" s="1138"/>
      <c r="K3910" s="1138"/>
      <c r="L3910" s="1139" t="s">
        <v>4195</v>
      </c>
      <c r="M3910" s="1138"/>
      <c r="N3910" s="1138"/>
      <c r="O3910" s="1140" t="s">
        <v>11758</v>
      </c>
      <c r="P3910" s="1138"/>
      <c r="Q3910" s="1141"/>
      <c r="R3910" s="1141"/>
      <c r="S3910" s="1141"/>
      <c r="T3910" s="1141"/>
      <c r="U3910" s="1141"/>
      <c r="V3910" s="1141"/>
      <c r="W3910" s="1141"/>
      <c r="X3910" s="1141"/>
      <c r="Y3910" s="1141"/>
      <c r="Z3910" s="1141"/>
      <c r="AA3910" s="1141"/>
      <c r="AB3910" s="1141"/>
      <c r="AC3910" s="1141"/>
      <c r="AD3910" s="1141"/>
      <c r="AE3910" s="1141"/>
      <c r="AF3910" s="1141"/>
    </row>
    <row r="3911">
      <c r="A3911" s="1134">
        <v>29.0</v>
      </c>
      <c r="B3911" s="1135" t="s">
        <v>13364</v>
      </c>
      <c r="C3911" s="562" t="s">
        <v>80</v>
      </c>
      <c r="D3911" s="562" t="s">
        <v>13365</v>
      </c>
      <c r="E3911" s="1134" t="s">
        <v>13366</v>
      </c>
      <c r="F3911" s="562" t="s">
        <v>13363</v>
      </c>
      <c r="G3911" s="560" t="s">
        <v>11810</v>
      </c>
      <c r="H3911" s="1136"/>
      <c r="I3911" s="1137" t="s">
        <v>3043</v>
      </c>
      <c r="J3911" s="1138"/>
      <c r="K3911" s="1138"/>
      <c r="L3911" s="1139" t="s">
        <v>4195</v>
      </c>
      <c r="M3911" s="1138"/>
      <c r="N3911" s="1138"/>
      <c r="O3911" s="1140" t="s">
        <v>11758</v>
      </c>
      <c r="P3911" s="1138"/>
      <c r="Q3911" s="1141"/>
      <c r="R3911" s="1141"/>
      <c r="S3911" s="1141"/>
      <c r="T3911" s="1141"/>
      <c r="U3911" s="1141"/>
      <c r="V3911" s="1141"/>
      <c r="W3911" s="1141"/>
      <c r="X3911" s="1141"/>
      <c r="Y3911" s="1141"/>
      <c r="Z3911" s="1141"/>
      <c r="AA3911" s="1141"/>
      <c r="AB3911" s="1141"/>
      <c r="AC3911" s="1141"/>
      <c r="AD3911" s="1141"/>
      <c r="AE3911" s="1141"/>
      <c r="AF3911" s="1141"/>
    </row>
    <row r="3912">
      <c r="A3912" s="1117">
        <v>30.0</v>
      </c>
      <c r="B3912" s="1118" t="s">
        <v>13367</v>
      </c>
      <c r="C3912" s="918" t="s">
        <v>80</v>
      </c>
      <c r="D3912" s="918" t="s">
        <v>13368</v>
      </c>
      <c r="E3912" s="1117" t="s">
        <v>13369</v>
      </c>
      <c r="F3912" s="918" t="s">
        <v>403</v>
      </c>
      <c r="G3912" s="1119" t="s">
        <v>11810</v>
      </c>
      <c r="H3912" s="1120"/>
      <c r="I3912" s="920" t="s">
        <v>2890</v>
      </c>
      <c r="J3912" s="925"/>
      <c r="K3912" s="925"/>
      <c r="L3912" s="1122" t="s">
        <v>51</v>
      </c>
      <c r="M3912" s="925"/>
      <c r="N3912" s="927"/>
      <c r="O3912" s="927" t="s">
        <v>11758</v>
      </c>
      <c r="P3912" s="925"/>
      <c r="Q3912" s="923"/>
      <c r="R3912" s="923"/>
      <c r="S3912" s="923"/>
      <c r="T3912" s="923"/>
      <c r="U3912" s="923"/>
      <c r="V3912" s="923"/>
      <c r="W3912" s="923"/>
      <c r="X3912" s="923"/>
      <c r="Y3912" s="923"/>
      <c r="Z3912" s="923"/>
      <c r="AA3912" s="923"/>
      <c r="AB3912" s="923"/>
      <c r="AC3912" s="923"/>
      <c r="AD3912" s="923"/>
      <c r="AE3912" s="923"/>
      <c r="AF3912" s="923"/>
    </row>
    <row r="3913">
      <c r="A3913" s="999">
        <v>31.0</v>
      </c>
      <c r="B3913" s="1000" t="s">
        <v>13370</v>
      </c>
      <c r="C3913" s="342" t="s">
        <v>651</v>
      </c>
      <c r="D3913" s="342" t="s">
        <v>13371</v>
      </c>
      <c r="E3913" s="999" t="s">
        <v>13372</v>
      </c>
      <c r="F3913" s="342" t="s">
        <v>4338</v>
      </c>
      <c r="G3913" s="471" t="s">
        <v>11810</v>
      </c>
      <c r="H3913" s="645"/>
      <c r="I3913" s="306" t="s">
        <v>2890</v>
      </c>
      <c r="J3913" s="19"/>
      <c r="K3913" s="19"/>
      <c r="L3913" s="33" t="s">
        <v>4195</v>
      </c>
      <c r="M3913" s="19"/>
      <c r="N3913" s="19"/>
      <c r="O3913" s="19"/>
      <c r="P3913" s="19"/>
    </row>
    <row r="3914" hidden="1">
      <c r="A3914" s="999">
        <v>32.0</v>
      </c>
      <c r="B3914" s="1000" t="s">
        <v>13373</v>
      </c>
      <c r="C3914" s="342" t="s">
        <v>80</v>
      </c>
      <c r="D3914" s="342" t="s">
        <v>13374</v>
      </c>
      <c r="E3914" s="999" t="s">
        <v>13375</v>
      </c>
      <c r="F3914" s="342" t="s">
        <v>13376</v>
      </c>
      <c r="G3914" s="471" t="s">
        <v>11810</v>
      </c>
      <c r="H3914" s="645"/>
      <c r="I3914" s="306" t="s">
        <v>2890</v>
      </c>
      <c r="J3914" s="19"/>
      <c r="K3914" s="19"/>
      <c r="L3914" s="33" t="s">
        <v>11863</v>
      </c>
      <c r="M3914" s="19"/>
      <c r="N3914" s="19"/>
      <c r="O3914" s="34" t="s">
        <v>13326</v>
      </c>
      <c r="P3914" s="102" t="s">
        <v>1432</v>
      </c>
    </row>
    <row r="3915">
      <c r="A3915" s="999">
        <v>33.0</v>
      </c>
      <c r="B3915" s="1000" t="s">
        <v>13377</v>
      </c>
      <c r="C3915" s="29" t="s">
        <v>80</v>
      </c>
      <c r="D3915" s="29" t="s">
        <v>13378</v>
      </c>
      <c r="E3915" s="1028" t="s">
        <v>13379</v>
      </c>
      <c r="F3915" s="342" t="s">
        <v>13380</v>
      </c>
      <c r="G3915" s="471" t="s">
        <v>11810</v>
      </c>
      <c r="H3915" s="645"/>
      <c r="I3915" s="306" t="s">
        <v>2890</v>
      </c>
      <c r="J3915" s="19"/>
      <c r="K3915" s="19"/>
      <c r="L3915" s="33" t="s">
        <v>51</v>
      </c>
      <c r="M3915" s="19"/>
      <c r="N3915" s="34" t="s">
        <v>13381</v>
      </c>
      <c r="O3915" s="34" t="s">
        <v>11823</v>
      </c>
      <c r="P3915" s="102" t="s">
        <v>1432</v>
      </c>
    </row>
    <row r="3916" hidden="1">
      <c r="A3916" s="999">
        <v>34.0</v>
      </c>
      <c r="B3916" s="1000" t="s">
        <v>13382</v>
      </c>
      <c r="C3916" s="29" t="s">
        <v>80</v>
      </c>
      <c r="D3916" s="29" t="s">
        <v>13383</v>
      </c>
      <c r="E3916" s="999" t="s">
        <v>13384</v>
      </c>
      <c r="F3916" s="342" t="s">
        <v>1391</v>
      </c>
      <c r="G3916" s="471" t="s">
        <v>11810</v>
      </c>
      <c r="H3916" s="645"/>
      <c r="I3916" s="514" t="s">
        <v>3231</v>
      </c>
      <c r="J3916" s="19"/>
      <c r="K3916" s="19"/>
      <c r="L3916" s="33" t="s">
        <v>4195</v>
      </c>
      <c r="M3916" s="19"/>
      <c r="N3916" s="19"/>
      <c r="O3916" s="34" t="s">
        <v>12845</v>
      </c>
      <c r="P3916" s="19"/>
    </row>
    <row r="3917" hidden="1">
      <c r="A3917" s="999">
        <v>35.0</v>
      </c>
      <c r="B3917" s="1000" t="s">
        <v>13385</v>
      </c>
      <c r="C3917" s="342" t="s">
        <v>80</v>
      </c>
      <c r="D3917" s="342" t="s">
        <v>13386</v>
      </c>
      <c r="E3917" s="1142" t="s">
        <v>13387</v>
      </c>
      <c r="F3917" s="342" t="s">
        <v>1387</v>
      </c>
      <c r="G3917" s="471" t="s">
        <v>11810</v>
      </c>
      <c r="H3917" s="645"/>
      <c r="I3917" s="306" t="s">
        <v>2890</v>
      </c>
      <c r="J3917" s="19"/>
      <c r="K3917" s="19"/>
      <c r="L3917" s="12" t="s">
        <v>374</v>
      </c>
      <c r="M3917" s="19"/>
      <c r="N3917" s="19"/>
      <c r="O3917" s="34" t="s">
        <v>12162</v>
      </c>
      <c r="P3917" s="19"/>
    </row>
    <row r="3918" hidden="1">
      <c r="A3918" s="999">
        <v>36.0</v>
      </c>
      <c r="B3918" s="1000" t="s">
        <v>13388</v>
      </c>
      <c r="C3918" s="342" t="s">
        <v>80</v>
      </c>
      <c r="D3918" s="342" t="s">
        <v>13389</v>
      </c>
      <c r="E3918" s="1142" t="s">
        <v>13390</v>
      </c>
      <c r="F3918" s="342" t="s">
        <v>1387</v>
      </c>
      <c r="G3918" s="471" t="s">
        <v>11810</v>
      </c>
      <c r="H3918" s="645"/>
      <c r="I3918" s="306" t="s">
        <v>2890</v>
      </c>
      <c r="J3918" s="19"/>
      <c r="K3918" s="19"/>
      <c r="L3918" s="12" t="s">
        <v>374</v>
      </c>
      <c r="M3918" s="19"/>
      <c r="N3918" s="19"/>
      <c r="O3918" s="34" t="s">
        <v>12162</v>
      </c>
      <c r="P3918" s="19"/>
    </row>
    <row r="3919" hidden="1">
      <c r="A3919" s="999">
        <v>37.0</v>
      </c>
      <c r="B3919" s="1000" t="s">
        <v>13391</v>
      </c>
      <c r="C3919" s="342" t="s">
        <v>1058</v>
      </c>
      <c r="D3919" s="342" t="s">
        <v>13392</v>
      </c>
      <c r="E3919" s="1142" t="s">
        <v>13393</v>
      </c>
      <c r="F3919" s="342" t="s">
        <v>9965</v>
      </c>
      <c r="G3919" s="471" t="s">
        <v>11810</v>
      </c>
      <c r="H3919" s="645"/>
      <c r="I3919" s="306" t="s">
        <v>2890</v>
      </c>
      <c r="J3919" s="19"/>
      <c r="K3919" s="19"/>
      <c r="L3919" s="12" t="s">
        <v>51</v>
      </c>
      <c r="M3919" s="19"/>
      <c r="N3919" s="19"/>
      <c r="O3919" s="34" t="s">
        <v>12941</v>
      </c>
      <c r="P3919" s="102" t="s">
        <v>11953</v>
      </c>
    </row>
    <row r="3920" hidden="1">
      <c r="A3920" s="999">
        <v>38.0</v>
      </c>
      <c r="B3920" s="1000" t="s">
        <v>13394</v>
      </c>
      <c r="C3920" s="342" t="s">
        <v>1058</v>
      </c>
      <c r="D3920" s="342" t="s">
        <v>13395</v>
      </c>
      <c r="E3920" s="1028" t="s">
        <v>13396</v>
      </c>
      <c r="F3920" s="342" t="s">
        <v>9965</v>
      </c>
      <c r="G3920" s="471" t="s">
        <v>11810</v>
      </c>
      <c r="H3920" s="645"/>
      <c r="I3920" s="306" t="s">
        <v>2890</v>
      </c>
      <c r="J3920" s="19"/>
      <c r="K3920" s="19"/>
      <c r="L3920" s="12" t="s">
        <v>51</v>
      </c>
      <c r="M3920" s="19"/>
      <c r="N3920" s="19"/>
      <c r="O3920" s="34" t="s">
        <v>12941</v>
      </c>
      <c r="P3920" s="102" t="s">
        <v>11953</v>
      </c>
    </row>
    <row r="3921" hidden="1">
      <c r="A3921" s="999">
        <v>39.0</v>
      </c>
      <c r="B3921" s="1000" t="s">
        <v>13397</v>
      </c>
      <c r="C3921" s="342" t="s">
        <v>80</v>
      </c>
      <c r="D3921" s="342" t="s">
        <v>13398</v>
      </c>
      <c r="E3921" s="999" t="s">
        <v>13399</v>
      </c>
      <c r="F3921" s="342" t="s">
        <v>556</v>
      </c>
      <c r="G3921" s="471" t="s">
        <v>11810</v>
      </c>
      <c r="H3921" s="645"/>
      <c r="I3921" s="514" t="s">
        <v>10093</v>
      </c>
      <c r="J3921" s="19"/>
      <c r="K3921" s="19"/>
      <c r="L3921" s="12" t="s">
        <v>374</v>
      </c>
      <c r="M3921" s="19"/>
      <c r="N3921" s="19"/>
      <c r="O3921" s="19"/>
      <c r="P3921" s="102" t="s">
        <v>11953</v>
      </c>
    </row>
    <row r="3922">
      <c r="A3922" s="930">
        <v>40.0</v>
      </c>
      <c r="B3922" s="929" t="s">
        <v>13400</v>
      </c>
      <c r="C3922" s="1081" t="s">
        <v>80</v>
      </c>
      <c r="D3922" s="1081" t="s">
        <v>13401</v>
      </c>
      <c r="E3922" s="930" t="s">
        <v>13402</v>
      </c>
      <c r="F3922" s="1081" t="s">
        <v>556</v>
      </c>
      <c r="G3922" s="1082" t="s">
        <v>11810</v>
      </c>
      <c r="H3922" s="1083"/>
      <c r="I3922" s="1084" t="s">
        <v>2890</v>
      </c>
      <c r="J3922" s="1085"/>
      <c r="K3922" s="1085"/>
      <c r="L3922" s="1086" t="s">
        <v>51</v>
      </c>
      <c r="M3922" s="1085"/>
      <c r="N3922" s="1087" t="s">
        <v>13403</v>
      </c>
      <c r="O3922" s="1087" t="s">
        <v>11823</v>
      </c>
      <c r="P3922" s="1089" t="s">
        <v>11953</v>
      </c>
      <c r="Q3922" s="1090"/>
      <c r="R3922" s="1090"/>
      <c r="S3922" s="1090"/>
      <c r="T3922" s="1090"/>
      <c r="U3922" s="1090"/>
      <c r="V3922" s="1090"/>
      <c r="W3922" s="1090"/>
      <c r="X3922" s="1090"/>
      <c r="Y3922" s="1090"/>
      <c r="Z3922" s="1090"/>
      <c r="AA3922" s="1090"/>
      <c r="AB3922" s="1090"/>
      <c r="AC3922" s="1090"/>
      <c r="AD3922" s="1090"/>
      <c r="AE3922" s="1090"/>
      <c r="AF3922" s="1090"/>
    </row>
    <row r="3923" hidden="1">
      <c r="A3923" s="999">
        <v>41.0</v>
      </c>
      <c r="B3923" s="1000" t="s">
        <v>13404</v>
      </c>
      <c r="C3923" s="342" t="s">
        <v>80</v>
      </c>
      <c r="D3923" s="342" t="s">
        <v>13405</v>
      </c>
      <c r="E3923" s="999" t="s">
        <v>13406</v>
      </c>
      <c r="F3923" s="342" t="s">
        <v>556</v>
      </c>
      <c r="G3923" s="471" t="s">
        <v>11810</v>
      </c>
      <c r="H3923" s="645"/>
      <c r="I3923" s="514" t="s">
        <v>10198</v>
      </c>
      <c r="J3923" s="19"/>
      <c r="K3923" s="19"/>
      <c r="L3923" s="33" t="s">
        <v>9469</v>
      </c>
      <c r="M3923" s="19"/>
      <c r="N3923" s="19"/>
      <c r="O3923" s="34" t="s">
        <v>12794</v>
      </c>
      <c r="P3923" s="102" t="s">
        <v>11953</v>
      </c>
    </row>
    <row r="3924">
      <c r="A3924" s="999">
        <v>42.0</v>
      </c>
      <c r="B3924" s="1000" t="s">
        <v>13407</v>
      </c>
      <c r="C3924" s="342" t="s">
        <v>80</v>
      </c>
      <c r="D3924" s="342" t="s">
        <v>13408</v>
      </c>
      <c r="E3924" s="999" t="s">
        <v>13409</v>
      </c>
      <c r="F3924" s="342" t="s">
        <v>1487</v>
      </c>
      <c r="G3924" s="471" t="s">
        <v>11815</v>
      </c>
      <c r="H3924" s="645"/>
      <c r="I3924" s="306" t="s">
        <v>2890</v>
      </c>
      <c r="J3924" s="19"/>
      <c r="K3924" s="19"/>
      <c r="L3924" s="33" t="s">
        <v>374</v>
      </c>
      <c r="M3924" s="19"/>
      <c r="N3924" s="19"/>
      <c r="O3924" s="19"/>
      <c r="P3924" s="19"/>
    </row>
    <row r="3925">
      <c r="A3925" s="1091">
        <v>43.0</v>
      </c>
      <c r="B3925" s="1092" t="s">
        <v>13410</v>
      </c>
      <c r="C3925" s="1093" t="s">
        <v>80</v>
      </c>
      <c r="D3925" s="1093" t="s">
        <v>13411</v>
      </c>
      <c r="E3925" s="1091" t="s">
        <v>13412</v>
      </c>
      <c r="F3925" s="1093" t="s">
        <v>13413</v>
      </c>
      <c r="G3925" s="1143" t="s">
        <v>11815</v>
      </c>
      <c r="H3925" s="1096"/>
      <c r="I3925" s="1095" t="s">
        <v>2890</v>
      </c>
      <c r="J3925" s="1097"/>
      <c r="K3925" s="1097"/>
      <c r="L3925" s="1144" t="s">
        <v>51</v>
      </c>
      <c r="M3925" s="1097"/>
      <c r="N3925" s="1097"/>
      <c r="O3925" s="1113" t="s">
        <v>11758</v>
      </c>
      <c r="P3925" s="1097"/>
      <c r="Q3925" s="1099"/>
      <c r="R3925" s="1099"/>
      <c r="S3925" s="1099"/>
      <c r="T3925" s="1099"/>
      <c r="U3925" s="1099"/>
      <c r="V3925" s="1099"/>
      <c r="W3925" s="1099"/>
      <c r="X3925" s="1099"/>
      <c r="Y3925" s="1099"/>
      <c r="Z3925" s="1099"/>
      <c r="AA3925" s="1099"/>
      <c r="AB3925" s="1099"/>
      <c r="AC3925" s="1099"/>
      <c r="AD3925" s="1099"/>
      <c r="AE3925" s="1099"/>
      <c r="AF3925" s="1099"/>
    </row>
    <row r="3926" hidden="1">
      <c r="A3926" s="999">
        <v>44.0</v>
      </c>
      <c r="B3926" s="1000" t="s">
        <v>13414</v>
      </c>
      <c r="C3926" s="342" t="s">
        <v>80</v>
      </c>
      <c r="D3926" s="342" t="s">
        <v>13415</v>
      </c>
      <c r="E3926" s="999" t="s">
        <v>13416</v>
      </c>
      <c r="F3926" s="342" t="s">
        <v>9387</v>
      </c>
      <c r="G3926" s="471" t="s">
        <v>11815</v>
      </c>
      <c r="H3926" s="645"/>
      <c r="I3926" s="306" t="s">
        <v>2890</v>
      </c>
      <c r="J3926" s="19"/>
      <c r="K3926" s="19"/>
      <c r="L3926" s="33" t="s">
        <v>4195</v>
      </c>
      <c r="M3926" s="19"/>
      <c r="N3926" s="19"/>
      <c r="O3926" s="34" t="s">
        <v>13194</v>
      </c>
      <c r="P3926" s="102" t="s">
        <v>1432</v>
      </c>
    </row>
    <row r="3927">
      <c r="A3927" s="1100">
        <v>45.0</v>
      </c>
      <c r="B3927" s="1101" t="s">
        <v>13417</v>
      </c>
      <c r="C3927" s="1048" t="s">
        <v>80</v>
      </c>
      <c r="D3927" s="1048" t="s">
        <v>13418</v>
      </c>
      <c r="E3927" s="1100" t="s">
        <v>13419</v>
      </c>
      <c r="F3927" s="1048" t="s">
        <v>2654</v>
      </c>
      <c r="G3927" s="1112" t="s">
        <v>11815</v>
      </c>
      <c r="H3927" s="1104"/>
      <c r="I3927" s="1103" t="s">
        <v>2890</v>
      </c>
      <c r="J3927" s="1054"/>
      <c r="K3927" s="1054"/>
      <c r="L3927" s="1053" t="s">
        <v>374</v>
      </c>
      <c r="M3927" s="1054"/>
      <c r="N3927" s="1054"/>
      <c r="O3927" s="1113" t="s">
        <v>11758</v>
      </c>
      <c r="P3927" s="1054"/>
      <c r="Q3927" s="1057"/>
      <c r="R3927" s="1057"/>
      <c r="S3927" s="1057"/>
      <c r="T3927" s="1057"/>
      <c r="U3927" s="1057"/>
      <c r="V3927" s="1057"/>
      <c r="W3927" s="1057"/>
      <c r="X3927" s="1057"/>
      <c r="Y3927" s="1057"/>
      <c r="Z3927" s="1057"/>
      <c r="AA3927" s="1057"/>
      <c r="AB3927" s="1057"/>
      <c r="AC3927" s="1057"/>
      <c r="AD3927" s="1057"/>
      <c r="AE3927" s="1057"/>
      <c r="AF3927" s="1057"/>
    </row>
    <row r="3928">
      <c r="A3928" s="1117">
        <v>46.0</v>
      </c>
      <c r="B3928" s="1118" t="s">
        <v>13420</v>
      </c>
      <c r="C3928" s="918" t="s">
        <v>1185</v>
      </c>
      <c r="D3928" s="918" t="s">
        <v>13421</v>
      </c>
      <c r="E3928" s="1117" t="s">
        <v>13422</v>
      </c>
      <c r="F3928" s="918" t="s">
        <v>556</v>
      </c>
      <c r="G3928" s="1119" t="s">
        <v>11815</v>
      </c>
      <c r="H3928" s="1120"/>
      <c r="I3928" s="1121" t="s">
        <v>10093</v>
      </c>
      <c r="J3928" s="925"/>
      <c r="K3928" s="925"/>
      <c r="L3928" s="1122" t="s">
        <v>51</v>
      </c>
      <c r="M3928" s="925"/>
      <c r="N3928" s="927"/>
      <c r="O3928" s="927" t="s">
        <v>11758</v>
      </c>
      <c r="P3928" s="1145" t="s">
        <v>1432</v>
      </c>
      <c r="Q3928" s="923"/>
      <c r="R3928" s="923"/>
      <c r="S3928" s="923"/>
      <c r="T3928" s="923"/>
      <c r="U3928" s="923"/>
      <c r="V3928" s="923"/>
      <c r="W3928" s="923"/>
      <c r="X3928" s="923"/>
      <c r="Y3928" s="923"/>
      <c r="Z3928" s="923"/>
      <c r="AA3928" s="923"/>
      <c r="AB3928" s="923"/>
      <c r="AC3928" s="923"/>
      <c r="AD3928" s="923"/>
      <c r="AE3928" s="923"/>
      <c r="AF3928" s="923"/>
    </row>
    <row r="3929">
      <c r="A3929" s="999">
        <v>47.0</v>
      </c>
      <c r="B3929" s="1000" t="s">
        <v>13423</v>
      </c>
      <c r="C3929" s="342" t="s">
        <v>1185</v>
      </c>
      <c r="D3929" s="342" t="s">
        <v>13424</v>
      </c>
      <c r="E3929" s="999" t="s">
        <v>13425</v>
      </c>
      <c r="F3929" s="342" t="s">
        <v>2976</v>
      </c>
      <c r="G3929" s="471" t="s">
        <v>11815</v>
      </c>
      <c r="H3929" s="645"/>
      <c r="I3929" s="306" t="s">
        <v>2890</v>
      </c>
      <c r="J3929" s="19"/>
      <c r="K3929" s="19"/>
      <c r="L3929" s="33" t="s">
        <v>4195</v>
      </c>
      <c r="M3929" s="19"/>
      <c r="N3929" s="19"/>
      <c r="O3929" s="19"/>
      <c r="P3929" s="19"/>
    </row>
    <row r="3930">
      <c r="A3930" s="1100">
        <v>48.0</v>
      </c>
      <c r="B3930" s="1101" t="s">
        <v>13426</v>
      </c>
      <c r="C3930" s="1048" t="s">
        <v>1185</v>
      </c>
      <c r="D3930" s="1048" t="s">
        <v>13427</v>
      </c>
      <c r="E3930" s="1100" t="s">
        <v>13428</v>
      </c>
      <c r="F3930" s="1048" t="s">
        <v>13429</v>
      </c>
      <c r="G3930" s="1112" t="s">
        <v>11815</v>
      </c>
      <c r="H3930" s="1104"/>
      <c r="I3930" s="1103" t="s">
        <v>2890</v>
      </c>
      <c r="J3930" s="1054"/>
      <c r="K3930" s="1054"/>
      <c r="L3930" s="1053" t="s">
        <v>374</v>
      </c>
      <c r="M3930" s="1054"/>
      <c r="N3930" s="1054"/>
      <c r="O3930" s="1113" t="s">
        <v>11758</v>
      </c>
      <c r="P3930" s="1054"/>
      <c r="Q3930" s="1057"/>
      <c r="R3930" s="1057"/>
      <c r="S3930" s="1057"/>
      <c r="T3930" s="1057"/>
      <c r="U3930" s="1057"/>
      <c r="V3930" s="1057"/>
      <c r="W3930" s="1057"/>
      <c r="X3930" s="1057"/>
      <c r="Y3930" s="1057"/>
      <c r="Z3930" s="1057"/>
      <c r="AA3930" s="1057"/>
      <c r="AB3930" s="1057"/>
      <c r="AC3930" s="1057"/>
      <c r="AD3930" s="1057"/>
      <c r="AE3930" s="1057"/>
      <c r="AF3930" s="1057"/>
    </row>
    <row r="3931">
      <c r="A3931" s="1117">
        <v>49.0</v>
      </c>
      <c r="B3931" s="1118" t="s">
        <v>13430</v>
      </c>
      <c r="C3931" s="918" t="s">
        <v>1185</v>
      </c>
      <c r="D3931" s="918" t="s">
        <v>13431</v>
      </c>
      <c r="E3931" s="1117" t="s">
        <v>13432</v>
      </c>
      <c r="F3931" s="918" t="s">
        <v>1294</v>
      </c>
      <c r="G3931" s="1119" t="s">
        <v>12845</v>
      </c>
      <c r="H3931" s="1120"/>
      <c r="I3931" s="1121" t="s">
        <v>10093</v>
      </c>
      <c r="J3931" s="925"/>
      <c r="K3931" s="925"/>
      <c r="L3931" s="1122" t="s">
        <v>51</v>
      </c>
      <c r="M3931" s="925"/>
      <c r="N3931" s="927"/>
      <c r="O3931" s="927" t="s">
        <v>11758</v>
      </c>
      <c r="P3931" s="1145" t="s">
        <v>1432</v>
      </c>
      <c r="Q3931" s="923"/>
      <c r="R3931" s="923"/>
      <c r="S3931" s="923"/>
      <c r="T3931" s="923"/>
      <c r="U3931" s="923"/>
      <c r="V3931" s="923"/>
      <c r="W3931" s="923"/>
      <c r="X3931" s="923"/>
      <c r="Y3931" s="923"/>
      <c r="Z3931" s="923"/>
      <c r="AA3931" s="923"/>
      <c r="AB3931" s="923"/>
      <c r="AC3931" s="923"/>
      <c r="AD3931" s="923"/>
      <c r="AE3931" s="923"/>
      <c r="AF3931" s="923"/>
    </row>
    <row r="3932" hidden="1">
      <c r="A3932" s="999">
        <v>50.0</v>
      </c>
      <c r="B3932" s="1000" t="s">
        <v>13433</v>
      </c>
      <c r="C3932" s="342" t="s">
        <v>1185</v>
      </c>
      <c r="D3932" s="342" t="s">
        <v>13434</v>
      </c>
      <c r="E3932" s="1028" t="s">
        <v>13435</v>
      </c>
      <c r="F3932" s="342" t="s">
        <v>13436</v>
      </c>
      <c r="G3932" s="471" t="s">
        <v>12845</v>
      </c>
      <c r="H3932" s="645"/>
      <c r="I3932" s="306" t="s">
        <v>2890</v>
      </c>
      <c r="J3932" s="19"/>
      <c r="K3932" s="19"/>
      <c r="L3932" s="33" t="s">
        <v>1640</v>
      </c>
      <c r="M3932" s="19"/>
      <c r="N3932" s="19"/>
      <c r="O3932" s="34" t="s">
        <v>12941</v>
      </c>
      <c r="P3932" s="19"/>
    </row>
    <row r="3933">
      <c r="A3933" s="999">
        <v>51.0</v>
      </c>
      <c r="B3933" s="1000" t="s">
        <v>13437</v>
      </c>
      <c r="C3933" s="342" t="s">
        <v>1185</v>
      </c>
      <c r="D3933" s="342" t="s">
        <v>13438</v>
      </c>
      <c r="E3933" s="999" t="s">
        <v>13439</v>
      </c>
      <c r="F3933" s="342" t="s">
        <v>13440</v>
      </c>
      <c r="G3933" s="471" t="s">
        <v>12845</v>
      </c>
      <c r="H3933" s="645"/>
      <c r="I3933" s="306" t="s">
        <v>2890</v>
      </c>
      <c r="J3933" s="19"/>
      <c r="K3933" s="19"/>
      <c r="L3933" s="33" t="s">
        <v>374</v>
      </c>
      <c r="M3933" s="19"/>
      <c r="N3933" s="19"/>
      <c r="O3933" s="19"/>
      <c r="P3933" s="19"/>
    </row>
    <row r="3934" hidden="1">
      <c r="A3934" s="999">
        <v>52.0</v>
      </c>
      <c r="B3934" s="1000" t="s">
        <v>13441</v>
      </c>
      <c r="C3934" s="342" t="s">
        <v>1185</v>
      </c>
      <c r="D3934" s="342" t="s">
        <v>13442</v>
      </c>
      <c r="E3934" s="999" t="s">
        <v>13443</v>
      </c>
      <c r="F3934" s="342" t="s">
        <v>2315</v>
      </c>
      <c r="G3934" s="471" t="s">
        <v>12845</v>
      </c>
      <c r="H3934" s="645"/>
      <c r="I3934" s="306" t="s">
        <v>2890</v>
      </c>
      <c r="J3934" s="19"/>
      <c r="K3934" s="19"/>
      <c r="L3934" s="33" t="s">
        <v>51</v>
      </c>
      <c r="M3934" s="19"/>
      <c r="N3934" s="19"/>
      <c r="O3934" s="34" t="s">
        <v>12162</v>
      </c>
      <c r="P3934" s="102" t="s">
        <v>12316</v>
      </c>
    </row>
    <row r="3935">
      <c r="A3935" s="1100">
        <v>53.0</v>
      </c>
      <c r="B3935" s="1101" t="s">
        <v>13444</v>
      </c>
      <c r="C3935" s="1048" t="s">
        <v>1185</v>
      </c>
      <c r="D3935" s="1048" t="s">
        <v>13445</v>
      </c>
      <c r="E3935" s="1100" t="s">
        <v>13446</v>
      </c>
      <c r="F3935" s="1048" t="s">
        <v>8608</v>
      </c>
      <c r="G3935" s="1112" t="s">
        <v>12845</v>
      </c>
      <c r="H3935" s="1104"/>
      <c r="I3935" s="1146" t="s">
        <v>3465</v>
      </c>
      <c r="J3935" s="1054"/>
      <c r="K3935" s="1054"/>
      <c r="L3935" s="1053" t="s">
        <v>4195</v>
      </c>
      <c r="M3935" s="1054"/>
      <c r="N3935" s="1054"/>
      <c r="O3935" s="1113" t="s">
        <v>13333</v>
      </c>
      <c r="P3935" s="1054"/>
      <c r="Q3935" s="1057"/>
      <c r="R3935" s="1057"/>
      <c r="S3935" s="1057"/>
      <c r="T3935" s="1057"/>
      <c r="U3935" s="1057"/>
      <c r="V3935" s="1057"/>
      <c r="W3935" s="1057"/>
      <c r="X3935" s="1057"/>
      <c r="Y3935" s="1057"/>
      <c r="Z3935" s="1057"/>
      <c r="AA3935" s="1057"/>
      <c r="AB3935" s="1057"/>
      <c r="AC3935" s="1057"/>
      <c r="AD3935" s="1057"/>
      <c r="AE3935" s="1057"/>
      <c r="AF3935" s="1057"/>
    </row>
    <row r="3936">
      <c r="A3936" s="999">
        <v>54.0</v>
      </c>
      <c r="B3936" s="1000" t="s">
        <v>13447</v>
      </c>
      <c r="C3936" s="342" t="s">
        <v>80</v>
      </c>
      <c r="D3936" s="342" t="s">
        <v>13448</v>
      </c>
      <c r="E3936" s="999" t="s">
        <v>13449</v>
      </c>
      <c r="F3936" s="342" t="s">
        <v>13440</v>
      </c>
      <c r="G3936" s="471" t="s">
        <v>12845</v>
      </c>
      <c r="H3936" s="645"/>
      <c r="I3936" s="514" t="s">
        <v>10093</v>
      </c>
      <c r="J3936" s="19"/>
      <c r="K3936" s="19"/>
      <c r="L3936" s="33" t="s">
        <v>374</v>
      </c>
      <c r="M3936" s="19"/>
      <c r="N3936" s="19"/>
      <c r="O3936" s="19"/>
      <c r="P3936" s="19"/>
    </row>
    <row r="3937" hidden="1">
      <c r="A3937" s="999">
        <v>55.0</v>
      </c>
      <c r="B3937" s="1000" t="s">
        <v>13450</v>
      </c>
      <c r="C3937" s="342" t="s">
        <v>651</v>
      </c>
      <c r="D3937" s="342" t="s">
        <v>13451</v>
      </c>
      <c r="E3937" s="999" t="s">
        <v>13452</v>
      </c>
      <c r="F3937" s="342" t="s">
        <v>5436</v>
      </c>
      <c r="G3937" s="471" t="s">
        <v>12845</v>
      </c>
      <c r="H3937" s="645"/>
      <c r="I3937" s="306" t="s">
        <v>2890</v>
      </c>
      <c r="J3937" s="19"/>
      <c r="K3937" s="19"/>
      <c r="L3937" s="33" t="s">
        <v>51</v>
      </c>
      <c r="M3937" s="19"/>
      <c r="N3937" s="19"/>
      <c r="O3937" s="34" t="s">
        <v>11823</v>
      </c>
      <c r="P3937" s="1045" t="s">
        <v>12316</v>
      </c>
    </row>
    <row r="3938" hidden="1">
      <c r="A3938" s="1147">
        <v>56.0</v>
      </c>
      <c r="B3938" s="1148" t="s">
        <v>13453</v>
      </c>
      <c r="C3938" s="1149" t="s">
        <v>10101</v>
      </c>
      <c r="D3938" s="1149" t="s">
        <v>13454</v>
      </c>
      <c r="E3938" s="1147" t="s">
        <v>13455</v>
      </c>
      <c r="F3938" s="1149" t="s">
        <v>13456</v>
      </c>
      <c r="G3938" s="1150"/>
      <c r="H3938" s="1151"/>
      <c r="I3938" s="514" t="s">
        <v>10093</v>
      </c>
      <c r="J3938" s="1152"/>
      <c r="K3938" s="1152"/>
      <c r="L3938" s="1153"/>
      <c r="M3938" s="1152"/>
      <c r="N3938" s="1154" t="s">
        <v>13457</v>
      </c>
      <c r="O3938" s="1152"/>
      <c r="P3938" s="1152"/>
      <c r="Q3938" s="1155"/>
      <c r="R3938" s="1155"/>
      <c r="S3938" s="1155"/>
      <c r="T3938" s="1155"/>
      <c r="U3938" s="1155"/>
      <c r="V3938" s="1155"/>
      <c r="W3938" s="1155"/>
      <c r="X3938" s="1155"/>
      <c r="Y3938" s="1155"/>
      <c r="Z3938" s="1155"/>
      <c r="AA3938" s="1155"/>
      <c r="AB3938" s="1155"/>
      <c r="AC3938" s="1155"/>
      <c r="AD3938" s="1155"/>
      <c r="AE3938" s="1155"/>
      <c r="AF3938" s="1155"/>
    </row>
    <row r="3939">
      <c r="A3939" s="1100">
        <v>57.0</v>
      </c>
      <c r="B3939" s="1101" t="s">
        <v>13458</v>
      </c>
      <c r="C3939" s="1048" t="s">
        <v>13459</v>
      </c>
      <c r="D3939" s="1048" t="s">
        <v>13460</v>
      </c>
      <c r="E3939" s="1100" t="s">
        <v>13461</v>
      </c>
      <c r="F3939" s="1048" t="s">
        <v>13462</v>
      </c>
      <c r="G3939" s="1112" t="s">
        <v>11815</v>
      </c>
      <c r="H3939" s="1104"/>
      <c r="I3939" s="1103" t="s">
        <v>2890</v>
      </c>
      <c r="J3939" s="1054"/>
      <c r="K3939" s="1054"/>
      <c r="L3939" s="1053" t="s">
        <v>4195</v>
      </c>
      <c r="M3939" s="1054"/>
      <c r="N3939" s="1054"/>
      <c r="O3939" s="1113" t="s">
        <v>13333</v>
      </c>
      <c r="P3939" s="1054"/>
      <c r="Q3939" s="1057"/>
      <c r="R3939" s="1057"/>
      <c r="S3939" s="1057"/>
      <c r="T3939" s="1057"/>
      <c r="U3939" s="1057"/>
      <c r="V3939" s="1057"/>
      <c r="W3939" s="1057"/>
      <c r="X3939" s="1057"/>
      <c r="Y3939" s="1057"/>
      <c r="Z3939" s="1057"/>
      <c r="AA3939" s="1057"/>
      <c r="AB3939" s="1057"/>
      <c r="AC3939" s="1057"/>
      <c r="AD3939" s="1057"/>
      <c r="AE3939" s="1057"/>
      <c r="AF3939" s="1057"/>
    </row>
    <row r="3940" hidden="1">
      <c r="A3940" s="999">
        <v>58.0</v>
      </c>
      <c r="B3940" s="1000" t="s">
        <v>13463</v>
      </c>
      <c r="C3940" s="342" t="s">
        <v>80</v>
      </c>
      <c r="D3940" s="342" t="s">
        <v>13464</v>
      </c>
      <c r="E3940" s="1028" t="s">
        <v>13465</v>
      </c>
      <c r="F3940" s="342" t="s">
        <v>13436</v>
      </c>
      <c r="G3940" s="471" t="s">
        <v>12845</v>
      </c>
      <c r="H3940" s="645"/>
      <c r="I3940" s="306" t="s">
        <v>2890</v>
      </c>
      <c r="J3940" s="19"/>
      <c r="K3940" s="19"/>
      <c r="L3940" s="33" t="s">
        <v>2541</v>
      </c>
      <c r="M3940" s="19"/>
      <c r="N3940" s="19"/>
      <c r="O3940" s="34" t="s">
        <v>12941</v>
      </c>
      <c r="P3940" s="19"/>
    </row>
    <row r="3941">
      <c r="A3941" s="999">
        <v>59.0</v>
      </c>
      <c r="B3941" s="1000" t="s">
        <v>13466</v>
      </c>
      <c r="C3941" s="342" t="s">
        <v>80</v>
      </c>
      <c r="D3941" s="342" t="s">
        <v>13467</v>
      </c>
      <c r="E3941" s="1156" t="s">
        <v>13468</v>
      </c>
      <c r="F3941" s="342" t="s">
        <v>3928</v>
      </c>
      <c r="G3941" s="471" t="s">
        <v>1290</v>
      </c>
      <c r="H3941" s="645"/>
      <c r="I3941" s="514" t="s">
        <v>10093</v>
      </c>
      <c r="J3941" s="19"/>
      <c r="K3941" s="19"/>
      <c r="L3941" s="12" t="s">
        <v>9469</v>
      </c>
      <c r="M3941" s="19"/>
      <c r="N3941" s="19"/>
      <c r="O3941" s="34" t="s">
        <v>13469</v>
      </c>
      <c r="P3941" s="19"/>
    </row>
    <row r="3942">
      <c r="A3942" s="999">
        <v>60.0</v>
      </c>
      <c r="B3942" s="1000" t="s">
        <v>13470</v>
      </c>
      <c r="C3942" s="342" t="s">
        <v>80</v>
      </c>
      <c r="D3942" s="342" t="s">
        <v>13471</v>
      </c>
      <c r="E3942" s="1156" t="s">
        <v>13472</v>
      </c>
      <c r="F3942" s="342" t="s">
        <v>3928</v>
      </c>
      <c r="G3942" s="471" t="s">
        <v>1290</v>
      </c>
      <c r="H3942" s="645"/>
      <c r="I3942" s="306" t="s">
        <v>2890</v>
      </c>
      <c r="J3942" s="19"/>
      <c r="K3942" s="19"/>
      <c r="L3942" s="12" t="s">
        <v>9469</v>
      </c>
      <c r="M3942" s="19"/>
      <c r="N3942" s="19"/>
      <c r="O3942" s="34" t="s">
        <v>13469</v>
      </c>
      <c r="P3942" s="19"/>
    </row>
    <row r="3943">
      <c r="A3943" s="999">
        <v>61.0</v>
      </c>
      <c r="B3943" s="1000" t="s">
        <v>13473</v>
      </c>
      <c r="C3943" s="342" t="s">
        <v>80</v>
      </c>
      <c r="D3943" s="342" t="s">
        <v>13474</v>
      </c>
      <c r="E3943" s="1156" t="s">
        <v>13475</v>
      </c>
      <c r="F3943" s="342" t="s">
        <v>3928</v>
      </c>
      <c r="G3943" s="471" t="s">
        <v>1290</v>
      </c>
      <c r="H3943" s="645"/>
      <c r="I3943" s="306" t="s">
        <v>2890</v>
      </c>
      <c r="J3943" s="19"/>
      <c r="K3943" s="19"/>
      <c r="L3943" s="12" t="s">
        <v>9469</v>
      </c>
      <c r="M3943" s="19"/>
      <c r="N3943" s="19"/>
      <c r="O3943" s="34" t="s">
        <v>13469</v>
      </c>
      <c r="P3943" s="19"/>
    </row>
    <row r="3944">
      <c r="A3944" s="999">
        <v>62.0</v>
      </c>
      <c r="B3944" s="1000" t="s">
        <v>13476</v>
      </c>
      <c r="C3944" s="342" t="s">
        <v>80</v>
      </c>
      <c r="D3944" s="342" t="s">
        <v>13477</v>
      </c>
      <c r="E3944" s="1156" t="s">
        <v>13478</v>
      </c>
      <c r="F3944" s="342" t="s">
        <v>3928</v>
      </c>
      <c r="G3944" s="471" t="s">
        <v>1290</v>
      </c>
      <c r="H3944" s="645"/>
      <c r="I3944" s="514" t="s">
        <v>10093</v>
      </c>
      <c r="J3944" s="19"/>
      <c r="K3944" s="19"/>
      <c r="L3944" s="12" t="s">
        <v>9469</v>
      </c>
      <c r="M3944" s="19"/>
      <c r="N3944" s="19"/>
      <c r="O3944" s="34" t="s">
        <v>13469</v>
      </c>
      <c r="P3944" s="19"/>
    </row>
    <row r="3945">
      <c r="A3945" s="999">
        <v>63.0</v>
      </c>
      <c r="B3945" s="1000" t="s">
        <v>13479</v>
      </c>
      <c r="C3945" s="342" t="s">
        <v>80</v>
      </c>
      <c r="D3945" s="342" t="s">
        <v>13480</v>
      </c>
      <c r="E3945" s="1156" t="s">
        <v>13481</v>
      </c>
      <c r="F3945" s="342" t="s">
        <v>3928</v>
      </c>
      <c r="G3945" s="471" t="s">
        <v>1290</v>
      </c>
      <c r="H3945" s="645"/>
      <c r="I3945" s="306" t="s">
        <v>2890</v>
      </c>
      <c r="J3945" s="19"/>
      <c r="K3945" s="19"/>
      <c r="L3945" s="12" t="s">
        <v>9469</v>
      </c>
      <c r="M3945" s="19"/>
      <c r="N3945" s="19"/>
      <c r="O3945" s="34" t="s">
        <v>13469</v>
      </c>
      <c r="P3945" s="19"/>
    </row>
    <row r="3946">
      <c r="A3946" s="999">
        <v>64.0</v>
      </c>
      <c r="B3946" s="1000" t="s">
        <v>13482</v>
      </c>
      <c r="C3946" s="342" t="s">
        <v>80</v>
      </c>
      <c r="D3946" s="342" t="s">
        <v>13483</v>
      </c>
      <c r="E3946" s="1156" t="s">
        <v>13484</v>
      </c>
      <c r="F3946" s="342" t="s">
        <v>3928</v>
      </c>
      <c r="G3946" s="471" t="s">
        <v>1290</v>
      </c>
      <c r="H3946" s="645"/>
      <c r="I3946" s="514" t="s">
        <v>10690</v>
      </c>
      <c r="J3946" s="19"/>
      <c r="K3946" s="19"/>
      <c r="L3946" s="12" t="s">
        <v>9469</v>
      </c>
      <c r="M3946" s="19"/>
      <c r="N3946" s="19"/>
      <c r="O3946" s="34" t="s">
        <v>13469</v>
      </c>
      <c r="P3946" s="19"/>
    </row>
    <row r="3947">
      <c r="A3947" s="999">
        <v>65.0</v>
      </c>
      <c r="B3947" s="1000" t="s">
        <v>13485</v>
      </c>
      <c r="C3947" s="342" t="s">
        <v>80</v>
      </c>
      <c r="D3947" s="342" t="s">
        <v>13486</v>
      </c>
      <c r="E3947" s="1156" t="s">
        <v>13487</v>
      </c>
      <c r="F3947" s="342" t="s">
        <v>3928</v>
      </c>
      <c r="G3947" s="134" t="s">
        <v>1290</v>
      </c>
      <c r="H3947" s="645"/>
      <c r="I3947" s="306" t="s">
        <v>2890</v>
      </c>
      <c r="J3947" s="19"/>
      <c r="K3947" s="19"/>
      <c r="L3947" s="12" t="s">
        <v>9469</v>
      </c>
      <c r="M3947" s="19"/>
      <c r="N3947" s="19"/>
      <c r="O3947" s="34" t="s">
        <v>13469</v>
      </c>
      <c r="P3947" s="19"/>
    </row>
    <row r="3948" hidden="1">
      <c r="A3948" s="999">
        <v>66.0</v>
      </c>
      <c r="B3948" s="1000" t="s">
        <v>13488</v>
      </c>
      <c r="C3948" s="342" t="s">
        <v>80</v>
      </c>
      <c r="D3948" s="342" t="s">
        <v>13489</v>
      </c>
      <c r="E3948" s="1156" t="s">
        <v>13490</v>
      </c>
      <c r="F3948" s="342" t="s">
        <v>3583</v>
      </c>
      <c r="G3948" s="471" t="s">
        <v>1129</v>
      </c>
      <c r="H3948" s="645"/>
      <c r="I3948" s="514" t="s">
        <v>3043</v>
      </c>
      <c r="J3948" s="19"/>
      <c r="K3948" s="19"/>
      <c r="L3948" s="12" t="s">
        <v>11863</v>
      </c>
      <c r="M3948" s="19"/>
      <c r="N3948" s="19"/>
      <c r="O3948" s="34" t="s">
        <v>11815</v>
      </c>
      <c r="P3948" s="19"/>
    </row>
    <row r="3949" hidden="1">
      <c r="A3949" s="999">
        <v>67.0</v>
      </c>
      <c r="B3949" s="1000" t="s">
        <v>13491</v>
      </c>
      <c r="C3949" s="342" t="s">
        <v>80</v>
      </c>
      <c r="D3949" s="342" t="s">
        <v>13492</v>
      </c>
      <c r="E3949" s="1156" t="s">
        <v>13493</v>
      </c>
      <c r="F3949" s="342" t="s">
        <v>3583</v>
      </c>
      <c r="G3949" s="471" t="s">
        <v>1129</v>
      </c>
      <c r="H3949" s="645"/>
      <c r="I3949" s="306" t="s">
        <v>2890</v>
      </c>
      <c r="J3949" s="19"/>
      <c r="K3949" s="19"/>
      <c r="L3949" s="12" t="s">
        <v>11863</v>
      </c>
      <c r="M3949" s="19"/>
      <c r="N3949" s="19"/>
      <c r="O3949" s="34" t="s">
        <v>11810</v>
      </c>
      <c r="P3949" s="19"/>
    </row>
    <row r="3950" hidden="1">
      <c r="A3950" s="999">
        <v>68.0</v>
      </c>
      <c r="B3950" s="1000" t="s">
        <v>13494</v>
      </c>
      <c r="C3950" s="342" t="s">
        <v>80</v>
      </c>
      <c r="D3950" s="342" t="s">
        <v>13495</v>
      </c>
      <c r="E3950" s="1156" t="s">
        <v>13496</v>
      </c>
      <c r="F3950" s="342" t="s">
        <v>3583</v>
      </c>
      <c r="G3950" s="471" t="s">
        <v>1129</v>
      </c>
      <c r="H3950" s="645"/>
      <c r="I3950" s="306" t="s">
        <v>2890</v>
      </c>
      <c r="J3950" s="19"/>
      <c r="K3950" s="19"/>
      <c r="L3950" s="12" t="s">
        <v>11863</v>
      </c>
      <c r="M3950" s="19"/>
      <c r="N3950" s="19"/>
      <c r="O3950" s="34" t="s">
        <v>11810</v>
      </c>
      <c r="P3950" s="19"/>
    </row>
    <row r="3951" hidden="1">
      <c r="A3951" s="999">
        <v>69.0</v>
      </c>
      <c r="B3951" s="1000" t="s">
        <v>13497</v>
      </c>
      <c r="C3951" s="342" t="s">
        <v>80</v>
      </c>
      <c r="D3951" s="342" t="s">
        <v>13498</v>
      </c>
      <c r="E3951" s="1156" t="s">
        <v>13499</v>
      </c>
      <c r="F3951" s="342" t="s">
        <v>3583</v>
      </c>
      <c r="G3951" s="471" t="s">
        <v>1129</v>
      </c>
      <c r="H3951" s="645"/>
      <c r="I3951" s="306" t="s">
        <v>2890</v>
      </c>
      <c r="J3951" s="19"/>
      <c r="K3951" s="19"/>
      <c r="L3951" s="12" t="s">
        <v>11863</v>
      </c>
      <c r="M3951" s="19"/>
      <c r="N3951" s="19"/>
      <c r="O3951" s="34" t="s">
        <v>11810</v>
      </c>
      <c r="P3951" s="19"/>
    </row>
    <row r="3952" hidden="1">
      <c r="A3952" s="999">
        <v>70.0</v>
      </c>
      <c r="B3952" s="1000" t="s">
        <v>13500</v>
      </c>
      <c r="C3952" s="342" t="s">
        <v>1185</v>
      </c>
      <c r="D3952" s="342" t="s">
        <v>13501</v>
      </c>
      <c r="E3952" s="1156" t="s">
        <v>13502</v>
      </c>
      <c r="F3952" s="342" t="s">
        <v>3583</v>
      </c>
      <c r="G3952" s="471" t="s">
        <v>1129</v>
      </c>
      <c r="H3952" s="645"/>
      <c r="I3952" s="306" t="s">
        <v>2890</v>
      </c>
      <c r="J3952" s="19"/>
      <c r="K3952" s="19"/>
      <c r="L3952" s="12" t="s">
        <v>11863</v>
      </c>
      <c r="M3952" s="19"/>
      <c r="N3952" s="19"/>
      <c r="O3952" s="34" t="s">
        <v>11815</v>
      </c>
      <c r="P3952" s="19"/>
    </row>
    <row r="3953" hidden="1">
      <c r="A3953" s="999">
        <v>71.0</v>
      </c>
      <c r="B3953" s="1000" t="s">
        <v>13503</v>
      </c>
      <c r="C3953" s="342" t="s">
        <v>1185</v>
      </c>
      <c r="D3953" s="342" t="s">
        <v>13504</v>
      </c>
      <c r="E3953" s="1156" t="s">
        <v>13505</v>
      </c>
      <c r="F3953" s="342" t="s">
        <v>3583</v>
      </c>
      <c r="G3953" s="471" t="s">
        <v>1129</v>
      </c>
      <c r="H3953" s="645"/>
      <c r="I3953" s="306" t="s">
        <v>2890</v>
      </c>
      <c r="J3953" s="19"/>
      <c r="K3953" s="19"/>
      <c r="L3953" s="12" t="s">
        <v>11863</v>
      </c>
      <c r="M3953" s="19"/>
      <c r="N3953" s="19"/>
      <c r="O3953" s="34" t="s">
        <v>11815</v>
      </c>
      <c r="P3953" s="19"/>
    </row>
    <row r="3954" hidden="1">
      <c r="A3954" s="999">
        <v>72.0</v>
      </c>
      <c r="B3954" s="1000" t="s">
        <v>13506</v>
      </c>
      <c r="C3954" s="342" t="s">
        <v>80</v>
      </c>
      <c r="D3954" s="342" t="s">
        <v>13507</v>
      </c>
      <c r="E3954" s="1156" t="s">
        <v>13508</v>
      </c>
      <c r="F3954" s="342" t="s">
        <v>3583</v>
      </c>
      <c r="G3954" s="471" t="s">
        <v>1129</v>
      </c>
      <c r="H3954" s="645"/>
      <c r="I3954" s="514" t="s">
        <v>10093</v>
      </c>
      <c r="J3954" s="19"/>
      <c r="K3954" s="19"/>
      <c r="L3954" s="12" t="s">
        <v>2541</v>
      </c>
      <c r="M3954" s="19"/>
      <c r="N3954" s="19"/>
      <c r="O3954" s="34" t="s">
        <v>11815</v>
      </c>
      <c r="P3954" s="19"/>
    </row>
    <row r="3955" hidden="1">
      <c r="A3955" s="999">
        <v>73.0</v>
      </c>
      <c r="B3955" s="1000" t="s">
        <v>13509</v>
      </c>
      <c r="C3955" s="342" t="s">
        <v>80</v>
      </c>
      <c r="D3955" s="342" t="s">
        <v>13510</v>
      </c>
      <c r="E3955" s="1156" t="s">
        <v>13511</v>
      </c>
      <c r="F3955" s="342" t="s">
        <v>3583</v>
      </c>
      <c r="G3955" s="471" t="s">
        <v>1129</v>
      </c>
      <c r="H3955" s="645"/>
      <c r="I3955" s="514" t="s">
        <v>13512</v>
      </c>
      <c r="J3955" s="19"/>
      <c r="K3955" s="19"/>
      <c r="L3955" s="12" t="s">
        <v>2541</v>
      </c>
      <c r="M3955" s="19"/>
      <c r="N3955" s="19"/>
      <c r="O3955" s="34" t="s">
        <v>11815</v>
      </c>
      <c r="P3955" s="19"/>
    </row>
    <row r="3956" hidden="1">
      <c r="A3956" s="999">
        <v>74.0</v>
      </c>
      <c r="B3956" s="1000" t="s">
        <v>13513</v>
      </c>
      <c r="C3956" s="342" t="s">
        <v>80</v>
      </c>
      <c r="D3956" s="342" t="s">
        <v>13514</v>
      </c>
      <c r="E3956" s="1156" t="s">
        <v>13515</v>
      </c>
      <c r="F3956" s="342" t="s">
        <v>3583</v>
      </c>
      <c r="G3956" s="471" t="s">
        <v>1129</v>
      </c>
      <c r="H3956" s="645"/>
      <c r="I3956" s="306" t="s">
        <v>2890</v>
      </c>
      <c r="J3956" s="19"/>
      <c r="K3956" s="19"/>
      <c r="L3956" s="12" t="s">
        <v>2541</v>
      </c>
      <c r="M3956" s="19"/>
      <c r="N3956" s="19"/>
      <c r="O3956" s="34" t="s">
        <v>11815</v>
      </c>
      <c r="P3956" s="19"/>
    </row>
    <row r="3957" hidden="1">
      <c r="A3957" s="999">
        <v>75.0</v>
      </c>
      <c r="B3957" s="1000" t="s">
        <v>13516</v>
      </c>
      <c r="C3957" s="342" t="s">
        <v>80</v>
      </c>
      <c r="D3957" s="342" t="s">
        <v>13517</v>
      </c>
      <c r="E3957" s="999" t="s">
        <v>13518</v>
      </c>
      <c r="F3957" s="342" t="s">
        <v>12876</v>
      </c>
      <c r="G3957" s="471" t="s">
        <v>12845</v>
      </c>
      <c r="H3957" s="645"/>
      <c r="I3957" s="306" t="s">
        <v>2890</v>
      </c>
      <c r="J3957" s="19"/>
      <c r="K3957" s="19"/>
      <c r="L3957" s="33" t="s">
        <v>4195</v>
      </c>
      <c r="M3957" s="19"/>
      <c r="N3957" s="19"/>
      <c r="O3957" s="34" t="s">
        <v>11815</v>
      </c>
      <c r="P3957" s="19"/>
    </row>
    <row r="3958" hidden="1">
      <c r="A3958" s="999">
        <v>76.0</v>
      </c>
      <c r="B3958" s="1000" t="s">
        <v>13519</v>
      </c>
      <c r="C3958" s="342" t="s">
        <v>80</v>
      </c>
      <c r="D3958" s="342" t="s">
        <v>13520</v>
      </c>
      <c r="E3958" s="1156" t="s">
        <v>13521</v>
      </c>
      <c r="F3958" s="342" t="s">
        <v>3583</v>
      </c>
      <c r="G3958" s="471" t="s">
        <v>12464</v>
      </c>
      <c r="H3958" s="645"/>
      <c r="I3958" s="306" t="s">
        <v>2890</v>
      </c>
      <c r="J3958" s="19"/>
      <c r="K3958" s="19"/>
      <c r="L3958" s="12" t="s">
        <v>2541</v>
      </c>
      <c r="M3958" s="19"/>
      <c r="N3958" s="19"/>
      <c r="O3958" s="34" t="s">
        <v>11815</v>
      </c>
      <c r="P3958" s="19"/>
    </row>
    <row r="3959" hidden="1">
      <c r="A3959" s="999">
        <v>77.0</v>
      </c>
      <c r="B3959" s="1000" t="s">
        <v>13522</v>
      </c>
      <c r="C3959" s="342" t="s">
        <v>1185</v>
      </c>
      <c r="D3959" s="342" t="s">
        <v>13523</v>
      </c>
      <c r="E3959" s="1156" t="s">
        <v>13524</v>
      </c>
      <c r="F3959" s="342" t="s">
        <v>3583</v>
      </c>
      <c r="G3959" s="471" t="s">
        <v>12464</v>
      </c>
      <c r="H3959" s="645"/>
      <c r="I3959" s="514" t="s">
        <v>10093</v>
      </c>
      <c r="J3959" s="19"/>
      <c r="K3959" s="19"/>
      <c r="L3959" s="12" t="s">
        <v>2541</v>
      </c>
      <c r="M3959" s="19"/>
      <c r="N3959" s="19"/>
      <c r="O3959" s="34" t="s">
        <v>11815</v>
      </c>
      <c r="P3959" s="19"/>
    </row>
    <row r="3960" hidden="1">
      <c r="A3960" s="999">
        <v>78.0</v>
      </c>
      <c r="B3960" s="1000" t="s">
        <v>13525</v>
      </c>
      <c r="C3960" s="342" t="s">
        <v>1185</v>
      </c>
      <c r="D3960" s="342" t="s">
        <v>13526</v>
      </c>
      <c r="E3960" s="1156" t="s">
        <v>13527</v>
      </c>
      <c r="F3960" s="342" t="s">
        <v>3583</v>
      </c>
      <c r="G3960" s="471" t="s">
        <v>12464</v>
      </c>
      <c r="H3960" s="645"/>
      <c r="I3960" s="306" t="s">
        <v>2890</v>
      </c>
      <c r="J3960" s="19"/>
      <c r="K3960" s="19"/>
      <c r="L3960" s="12" t="s">
        <v>2541</v>
      </c>
      <c r="M3960" s="19"/>
      <c r="N3960" s="19"/>
      <c r="O3960" s="34" t="s">
        <v>11815</v>
      </c>
      <c r="P3960" s="19"/>
    </row>
    <row r="3961" hidden="1">
      <c r="A3961" s="999">
        <v>79.0</v>
      </c>
      <c r="B3961" s="1000" t="s">
        <v>13528</v>
      </c>
      <c r="C3961" s="342" t="s">
        <v>80</v>
      </c>
      <c r="D3961" s="342" t="s">
        <v>13529</v>
      </c>
      <c r="E3961" s="1156" t="s">
        <v>13530</v>
      </c>
      <c r="F3961" s="342" t="s">
        <v>3583</v>
      </c>
      <c r="G3961" s="471" t="s">
        <v>12464</v>
      </c>
      <c r="H3961" s="645"/>
      <c r="I3961" s="306" t="s">
        <v>2890</v>
      </c>
      <c r="J3961" s="19"/>
      <c r="K3961" s="19"/>
      <c r="L3961" s="12" t="s">
        <v>2541</v>
      </c>
      <c r="M3961" s="19"/>
      <c r="N3961" s="19"/>
      <c r="O3961" s="34" t="s">
        <v>11815</v>
      </c>
      <c r="P3961" s="19"/>
    </row>
    <row r="3962">
      <c r="A3962" s="999">
        <v>80.0</v>
      </c>
      <c r="B3962" s="1000" t="s">
        <v>13531</v>
      </c>
      <c r="C3962" s="342" t="s">
        <v>80</v>
      </c>
      <c r="D3962" s="342" t="s">
        <v>13532</v>
      </c>
      <c r="E3962" s="1157" t="s">
        <v>13533</v>
      </c>
      <c r="F3962" s="342" t="s">
        <v>13534</v>
      </c>
      <c r="G3962" s="471" t="s">
        <v>13249</v>
      </c>
      <c r="H3962" s="645"/>
      <c r="I3962" s="514" t="s">
        <v>10198</v>
      </c>
      <c r="J3962" s="19"/>
      <c r="K3962" s="19"/>
      <c r="L3962" s="33" t="s">
        <v>4195</v>
      </c>
      <c r="M3962" s="19"/>
      <c r="N3962" s="19"/>
      <c r="O3962" s="19"/>
      <c r="P3962" s="19"/>
    </row>
    <row r="3963">
      <c r="A3963" s="339" t="s">
        <v>13535</v>
      </c>
      <c r="Q3963" s="35"/>
      <c r="R3963" s="35"/>
      <c r="S3963" s="35"/>
      <c r="T3963" s="35"/>
      <c r="U3963" s="35"/>
      <c r="V3963" s="35"/>
      <c r="W3963" s="35"/>
      <c r="X3963" s="35"/>
      <c r="Y3963" s="35"/>
      <c r="Z3963" s="35"/>
      <c r="AA3963" s="35"/>
      <c r="AB3963" s="35"/>
      <c r="AC3963" s="35"/>
      <c r="AD3963" s="35"/>
      <c r="AE3963" s="35"/>
      <c r="AF3963" s="35"/>
    </row>
    <row r="3964">
      <c r="A3964" s="670" t="s">
        <v>47</v>
      </c>
      <c r="B3964" s="670" t="s">
        <v>7</v>
      </c>
      <c r="C3964" s="670" t="s">
        <v>9</v>
      </c>
      <c r="D3964" s="670" t="s">
        <v>10</v>
      </c>
      <c r="E3964" s="670" t="s">
        <v>11</v>
      </c>
      <c r="F3964" s="670" t="s">
        <v>12</v>
      </c>
      <c r="G3964" s="670" t="s">
        <v>2378</v>
      </c>
      <c r="H3964" s="670" t="s">
        <v>2681</v>
      </c>
      <c r="I3964" s="4" t="s">
        <v>2847</v>
      </c>
      <c r="J3964" s="8" t="s">
        <v>14</v>
      </c>
      <c r="K3964" s="9" t="s">
        <v>16</v>
      </c>
      <c r="L3964" s="10" t="s">
        <v>11871</v>
      </c>
      <c r="M3964" s="9" t="s">
        <v>18</v>
      </c>
      <c r="N3964" s="9" t="s">
        <v>19</v>
      </c>
      <c r="O3964" s="9" t="s">
        <v>20</v>
      </c>
      <c r="P3964" s="9" t="s">
        <v>21</v>
      </c>
      <c r="Q3964" s="35"/>
      <c r="R3964" s="35"/>
      <c r="S3964" s="35"/>
      <c r="T3964" s="35"/>
      <c r="U3964" s="35"/>
      <c r="V3964" s="35"/>
      <c r="W3964" s="35"/>
      <c r="X3964" s="35"/>
      <c r="Y3964" s="35"/>
      <c r="Z3964" s="35"/>
      <c r="AA3964" s="35"/>
      <c r="AB3964" s="35"/>
      <c r="AC3964" s="35"/>
      <c r="AD3964" s="35"/>
      <c r="AE3964" s="35"/>
      <c r="AF3964" s="35"/>
    </row>
    <row r="3965">
      <c r="A3965" s="995">
        <v>1.0</v>
      </c>
      <c r="B3965" s="996" t="s">
        <v>13536</v>
      </c>
      <c r="C3965" s="1158" t="s">
        <v>80</v>
      </c>
      <c r="D3965" s="504" t="s">
        <v>13537</v>
      </c>
      <c r="E3965" s="995" t="s">
        <v>13538</v>
      </c>
      <c r="F3965" s="1158" t="s">
        <v>13539</v>
      </c>
      <c r="G3965" s="526" t="s">
        <v>13326</v>
      </c>
      <c r="H3965" s="645"/>
      <c r="I3965" s="1159" t="s">
        <v>2890</v>
      </c>
      <c r="J3965" s="19"/>
      <c r="K3965" s="19"/>
      <c r="L3965" s="12" t="s">
        <v>4195</v>
      </c>
      <c r="M3965" s="19"/>
      <c r="N3965" s="19"/>
      <c r="O3965" s="34" t="s">
        <v>1290</v>
      </c>
      <c r="P3965" s="102" t="s">
        <v>1432</v>
      </c>
    </row>
    <row r="3966">
      <c r="A3966" s="999">
        <v>2.0</v>
      </c>
      <c r="B3966" s="1160" t="s">
        <v>13540</v>
      </c>
      <c r="C3966" s="1161" t="s">
        <v>80</v>
      </c>
      <c r="D3966" s="342" t="s">
        <v>13541</v>
      </c>
      <c r="E3966" s="999" t="s">
        <v>13542</v>
      </c>
      <c r="F3966" s="1161" t="s">
        <v>13543</v>
      </c>
      <c r="G3966" s="471" t="s">
        <v>11815</v>
      </c>
      <c r="H3966" s="645"/>
      <c r="I3966" s="1162" t="s">
        <v>2890</v>
      </c>
      <c r="J3966" s="19"/>
      <c r="K3966" s="19"/>
      <c r="L3966" s="12" t="s">
        <v>374</v>
      </c>
      <c r="M3966" s="19"/>
      <c r="N3966" s="19"/>
      <c r="O3966" s="19"/>
      <c r="P3966" s="102" t="s">
        <v>1432</v>
      </c>
    </row>
    <row r="3967">
      <c r="A3967" s="999">
        <v>3.0</v>
      </c>
      <c r="B3967" s="1000" t="s">
        <v>13544</v>
      </c>
      <c r="C3967" s="1161" t="s">
        <v>80</v>
      </c>
      <c r="D3967" s="342" t="s">
        <v>13545</v>
      </c>
      <c r="E3967" s="1008" t="s">
        <v>13546</v>
      </c>
      <c r="F3967" s="1161" t="s">
        <v>10535</v>
      </c>
      <c r="G3967" s="471" t="s">
        <v>12919</v>
      </c>
      <c r="H3967" s="645"/>
      <c r="I3967" s="1162" t="s">
        <v>2890</v>
      </c>
      <c r="J3967" s="19"/>
      <c r="K3967" s="19"/>
      <c r="L3967" s="12" t="s">
        <v>2541</v>
      </c>
      <c r="M3967" s="19"/>
      <c r="N3967" s="19"/>
      <c r="O3967" s="19"/>
      <c r="P3967" s="19"/>
    </row>
    <row r="3968">
      <c r="A3968" s="999">
        <v>4.0</v>
      </c>
      <c r="B3968" s="1000" t="s">
        <v>13547</v>
      </c>
      <c r="C3968" s="1161" t="s">
        <v>80</v>
      </c>
      <c r="D3968" s="342" t="s">
        <v>13548</v>
      </c>
      <c r="E3968" s="1008" t="s">
        <v>13549</v>
      </c>
      <c r="F3968" s="1161" t="s">
        <v>10535</v>
      </c>
      <c r="G3968" s="471" t="s">
        <v>12919</v>
      </c>
      <c r="H3968" s="645"/>
      <c r="I3968" s="1162" t="s">
        <v>2890</v>
      </c>
      <c r="J3968" s="19"/>
      <c r="K3968" s="19"/>
      <c r="L3968" s="12" t="s">
        <v>2541</v>
      </c>
      <c r="M3968" s="19"/>
      <c r="N3968" s="19"/>
      <c r="O3968" s="19"/>
      <c r="P3968" s="19"/>
    </row>
    <row r="3969">
      <c r="A3969" s="999">
        <v>5.0</v>
      </c>
      <c r="B3969" s="1000" t="s">
        <v>13550</v>
      </c>
      <c r="C3969" s="1161" t="s">
        <v>80</v>
      </c>
      <c r="D3969" s="342" t="s">
        <v>13551</v>
      </c>
      <c r="E3969" s="999" t="s">
        <v>13552</v>
      </c>
      <c r="F3969" s="1161" t="s">
        <v>13553</v>
      </c>
      <c r="G3969" s="471" t="s">
        <v>12919</v>
      </c>
      <c r="H3969" s="645"/>
      <c r="I3969" s="1163" t="s">
        <v>10093</v>
      </c>
      <c r="J3969" s="19"/>
      <c r="K3969" s="19"/>
      <c r="L3969" s="12" t="s">
        <v>51</v>
      </c>
      <c r="M3969" s="19"/>
      <c r="N3969" s="19"/>
      <c r="O3969" s="19"/>
      <c r="P3969" s="19"/>
    </row>
    <row r="3970">
      <c r="A3970" s="999">
        <v>6.0</v>
      </c>
      <c r="B3970" s="1000" t="s">
        <v>13554</v>
      </c>
      <c r="C3970" s="1161" t="s">
        <v>80</v>
      </c>
      <c r="D3970" s="342" t="s">
        <v>13555</v>
      </c>
      <c r="E3970" s="999" t="s">
        <v>13556</v>
      </c>
      <c r="F3970" s="1161" t="s">
        <v>13557</v>
      </c>
      <c r="G3970" s="471" t="s">
        <v>12919</v>
      </c>
      <c r="H3970" s="645"/>
      <c r="I3970" s="1163" t="s">
        <v>10093</v>
      </c>
      <c r="J3970" s="19"/>
      <c r="K3970" s="19"/>
      <c r="L3970" s="12" t="s">
        <v>11863</v>
      </c>
      <c r="M3970" s="19"/>
      <c r="N3970" s="19"/>
      <c r="O3970" s="19"/>
      <c r="P3970" s="19"/>
    </row>
    <row r="3971">
      <c r="A3971" s="999">
        <v>7.0</v>
      </c>
      <c r="B3971" s="1000" t="s">
        <v>13558</v>
      </c>
      <c r="C3971" s="1161" t="s">
        <v>2307</v>
      </c>
      <c r="D3971" s="342" t="s">
        <v>13559</v>
      </c>
      <c r="E3971" s="999" t="s">
        <v>13560</v>
      </c>
      <c r="F3971" s="1161" t="s">
        <v>148</v>
      </c>
      <c r="G3971" s="471" t="s">
        <v>1290</v>
      </c>
      <c r="H3971" s="645"/>
      <c r="I3971" s="1162" t="s">
        <v>2890</v>
      </c>
      <c r="J3971" s="19"/>
      <c r="K3971" s="19"/>
      <c r="L3971" s="12" t="s">
        <v>699</v>
      </c>
      <c r="M3971" s="19"/>
      <c r="N3971" s="19"/>
      <c r="O3971" s="19"/>
      <c r="P3971" s="102" t="s">
        <v>1432</v>
      </c>
    </row>
    <row r="3972" hidden="1">
      <c r="A3972" s="999">
        <v>8.0</v>
      </c>
      <c r="B3972" s="1000" t="s">
        <v>13561</v>
      </c>
      <c r="C3972" s="1161" t="s">
        <v>80</v>
      </c>
      <c r="D3972" s="342" t="s">
        <v>13562</v>
      </c>
      <c r="E3972" s="1156" t="s">
        <v>13563</v>
      </c>
      <c r="F3972" s="1161" t="s">
        <v>3583</v>
      </c>
      <c r="G3972" s="471" t="s">
        <v>13326</v>
      </c>
      <c r="H3972" s="645"/>
      <c r="I3972" s="1162" t="s">
        <v>2890</v>
      </c>
      <c r="J3972" s="19"/>
      <c r="K3972" s="19"/>
      <c r="L3972" s="12" t="s">
        <v>11863</v>
      </c>
      <c r="M3972" s="19"/>
      <c r="N3972" s="19"/>
      <c r="O3972" s="34" t="s">
        <v>12162</v>
      </c>
      <c r="P3972" s="19"/>
    </row>
    <row r="3973" hidden="1">
      <c r="A3973" s="999">
        <v>9.0</v>
      </c>
      <c r="B3973" s="1000" t="s">
        <v>13564</v>
      </c>
      <c r="C3973" s="1161" t="s">
        <v>13565</v>
      </c>
      <c r="D3973" s="342" t="s">
        <v>13566</v>
      </c>
      <c r="E3973" s="1156" t="s">
        <v>13567</v>
      </c>
      <c r="F3973" s="1161" t="s">
        <v>3583</v>
      </c>
      <c r="G3973" s="471" t="s">
        <v>13326</v>
      </c>
      <c r="H3973" s="645"/>
      <c r="I3973" s="1163" t="s">
        <v>10093</v>
      </c>
      <c r="J3973" s="19"/>
      <c r="K3973" s="19"/>
      <c r="L3973" s="12" t="s">
        <v>2541</v>
      </c>
      <c r="M3973" s="19"/>
      <c r="N3973" s="19"/>
      <c r="O3973" s="34" t="s">
        <v>12162</v>
      </c>
      <c r="P3973" s="19"/>
    </row>
    <row r="3974" hidden="1">
      <c r="A3974" s="999">
        <v>10.0</v>
      </c>
      <c r="B3974" s="1000" t="s">
        <v>13568</v>
      </c>
      <c r="C3974" s="1161" t="s">
        <v>80</v>
      </c>
      <c r="D3974" s="342" t="s">
        <v>13569</v>
      </c>
      <c r="E3974" s="1156" t="s">
        <v>13570</v>
      </c>
      <c r="F3974" s="1161" t="s">
        <v>3583</v>
      </c>
      <c r="G3974" s="471" t="s">
        <v>13326</v>
      </c>
      <c r="H3974" s="645"/>
      <c r="I3974" s="1163" t="s">
        <v>10093</v>
      </c>
      <c r="J3974" s="19"/>
      <c r="K3974" s="19"/>
      <c r="L3974" s="12" t="s">
        <v>11863</v>
      </c>
      <c r="M3974" s="19"/>
      <c r="N3974" s="19"/>
      <c r="O3974" s="34" t="s">
        <v>12162</v>
      </c>
      <c r="P3974" s="19"/>
    </row>
    <row r="3975" hidden="1">
      <c r="A3975" s="999">
        <v>11.0</v>
      </c>
      <c r="B3975" s="1000" t="s">
        <v>13571</v>
      </c>
      <c r="C3975" s="1161" t="s">
        <v>80</v>
      </c>
      <c r="D3975" s="342" t="s">
        <v>13572</v>
      </c>
      <c r="E3975" s="1156" t="s">
        <v>13573</v>
      </c>
      <c r="F3975" s="1161" t="s">
        <v>3583</v>
      </c>
      <c r="G3975" s="471" t="s">
        <v>13326</v>
      </c>
      <c r="H3975" s="645"/>
      <c r="I3975" s="1162" t="s">
        <v>2890</v>
      </c>
      <c r="J3975" s="19"/>
      <c r="K3975" s="19"/>
      <c r="L3975" s="12" t="s">
        <v>2541</v>
      </c>
      <c r="M3975" s="19"/>
      <c r="N3975" s="19"/>
      <c r="O3975" s="34" t="s">
        <v>12162</v>
      </c>
      <c r="P3975" s="19"/>
    </row>
    <row r="3976" hidden="1">
      <c r="A3976" s="999">
        <v>12.0</v>
      </c>
      <c r="B3976" s="1000" t="s">
        <v>13574</v>
      </c>
      <c r="C3976" s="1161" t="s">
        <v>13565</v>
      </c>
      <c r="D3976" s="342" t="s">
        <v>13575</v>
      </c>
      <c r="E3976" s="1156" t="s">
        <v>13576</v>
      </c>
      <c r="F3976" s="1161" t="s">
        <v>3583</v>
      </c>
      <c r="G3976" s="471" t="s">
        <v>13326</v>
      </c>
      <c r="H3976" s="645"/>
      <c r="I3976" s="1162" t="s">
        <v>2890</v>
      </c>
      <c r="J3976" s="19"/>
      <c r="K3976" s="19"/>
      <c r="L3976" s="12" t="s">
        <v>11863</v>
      </c>
      <c r="M3976" s="19"/>
      <c r="N3976" s="19"/>
      <c r="O3976" s="34" t="s">
        <v>12162</v>
      </c>
      <c r="P3976" s="19"/>
    </row>
    <row r="3977" hidden="1">
      <c r="A3977" s="999">
        <v>13.0</v>
      </c>
      <c r="B3977" s="1000" t="s">
        <v>13577</v>
      </c>
      <c r="C3977" s="1161" t="s">
        <v>80</v>
      </c>
      <c r="D3977" s="342" t="s">
        <v>13578</v>
      </c>
      <c r="E3977" s="1156" t="s">
        <v>13579</v>
      </c>
      <c r="F3977" s="1161" t="s">
        <v>3583</v>
      </c>
      <c r="G3977" s="471" t="s">
        <v>13326</v>
      </c>
      <c r="H3977" s="645"/>
      <c r="I3977" s="1163" t="s">
        <v>10093</v>
      </c>
      <c r="J3977" s="19"/>
      <c r="K3977" s="19"/>
      <c r="L3977" s="12" t="s">
        <v>11863</v>
      </c>
      <c r="M3977" s="19"/>
      <c r="N3977" s="19"/>
      <c r="O3977" s="34" t="s">
        <v>12162</v>
      </c>
      <c r="P3977" s="19"/>
    </row>
    <row r="3978" hidden="1">
      <c r="A3978" s="999">
        <v>14.0</v>
      </c>
      <c r="B3978" s="1000" t="s">
        <v>13580</v>
      </c>
      <c r="C3978" s="1161" t="s">
        <v>80</v>
      </c>
      <c r="D3978" s="342" t="s">
        <v>13581</v>
      </c>
      <c r="E3978" s="1008" t="s">
        <v>13582</v>
      </c>
      <c r="F3978" s="1161" t="s">
        <v>13583</v>
      </c>
      <c r="G3978" s="471" t="s">
        <v>13584</v>
      </c>
      <c r="H3978" s="645"/>
      <c r="I3978" s="1162" t="s">
        <v>2890</v>
      </c>
      <c r="J3978" s="19"/>
      <c r="K3978" s="19"/>
      <c r="L3978" s="12" t="s">
        <v>4195</v>
      </c>
      <c r="M3978" s="19"/>
      <c r="N3978" s="19"/>
      <c r="O3978" s="34" t="s">
        <v>11823</v>
      </c>
      <c r="P3978" s="102" t="s">
        <v>1432</v>
      </c>
    </row>
    <row r="3979" hidden="1">
      <c r="A3979" s="999">
        <v>15.0</v>
      </c>
      <c r="B3979" s="1000" t="s">
        <v>13585</v>
      </c>
      <c r="C3979" s="1161" t="s">
        <v>80</v>
      </c>
      <c r="D3979" s="342" t="s">
        <v>13586</v>
      </c>
      <c r="E3979" s="1008" t="s">
        <v>13587</v>
      </c>
      <c r="F3979" s="1161" t="s">
        <v>13583</v>
      </c>
      <c r="G3979" s="471" t="s">
        <v>13584</v>
      </c>
      <c r="H3979" s="645"/>
      <c r="I3979" s="1163" t="s">
        <v>10198</v>
      </c>
      <c r="J3979" s="19"/>
      <c r="K3979" s="19"/>
      <c r="L3979" s="12" t="s">
        <v>4195</v>
      </c>
      <c r="M3979" s="19"/>
      <c r="N3979" s="19"/>
      <c r="O3979" s="34" t="s">
        <v>11823</v>
      </c>
      <c r="P3979" s="102" t="s">
        <v>1432</v>
      </c>
    </row>
    <row r="3980">
      <c r="A3980" s="999">
        <v>16.0</v>
      </c>
      <c r="B3980" s="1000" t="s">
        <v>13588</v>
      </c>
      <c r="C3980" s="1161" t="s">
        <v>80</v>
      </c>
      <c r="D3980" s="342" t="s">
        <v>13589</v>
      </c>
      <c r="E3980" s="999" t="s">
        <v>13590</v>
      </c>
      <c r="F3980" s="1161" t="s">
        <v>556</v>
      </c>
      <c r="G3980" s="471" t="s">
        <v>13584</v>
      </c>
      <c r="H3980" s="645"/>
      <c r="I3980" s="1163" t="s">
        <v>10198</v>
      </c>
      <c r="J3980" s="19"/>
      <c r="K3980" s="19"/>
      <c r="L3980" s="12" t="s">
        <v>4195</v>
      </c>
      <c r="M3980" s="19"/>
      <c r="N3980" s="19"/>
      <c r="O3980" s="19"/>
      <c r="P3980" s="102" t="s">
        <v>1432</v>
      </c>
    </row>
    <row r="3981">
      <c r="A3981" s="1010">
        <v>17.0</v>
      </c>
      <c r="B3981" s="1164" t="s">
        <v>13591</v>
      </c>
      <c r="C3981" s="1165" t="s">
        <v>8251</v>
      </c>
      <c r="D3981" s="486" t="s">
        <v>13592</v>
      </c>
      <c r="E3981" s="1010" t="s">
        <v>13593</v>
      </c>
      <c r="F3981" s="1165" t="s">
        <v>13594</v>
      </c>
      <c r="G3981" s="486" t="s">
        <v>13584</v>
      </c>
      <c r="H3981" s="1166"/>
      <c r="I3981" s="1167" t="s">
        <v>2890</v>
      </c>
      <c r="J3981" s="412"/>
      <c r="K3981" s="412"/>
      <c r="L3981" s="411"/>
      <c r="M3981" s="412"/>
      <c r="N3981" s="412"/>
      <c r="O3981" s="412"/>
      <c r="P3981" s="412"/>
      <c r="Q3981" s="405"/>
      <c r="R3981" s="405"/>
      <c r="S3981" s="405"/>
      <c r="T3981" s="405"/>
      <c r="U3981" s="405"/>
      <c r="V3981" s="405"/>
      <c r="W3981" s="405"/>
      <c r="X3981" s="405"/>
      <c r="Y3981" s="405"/>
      <c r="Z3981" s="405"/>
      <c r="AA3981" s="405"/>
      <c r="AB3981" s="405"/>
      <c r="AC3981" s="405"/>
      <c r="AD3981" s="405"/>
      <c r="AE3981" s="405"/>
      <c r="AF3981" s="405"/>
    </row>
    <row r="3982">
      <c r="A3982" s="1028">
        <v>18.0</v>
      </c>
      <c r="B3982" s="1110" t="s">
        <v>13595</v>
      </c>
      <c r="C3982" s="1168" t="s">
        <v>80</v>
      </c>
      <c r="D3982" s="1031" t="s">
        <v>13596</v>
      </c>
      <c r="E3982" s="1028" t="s">
        <v>13597</v>
      </c>
      <c r="F3982" s="1168" t="s">
        <v>13598</v>
      </c>
      <c r="G3982" s="558" t="s">
        <v>13584</v>
      </c>
      <c r="H3982" s="1111"/>
      <c r="I3982" s="1169" t="s">
        <v>2890</v>
      </c>
      <c r="J3982" s="1036"/>
      <c r="K3982" s="1036"/>
      <c r="L3982" s="1037" t="s">
        <v>374</v>
      </c>
      <c r="M3982" s="1036"/>
      <c r="N3982" s="1036"/>
      <c r="O3982" s="1065" t="s">
        <v>1553</v>
      </c>
      <c r="P3982" s="1036"/>
      <c r="Q3982" s="1039"/>
      <c r="R3982" s="1039"/>
      <c r="S3982" s="1039"/>
      <c r="T3982" s="1039"/>
      <c r="U3982" s="1039"/>
      <c r="V3982" s="1039"/>
      <c r="W3982" s="1039"/>
      <c r="X3982" s="1039"/>
      <c r="Y3982" s="1039"/>
      <c r="Z3982" s="1039"/>
      <c r="AA3982" s="1039"/>
      <c r="AB3982" s="1039"/>
      <c r="AC3982" s="1039"/>
      <c r="AD3982" s="1039"/>
      <c r="AE3982" s="1039"/>
      <c r="AF3982" s="1039"/>
    </row>
    <row r="3983">
      <c r="A3983" s="999">
        <v>19.0</v>
      </c>
      <c r="B3983" s="1000" t="s">
        <v>13599</v>
      </c>
      <c r="C3983" s="1161" t="s">
        <v>80</v>
      </c>
      <c r="D3983" s="342" t="s">
        <v>13600</v>
      </c>
      <c r="E3983" s="1156" t="s">
        <v>13601</v>
      </c>
      <c r="F3983" s="1161" t="s">
        <v>3928</v>
      </c>
      <c r="G3983" s="471" t="s">
        <v>13326</v>
      </c>
      <c r="H3983" s="645"/>
      <c r="I3983" s="1162" t="s">
        <v>2890</v>
      </c>
      <c r="J3983" s="19"/>
      <c r="K3983" s="19"/>
      <c r="L3983" s="12" t="s">
        <v>9469</v>
      </c>
      <c r="M3983" s="19"/>
      <c r="N3983" s="19"/>
      <c r="O3983" s="34" t="s">
        <v>11519</v>
      </c>
      <c r="P3983" s="19"/>
    </row>
    <row r="3984">
      <c r="A3984" s="999">
        <v>20.0</v>
      </c>
      <c r="B3984" s="1000" t="s">
        <v>13602</v>
      </c>
      <c r="C3984" s="1161" t="s">
        <v>80</v>
      </c>
      <c r="D3984" s="342" t="s">
        <v>13603</v>
      </c>
      <c r="E3984" s="1156" t="s">
        <v>13604</v>
      </c>
      <c r="F3984" s="1161" t="s">
        <v>3928</v>
      </c>
      <c r="G3984" s="471" t="s">
        <v>13326</v>
      </c>
      <c r="H3984" s="645"/>
      <c r="I3984" s="1163" t="s">
        <v>10093</v>
      </c>
      <c r="J3984" s="19"/>
      <c r="K3984" s="19"/>
      <c r="L3984" s="12" t="s">
        <v>9469</v>
      </c>
      <c r="M3984" s="19"/>
      <c r="N3984" s="19"/>
      <c r="O3984" s="34" t="s">
        <v>11758</v>
      </c>
      <c r="P3984" s="19"/>
    </row>
    <row r="3985">
      <c r="A3985" s="999">
        <v>21.0</v>
      </c>
      <c r="B3985" s="1000" t="s">
        <v>13605</v>
      </c>
      <c r="C3985" s="1161" t="s">
        <v>80</v>
      </c>
      <c r="D3985" s="342" t="s">
        <v>13606</v>
      </c>
      <c r="E3985" s="1156" t="s">
        <v>13607</v>
      </c>
      <c r="F3985" s="1161" t="s">
        <v>3928</v>
      </c>
      <c r="G3985" s="471" t="s">
        <v>11810</v>
      </c>
      <c r="H3985" s="645"/>
      <c r="I3985" s="1162" t="s">
        <v>2890</v>
      </c>
      <c r="J3985" s="19"/>
      <c r="K3985" s="19"/>
      <c r="L3985" s="12" t="s">
        <v>9469</v>
      </c>
      <c r="M3985" s="19"/>
      <c r="N3985" s="19"/>
      <c r="O3985" s="34" t="s">
        <v>11758</v>
      </c>
      <c r="P3985" s="19"/>
    </row>
    <row r="3986">
      <c r="A3986" s="999">
        <v>22.0</v>
      </c>
      <c r="B3986" s="1000" t="s">
        <v>13608</v>
      </c>
      <c r="C3986" s="1161" t="s">
        <v>80</v>
      </c>
      <c r="D3986" s="342" t="s">
        <v>13609</v>
      </c>
      <c r="E3986" s="1156" t="s">
        <v>13610</v>
      </c>
      <c r="F3986" s="1161" t="s">
        <v>3928</v>
      </c>
      <c r="G3986" s="471" t="s">
        <v>13326</v>
      </c>
      <c r="H3986" s="645"/>
      <c r="I3986" s="1162" t="s">
        <v>2890</v>
      </c>
      <c r="J3986" s="19"/>
      <c r="K3986" s="19"/>
      <c r="L3986" s="12" t="s">
        <v>9469</v>
      </c>
      <c r="M3986" s="19"/>
      <c r="N3986" s="19"/>
      <c r="O3986" s="34" t="s">
        <v>11758</v>
      </c>
      <c r="P3986" s="19"/>
    </row>
    <row r="3987">
      <c r="A3987" s="999">
        <v>23.0</v>
      </c>
      <c r="B3987" s="1000" t="s">
        <v>13611</v>
      </c>
      <c r="C3987" s="1161" t="s">
        <v>13612</v>
      </c>
      <c r="D3987" s="342" t="s">
        <v>13613</v>
      </c>
      <c r="E3987" s="999" t="s">
        <v>13614</v>
      </c>
      <c r="F3987" s="1161" t="s">
        <v>13615</v>
      </c>
      <c r="G3987" s="471"/>
      <c r="H3987" s="645"/>
      <c r="I3987" s="1162" t="s">
        <v>2890</v>
      </c>
      <c r="J3987" s="19"/>
      <c r="K3987" s="19"/>
      <c r="L3987" s="14"/>
      <c r="M3987" s="19"/>
      <c r="N3987" s="34" t="s">
        <v>13457</v>
      </c>
      <c r="O3987" s="19"/>
      <c r="P3987" s="19"/>
    </row>
    <row r="3988" hidden="1">
      <c r="A3988" s="999">
        <v>24.0</v>
      </c>
      <c r="B3988" s="1000" t="s">
        <v>13616</v>
      </c>
      <c r="C3988" s="1161" t="s">
        <v>80</v>
      </c>
      <c r="D3988" s="342" t="s">
        <v>13617</v>
      </c>
      <c r="E3988" s="1028" t="s">
        <v>13618</v>
      </c>
      <c r="F3988" s="1161" t="s">
        <v>13380</v>
      </c>
      <c r="G3988" s="471" t="s">
        <v>12941</v>
      </c>
      <c r="H3988" s="645"/>
      <c r="I3988" s="1163" t="s">
        <v>10093</v>
      </c>
      <c r="J3988" s="19"/>
      <c r="K3988" s="19"/>
      <c r="L3988" s="12" t="s">
        <v>51</v>
      </c>
      <c r="M3988" s="19"/>
      <c r="N3988" s="19"/>
      <c r="O3988" s="34" t="s">
        <v>11823</v>
      </c>
      <c r="P3988" s="102" t="s">
        <v>1432</v>
      </c>
    </row>
    <row r="3989">
      <c r="A3989" s="339" t="s">
        <v>13619</v>
      </c>
    </row>
    <row r="3990">
      <c r="A3990" s="670" t="s">
        <v>47</v>
      </c>
      <c r="B3990" s="670" t="s">
        <v>7</v>
      </c>
      <c r="C3990" s="670" t="s">
        <v>9</v>
      </c>
      <c r="D3990" s="670" t="s">
        <v>10</v>
      </c>
      <c r="E3990" s="670" t="s">
        <v>11</v>
      </c>
      <c r="F3990" s="670" t="s">
        <v>12</v>
      </c>
      <c r="G3990" s="670" t="s">
        <v>2378</v>
      </c>
      <c r="H3990" s="670" t="s">
        <v>2681</v>
      </c>
      <c r="I3990" s="4" t="s">
        <v>2847</v>
      </c>
      <c r="J3990" s="8" t="s">
        <v>14</v>
      </c>
      <c r="K3990" s="9" t="s">
        <v>16</v>
      </c>
      <c r="L3990" s="10" t="s">
        <v>11871</v>
      </c>
      <c r="M3990" s="9" t="s">
        <v>18</v>
      </c>
      <c r="N3990" s="9" t="s">
        <v>19</v>
      </c>
      <c r="O3990" s="9" t="s">
        <v>20</v>
      </c>
      <c r="P3990" s="9" t="s">
        <v>21</v>
      </c>
      <c r="Q3990" s="35"/>
      <c r="R3990" s="35"/>
      <c r="S3990" s="35"/>
      <c r="T3990" s="35"/>
      <c r="U3990" s="35"/>
      <c r="V3990" s="35"/>
      <c r="W3990" s="35"/>
      <c r="X3990" s="35"/>
      <c r="Y3990" s="35"/>
      <c r="Z3990" s="35"/>
      <c r="AA3990" s="35"/>
      <c r="AB3990" s="35"/>
      <c r="AC3990" s="35"/>
      <c r="AD3990" s="35"/>
      <c r="AE3990" s="35"/>
      <c r="AF3990" s="35"/>
    </row>
    <row r="3991" hidden="1">
      <c r="A3991" s="526">
        <v>1.0</v>
      </c>
      <c r="B3991" s="527" t="s">
        <v>13620</v>
      </c>
      <c r="C3991" s="526" t="s">
        <v>80</v>
      </c>
      <c r="D3991" s="526" t="s">
        <v>13621</v>
      </c>
      <c r="E3991" s="526" t="s">
        <v>13622</v>
      </c>
      <c r="F3991" s="526" t="s">
        <v>13623</v>
      </c>
      <c r="G3991" s="118" t="str">
        <f t="array" ref="G3991">IF(TRIM(E3991)="","",IFERROR(TEXT(INDEX(TAT_HELPER!D:D,MATCH(TRIM(E3991),TRIM(TAT_HELPER!A:A),0)),"dd-mm-yyyy"),""))
</f>
        <v>11-07-2026</v>
      </c>
      <c r="H3991" s="645"/>
      <c r="I3991" s="29"/>
      <c r="J3991" s="19"/>
      <c r="K3991" s="19"/>
      <c r="L3991" s="12" t="s">
        <v>374</v>
      </c>
      <c r="M3991" s="19"/>
      <c r="N3991" s="19"/>
      <c r="O3991" s="34" t="s">
        <v>1129</v>
      </c>
      <c r="P3991" s="19"/>
    </row>
    <row r="3992" hidden="1">
      <c r="A3992" s="526">
        <v>2.0</v>
      </c>
      <c r="B3992" s="527" t="s">
        <v>13624</v>
      </c>
      <c r="C3992" s="526" t="s">
        <v>80</v>
      </c>
      <c r="D3992" s="526" t="s">
        <v>13625</v>
      </c>
      <c r="E3992" s="526" t="s">
        <v>13626</v>
      </c>
      <c r="F3992" s="526" t="s">
        <v>2120</v>
      </c>
      <c r="G3992" s="118" t="str">
        <f t="array" ref="G3992">IF(TRIM(E3992)="","",IFERROR(TEXT(INDEX(TAT_HELPER!D:D,MATCH(TRIM(E3992),TRIM(TAT_HELPER!A:A),0)),"dd-mm-yyyy"),""))
</f>
        <v>24-07-2026</v>
      </c>
      <c r="H3992" s="645"/>
      <c r="I3992" s="1170" t="s">
        <v>3231</v>
      </c>
      <c r="J3992" s="19"/>
      <c r="K3992" s="19"/>
      <c r="L3992" s="12" t="s">
        <v>374</v>
      </c>
      <c r="M3992" s="19"/>
      <c r="N3992" s="19"/>
      <c r="O3992" s="12" t="s">
        <v>13326</v>
      </c>
      <c r="P3992" s="19"/>
    </row>
    <row r="3993" hidden="1">
      <c r="A3993" s="526">
        <v>3.0</v>
      </c>
      <c r="B3993" s="527" t="s">
        <v>13627</v>
      </c>
      <c r="C3993" s="526" t="s">
        <v>80</v>
      </c>
      <c r="D3993" s="526" t="s">
        <v>13628</v>
      </c>
      <c r="E3993" s="526" t="s">
        <v>13629</v>
      </c>
      <c r="F3993" s="526" t="s">
        <v>1294</v>
      </c>
      <c r="G3993" s="118" t="str">
        <f t="array" ref="G3993">IF(TRIM(E3993)="","",IFERROR(TEXT(INDEX(TAT_HELPER!D:D,MATCH(TRIM(E3993),TRIM(TAT_HELPER!A:A),0)),"dd-mm-yyyy"),""))
</f>
        <v>22-07-2026</v>
      </c>
      <c r="H3993" s="645"/>
      <c r="I3993" s="29"/>
      <c r="J3993" s="19"/>
      <c r="K3993" s="19"/>
      <c r="L3993" s="12" t="s">
        <v>51</v>
      </c>
      <c r="M3993" s="19"/>
      <c r="N3993" s="19"/>
      <c r="O3993" s="34" t="s">
        <v>1290</v>
      </c>
      <c r="P3993" s="19"/>
    </row>
    <row r="3994" hidden="1">
      <c r="A3994" s="526">
        <v>4.0</v>
      </c>
      <c r="B3994" s="527" t="s">
        <v>13630</v>
      </c>
      <c r="C3994" s="526" t="s">
        <v>80</v>
      </c>
      <c r="D3994" s="526" t="s">
        <v>13631</v>
      </c>
      <c r="E3994" s="1171" t="s">
        <v>13632</v>
      </c>
      <c r="F3994" s="526" t="s">
        <v>9205</v>
      </c>
      <c r="G3994" s="118" t="str">
        <f t="array" ref="G3994">IF(TRIM(E3994)="","",IFERROR(TEXT(INDEX(TAT_HELPER!D:D,MATCH(TRIM(E3994),TRIM(TAT_HELPER!A:A),0)),"dd-mm-yyyy"),""))
</f>
        <v>22-07-2026</v>
      </c>
      <c r="H3994" s="645"/>
      <c r="I3994" s="33" t="s">
        <v>2890</v>
      </c>
      <c r="J3994" s="19"/>
      <c r="K3994" s="19"/>
      <c r="L3994" s="12" t="s">
        <v>51</v>
      </c>
      <c r="M3994" s="19"/>
      <c r="N3994" s="19"/>
      <c r="O3994" s="34" t="s">
        <v>13326</v>
      </c>
      <c r="P3994" s="19"/>
    </row>
    <row r="3995" hidden="1">
      <c r="A3995" s="526">
        <v>5.0</v>
      </c>
      <c r="B3995" s="527" t="s">
        <v>13633</v>
      </c>
      <c r="C3995" s="526" t="s">
        <v>80</v>
      </c>
      <c r="D3995" s="526" t="s">
        <v>13634</v>
      </c>
      <c r="E3995" s="526" t="s">
        <v>13635</v>
      </c>
      <c r="F3995" s="526" t="s">
        <v>12876</v>
      </c>
      <c r="G3995" s="118" t="str">
        <f t="array" ref="G3995">IF(TRIM(E3995)="","",IFERROR(TEXT(INDEX(TAT_HELPER!D:D,MATCH(TRIM(E3995),TRIM(TAT_HELPER!A:A),0)),"dd-mm-yyyy"),""))
</f>
        <v>25-07-2026</v>
      </c>
      <c r="H3995" s="645"/>
      <c r="I3995" s="29"/>
      <c r="J3995" s="19"/>
      <c r="K3995" s="19"/>
      <c r="L3995" s="12" t="s">
        <v>4195</v>
      </c>
      <c r="M3995" s="19"/>
      <c r="N3995" s="19"/>
      <c r="O3995" s="34" t="s">
        <v>12157</v>
      </c>
      <c r="P3995" s="19"/>
    </row>
    <row r="3996" hidden="1">
      <c r="A3996" s="471">
        <v>6.0</v>
      </c>
      <c r="B3996" s="470" t="s">
        <v>13636</v>
      </c>
      <c r="C3996" s="471" t="s">
        <v>5937</v>
      </c>
      <c r="D3996" s="471" t="s">
        <v>13637</v>
      </c>
      <c r="E3996" s="471" t="s">
        <v>13638</v>
      </c>
      <c r="F3996" s="471" t="s">
        <v>243</v>
      </c>
      <c r="G3996" s="118" t="str">
        <f t="array" ref="G3996">IF(TRIM(E3996)="","",IFERROR(TEXT(INDEX(TAT_HELPER!D:D,MATCH(TRIM(E3996),TRIM(TAT_HELPER!A:A),0)),"dd-mm-yyyy"),""))
</f>
        <v>28-07-2026</v>
      </c>
      <c r="H3996" s="645"/>
      <c r="I3996" s="33" t="s">
        <v>2890</v>
      </c>
      <c r="J3996" s="19"/>
      <c r="K3996" s="19"/>
      <c r="L3996" s="12" t="s">
        <v>51</v>
      </c>
      <c r="M3996" s="19"/>
      <c r="N3996" s="19"/>
      <c r="O3996" s="34" t="s">
        <v>12845</v>
      </c>
      <c r="P3996" s="19"/>
    </row>
    <row r="3997">
      <c r="A3997" s="471">
        <v>7.0</v>
      </c>
      <c r="B3997" s="470" t="s">
        <v>13639</v>
      </c>
      <c r="C3997" s="471" t="s">
        <v>80</v>
      </c>
      <c r="D3997" s="471" t="s">
        <v>13640</v>
      </c>
      <c r="E3997" s="471" t="s">
        <v>13641</v>
      </c>
      <c r="F3997" s="471" t="s">
        <v>13557</v>
      </c>
      <c r="G3997" s="118" t="str">
        <f t="array" ref="G3997">IF(TRIM(E3997)="","",IFERROR(TEXT(INDEX(TAT_HELPER!D:D,MATCH(TRIM(E3997),TRIM(TAT_HELPER!A:A),0)),"dd-mm-yyyy"),""))
</f>
        <v>28-07-2026</v>
      </c>
      <c r="H3997" s="645"/>
      <c r="I3997" s="1170" t="s">
        <v>10198</v>
      </c>
      <c r="J3997" s="19"/>
      <c r="K3997" s="19"/>
      <c r="L3997" s="12" t="s">
        <v>11863</v>
      </c>
      <c r="M3997" s="19"/>
      <c r="N3997" s="19"/>
      <c r="O3997" s="19"/>
      <c r="P3997" s="19"/>
    </row>
    <row r="3998">
      <c r="A3998" s="471">
        <v>8.0</v>
      </c>
      <c r="B3998" s="470" t="s">
        <v>13642</v>
      </c>
      <c r="C3998" s="471" t="s">
        <v>1185</v>
      </c>
      <c r="D3998" s="471" t="s">
        <v>13643</v>
      </c>
      <c r="E3998" s="471" t="s">
        <v>13644</v>
      </c>
      <c r="F3998" s="471" t="s">
        <v>9951</v>
      </c>
      <c r="G3998" s="118" t="str">
        <f t="array" ref="G3998">IF(TRIM(E3998)="","",IFERROR(TEXT(INDEX(TAT_HELPER!D:D,MATCH(TRIM(E3998),TRIM(TAT_HELPER!A:A),0)),"dd-mm-yyyy"),""))
</f>
        <v>28-07-2026</v>
      </c>
      <c r="H3998" s="645"/>
      <c r="I3998" s="1170" t="s">
        <v>10093</v>
      </c>
      <c r="J3998" s="19"/>
      <c r="K3998" s="19"/>
      <c r="L3998" s="12" t="s">
        <v>2541</v>
      </c>
      <c r="M3998" s="19"/>
      <c r="N3998" s="19"/>
      <c r="O3998" s="34" t="s">
        <v>13645</v>
      </c>
      <c r="P3998" s="102" t="s">
        <v>1432</v>
      </c>
    </row>
    <row r="3999">
      <c r="A3999" s="471">
        <v>9.0</v>
      </c>
      <c r="B3999" s="470" t="s">
        <v>13646</v>
      </c>
      <c r="C3999" s="471" t="s">
        <v>80</v>
      </c>
      <c r="D3999" s="471" t="s">
        <v>13647</v>
      </c>
      <c r="E3999" s="471" t="s">
        <v>13648</v>
      </c>
      <c r="F3999" s="471" t="s">
        <v>11939</v>
      </c>
      <c r="G3999" s="118" t="str">
        <f t="array" ref="G3999">IF(TRIM(E3999)="","",IFERROR(TEXT(INDEX(TAT_HELPER!D:D,MATCH(TRIM(E3999),TRIM(TAT_HELPER!A:A),0)),"dd-mm-yyyy"),""))
</f>
        <v>28-07-2026</v>
      </c>
      <c r="H3999" s="645"/>
      <c r="I3999" s="1170" t="s">
        <v>10198</v>
      </c>
      <c r="J3999" s="19"/>
      <c r="K3999" s="19"/>
      <c r="L3999" s="12" t="s">
        <v>11863</v>
      </c>
      <c r="M3999" s="19"/>
      <c r="N3999" s="19"/>
      <c r="O3999" s="34" t="s">
        <v>13645</v>
      </c>
      <c r="P3999" s="102" t="s">
        <v>1432</v>
      </c>
    </row>
    <row r="4000">
      <c r="A4000" s="471">
        <v>10.0</v>
      </c>
      <c r="B4000" s="470" t="s">
        <v>13649</v>
      </c>
      <c r="C4000" s="471" t="s">
        <v>80</v>
      </c>
      <c r="D4000" s="471" t="s">
        <v>13650</v>
      </c>
      <c r="E4000" s="471" t="s">
        <v>13651</v>
      </c>
      <c r="F4000" s="471" t="s">
        <v>13652</v>
      </c>
      <c r="G4000" s="118" t="str">
        <f t="array" ref="G4000">IF(TRIM(E4000)="","",IFERROR(TEXT(INDEX(TAT_HELPER!D:D,MATCH(TRIM(E4000),TRIM(TAT_HELPER!A:A),0)),"dd-mm-yyyy"),""))
</f>
        <v>28-07-2026</v>
      </c>
      <c r="H4000" s="645"/>
      <c r="I4000" s="1172" t="s">
        <v>13653</v>
      </c>
      <c r="J4000" s="19"/>
      <c r="K4000" s="19"/>
      <c r="L4000" s="12" t="s">
        <v>2541</v>
      </c>
      <c r="M4000" s="19"/>
      <c r="N4000" s="19"/>
      <c r="O4000" s="19"/>
      <c r="P4000" s="19"/>
    </row>
    <row r="4001">
      <c r="A4001" s="471">
        <v>11.0</v>
      </c>
      <c r="B4001" s="470" t="s">
        <v>13654</v>
      </c>
      <c r="C4001" s="471" t="s">
        <v>80</v>
      </c>
      <c r="D4001" s="471" t="s">
        <v>13655</v>
      </c>
      <c r="E4001" s="471" t="s">
        <v>13656</v>
      </c>
      <c r="F4001" s="471" t="s">
        <v>556</v>
      </c>
      <c r="G4001" s="118" t="str">
        <f t="array" ref="G4001">IF(TRIM(E4001)="","",IFERROR(TEXT(INDEX(TAT_HELPER!D:D,MATCH(TRIM(E4001),TRIM(TAT_HELPER!A:A),0)),"dd-mm-yyyy"),""))
</f>
        <v>28-07-2026</v>
      </c>
      <c r="H4001" s="645"/>
      <c r="I4001" s="1170" t="s">
        <v>10093</v>
      </c>
      <c r="J4001" s="19"/>
      <c r="K4001" s="19"/>
      <c r="L4001" s="12" t="s">
        <v>4195</v>
      </c>
      <c r="M4001" s="19"/>
      <c r="N4001" s="19"/>
      <c r="O4001" s="19"/>
      <c r="P4001" s="102" t="s">
        <v>12316</v>
      </c>
    </row>
    <row r="4002">
      <c r="A4002" s="471">
        <v>12.0</v>
      </c>
      <c r="B4002" s="470" t="s">
        <v>13657</v>
      </c>
      <c r="C4002" s="471" t="s">
        <v>80</v>
      </c>
      <c r="D4002" s="471" t="s">
        <v>13658</v>
      </c>
      <c r="E4002" s="471" t="s">
        <v>13659</v>
      </c>
      <c r="F4002" s="471" t="s">
        <v>556</v>
      </c>
      <c r="G4002" s="118" t="str">
        <f t="array" ref="G4002">IF(TRIM(E4002)="","",IFERROR(TEXT(INDEX(TAT_HELPER!D:D,MATCH(TRIM(E4002),TRIM(TAT_HELPER!A:A),0)),"dd-mm-yyyy"),""))
</f>
        <v>28-07-2026</v>
      </c>
      <c r="H4002" s="645"/>
      <c r="I4002" s="1170" t="s">
        <v>10093</v>
      </c>
      <c r="J4002" s="19"/>
      <c r="K4002" s="19"/>
      <c r="L4002" s="12" t="s">
        <v>4195</v>
      </c>
      <c r="M4002" s="19"/>
      <c r="N4002" s="19"/>
      <c r="O4002" s="19"/>
      <c r="P4002" s="102" t="s">
        <v>12316</v>
      </c>
    </row>
    <row r="4003">
      <c r="A4003" s="471">
        <v>13.0</v>
      </c>
      <c r="B4003" s="470" t="s">
        <v>13660</v>
      </c>
      <c r="C4003" s="471" t="s">
        <v>80</v>
      </c>
      <c r="D4003" s="471" t="s">
        <v>13661</v>
      </c>
      <c r="E4003" s="471" t="s">
        <v>13662</v>
      </c>
      <c r="F4003" s="471" t="s">
        <v>556</v>
      </c>
      <c r="G4003" s="118" t="str">
        <f t="array" ref="G4003">IF(TRIM(E4003)="","",IFERROR(TEXT(INDEX(TAT_HELPER!D:D,MATCH(TRIM(E4003),TRIM(TAT_HELPER!A:A),0)),"dd-mm-yyyy"),""))
</f>
        <v>28-07-2026</v>
      </c>
      <c r="H4003" s="645"/>
      <c r="I4003" s="1173" t="s">
        <v>2890</v>
      </c>
      <c r="J4003" s="19"/>
      <c r="K4003" s="19"/>
      <c r="L4003" s="12" t="s">
        <v>51</v>
      </c>
      <c r="M4003" s="19"/>
      <c r="N4003" s="19"/>
      <c r="O4003" s="19"/>
      <c r="P4003" s="102" t="s">
        <v>12316</v>
      </c>
    </row>
    <row r="4004">
      <c r="A4004" s="471">
        <v>14.0</v>
      </c>
      <c r="B4004" s="470" t="s">
        <v>13663</v>
      </c>
      <c r="C4004" s="471" t="s">
        <v>80</v>
      </c>
      <c r="D4004" s="471" t="s">
        <v>13664</v>
      </c>
      <c r="E4004" s="615" t="s">
        <v>13665</v>
      </c>
      <c r="F4004" s="471" t="s">
        <v>3928</v>
      </c>
      <c r="G4004" s="118" t="str">
        <f t="array" ref="G4004">IF(TRIM(E4004)="","",IFERROR(TEXT(INDEX(TAT_HELPER!D:D,MATCH(TRIM(E4004),TRIM(TAT_HELPER!A:A),0)),"dd-mm-yyyy"),""))
</f>
        <v>25-07-2026</v>
      </c>
      <c r="H4004" s="645"/>
      <c r="I4004" s="1173" t="s">
        <v>2890</v>
      </c>
      <c r="J4004" s="19"/>
      <c r="K4004" s="19"/>
      <c r="L4004" s="12" t="s">
        <v>9469</v>
      </c>
      <c r="M4004" s="19"/>
      <c r="N4004" s="19"/>
      <c r="O4004" s="19"/>
      <c r="P4004" s="19"/>
    </row>
    <row r="4005">
      <c r="A4005" s="471">
        <v>15.0</v>
      </c>
      <c r="B4005" s="470" t="s">
        <v>13666</v>
      </c>
      <c r="C4005" s="471" t="s">
        <v>80</v>
      </c>
      <c r="D4005" s="471" t="s">
        <v>13667</v>
      </c>
      <c r="E4005" s="615" t="s">
        <v>13668</v>
      </c>
      <c r="F4005" s="471" t="s">
        <v>3928</v>
      </c>
      <c r="G4005" s="118" t="str">
        <f t="array" ref="G4005">IF(TRIM(E4005)="","",IFERROR(TEXT(INDEX(TAT_HELPER!D:D,MATCH(TRIM(E4005),TRIM(TAT_HELPER!A:A),0)),"dd-mm-yyyy"),""))
</f>
        <v>25-07-2026</v>
      </c>
      <c r="H4005" s="645"/>
      <c r="I4005" s="1173" t="s">
        <v>2890</v>
      </c>
      <c r="J4005" s="19"/>
      <c r="K4005" s="19"/>
      <c r="L4005" s="12" t="s">
        <v>9469</v>
      </c>
      <c r="M4005" s="19"/>
      <c r="N4005" s="19"/>
      <c r="O4005" s="19"/>
      <c r="P4005" s="19"/>
    </row>
    <row r="4006">
      <c r="A4006" s="471">
        <v>16.0</v>
      </c>
      <c r="B4006" s="470" t="s">
        <v>13669</v>
      </c>
      <c r="C4006" s="471" t="s">
        <v>80</v>
      </c>
      <c r="D4006" s="471" t="s">
        <v>13670</v>
      </c>
      <c r="E4006" s="615" t="s">
        <v>13671</v>
      </c>
      <c r="F4006" s="471" t="s">
        <v>3928</v>
      </c>
      <c r="G4006" s="118" t="str">
        <f t="array" ref="G4006">IF(TRIM(E4006)="","",IFERROR(TEXT(INDEX(TAT_HELPER!D:D,MATCH(TRIM(E4006),TRIM(TAT_HELPER!A:A),0)),"dd-mm-yyyy"),""))
</f>
        <v>25-07-2026</v>
      </c>
      <c r="H4006" s="645"/>
      <c r="I4006" s="1173" t="s">
        <v>2890</v>
      </c>
      <c r="J4006" s="19"/>
      <c r="K4006" s="19"/>
      <c r="L4006" s="12" t="s">
        <v>9469</v>
      </c>
      <c r="M4006" s="19"/>
      <c r="N4006" s="19"/>
      <c r="O4006" s="19"/>
      <c r="P4006" s="19"/>
    </row>
    <row r="4007">
      <c r="A4007" s="471">
        <v>17.0</v>
      </c>
      <c r="B4007" s="470" t="s">
        <v>13672</v>
      </c>
      <c r="C4007" s="471" t="s">
        <v>80</v>
      </c>
      <c r="D4007" s="471" t="s">
        <v>13673</v>
      </c>
      <c r="E4007" s="615" t="s">
        <v>13674</v>
      </c>
      <c r="F4007" s="471" t="s">
        <v>3928</v>
      </c>
      <c r="G4007" s="118" t="str">
        <f t="array" ref="G4007">IF(TRIM(E4007)="","",IFERROR(TEXT(INDEX(TAT_HELPER!D:D,MATCH(TRIM(E4007),TRIM(TAT_HELPER!A:A),0)),"dd-mm-yyyy"),""))
</f>
        <v>25-07-2026</v>
      </c>
      <c r="H4007" s="645"/>
      <c r="I4007" s="1173" t="s">
        <v>2890</v>
      </c>
      <c r="J4007" s="19"/>
      <c r="K4007" s="19"/>
      <c r="L4007" s="12" t="s">
        <v>9469</v>
      </c>
      <c r="M4007" s="19"/>
      <c r="N4007" s="19"/>
      <c r="O4007" s="19"/>
      <c r="P4007" s="19"/>
    </row>
    <row r="4008">
      <c r="A4008" s="471">
        <v>18.0</v>
      </c>
      <c r="B4008" s="470" t="s">
        <v>13675</v>
      </c>
      <c r="C4008" s="471" t="s">
        <v>80</v>
      </c>
      <c r="D4008" s="471" t="s">
        <v>13676</v>
      </c>
      <c r="E4008" s="615" t="s">
        <v>13677</v>
      </c>
      <c r="F4008" s="471" t="s">
        <v>3928</v>
      </c>
      <c r="G4008" s="118" t="str">
        <f t="array" ref="G4008">IF(TRIM(E4008)="","",IFERROR(TEXT(INDEX(TAT_HELPER!D:D,MATCH(TRIM(E4008),TRIM(TAT_HELPER!A:A),0)),"dd-mm-yyyy"),""))
</f>
        <v>25-07-2026</v>
      </c>
      <c r="H4008" s="645"/>
      <c r="I4008" s="1170" t="s">
        <v>10093</v>
      </c>
      <c r="J4008" s="19"/>
      <c r="K4008" s="19"/>
      <c r="L4008" s="12" t="s">
        <v>9469</v>
      </c>
      <c r="M4008" s="19"/>
      <c r="N4008" s="19"/>
      <c r="O4008" s="19"/>
      <c r="P4008" s="19"/>
    </row>
    <row r="4009">
      <c r="A4009" s="471">
        <v>19.0</v>
      </c>
      <c r="B4009" s="470" t="s">
        <v>13678</v>
      </c>
      <c r="C4009" s="471" t="s">
        <v>80</v>
      </c>
      <c r="D4009" s="471" t="s">
        <v>13679</v>
      </c>
      <c r="E4009" s="615" t="s">
        <v>13680</v>
      </c>
      <c r="F4009" s="471" t="s">
        <v>3928</v>
      </c>
      <c r="G4009" s="118" t="str">
        <f t="array" ref="G4009">IF(TRIM(E4009)="","",IFERROR(TEXT(INDEX(TAT_HELPER!D:D,MATCH(TRIM(E4009),TRIM(TAT_HELPER!A:A),0)),"dd-mm-yyyy"),""))
</f>
        <v>25-07-2026</v>
      </c>
      <c r="H4009" s="645"/>
      <c r="I4009" s="1173" t="s">
        <v>2890</v>
      </c>
      <c r="J4009" s="19"/>
      <c r="K4009" s="19"/>
      <c r="L4009" s="12" t="s">
        <v>9469</v>
      </c>
      <c r="M4009" s="19"/>
      <c r="N4009" s="19"/>
      <c r="O4009" s="19"/>
      <c r="P4009" s="19"/>
    </row>
    <row r="4010">
      <c r="A4010" s="471">
        <v>20.0</v>
      </c>
      <c r="B4010" s="470" t="s">
        <v>13681</v>
      </c>
      <c r="C4010" s="471" t="s">
        <v>80</v>
      </c>
      <c r="D4010" s="471" t="s">
        <v>13682</v>
      </c>
      <c r="E4010" s="615" t="s">
        <v>13683</v>
      </c>
      <c r="F4010" s="471" t="s">
        <v>3928</v>
      </c>
      <c r="G4010" s="118" t="str">
        <f t="array" ref="G4010">IF(TRIM(E4010)="","",IFERROR(TEXT(INDEX(TAT_HELPER!D:D,MATCH(TRIM(E4010),TRIM(TAT_HELPER!A:A),0)),"dd-mm-yyyy"),""))
</f>
        <v>25-07-2026</v>
      </c>
      <c r="H4010" s="645"/>
      <c r="I4010" s="1172" t="s">
        <v>3492</v>
      </c>
      <c r="J4010" s="19"/>
      <c r="K4010" s="19"/>
      <c r="L4010" s="12" t="s">
        <v>9469</v>
      </c>
      <c r="M4010" s="19"/>
      <c r="N4010" s="19"/>
      <c r="O4010" s="19"/>
      <c r="P4010" s="19"/>
    </row>
    <row r="4011">
      <c r="A4011" s="471">
        <v>21.0</v>
      </c>
      <c r="B4011" s="470" t="s">
        <v>13684</v>
      </c>
      <c r="C4011" s="471" t="s">
        <v>80</v>
      </c>
      <c r="D4011" s="471" t="s">
        <v>13685</v>
      </c>
      <c r="E4011" s="615" t="s">
        <v>13686</v>
      </c>
      <c r="F4011" s="471" t="s">
        <v>3928</v>
      </c>
      <c r="G4011" s="118" t="str">
        <f t="array" ref="G4011">IF(TRIM(E4011)="","",IFERROR(TEXT(INDEX(TAT_HELPER!D:D,MATCH(TRIM(E4011),TRIM(TAT_HELPER!A:A),0)),"dd-mm-yyyy"),""))
</f>
        <v>25-07-2026</v>
      </c>
      <c r="H4011" s="645"/>
      <c r="I4011" s="1170" t="s">
        <v>10093</v>
      </c>
      <c r="J4011" s="19"/>
      <c r="K4011" s="19"/>
      <c r="L4011" s="12" t="s">
        <v>9469</v>
      </c>
      <c r="M4011" s="19"/>
      <c r="N4011" s="19"/>
      <c r="O4011" s="19"/>
      <c r="P4011" s="19"/>
    </row>
    <row r="4012">
      <c r="A4012" s="471">
        <v>22.0</v>
      </c>
      <c r="B4012" s="470" t="s">
        <v>13687</v>
      </c>
      <c r="C4012" s="471" t="s">
        <v>80</v>
      </c>
      <c r="D4012" s="471" t="s">
        <v>13688</v>
      </c>
      <c r="E4012" s="615" t="s">
        <v>13689</v>
      </c>
      <c r="F4012" s="471" t="s">
        <v>3928</v>
      </c>
      <c r="G4012" s="118" t="str">
        <f t="array" ref="G4012">IF(TRIM(E4012)="","",IFERROR(TEXT(INDEX(TAT_HELPER!D:D,MATCH(TRIM(E4012),TRIM(TAT_HELPER!A:A),0)),"dd-mm-yyyy"),""))
</f>
        <v>25-07-2026</v>
      </c>
      <c r="H4012" s="645"/>
      <c r="I4012" s="1173" t="s">
        <v>2890</v>
      </c>
      <c r="J4012" s="19"/>
      <c r="K4012" s="19"/>
      <c r="L4012" s="12" t="s">
        <v>9469</v>
      </c>
      <c r="M4012" s="19"/>
      <c r="N4012" s="19"/>
      <c r="O4012" s="19"/>
      <c r="P4012" s="19"/>
    </row>
    <row r="4013">
      <c r="A4013" s="471">
        <v>23.0</v>
      </c>
      <c r="B4013" s="470" t="s">
        <v>13690</v>
      </c>
      <c r="C4013" s="471" t="s">
        <v>80</v>
      </c>
      <c r="D4013" s="471" t="s">
        <v>13691</v>
      </c>
      <c r="E4013" s="615" t="s">
        <v>13692</v>
      </c>
      <c r="F4013" s="471" t="s">
        <v>3928</v>
      </c>
      <c r="G4013" s="118" t="str">
        <f t="array" ref="G4013">IF(TRIM(E4013)="","",IFERROR(TEXT(INDEX(TAT_HELPER!D:D,MATCH(TRIM(E4013),TRIM(TAT_HELPER!A:A),0)),"dd-mm-yyyy"),""))
</f>
        <v>25-07-2026</v>
      </c>
      <c r="H4013" s="645"/>
      <c r="I4013" s="1173" t="s">
        <v>2890</v>
      </c>
      <c r="J4013" s="19"/>
      <c r="K4013" s="19"/>
      <c r="L4013" s="12" t="s">
        <v>9469</v>
      </c>
      <c r="M4013" s="19"/>
      <c r="N4013" s="19"/>
      <c r="O4013" s="19"/>
      <c r="P4013" s="19"/>
    </row>
    <row r="4014">
      <c r="A4014" s="471">
        <v>24.0</v>
      </c>
      <c r="B4014" s="470" t="s">
        <v>13693</v>
      </c>
      <c r="C4014" s="471" t="s">
        <v>80</v>
      </c>
      <c r="D4014" s="471" t="s">
        <v>13694</v>
      </c>
      <c r="E4014" s="615" t="s">
        <v>13695</v>
      </c>
      <c r="F4014" s="471" t="s">
        <v>3928</v>
      </c>
      <c r="G4014" s="118" t="str">
        <f t="array" ref="G4014">IF(TRIM(E4014)="","",IFERROR(TEXT(INDEX(TAT_HELPER!D:D,MATCH(TRIM(E4014),TRIM(TAT_HELPER!A:A),0)),"dd-mm-yyyy"),""))
</f>
        <v>25-07-2026</v>
      </c>
      <c r="H4014" s="645"/>
      <c r="I4014" s="1173" t="s">
        <v>2890</v>
      </c>
      <c r="J4014" s="19"/>
      <c r="K4014" s="19"/>
      <c r="L4014" s="12" t="s">
        <v>9469</v>
      </c>
      <c r="M4014" s="19"/>
      <c r="N4014" s="19"/>
      <c r="O4014" s="19"/>
      <c r="P4014" s="19"/>
    </row>
    <row r="4015" hidden="1">
      <c r="A4015" s="471">
        <v>25.0</v>
      </c>
      <c r="B4015" s="470" t="s">
        <v>13696</v>
      </c>
      <c r="C4015" s="471" t="s">
        <v>80</v>
      </c>
      <c r="D4015" s="471" t="s">
        <v>13697</v>
      </c>
      <c r="E4015" s="1171" t="s">
        <v>13698</v>
      </c>
      <c r="F4015" s="471" t="s">
        <v>9205</v>
      </c>
      <c r="G4015" s="118" t="str">
        <f t="array" ref="G4015">IF(TRIM(E4015)="","",IFERROR(TEXT(INDEX(TAT_HELPER!D:D,MATCH(TRIM(E4015),TRIM(TAT_HELPER!A:A),0)),"dd-mm-yyyy"),""))
</f>
        <v>27-07-2026</v>
      </c>
      <c r="H4015" s="645"/>
      <c r="I4015" s="1173" t="s">
        <v>2890</v>
      </c>
      <c r="J4015" s="19"/>
      <c r="K4015" s="19"/>
      <c r="L4015" s="12" t="s">
        <v>51</v>
      </c>
      <c r="M4015" s="19"/>
      <c r="N4015" s="19"/>
      <c r="O4015" s="34" t="s">
        <v>13326</v>
      </c>
      <c r="P4015" s="19"/>
    </row>
    <row r="4016" hidden="1">
      <c r="A4016" s="471">
        <v>26.0</v>
      </c>
      <c r="B4016" s="470" t="s">
        <v>13699</v>
      </c>
      <c r="C4016" s="471" t="s">
        <v>80</v>
      </c>
      <c r="D4016" s="471" t="s">
        <v>13700</v>
      </c>
      <c r="E4016" s="1171" t="s">
        <v>13701</v>
      </c>
      <c r="F4016" s="471" t="s">
        <v>9205</v>
      </c>
      <c r="G4016" s="118" t="str">
        <f t="array" ref="G4016">IF(TRIM(E4016)="","",IFERROR(TEXT(INDEX(TAT_HELPER!D:D,MATCH(TRIM(E4016),TRIM(TAT_HELPER!A:A),0)),"dd-mm-yyyy"),""))
</f>
        <v>27-07-2026</v>
      </c>
      <c r="H4016" s="645"/>
      <c r="I4016" s="1173" t="s">
        <v>2890</v>
      </c>
      <c r="J4016" s="19"/>
      <c r="K4016" s="19"/>
      <c r="L4016" s="12" t="s">
        <v>51</v>
      </c>
      <c r="M4016" s="19"/>
      <c r="N4016" s="19"/>
      <c r="O4016" s="34" t="s">
        <v>13326</v>
      </c>
      <c r="P4016" s="19"/>
    </row>
    <row r="4017">
      <c r="A4017" s="471">
        <v>27.0</v>
      </c>
      <c r="B4017" s="470" t="s">
        <v>13702</v>
      </c>
      <c r="C4017" s="471" t="s">
        <v>80</v>
      </c>
      <c r="D4017" s="471" t="s">
        <v>13703</v>
      </c>
      <c r="E4017" s="615" t="s">
        <v>13704</v>
      </c>
      <c r="F4017" s="471" t="s">
        <v>3583</v>
      </c>
      <c r="G4017" s="118" t="str">
        <f t="array" ref="G4017">IF(TRIM(E4017)="","",IFERROR(TEXT(INDEX(TAT_HELPER!D:D,MATCH(TRIM(E4017),TRIM(TAT_HELPER!A:A),0)),"dd-mm-yyyy"),""))
</f>
        <v>24-07-2026</v>
      </c>
      <c r="H4017" s="645"/>
      <c r="I4017" s="1173" t="s">
        <v>2890</v>
      </c>
      <c r="J4017" s="19"/>
      <c r="K4017" s="19"/>
      <c r="L4017" s="12" t="s">
        <v>11863</v>
      </c>
      <c r="M4017" s="19"/>
      <c r="N4017" s="19"/>
      <c r="O4017" s="34" t="s">
        <v>12149</v>
      </c>
      <c r="P4017" s="19"/>
    </row>
    <row r="4018" hidden="1">
      <c r="A4018" s="471">
        <v>28.0</v>
      </c>
      <c r="B4018" s="470" t="s">
        <v>13705</v>
      </c>
      <c r="C4018" s="471" t="s">
        <v>8495</v>
      </c>
      <c r="D4018" s="471" t="s">
        <v>13706</v>
      </c>
      <c r="E4018" s="578" t="s">
        <v>13707</v>
      </c>
      <c r="F4018" s="471" t="s">
        <v>838</v>
      </c>
      <c r="G4018" s="118" t="str">
        <f t="array" ref="G4018">IF(TRIM(E4018)="","",IFERROR(TEXT(INDEX(TAT_HELPER!D:D,MATCH(TRIM(E4018),TRIM(TAT_HELPER!A:A),0)),"dd-mm-yyyy"),""))
</f>
        <v>30-12-1899</v>
      </c>
      <c r="H4018" s="645"/>
      <c r="I4018" s="29"/>
      <c r="J4018" s="19"/>
      <c r="K4018" s="19"/>
      <c r="L4018" s="14"/>
      <c r="M4018" s="19"/>
      <c r="N4018" s="19"/>
      <c r="O4018" s="19"/>
      <c r="P4018" s="19"/>
    </row>
    <row r="4019" hidden="1">
      <c r="A4019" s="471">
        <v>29.0</v>
      </c>
      <c r="B4019" s="470" t="s">
        <v>13708</v>
      </c>
      <c r="C4019" s="471" t="s">
        <v>10101</v>
      </c>
      <c r="D4019" s="471" t="s">
        <v>13709</v>
      </c>
      <c r="E4019" s="578" t="s">
        <v>13710</v>
      </c>
      <c r="F4019" s="471" t="s">
        <v>13711</v>
      </c>
      <c r="G4019" s="118" t="str">
        <f t="array" ref="G4019">IF(TRIM(E4019)="","",IFERROR(TEXT(INDEX(TAT_HELPER!D:D,MATCH(TRIM(E4019),TRIM(TAT_HELPER!A:A),0)),"dd-mm-yyyy"),""))
</f>
        <v>30-12-1899</v>
      </c>
      <c r="H4019" s="645"/>
      <c r="I4019" s="29"/>
      <c r="J4019" s="19"/>
      <c r="K4019" s="19"/>
      <c r="L4019" s="14"/>
      <c r="M4019" s="19"/>
      <c r="N4019" s="19"/>
      <c r="O4019" s="19"/>
      <c r="P4019" s="19"/>
    </row>
    <row r="4020" hidden="1">
      <c r="A4020" s="471">
        <v>30.0</v>
      </c>
      <c r="B4020" s="470" t="s">
        <v>13712</v>
      </c>
      <c r="C4020" s="471" t="s">
        <v>8495</v>
      </c>
      <c r="D4020" s="471" t="s">
        <v>13713</v>
      </c>
      <c r="E4020" s="578" t="s">
        <v>13714</v>
      </c>
      <c r="F4020" s="471" t="s">
        <v>586</v>
      </c>
      <c r="G4020" s="118" t="str">
        <f t="array" ref="G4020">IF(TRIM(E4020)="","",IFERROR(TEXT(INDEX(TAT_HELPER!D:D,MATCH(TRIM(E4020),TRIM(TAT_HELPER!A:A),0)),"dd-mm-yyyy"),""))
</f>
        <v>30-12-1899</v>
      </c>
      <c r="H4020" s="645"/>
      <c r="I4020" s="29"/>
      <c r="J4020" s="19"/>
      <c r="K4020" s="19"/>
      <c r="L4020" s="14"/>
      <c r="M4020" s="19"/>
      <c r="N4020" s="19"/>
      <c r="O4020" s="19"/>
      <c r="P4020" s="19"/>
    </row>
    <row r="4021" hidden="1">
      <c r="A4021" s="526">
        <v>31.0</v>
      </c>
      <c r="B4021" s="527" t="s">
        <v>13715</v>
      </c>
      <c r="C4021" s="526" t="s">
        <v>80</v>
      </c>
      <c r="D4021" s="526" t="s">
        <v>13716</v>
      </c>
      <c r="E4021" s="526" t="s">
        <v>13717</v>
      </c>
      <c r="F4021" s="526" t="s">
        <v>718</v>
      </c>
      <c r="G4021" s="760" t="str">
        <f t="array" ref="G4021">IF(TRIM(E4021)="","",IFERROR(TEXT(INDEX(TAT_HELPER!D:D,MATCH(TRIM(E4021),TRIM(TAT_HELPER!A:A),0)),"dd-mm-yyyy"),""))
</f>
        <v>24-07-2026</v>
      </c>
      <c r="H4021" s="1174"/>
      <c r="I4021" s="361" t="s">
        <v>2890</v>
      </c>
      <c r="J4021" s="289"/>
      <c r="K4021" s="289"/>
      <c r="L4021" s="495" t="s">
        <v>374</v>
      </c>
      <c r="M4021" s="289"/>
      <c r="N4021" s="289"/>
      <c r="O4021" s="495" t="s">
        <v>13326</v>
      </c>
      <c r="P4021" s="289"/>
      <c r="Q4021" s="290"/>
      <c r="R4021" s="290"/>
      <c r="S4021" s="290"/>
      <c r="T4021" s="290"/>
      <c r="U4021" s="290"/>
      <c r="V4021" s="290"/>
      <c r="W4021" s="290"/>
      <c r="X4021" s="290"/>
      <c r="Y4021" s="290"/>
      <c r="Z4021" s="290"/>
      <c r="AA4021" s="290"/>
      <c r="AB4021" s="290"/>
      <c r="AC4021" s="290"/>
      <c r="AD4021" s="290"/>
      <c r="AE4021" s="290"/>
      <c r="AF4021" s="290"/>
    </row>
    <row r="4022">
      <c r="A4022" s="471">
        <v>32.0</v>
      </c>
      <c r="B4022" s="621" t="s">
        <v>13718</v>
      </c>
      <c r="C4022" s="471" t="s">
        <v>80</v>
      </c>
      <c r="D4022" s="471" t="s">
        <v>13719</v>
      </c>
      <c r="E4022" s="471" t="s">
        <v>13720</v>
      </c>
      <c r="F4022" s="471" t="s">
        <v>13721</v>
      </c>
      <c r="G4022" s="118" t="str">
        <f t="array" ref="G4022">IF(TRIM(E4022)="","",IFERROR(TEXT(INDEX(TAT_HELPER!D:D,MATCH(TRIM(E4022),TRIM(TAT_HELPER!A:A),0)),"dd-mm-yyyy"),""))
</f>
        <v>27-07-2026</v>
      </c>
      <c r="H4022" s="645"/>
      <c r="I4022" s="1170" t="s">
        <v>10093</v>
      </c>
      <c r="J4022" s="19"/>
      <c r="K4022" s="19"/>
      <c r="L4022" s="12" t="s">
        <v>2541</v>
      </c>
      <c r="M4022" s="19"/>
      <c r="N4022" s="19"/>
      <c r="O4022" s="19"/>
      <c r="P4022" s="19"/>
    </row>
    <row r="4023">
      <c r="A4023" s="339" t="s">
        <v>13722</v>
      </c>
      <c r="H4023" s="339"/>
      <c r="I4023" s="339"/>
      <c r="J4023" s="339"/>
      <c r="K4023" s="339"/>
      <c r="L4023" s="339"/>
      <c r="M4023" s="339"/>
      <c r="N4023" s="339"/>
      <c r="O4023" s="339"/>
      <c r="P4023" s="339"/>
    </row>
    <row r="4024">
      <c r="A4024" s="670" t="s">
        <v>47</v>
      </c>
      <c r="B4024" s="670" t="s">
        <v>7</v>
      </c>
      <c r="C4024" s="670" t="s">
        <v>9</v>
      </c>
      <c r="D4024" s="670" t="s">
        <v>10</v>
      </c>
      <c r="E4024" s="670" t="s">
        <v>11</v>
      </c>
      <c r="F4024" s="670" t="s">
        <v>12</v>
      </c>
      <c r="G4024" s="670" t="s">
        <v>2378</v>
      </c>
      <c r="H4024" s="670" t="s">
        <v>2681</v>
      </c>
      <c r="I4024" s="4" t="s">
        <v>2847</v>
      </c>
      <c r="J4024" s="8" t="s">
        <v>14</v>
      </c>
      <c r="K4024" s="9" t="s">
        <v>16</v>
      </c>
      <c r="L4024" s="10" t="s">
        <v>11871</v>
      </c>
      <c r="M4024" s="9" t="s">
        <v>18</v>
      </c>
      <c r="N4024" s="9" t="s">
        <v>19</v>
      </c>
      <c r="O4024" s="9" t="s">
        <v>20</v>
      </c>
      <c r="P4024" s="9" t="s">
        <v>21</v>
      </c>
      <c r="Q4024" s="35"/>
      <c r="R4024" s="35"/>
      <c r="S4024" s="35"/>
      <c r="T4024" s="35"/>
      <c r="U4024" s="35"/>
      <c r="V4024" s="35"/>
      <c r="W4024" s="35"/>
      <c r="X4024" s="35"/>
      <c r="Y4024" s="35"/>
      <c r="Z4024" s="35"/>
      <c r="AA4024" s="35"/>
      <c r="AB4024" s="35"/>
      <c r="AC4024" s="35"/>
      <c r="AD4024" s="35"/>
      <c r="AE4024" s="35"/>
      <c r="AF4024" s="35"/>
    </row>
    <row r="4025">
      <c r="A4025" s="471">
        <v>1.0</v>
      </c>
      <c r="B4025" s="470" t="s">
        <v>12777</v>
      </c>
      <c r="C4025" s="471" t="s">
        <v>8251</v>
      </c>
      <c r="D4025" s="471" t="s">
        <v>13723</v>
      </c>
      <c r="E4025" s="471" t="s">
        <v>12779</v>
      </c>
      <c r="F4025" s="471" t="s">
        <v>9951</v>
      </c>
      <c r="G4025" s="118" t="str">
        <f t="array" ref="G4025">IF(TRIM(E4025)="","",IFERROR(TEXT(INDEX(TAT_HELPER!D:D,MATCH(TRIM(E4025),TRIM(TAT_HELPER!A:A),0)),"dd-mm-yyyy"),""))
</f>
        <v>12-07-2026</v>
      </c>
      <c r="H4025" s="645"/>
      <c r="I4025" s="355"/>
      <c r="L4025" s="140"/>
    </row>
    <row r="4026">
      <c r="A4026" s="471">
        <v>2.0</v>
      </c>
      <c r="B4026" s="470" t="s">
        <v>12788</v>
      </c>
      <c r="C4026" s="471" t="s">
        <v>8251</v>
      </c>
      <c r="D4026" s="471" t="s">
        <v>13724</v>
      </c>
      <c r="E4026" s="471" t="s">
        <v>12790</v>
      </c>
      <c r="F4026" s="471" t="s">
        <v>160</v>
      </c>
      <c r="G4026" s="118" t="str">
        <f t="array" ref="G4026">IF(TRIM(E4026)="","",IFERROR(TEXT(INDEX(TAT_HELPER!D:D,MATCH(TRIM(E4026),TRIM(TAT_HELPER!A:A),0)),"dd-mm-yyyy"),""))
</f>
        <v>12-07-2026</v>
      </c>
      <c r="H4026" s="645"/>
      <c r="I4026" s="355"/>
      <c r="L4026" s="140"/>
    </row>
    <row r="4027">
      <c r="A4027" s="1175" t="s">
        <v>13725</v>
      </c>
      <c r="B4027" s="1176"/>
      <c r="C4027" s="1176"/>
      <c r="D4027" s="1176"/>
      <c r="E4027" s="1176"/>
      <c r="F4027" s="1176"/>
      <c r="G4027" s="1177"/>
      <c r="H4027" s="1178"/>
      <c r="I4027" s="1179"/>
      <c r="J4027" s="1179"/>
      <c r="K4027" s="1179"/>
      <c r="L4027" s="533"/>
      <c r="M4027" s="1179"/>
      <c r="N4027" s="1179"/>
      <c r="O4027" s="1179"/>
      <c r="P4027" s="1179"/>
      <c r="Q4027" s="35"/>
      <c r="R4027" s="35"/>
      <c r="S4027" s="35"/>
      <c r="T4027" s="35"/>
      <c r="U4027" s="35"/>
      <c r="V4027" s="35"/>
      <c r="W4027" s="35"/>
      <c r="X4027" s="35"/>
      <c r="Y4027" s="35"/>
      <c r="Z4027" s="35"/>
      <c r="AA4027" s="35"/>
      <c r="AB4027" s="35"/>
      <c r="AC4027" s="35"/>
      <c r="AD4027" s="35"/>
      <c r="AE4027" s="35"/>
      <c r="AF4027" s="35"/>
    </row>
    <row r="4028">
      <c r="A4028" s="670" t="s">
        <v>47</v>
      </c>
      <c r="B4028" s="670" t="s">
        <v>7</v>
      </c>
      <c r="C4028" s="670" t="s">
        <v>9</v>
      </c>
      <c r="D4028" s="670" t="s">
        <v>10</v>
      </c>
      <c r="E4028" s="670" t="s">
        <v>11</v>
      </c>
      <c r="F4028" s="670" t="s">
        <v>12</v>
      </c>
      <c r="G4028" s="670" t="s">
        <v>2378</v>
      </c>
      <c r="H4028" s="670" t="s">
        <v>2681</v>
      </c>
      <c r="I4028" s="4" t="s">
        <v>2847</v>
      </c>
      <c r="J4028" s="8" t="s">
        <v>14</v>
      </c>
      <c r="K4028" s="9" t="s">
        <v>16</v>
      </c>
      <c r="L4028" s="9" t="s">
        <v>4330</v>
      </c>
      <c r="M4028" s="9" t="s">
        <v>18</v>
      </c>
      <c r="N4028" s="9" t="s">
        <v>19</v>
      </c>
      <c r="O4028" s="9" t="s">
        <v>20</v>
      </c>
      <c r="P4028" s="9" t="s">
        <v>21</v>
      </c>
      <c r="Q4028" s="35"/>
      <c r="R4028" s="35"/>
      <c r="S4028" s="35"/>
      <c r="T4028" s="35"/>
      <c r="U4028" s="35"/>
      <c r="V4028" s="35"/>
      <c r="W4028" s="35"/>
      <c r="X4028" s="35"/>
      <c r="Y4028" s="35"/>
      <c r="Z4028" s="35"/>
      <c r="AA4028" s="35"/>
      <c r="AB4028" s="35"/>
      <c r="AC4028" s="35"/>
      <c r="AD4028" s="35"/>
      <c r="AE4028" s="35"/>
      <c r="AF4028" s="35"/>
    </row>
    <row r="4029" hidden="1">
      <c r="A4029" s="995">
        <v>1.0</v>
      </c>
      <c r="B4029" s="996" t="s">
        <v>13726</v>
      </c>
      <c r="C4029" s="504" t="s">
        <v>651</v>
      </c>
      <c r="D4029" s="504" t="s">
        <v>13727</v>
      </c>
      <c r="E4029" s="995" t="s">
        <v>13728</v>
      </c>
      <c r="F4029" s="504" t="s">
        <v>13729</v>
      </c>
      <c r="G4029" s="118" t="str">
        <f t="array" ref="G4029">IF(TRIM(E4029)="","",IFERROR(TEXT(INDEX(TAT_HELPER!D:D,MATCH(TRIM(E4029),TRIM(TAT_HELPER!A:A),0)),"dd-mm-yyyy"),""))
</f>
        <v>17-07-2026</v>
      </c>
      <c r="H4029" s="1180">
        <v>3.0</v>
      </c>
      <c r="I4029" s="836" t="s">
        <v>10690</v>
      </c>
      <c r="L4029" s="292" t="s">
        <v>4195</v>
      </c>
      <c r="O4029" s="143" t="s">
        <v>11514</v>
      </c>
    </row>
    <row r="4030" hidden="1">
      <c r="A4030" s="995">
        <v>2.0</v>
      </c>
      <c r="B4030" s="996" t="s">
        <v>13730</v>
      </c>
      <c r="C4030" s="504" t="s">
        <v>80</v>
      </c>
      <c r="D4030" s="504" t="s">
        <v>13731</v>
      </c>
      <c r="E4030" s="995" t="s">
        <v>13732</v>
      </c>
      <c r="F4030" s="504" t="s">
        <v>1294</v>
      </c>
      <c r="G4030" s="118" t="str">
        <f t="array" ref="G4030">IF(TRIM(E4030)="","",IFERROR(TEXT(INDEX(TAT_HELPER!D:D,MATCH(TRIM(E4030),TRIM(TAT_HELPER!A:A),0)),"dd-mm-yyyy"),""))
</f>
        <v>30-07-2026</v>
      </c>
      <c r="H4030" s="1181">
        <v>16.0</v>
      </c>
      <c r="I4030" s="37" t="s">
        <v>13733</v>
      </c>
      <c r="L4030" s="292" t="s">
        <v>51</v>
      </c>
      <c r="O4030" s="143" t="s">
        <v>12919</v>
      </c>
      <c r="P4030" s="1182" t="s">
        <v>1432</v>
      </c>
    </row>
    <row r="4031" hidden="1">
      <c r="A4031" s="995">
        <v>3.0</v>
      </c>
      <c r="B4031" s="996" t="s">
        <v>13734</v>
      </c>
      <c r="C4031" s="1183" t="s">
        <v>80</v>
      </c>
      <c r="D4031" s="1183" t="s">
        <v>13735</v>
      </c>
      <c r="E4031" s="1184" t="s">
        <v>13736</v>
      </c>
      <c r="F4031" s="1183" t="s">
        <v>3157</v>
      </c>
      <c r="G4031" s="118" t="str">
        <f t="array" ref="G4031">IF(TRIM(E4031)="","",IFERROR(TEXT(INDEX(TAT_HELPER!D:D,MATCH(TRIM(E4031),TRIM(TAT_HELPER!A:A),0)),"dd-mm-yyyy"),""))
</f>
        <v>25-07-2026</v>
      </c>
      <c r="H4031" s="1181">
        <v>11.0</v>
      </c>
      <c r="I4031" s="128" t="s">
        <v>2890</v>
      </c>
      <c r="L4031" s="292" t="s">
        <v>374</v>
      </c>
      <c r="O4031" s="292" t="s">
        <v>12162</v>
      </c>
      <c r="P4031" s="1182" t="s">
        <v>1432</v>
      </c>
    </row>
    <row r="4032">
      <c r="A4032" s="999">
        <v>4.0</v>
      </c>
      <c r="B4032" s="1000" t="s">
        <v>13737</v>
      </c>
      <c r="C4032" s="342" t="s">
        <v>2307</v>
      </c>
      <c r="D4032" s="342" t="s">
        <v>13738</v>
      </c>
      <c r="E4032" s="999" t="s">
        <v>13739</v>
      </c>
      <c r="F4032" s="342" t="s">
        <v>12913</v>
      </c>
      <c r="G4032" s="118" t="str">
        <f t="array" ref="G4032">IF(TRIM(E4032)="","",IFERROR(TEXT(INDEX(TAT_HELPER!D:D,MATCH(TRIM(E4032),TRIM(TAT_HELPER!A:A),0)),"dd-mm-yyyy"),""))
</f>
        <v>18-07-2026</v>
      </c>
      <c r="H4032" s="1180">
        <v>4.0</v>
      </c>
      <c r="I4032" s="836" t="s">
        <v>10198</v>
      </c>
      <c r="L4032" s="292" t="s">
        <v>699</v>
      </c>
    </row>
    <row r="4033">
      <c r="A4033" s="999">
        <v>5.0</v>
      </c>
      <c r="B4033" s="1000" t="s">
        <v>13740</v>
      </c>
      <c r="C4033" s="342" t="s">
        <v>2307</v>
      </c>
      <c r="D4033" s="342" t="s">
        <v>13741</v>
      </c>
      <c r="E4033" s="999" t="s">
        <v>13742</v>
      </c>
      <c r="F4033" s="342" t="s">
        <v>3656</v>
      </c>
      <c r="G4033" s="118" t="str">
        <f t="array" ref="G4033">IF(TRIM(E4033)="","",IFERROR(TEXT(INDEX(TAT_HELPER!D:D,MATCH(TRIM(E4033),TRIM(TAT_HELPER!A:A),0)),"dd-mm-yyyy"),""))
</f>
        <v>19-07-2026</v>
      </c>
      <c r="H4033" s="1180">
        <v>5.0</v>
      </c>
      <c r="I4033" s="836" t="s">
        <v>10093</v>
      </c>
      <c r="L4033" s="292" t="s">
        <v>699</v>
      </c>
    </row>
    <row r="4034">
      <c r="A4034" s="999">
        <v>6.0</v>
      </c>
      <c r="B4034" s="1000" t="s">
        <v>13743</v>
      </c>
      <c r="C4034" s="342" t="s">
        <v>5937</v>
      </c>
      <c r="D4034" s="1031" t="s">
        <v>13744</v>
      </c>
      <c r="E4034" s="1028" t="s">
        <v>13745</v>
      </c>
      <c r="F4034" s="342" t="s">
        <v>243</v>
      </c>
      <c r="G4034" s="118" t="str">
        <f t="array" ref="G4034">IF(TRIM(E4034)="","",IFERROR(TEXT(INDEX(TAT_HELPER!D:D,MATCH(TRIM(E4034),TRIM(TAT_HELPER!A:A),0)),"dd-mm-yyyy"),""))
</f>
        <v>20-07-2026</v>
      </c>
      <c r="H4034" s="1180">
        <v>6.0</v>
      </c>
      <c r="I4034" s="128" t="s">
        <v>2890</v>
      </c>
      <c r="L4034" s="292" t="s">
        <v>374</v>
      </c>
    </row>
    <row r="4035">
      <c r="A4035" s="999">
        <v>7.0</v>
      </c>
      <c r="B4035" s="1000" t="s">
        <v>13746</v>
      </c>
      <c r="C4035" s="342" t="s">
        <v>5937</v>
      </c>
      <c r="D4035" s="1031" t="s">
        <v>13747</v>
      </c>
      <c r="E4035" s="1028" t="s">
        <v>13748</v>
      </c>
      <c r="F4035" s="342" t="s">
        <v>243</v>
      </c>
      <c r="G4035" s="118" t="str">
        <f t="array" ref="G4035">IF(TRIM(E4035)="","",IFERROR(TEXT(INDEX(TAT_HELPER!D:D,MATCH(TRIM(E4035),TRIM(TAT_HELPER!A:A),0)),"dd-mm-yyyy"),""))
</f>
        <v>20-07-2026</v>
      </c>
      <c r="H4035" s="1180">
        <v>6.0</v>
      </c>
      <c r="I4035" s="836" t="s">
        <v>10783</v>
      </c>
      <c r="L4035" s="292" t="s">
        <v>374</v>
      </c>
    </row>
    <row r="4036">
      <c r="A4036" s="999">
        <v>8.0</v>
      </c>
      <c r="B4036" s="1000" t="s">
        <v>13749</v>
      </c>
      <c r="C4036" s="342" t="s">
        <v>80</v>
      </c>
      <c r="D4036" s="342" t="s">
        <v>13750</v>
      </c>
      <c r="E4036" s="999" t="s">
        <v>13751</v>
      </c>
      <c r="F4036" s="342" t="s">
        <v>13752</v>
      </c>
      <c r="G4036" s="118" t="str">
        <f t="array" ref="G4036">IF(TRIM(E4036)="","",IFERROR(TEXT(INDEX(TAT_HELPER!D:D,MATCH(TRIM(E4036),TRIM(TAT_HELPER!A:A),0)),"dd-mm-yyyy"),""))
</f>
        <v>28-07-2026</v>
      </c>
      <c r="H4036" s="1181">
        <v>14.0</v>
      </c>
      <c r="I4036" s="128" t="s">
        <v>2890</v>
      </c>
      <c r="L4036" s="292" t="s">
        <v>4195</v>
      </c>
      <c r="P4036" s="1182" t="s">
        <v>12316</v>
      </c>
    </row>
    <row r="4037">
      <c r="A4037" s="999">
        <v>9.0</v>
      </c>
      <c r="B4037" s="1000" t="s">
        <v>13753</v>
      </c>
      <c r="C4037" s="342" t="s">
        <v>1185</v>
      </c>
      <c r="D4037" s="1031" t="s">
        <v>13754</v>
      </c>
      <c r="E4037" s="1028" t="s">
        <v>13755</v>
      </c>
      <c r="F4037" s="342" t="s">
        <v>7987</v>
      </c>
      <c r="G4037" s="118" t="str">
        <f t="array" ref="G4037">IF(TRIM(E4037)="","",IFERROR(TEXT(INDEX(TAT_HELPER!D:D,MATCH(TRIM(E4037),TRIM(TAT_HELPER!A:A),0)),"dd-mm-yyyy"),""))
</f>
        <v>28-07-2026</v>
      </c>
      <c r="H4037" s="1181">
        <v>14.0</v>
      </c>
      <c r="I4037" s="128" t="s">
        <v>2890</v>
      </c>
      <c r="L4037" s="292" t="s">
        <v>699</v>
      </c>
    </row>
    <row r="4038">
      <c r="A4038" s="999">
        <v>10.0</v>
      </c>
      <c r="B4038" s="1000" t="s">
        <v>13756</v>
      </c>
      <c r="C4038" s="342" t="s">
        <v>1185</v>
      </c>
      <c r="D4038" s="1031" t="s">
        <v>13757</v>
      </c>
      <c r="E4038" s="1028" t="s">
        <v>13758</v>
      </c>
      <c r="F4038" s="342" t="s">
        <v>7987</v>
      </c>
      <c r="G4038" s="118" t="str">
        <f t="array" ref="G4038">IF(TRIM(E4038)="","",IFERROR(TEXT(INDEX(TAT_HELPER!D:D,MATCH(TRIM(E4038),TRIM(TAT_HELPER!A:A),0)),"dd-mm-yyyy"),""))
</f>
        <v>28-07-2026</v>
      </c>
      <c r="H4038" s="1181">
        <v>14.0</v>
      </c>
      <c r="I4038" s="836" t="s">
        <v>10093</v>
      </c>
      <c r="L4038" s="292" t="s">
        <v>699</v>
      </c>
    </row>
    <row r="4039">
      <c r="A4039" s="999">
        <v>11.0</v>
      </c>
      <c r="B4039" s="1000" t="s">
        <v>13759</v>
      </c>
      <c r="C4039" s="342" t="s">
        <v>80</v>
      </c>
      <c r="D4039" s="342" t="s">
        <v>13760</v>
      </c>
      <c r="E4039" s="999" t="s">
        <v>13761</v>
      </c>
      <c r="F4039" s="342" t="s">
        <v>310</v>
      </c>
      <c r="G4039" s="118" t="str">
        <f t="array" ref="G4039">IF(TRIM(E4039)="","",IFERROR(TEXT(INDEX(TAT_HELPER!D:D,MATCH(TRIM(E4039),TRIM(TAT_HELPER!A:A),0)),"dd-mm-yyyy"),""))
</f>
        <v>28-07-2026</v>
      </c>
      <c r="H4039" s="1181">
        <v>14.0</v>
      </c>
      <c r="I4039" s="128" t="s">
        <v>2890</v>
      </c>
      <c r="L4039" s="292" t="s">
        <v>374</v>
      </c>
    </row>
    <row r="4040">
      <c r="A4040" s="999">
        <v>12.0</v>
      </c>
      <c r="B4040" s="1000" t="s">
        <v>13762</v>
      </c>
      <c r="C4040" s="342" t="s">
        <v>1185</v>
      </c>
      <c r="D4040" s="342" t="s">
        <v>13763</v>
      </c>
      <c r="E4040" s="999" t="s">
        <v>13764</v>
      </c>
      <c r="F4040" s="342" t="s">
        <v>310</v>
      </c>
      <c r="G4040" s="118" t="str">
        <f t="array" ref="G4040">IF(TRIM(E4040)="","",IFERROR(TEXT(INDEX(TAT_HELPER!D:D,MATCH(TRIM(E4040),TRIM(TAT_HELPER!A:A),0)),"dd-mm-yyyy"),""))
</f>
        <v>28-07-2026</v>
      </c>
      <c r="H4040" s="1181">
        <v>14.0</v>
      </c>
      <c r="I4040" s="836" t="s">
        <v>10093</v>
      </c>
      <c r="L4040" s="292" t="s">
        <v>51</v>
      </c>
    </row>
    <row r="4041">
      <c r="A4041" s="999">
        <v>13.0</v>
      </c>
      <c r="B4041" s="1000" t="s">
        <v>13765</v>
      </c>
      <c r="C4041" s="342" t="s">
        <v>1185</v>
      </c>
      <c r="D4041" s="342" t="s">
        <v>13766</v>
      </c>
      <c r="E4041" s="999" t="s">
        <v>13767</v>
      </c>
      <c r="F4041" s="342" t="s">
        <v>4314</v>
      </c>
      <c r="G4041" s="118" t="str">
        <f t="array" ref="G4041">IF(TRIM(E4041)="","",IFERROR(TEXT(INDEX(TAT_HELPER!D:D,MATCH(TRIM(E4041),TRIM(TAT_HELPER!A:A),0)),"dd-mm-yyyy"),""))
</f>
        <v>28-07-2026</v>
      </c>
      <c r="H4041" s="1181">
        <v>14.0</v>
      </c>
      <c r="I4041" s="128" t="s">
        <v>2890</v>
      </c>
      <c r="L4041" s="292" t="s">
        <v>4195</v>
      </c>
    </row>
    <row r="4042">
      <c r="A4042" s="999">
        <v>14.0</v>
      </c>
      <c r="B4042" s="1000" t="s">
        <v>13768</v>
      </c>
      <c r="C4042" s="342" t="s">
        <v>1185</v>
      </c>
      <c r="D4042" s="342" t="s">
        <v>13769</v>
      </c>
      <c r="E4042" s="999" t="s">
        <v>13770</v>
      </c>
      <c r="F4042" s="342" t="s">
        <v>4314</v>
      </c>
      <c r="G4042" s="118" t="str">
        <f t="array" ref="G4042">IF(TRIM(E4042)="","",IFERROR(TEXT(INDEX(TAT_HELPER!D:D,MATCH(TRIM(E4042),TRIM(TAT_HELPER!A:A),0)),"dd-mm-yyyy"),""))
</f>
        <v>28-07-2026</v>
      </c>
      <c r="H4042" s="1181">
        <v>14.0</v>
      </c>
      <c r="I4042" s="836" t="s">
        <v>10093</v>
      </c>
      <c r="L4042" s="292" t="s">
        <v>374</v>
      </c>
    </row>
    <row r="4043">
      <c r="A4043" s="999">
        <v>15.0</v>
      </c>
      <c r="B4043" s="1000" t="s">
        <v>13771</v>
      </c>
      <c r="C4043" s="342" t="s">
        <v>651</v>
      </c>
      <c r="D4043" s="342" t="s">
        <v>13772</v>
      </c>
      <c r="E4043" s="999" t="s">
        <v>13773</v>
      </c>
      <c r="F4043" s="342" t="s">
        <v>5436</v>
      </c>
      <c r="G4043" s="118" t="str">
        <f t="array" ref="G4043">IF(TRIM(E4043)="","",IFERROR(TEXT(INDEX(TAT_HELPER!D:D,MATCH(TRIM(E4043),TRIM(TAT_HELPER!A:A),0)),"dd-mm-yyyy"),""))
</f>
        <v>28-07-2026</v>
      </c>
      <c r="H4043" s="1181">
        <v>14.0</v>
      </c>
      <c r="I4043" s="128" t="s">
        <v>2890</v>
      </c>
      <c r="L4043" s="292" t="s">
        <v>51</v>
      </c>
    </row>
    <row r="4044">
      <c r="A4044" s="999">
        <v>16.0</v>
      </c>
      <c r="B4044" s="1000" t="s">
        <v>13774</v>
      </c>
      <c r="C4044" s="342" t="s">
        <v>80</v>
      </c>
      <c r="D4044" s="1031" t="s">
        <v>13775</v>
      </c>
      <c r="E4044" s="1028" t="s">
        <v>13776</v>
      </c>
      <c r="F4044" s="342" t="s">
        <v>4998</v>
      </c>
      <c r="G4044" s="118" t="str">
        <f t="array" ref="G4044">IF(TRIM(E4044)="","",IFERROR(TEXT(INDEX(TAT_HELPER!D:D,MATCH(TRIM(E4044),TRIM(TAT_HELPER!A:A),0)),"dd-mm-yyyy"),""))
</f>
        <v>29-07-2026</v>
      </c>
      <c r="H4044" s="1181">
        <v>15.0</v>
      </c>
      <c r="I4044" s="128" t="s">
        <v>2890</v>
      </c>
      <c r="L4044" s="292" t="s">
        <v>51</v>
      </c>
    </row>
    <row r="4045">
      <c r="A4045" s="999">
        <v>17.0</v>
      </c>
      <c r="B4045" s="1000" t="s">
        <v>13777</v>
      </c>
      <c r="C4045" s="342" t="s">
        <v>80</v>
      </c>
      <c r="D4045" s="1031" t="s">
        <v>13778</v>
      </c>
      <c r="E4045" s="1028" t="s">
        <v>13779</v>
      </c>
      <c r="F4045" s="342" t="s">
        <v>4998</v>
      </c>
      <c r="G4045" s="118" t="str">
        <f t="array" ref="G4045">IF(TRIM(E4045)="","",IFERROR(TEXT(INDEX(TAT_HELPER!D:D,MATCH(TRIM(E4045),TRIM(TAT_HELPER!A:A),0)),"dd-mm-yyyy"),""))
</f>
        <v>29-07-2026</v>
      </c>
      <c r="H4045" s="1181">
        <v>15.0</v>
      </c>
      <c r="I4045" s="836" t="s">
        <v>13780</v>
      </c>
      <c r="L4045" s="292" t="s">
        <v>51</v>
      </c>
    </row>
    <row r="4046">
      <c r="A4046" s="999">
        <v>18.0</v>
      </c>
      <c r="B4046" s="1000" t="s">
        <v>13781</v>
      </c>
      <c r="C4046" s="342" t="s">
        <v>1185</v>
      </c>
      <c r="D4046" s="342" t="s">
        <v>13782</v>
      </c>
      <c r="E4046" s="999" t="s">
        <v>13783</v>
      </c>
      <c r="F4046" s="342" t="s">
        <v>556</v>
      </c>
      <c r="G4046" s="118" t="str">
        <f t="array" ref="G4046">IF(TRIM(E4046)="","",IFERROR(TEXT(INDEX(TAT_HELPER!D:D,MATCH(TRIM(E4046),TRIM(TAT_HELPER!A:A),0)),"dd-mm-yyyy"),""))
</f>
        <v>29-07-2026</v>
      </c>
      <c r="H4046" s="1181">
        <v>15.0</v>
      </c>
      <c r="I4046" s="836" t="s">
        <v>10093</v>
      </c>
      <c r="L4046" s="292" t="s">
        <v>4195</v>
      </c>
      <c r="P4046" s="1182" t="s">
        <v>11953</v>
      </c>
    </row>
    <row r="4047">
      <c r="A4047" s="999">
        <v>19.0</v>
      </c>
      <c r="B4047" s="1000" t="s">
        <v>13784</v>
      </c>
      <c r="C4047" s="342" t="s">
        <v>1185</v>
      </c>
      <c r="D4047" s="342" t="s">
        <v>13785</v>
      </c>
      <c r="E4047" s="999" t="s">
        <v>13786</v>
      </c>
      <c r="F4047" s="342" t="s">
        <v>556</v>
      </c>
      <c r="G4047" s="118" t="str">
        <f t="array" ref="G4047">IF(TRIM(E4047)="","",IFERROR(TEXT(INDEX(TAT_HELPER!D:D,MATCH(TRIM(E4047),TRIM(TAT_HELPER!A:A),0)),"dd-mm-yyyy"),""))
</f>
        <v>29-07-2026</v>
      </c>
      <c r="H4047" s="1181">
        <v>15.0</v>
      </c>
      <c r="I4047" s="128" t="s">
        <v>2890</v>
      </c>
      <c r="L4047" s="292" t="s">
        <v>374</v>
      </c>
      <c r="P4047" s="1182" t="s">
        <v>11953</v>
      </c>
    </row>
    <row r="4048">
      <c r="A4048" s="999">
        <v>20.0</v>
      </c>
      <c r="B4048" s="1000" t="s">
        <v>13787</v>
      </c>
      <c r="C4048" s="342" t="s">
        <v>80</v>
      </c>
      <c r="D4048" s="342" t="s">
        <v>13788</v>
      </c>
      <c r="E4048" s="999" t="s">
        <v>13789</v>
      </c>
      <c r="F4048" s="342" t="s">
        <v>13790</v>
      </c>
      <c r="G4048" s="118" t="str">
        <f t="array" ref="G4048">IF(TRIM(E4048)="","",IFERROR(TEXT(INDEX(TAT_HELPER!D:D,MATCH(TRIM(E4048),TRIM(TAT_HELPER!A:A),0)),"dd-mm-yyyy"),""))
</f>
        <v>29-07-2026</v>
      </c>
      <c r="H4048" s="1181">
        <v>15.0</v>
      </c>
      <c r="I4048" s="836" t="s">
        <v>10093</v>
      </c>
      <c r="L4048" s="292" t="s">
        <v>51</v>
      </c>
    </row>
    <row r="4049">
      <c r="A4049" s="999">
        <v>21.0</v>
      </c>
      <c r="B4049" s="1000" t="s">
        <v>13791</v>
      </c>
      <c r="C4049" s="342" t="s">
        <v>80</v>
      </c>
      <c r="D4049" s="342" t="s">
        <v>13792</v>
      </c>
      <c r="E4049" s="999" t="s">
        <v>13793</v>
      </c>
      <c r="F4049" s="342" t="s">
        <v>13794</v>
      </c>
      <c r="G4049" s="118" t="str">
        <f t="array" ref="G4049">IF(TRIM(E4049)="","",IFERROR(TEXT(INDEX(TAT_HELPER!D:D,MATCH(TRIM(E4049),TRIM(TAT_HELPER!A:A),0)),"dd-mm-yyyy"),""))
</f>
        <v>30-07-2026</v>
      </c>
      <c r="H4049" s="1181">
        <v>16.0</v>
      </c>
      <c r="I4049" s="128" t="s">
        <v>2890</v>
      </c>
      <c r="L4049" s="292" t="s">
        <v>4195</v>
      </c>
      <c r="P4049" s="1182" t="s">
        <v>1432</v>
      </c>
    </row>
    <row r="4050">
      <c r="A4050" s="999">
        <v>22.0</v>
      </c>
      <c r="B4050" s="1000" t="s">
        <v>13795</v>
      </c>
      <c r="C4050" s="342" t="s">
        <v>80</v>
      </c>
      <c r="D4050" s="342" t="s">
        <v>13796</v>
      </c>
      <c r="E4050" s="1185" t="s">
        <v>13797</v>
      </c>
      <c r="F4050" s="342" t="s">
        <v>13798</v>
      </c>
      <c r="G4050" s="118" t="str">
        <f t="array" ref="G4050">IF(TRIM(E4050)="","",IFERROR(TEXT(INDEX(TAT_HELPER!D:D,MATCH(TRIM(E4050),TRIM(TAT_HELPER!A:A),0)),"dd-mm-yyyy"),""))
</f>
        <v>28-07-2026</v>
      </c>
      <c r="H4050" s="1181">
        <v>14.0</v>
      </c>
      <c r="I4050" s="836" t="s">
        <v>10093</v>
      </c>
      <c r="L4050" s="292" t="s">
        <v>9469</v>
      </c>
    </row>
    <row r="4051">
      <c r="A4051" s="999">
        <v>23.0</v>
      </c>
      <c r="B4051" s="1000" t="s">
        <v>13799</v>
      </c>
      <c r="C4051" s="342" t="s">
        <v>80</v>
      </c>
      <c r="D4051" s="342" t="s">
        <v>13800</v>
      </c>
      <c r="E4051" s="1185" t="s">
        <v>1025</v>
      </c>
      <c r="F4051" s="342" t="s">
        <v>13798</v>
      </c>
      <c r="G4051" s="118" t="str">
        <f t="array" ref="G4051">IF(TRIM(E4051)="","",IFERROR(TEXT(INDEX(TAT_HELPER!D:D,MATCH(TRIM(E4051),TRIM(TAT_HELPER!A:A),0)),"dd-mm-yyyy"),""))
</f>
        <v/>
      </c>
      <c r="H4051" s="1181">
        <v>14.0</v>
      </c>
      <c r="I4051" s="836" t="s">
        <v>10093</v>
      </c>
      <c r="L4051" s="292" t="s">
        <v>9469</v>
      </c>
    </row>
    <row r="4052">
      <c r="A4052" s="999">
        <v>24.0</v>
      </c>
      <c r="B4052" s="1000" t="s">
        <v>13801</v>
      </c>
      <c r="C4052" s="342" t="s">
        <v>80</v>
      </c>
      <c r="D4052" s="342" t="s">
        <v>13802</v>
      </c>
      <c r="E4052" s="1185" t="s">
        <v>13803</v>
      </c>
      <c r="F4052" s="342" t="s">
        <v>13798</v>
      </c>
      <c r="G4052" s="118" t="str">
        <f t="array" ref="G4052">IF(TRIM(E4052)="","",IFERROR(TEXT(INDEX(TAT_HELPER!D:D,MATCH(TRIM(E4052),TRIM(TAT_HELPER!A:A),0)),"dd-mm-yyyy"),""))
</f>
        <v>28-07-2026</v>
      </c>
      <c r="H4052" s="1181">
        <v>14.0</v>
      </c>
      <c r="I4052" s="128" t="s">
        <v>2890</v>
      </c>
      <c r="L4052" s="292" t="s">
        <v>9469</v>
      </c>
    </row>
    <row r="4053">
      <c r="A4053" s="999">
        <v>25.0</v>
      </c>
      <c r="B4053" s="1000" t="s">
        <v>13804</v>
      </c>
      <c r="C4053" s="342" t="s">
        <v>80</v>
      </c>
      <c r="D4053" s="342" t="s">
        <v>13805</v>
      </c>
      <c r="E4053" s="1185" t="s">
        <v>13806</v>
      </c>
      <c r="F4053" s="342" t="s">
        <v>13798</v>
      </c>
      <c r="G4053" s="118" t="str">
        <f t="array" ref="G4053">IF(TRIM(E4053)="","",IFERROR(TEXT(INDEX(TAT_HELPER!D:D,MATCH(TRIM(E4053),TRIM(TAT_HELPER!A:A),0)),"dd-mm-yyyy"),""))
</f>
        <v>28-07-2026</v>
      </c>
      <c r="H4053" s="1181">
        <v>14.0</v>
      </c>
      <c r="I4053" s="128" t="s">
        <v>2890</v>
      </c>
      <c r="L4053" s="292" t="s">
        <v>9469</v>
      </c>
    </row>
    <row r="4054">
      <c r="A4054" s="999">
        <v>26.0</v>
      </c>
      <c r="B4054" s="1000" t="s">
        <v>13807</v>
      </c>
      <c r="C4054" s="342" t="s">
        <v>80</v>
      </c>
      <c r="D4054" s="342" t="s">
        <v>13808</v>
      </c>
      <c r="E4054" s="1185" t="s">
        <v>13809</v>
      </c>
      <c r="F4054" s="342" t="s">
        <v>13798</v>
      </c>
      <c r="G4054" s="118" t="str">
        <f t="array" ref="G4054">IF(TRIM(E4054)="","",IFERROR(TEXT(INDEX(TAT_HELPER!D:D,MATCH(TRIM(E4054),TRIM(TAT_HELPER!A:A),0)),"dd-mm-yyyy"),""))
</f>
        <v>28-07-2026</v>
      </c>
      <c r="H4054" s="1181">
        <v>14.0</v>
      </c>
      <c r="I4054" s="128" t="s">
        <v>2890</v>
      </c>
      <c r="L4054" s="292" t="s">
        <v>9469</v>
      </c>
    </row>
    <row r="4055">
      <c r="A4055" s="999">
        <v>27.0</v>
      </c>
      <c r="B4055" s="1000" t="s">
        <v>13810</v>
      </c>
      <c r="C4055" s="342" t="s">
        <v>80</v>
      </c>
      <c r="D4055" s="342" t="s">
        <v>13811</v>
      </c>
      <c r="E4055" s="1185" t="s">
        <v>13812</v>
      </c>
      <c r="F4055" s="342" t="s">
        <v>13798</v>
      </c>
      <c r="G4055" s="118" t="str">
        <f t="array" ref="G4055">IF(TRIM(E4055)="","",IFERROR(TEXT(INDEX(TAT_HELPER!D:D,MATCH(TRIM(E4055),TRIM(TAT_HELPER!A:A),0)),"dd-mm-yyyy"),""))
</f>
        <v>28-07-2026</v>
      </c>
      <c r="H4055" s="1181">
        <v>14.0</v>
      </c>
      <c r="I4055" s="128" t="s">
        <v>2890</v>
      </c>
      <c r="L4055" s="292" t="s">
        <v>9469</v>
      </c>
    </row>
    <row r="4056">
      <c r="A4056" s="999">
        <v>28.0</v>
      </c>
      <c r="B4056" s="1000" t="s">
        <v>13813</v>
      </c>
      <c r="C4056" s="342" t="s">
        <v>80</v>
      </c>
      <c r="D4056" s="342" t="s">
        <v>13814</v>
      </c>
      <c r="E4056" s="1185" t="s">
        <v>13815</v>
      </c>
      <c r="F4056" s="342" t="s">
        <v>13798</v>
      </c>
      <c r="G4056" s="118" t="str">
        <f t="array" ref="G4056">IF(TRIM(E4056)="","",IFERROR(TEXT(INDEX(TAT_HELPER!D:D,MATCH(TRIM(E4056),TRIM(TAT_HELPER!A:A),0)),"dd-mm-yyyy"),""))
</f>
        <v>28-07-2026</v>
      </c>
      <c r="H4056" s="1181">
        <v>14.0</v>
      </c>
      <c r="I4056" s="836" t="s">
        <v>10093</v>
      </c>
      <c r="L4056" s="292" t="s">
        <v>9469</v>
      </c>
    </row>
    <row r="4057">
      <c r="A4057" s="999">
        <v>29.0</v>
      </c>
      <c r="B4057" s="1000" t="s">
        <v>13816</v>
      </c>
      <c r="C4057" s="342" t="s">
        <v>80</v>
      </c>
      <c r="D4057" s="342" t="s">
        <v>13817</v>
      </c>
      <c r="E4057" s="1185" t="s">
        <v>13818</v>
      </c>
      <c r="F4057" s="342" t="s">
        <v>13798</v>
      </c>
      <c r="G4057" s="118" t="str">
        <f t="array" ref="G4057">IF(TRIM(E4057)="","",IFERROR(TEXT(INDEX(TAT_HELPER!D:D,MATCH(TRIM(E4057),TRIM(TAT_HELPER!A:A),0)),"dd-mm-yyyy"),""))
</f>
        <v>28-07-2026</v>
      </c>
      <c r="H4057" s="1181">
        <v>14.0</v>
      </c>
      <c r="I4057" s="128" t="s">
        <v>2890</v>
      </c>
      <c r="L4057" s="292" t="s">
        <v>9469</v>
      </c>
    </row>
    <row r="4058">
      <c r="A4058" s="999">
        <v>30.0</v>
      </c>
      <c r="B4058" s="1000" t="s">
        <v>13819</v>
      </c>
      <c r="C4058" s="342" t="s">
        <v>80</v>
      </c>
      <c r="D4058" s="342" t="s">
        <v>13820</v>
      </c>
      <c r="E4058" s="1185" t="s">
        <v>13821</v>
      </c>
      <c r="F4058" s="342" t="s">
        <v>13798</v>
      </c>
      <c r="G4058" s="118" t="str">
        <f t="array" ref="G4058">IF(TRIM(E4058)="","",IFERROR(TEXT(INDEX(TAT_HELPER!D:D,MATCH(TRIM(E4058),TRIM(TAT_HELPER!A:A),0)),"dd-mm-yyyy"),""))
</f>
        <v>28-07-2026</v>
      </c>
      <c r="H4058" s="1181">
        <v>14.0</v>
      </c>
      <c r="I4058" s="37" t="s">
        <v>11112</v>
      </c>
      <c r="L4058" s="292" t="s">
        <v>9469</v>
      </c>
    </row>
    <row r="4059">
      <c r="A4059" s="999">
        <v>31.0</v>
      </c>
      <c r="B4059" s="1000" t="s">
        <v>13822</v>
      </c>
      <c r="C4059" s="342" t="s">
        <v>80</v>
      </c>
      <c r="D4059" s="342" t="s">
        <v>13823</v>
      </c>
      <c r="E4059" s="1185" t="s">
        <v>13824</v>
      </c>
      <c r="F4059" s="342" t="s">
        <v>13798</v>
      </c>
      <c r="G4059" s="118" t="str">
        <f t="array" ref="G4059">IF(TRIM(E4059)="","",IFERROR(TEXT(INDEX(TAT_HELPER!D:D,MATCH(TRIM(E4059),TRIM(TAT_HELPER!A:A),0)),"dd-mm-yyyy"),""))
</f>
        <v>28-07-2026</v>
      </c>
      <c r="H4059" s="1181">
        <v>14.0</v>
      </c>
      <c r="I4059" s="128" t="s">
        <v>2890</v>
      </c>
      <c r="L4059" s="292" t="s">
        <v>9469</v>
      </c>
    </row>
    <row r="4060">
      <c r="A4060" s="999">
        <v>32.0</v>
      </c>
      <c r="B4060" s="1000" t="s">
        <v>13825</v>
      </c>
      <c r="C4060" s="342" t="s">
        <v>80</v>
      </c>
      <c r="D4060" s="342" t="s">
        <v>13826</v>
      </c>
      <c r="E4060" s="1185" t="s">
        <v>13827</v>
      </c>
      <c r="F4060" s="342" t="s">
        <v>3583</v>
      </c>
      <c r="G4060" s="118" t="str">
        <f t="array" ref="G4060">IF(TRIM(E4060)="","",IFERROR(TEXT(INDEX(TAT_HELPER!D:D,MATCH(TRIM(E4060),TRIM(TAT_HELPER!A:A),0)),"dd-mm-yyyy"),""))
</f>
        <v>28-07-2026</v>
      </c>
      <c r="H4060" s="1181">
        <v>14.0</v>
      </c>
      <c r="I4060" s="836" t="s">
        <v>10093</v>
      </c>
      <c r="L4060" s="292" t="s">
        <v>2541</v>
      </c>
    </row>
    <row r="4061" hidden="1">
      <c r="A4061" s="999">
        <v>33.0</v>
      </c>
      <c r="B4061" s="1000" t="s">
        <v>13828</v>
      </c>
      <c r="C4061" s="342" t="s">
        <v>80</v>
      </c>
      <c r="D4061" s="342" t="s">
        <v>13829</v>
      </c>
      <c r="E4061" s="1185" t="s">
        <v>13830</v>
      </c>
      <c r="F4061" s="342" t="s">
        <v>3583</v>
      </c>
      <c r="G4061" s="118" t="str">
        <f t="array" ref="G4061">IF(TRIM(E4061)="","",IFERROR(TEXT(INDEX(TAT_HELPER!D:D,MATCH(TRIM(E4061),TRIM(TAT_HELPER!A:A),0)),"dd-mm-yyyy"),""))
</f>
        <v>28-07-2026</v>
      </c>
      <c r="H4061" s="1181">
        <v>14.0</v>
      </c>
      <c r="I4061" s="836" t="s">
        <v>10093</v>
      </c>
      <c r="L4061" s="292" t="s">
        <v>11863</v>
      </c>
      <c r="O4061" s="143" t="s">
        <v>13645</v>
      </c>
    </row>
    <row r="4062" hidden="1">
      <c r="A4062" s="999">
        <v>34.0</v>
      </c>
      <c r="B4062" s="1000" t="s">
        <v>13831</v>
      </c>
      <c r="C4062" s="342" t="s">
        <v>1185</v>
      </c>
      <c r="D4062" s="342" t="s">
        <v>13832</v>
      </c>
      <c r="E4062" s="1185" t="s">
        <v>13833</v>
      </c>
      <c r="F4062" s="342" t="s">
        <v>3583</v>
      </c>
      <c r="G4062" s="118" t="str">
        <f t="array" ref="G4062">IF(TRIM(E4062)="","",IFERROR(TEXT(INDEX(TAT_HELPER!D:D,MATCH(TRIM(E4062),TRIM(TAT_HELPER!A:A),0)),"dd-mm-yyyy"),""))
</f>
        <v>28-07-2026</v>
      </c>
      <c r="H4062" s="1181">
        <v>14.0</v>
      </c>
      <c r="I4062" s="128" t="s">
        <v>2890</v>
      </c>
      <c r="L4062" s="292" t="s">
        <v>2541</v>
      </c>
      <c r="O4062" s="143" t="s">
        <v>13645</v>
      </c>
    </row>
    <row r="4063">
      <c r="A4063" s="999">
        <v>35.0</v>
      </c>
      <c r="B4063" s="1000" t="s">
        <v>13834</v>
      </c>
      <c r="C4063" s="342" t="s">
        <v>80</v>
      </c>
      <c r="D4063" s="342" t="s">
        <v>13835</v>
      </c>
      <c r="E4063" s="1185" t="s">
        <v>13836</v>
      </c>
      <c r="F4063" s="342" t="s">
        <v>3583</v>
      </c>
      <c r="G4063" s="118" t="str">
        <f t="array" ref="G4063">IF(TRIM(E4063)="","",IFERROR(TEXT(INDEX(TAT_HELPER!D:D,MATCH(TRIM(E4063),TRIM(TAT_HELPER!A:A),0)),"dd-mm-yyyy"),""))
</f>
        <v>28-07-2026</v>
      </c>
      <c r="H4063" s="1181">
        <v>14.0</v>
      </c>
      <c r="I4063" s="836" t="s">
        <v>10093</v>
      </c>
      <c r="L4063" s="292" t="s">
        <v>11863</v>
      </c>
    </row>
    <row r="4064" hidden="1">
      <c r="A4064" s="999">
        <v>36.0</v>
      </c>
      <c r="B4064" s="1000" t="s">
        <v>13837</v>
      </c>
      <c r="C4064" s="342" t="s">
        <v>80</v>
      </c>
      <c r="D4064" s="342" t="s">
        <v>13838</v>
      </c>
      <c r="E4064" s="1185" t="s">
        <v>13839</v>
      </c>
      <c r="F4064" s="342" t="s">
        <v>3583</v>
      </c>
      <c r="G4064" s="118" t="str">
        <f t="array" ref="G4064">IF(TRIM(E4064)="","",IFERROR(TEXT(INDEX(TAT_HELPER!D:D,MATCH(TRIM(E4064),TRIM(TAT_HELPER!A:A),0)),"dd-mm-yyyy"),""))
</f>
        <v>28-07-2026</v>
      </c>
      <c r="H4064" s="1181">
        <v>14.0</v>
      </c>
      <c r="I4064" s="37" t="s">
        <v>3465</v>
      </c>
      <c r="L4064" s="292" t="s">
        <v>2541</v>
      </c>
      <c r="O4064" s="143" t="s">
        <v>13645</v>
      </c>
    </row>
    <row r="4065" hidden="1">
      <c r="A4065" s="999">
        <v>37.0</v>
      </c>
      <c r="B4065" s="1000" t="s">
        <v>13840</v>
      </c>
      <c r="C4065" s="342" t="s">
        <v>80</v>
      </c>
      <c r="D4065" s="342" t="s">
        <v>13841</v>
      </c>
      <c r="E4065" s="1185" t="s">
        <v>13842</v>
      </c>
      <c r="F4065" s="342" t="s">
        <v>3583</v>
      </c>
      <c r="G4065" s="118" t="str">
        <f t="array" ref="G4065">IF(TRIM(E4065)="","",IFERROR(TEXT(INDEX(TAT_HELPER!D:D,MATCH(TRIM(E4065),TRIM(TAT_HELPER!A:A),0)),"dd-mm-yyyy"),""))
</f>
        <v>28-07-2026</v>
      </c>
      <c r="H4065" s="1181">
        <v>14.0</v>
      </c>
      <c r="I4065" s="128" t="s">
        <v>2890</v>
      </c>
      <c r="L4065" s="292" t="s">
        <v>11863</v>
      </c>
      <c r="O4065" s="143" t="s">
        <v>13645</v>
      </c>
    </row>
    <row r="4066">
      <c r="A4066" s="999">
        <v>38.0</v>
      </c>
      <c r="B4066" s="1000" t="s">
        <v>13843</v>
      </c>
      <c r="C4066" s="342" t="s">
        <v>80</v>
      </c>
      <c r="D4066" s="342" t="s">
        <v>13844</v>
      </c>
      <c r="E4066" s="1185" t="s">
        <v>13845</v>
      </c>
      <c r="F4066" s="342" t="s">
        <v>3583</v>
      </c>
      <c r="G4066" s="118" t="str">
        <f t="array" ref="G4066">IF(TRIM(E4066)="","",IFERROR(TEXT(INDEX(TAT_HELPER!D:D,MATCH(TRIM(E4066),TRIM(TAT_HELPER!A:A),0)),"dd-mm-yyyy"),""))
</f>
        <v>28-07-2026</v>
      </c>
      <c r="H4066" s="1181">
        <v>14.0</v>
      </c>
      <c r="I4066" s="128" t="s">
        <v>2890</v>
      </c>
      <c r="L4066" s="292" t="s">
        <v>2541</v>
      </c>
    </row>
    <row r="4067" hidden="1">
      <c r="A4067" s="999">
        <v>39.0</v>
      </c>
      <c r="B4067" s="1000" t="s">
        <v>13846</v>
      </c>
      <c r="C4067" s="342" t="s">
        <v>80</v>
      </c>
      <c r="D4067" s="342" t="s">
        <v>13847</v>
      </c>
      <c r="E4067" s="1185" t="s">
        <v>13848</v>
      </c>
      <c r="F4067" s="342" t="s">
        <v>3583</v>
      </c>
      <c r="G4067" s="118" t="str">
        <f t="array" ref="G4067">IF(TRIM(E4067)="","",IFERROR(TEXT(INDEX(TAT_HELPER!D:D,MATCH(TRIM(E4067),TRIM(TAT_HELPER!A:A),0)),"dd-mm-yyyy"),""))
</f>
        <v>28-07-2026</v>
      </c>
      <c r="H4067" s="1181">
        <v>14.0</v>
      </c>
      <c r="I4067" s="836" t="s">
        <v>10093</v>
      </c>
      <c r="L4067" s="292" t="s">
        <v>11863</v>
      </c>
      <c r="O4067" s="143" t="s">
        <v>13645</v>
      </c>
    </row>
    <row r="4068">
      <c r="A4068" s="999">
        <v>40.0</v>
      </c>
      <c r="B4068" s="1000" t="s">
        <v>13849</v>
      </c>
      <c r="C4068" s="342" t="s">
        <v>80</v>
      </c>
      <c r="D4068" s="342" t="s">
        <v>13850</v>
      </c>
      <c r="E4068" s="1185" t="s">
        <v>13851</v>
      </c>
      <c r="F4068" s="342" t="s">
        <v>3583</v>
      </c>
      <c r="G4068" s="118" t="str">
        <f t="array" ref="G4068">IF(TRIM(E4068)="","",IFERROR(TEXT(INDEX(TAT_HELPER!D:D,MATCH(TRIM(E4068),TRIM(TAT_HELPER!A:A),0)),"dd-mm-yyyy"),""))
</f>
        <v>28-07-2026</v>
      </c>
      <c r="H4068" s="1181">
        <v>14.0</v>
      </c>
      <c r="I4068" s="128" t="s">
        <v>2890</v>
      </c>
      <c r="L4068" s="292" t="s">
        <v>2541</v>
      </c>
    </row>
    <row r="4069" hidden="1">
      <c r="A4069" s="999">
        <v>41.0</v>
      </c>
      <c r="B4069" s="1000" t="s">
        <v>13852</v>
      </c>
      <c r="C4069" s="342" t="s">
        <v>80</v>
      </c>
      <c r="D4069" s="342" t="s">
        <v>13853</v>
      </c>
      <c r="E4069" s="1185" t="s">
        <v>13854</v>
      </c>
      <c r="F4069" s="342" t="s">
        <v>3583</v>
      </c>
      <c r="G4069" s="118" t="str">
        <f t="array" ref="G4069">IF(TRIM(E4069)="","",IFERROR(TEXT(INDEX(TAT_HELPER!D:D,MATCH(TRIM(E4069),TRIM(TAT_HELPER!A:A),0)),"dd-mm-yyyy"),""))
</f>
        <v>28-07-2026</v>
      </c>
      <c r="H4069" s="1181">
        <v>14.0</v>
      </c>
      <c r="I4069" s="836" t="s">
        <v>10198</v>
      </c>
      <c r="L4069" s="292" t="s">
        <v>11863</v>
      </c>
      <c r="O4069" s="143" t="s">
        <v>13645</v>
      </c>
    </row>
    <row r="4070">
      <c r="A4070" s="999">
        <v>42.0</v>
      </c>
      <c r="B4070" s="1000" t="s">
        <v>13855</v>
      </c>
      <c r="C4070" s="342" t="s">
        <v>1185</v>
      </c>
      <c r="D4070" s="342" t="s">
        <v>13856</v>
      </c>
      <c r="E4070" s="1185" t="s">
        <v>13857</v>
      </c>
      <c r="F4070" s="342" t="s">
        <v>3583</v>
      </c>
      <c r="G4070" s="118" t="str">
        <f t="array" ref="G4070">IF(TRIM(E4070)="","",IFERROR(TEXT(INDEX(TAT_HELPER!D:D,MATCH(TRIM(E4070),TRIM(TAT_HELPER!A:A),0)),"dd-mm-yyyy"),""))
</f>
        <v>30-07-2026</v>
      </c>
      <c r="H4070" s="1181">
        <v>16.0</v>
      </c>
      <c r="I4070" s="128" t="s">
        <v>2890</v>
      </c>
      <c r="L4070" s="292" t="s">
        <v>2541</v>
      </c>
    </row>
    <row r="4071">
      <c r="A4071" s="999">
        <v>43.0</v>
      </c>
      <c r="B4071" s="1000" t="s">
        <v>13858</v>
      </c>
      <c r="C4071" s="342" t="s">
        <v>80</v>
      </c>
      <c r="D4071" s="342" t="s">
        <v>13859</v>
      </c>
      <c r="E4071" s="1185" t="s">
        <v>13860</v>
      </c>
      <c r="F4071" s="342" t="s">
        <v>3583</v>
      </c>
      <c r="G4071" s="118" t="str">
        <f t="array" ref="G4071">IF(TRIM(E4071)="","",IFERROR(TEXT(INDEX(TAT_HELPER!D:D,MATCH(TRIM(E4071),TRIM(TAT_HELPER!A:A),0)),"dd-mm-yyyy"),""))
</f>
        <v>30-07-2026</v>
      </c>
      <c r="H4071" s="1181">
        <v>16.0</v>
      </c>
      <c r="I4071" s="836" t="s">
        <v>10093</v>
      </c>
      <c r="L4071" s="292" t="s">
        <v>11863</v>
      </c>
    </row>
    <row r="4072">
      <c r="A4072" s="999">
        <v>44.0</v>
      </c>
      <c r="B4072" s="1000" t="s">
        <v>13861</v>
      </c>
      <c r="C4072" s="342" t="s">
        <v>80</v>
      </c>
      <c r="D4072" s="342" t="s">
        <v>13862</v>
      </c>
      <c r="E4072" s="1185" t="s">
        <v>13863</v>
      </c>
      <c r="F4072" s="342" t="s">
        <v>3583</v>
      </c>
      <c r="G4072" s="118" t="str">
        <f t="array" ref="G4072">IF(TRIM(E4072)="","",IFERROR(TEXT(INDEX(TAT_HELPER!D:D,MATCH(TRIM(E4072),TRIM(TAT_HELPER!A:A),0)),"dd-mm-yyyy"),""))
</f>
        <v>30-07-2026</v>
      </c>
      <c r="H4072" s="1181">
        <v>16.0</v>
      </c>
      <c r="I4072" s="128" t="s">
        <v>2890</v>
      </c>
      <c r="L4072" s="292" t="s">
        <v>2541</v>
      </c>
    </row>
    <row r="4073">
      <c r="A4073" s="999">
        <v>45.0</v>
      </c>
      <c r="B4073" s="1000" t="s">
        <v>13864</v>
      </c>
      <c r="C4073" s="342" t="s">
        <v>1185</v>
      </c>
      <c r="D4073" s="342" t="s">
        <v>13865</v>
      </c>
      <c r="E4073" s="1185" t="s">
        <v>13866</v>
      </c>
      <c r="F4073" s="342" t="s">
        <v>3583</v>
      </c>
      <c r="G4073" s="118" t="str">
        <f t="array" ref="G4073">IF(TRIM(E4073)="","",IFERROR(TEXT(INDEX(TAT_HELPER!D:D,MATCH(TRIM(E4073),TRIM(TAT_HELPER!A:A),0)),"dd-mm-yyyy"),""))
</f>
        <v>30-07-2026</v>
      </c>
      <c r="H4073" s="1181">
        <v>16.0</v>
      </c>
      <c r="I4073" s="836" t="s">
        <v>10093</v>
      </c>
      <c r="L4073" s="292" t="s">
        <v>11863</v>
      </c>
    </row>
    <row r="4074">
      <c r="A4074" s="999">
        <v>46.0</v>
      </c>
      <c r="B4074" s="1000" t="s">
        <v>13867</v>
      </c>
      <c r="C4074" s="342" t="s">
        <v>80</v>
      </c>
      <c r="D4074" s="342" t="s">
        <v>13868</v>
      </c>
      <c r="E4074" s="1185" t="s">
        <v>13869</v>
      </c>
      <c r="F4074" s="342" t="s">
        <v>3583</v>
      </c>
      <c r="G4074" s="118" t="str">
        <f t="array" ref="G4074">IF(TRIM(E4074)="","",IFERROR(TEXT(INDEX(TAT_HELPER!D:D,MATCH(TRIM(E4074),TRIM(TAT_HELPER!A:A),0)),"dd-mm-yyyy"),""))
</f>
        <v>30-07-2026</v>
      </c>
      <c r="H4074" s="1181">
        <v>16.0</v>
      </c>
      <c r="I4074" s="836" t="s">
        <v>10093</v>
      </c>
      <c r="L4074" s="292" t="s">
        <v>2541</v>
      </c>
    </row>
    <row r="4075">
      <c r="A4075" s="999">
        <v>47.0</v>
      </c>
      <c r="B4075" s="1000" t="s">
        <v>13870</v>
      </c>
      <c r="C4075" s="342" t="s">
        <v>80</v>
      </c>
      <c r="D4075" s="342" t="s">
        <v>13871</v>
      </c>
      <c r="E4075" s="1185" t="s">
        <v>13872</v>
      </c>
      <c r="F4075" s="342" t="s">
        <v>3928</v>
      </c>
      <c r="G4075" s="118" t="str">
        <f t="array" ref="G4075">IF(TRIM(E4075)="","",IFERROR(TEXT(INDEX(TAT_HELPER!D:D,MATCH(TRIM(E4075),TRIM(TAT_HELPER!A:A),0)),"dd-mm-yyyy"),""))
</f>
        <v>30-07-2026</v>
      </c>
      <c r="H4075" s="1181">
        <v>16.0</v>
      </c>
      <c r="I4075" s="128" t="s">
        <v>2890</v>
      </c>
      <c r="L4075" s="292" t="s">
        <v>9469</v>
      </c>
    </row>
    <row r="4076">
      <c r="A4076" s="999">
        <v>48.0</v>
      </c>
      <c r="B4076" s="1000" t="s">
        <v>13873</v>
      </c>
      <c r="C4076" s="342" t="s">
        <v>80</v>
      </c>
      <c r="D4076" s="342" t="s">
        <v>13874</v>
      </c>
      <c r="E4076" s="1185" t="s">
        <v>13875</v>
      </c>
      <c r="F4076" s="342" t="s">
        <v>3928</v>
      </c>
      <c r="G4076" s="118" t="str">
        <f t="array" ref="G4076">IF(TRIM(E4076)="","",IFERROR(TEXT(INDEX(TAT_HELPER!D:D,MATCH(TRIM(E4076),TRIM(TAT_HELPER!A:A),0)),"dd-mm-yyyy"),""))
</f>
        <v>30-07-2026</v>
      </c>
      <c r="H4076" s="1181">
        <v>16.0</v>
      </c>
      <c r="I4076" s="128" t="s">
        <v>2890</v>
      </c>
      <c r="L4076" s="292" t="s">
        <v>9469</v>
      </c>
      <c r="O4076" s="143" t="s">
        <v>1444</v>
      </c>
    </row>
    <row r="4077">
      <c r="A4077" s="999">
        <v>49.0</v>
      </c>
      <c r="B4077" s="1000" t="s">
        <v>13876</v>
      </c>
      <c r="C4077" s="342" t="s">
        <v>80</v>
      </c>
      <c r="D4077" s="342" t="s">
        <v>13877</v>
      </c>
      <c r="E4077" s="1185" t="s">
        <v>13878</v>
      </c>
      <c r="F4077" s="342" t="s">
        <v>3928</v>
      </c>
      <c r="G4077" s="118" t="str">
        <f t="array" ref="G4077">IF(TRIM(E4077)="","",IFERROR(TEXT(INDEX(TAT_HELPER!D:D,MATCH(TRIM(E4077),TRIM(TAT_HELPER!A:A),0)),"dd-mm-yyyy"),""))
</f>
        <v>30-07-2026</v>
      </c>
      <c r="H4077" s="1181">
        <v>16.0</v>
      </c>
      <c r="I4077" s="128" t="s">
        <v>2890</v>
      </c>
      <c r="L4077" s="292" t="s">
        <v>9469</v>
      </c>
    </row>
    <row r="4078">
      <c r="A4078" s="999">
        <v>50.0</v>
      </c>
      <c r="B4078" s="1000" t="s">
        <v>13879</v>
      </c>
      <c r="C4078" s="342" t="s">
        <v>80</v>
      </c>
      <c r="D4078" s="342" t="s">
        <v>13880</v>
      </c>
      <c r="E4078" s="1185" t="s">
        <v>13881</v>
      </c>
      <c r="F4078" s="342" t="s">
        <v>3928</v>
      </c>
      <c r="G4078" s="118" t="str">
        <f t="array" ref="G4078">IF(TRIM(E4078)="","",IFERROR(TEXT(INDEX(TAT_HELPER!D:D,MATCH(TRIM(E4078),TRIM(TAT_HELPER!A:A),0)),"dd-mm-yyyy"),""))
</f>
        <v>30-07-2026</v>
      </c>
      <c r="H4078" s="1181">
        <v>16.0</v>
      </c>
      <c r="I4078" s="836" t="s">
        <v>5364</v>
      </c>
      <c r="L4078" s="292" t="s">
        <v>9469</v>
      </c>
      <c r="O4078" s="143" t="s">
        <v>1444</v>
      </c>
    </row>
    <row r="4079">
      <c r="A4079" s="999">
        <v>51.0</v>
      </c>
      <c r="B4079" s="1000" t="s">
        <v>13882</v>
      </c>
      <c r="C4079" s="342" t="s">
        <v>80</v>
      </c>
      <c r="D4079" s="342" t="s">
        <v>13883</v>
      </c>
      <c r="E4079" s="1185" t="s">
        <v>13884</v>
      </c>
      <c r="F4079" s="342" t="s">
        <v>3928</v>
      </c>
      <c r="G4079" s="118" t="str">
        <f t="array" ref="G4079">IF(TRIM(E4079)="","",IFERROR(TEXT(INDEX(TAT_HELPER!D:D,MATCH(TRIM(E4079),TRIM(TAT_HELPER!A:A),0)),"dd-mm-yyyy"),""))
</f>
        <v>30-07-2026</v>
      </c>
      <c r="H4079" s="1181">
        <v>16.0</v>
      </c>
      <c r="I4079" s="128" t="s">
        <v>2890</v>
      </c>
      <c r="L4079" s="292" t="s">
        <v>9469</v>
      </c>
    </row>
    <row r="4080" hidden="1">
      <c r="A4080" s="999">
        <v>52.0</v>
      </c>
      <c r="B4080" s="1186" t="s">
        <v>13885</v>
      </c>
      <c r="C4080" s="1183" t="s">
        <v>80</v>
      </c>
      <c r="D4080" s="1183" t="s">
        <v>13886</v>
      </c>
      <c r="E4080" s="1184" t="s">
        <v>13887</v>
      </c>
      <c r="F4080" s="1183" t="s">
        <v>3157</v>
      </c>
      <c r="G4080" s="1187" t="str">
        <f t="array" ref="G4080">IF(TRIM(E4080)="","",IFERROR(TEXT(INDEX(TAT_HELPER!D:D,MATCH(TRIM(E4080),TRIM(TAT_HELPER!A:A),0)),"dd-mm-yyyy"),""))
</f>
        <v>25-07-2026</v>
      </c>
      <c r="H4080" s="1181">
        <v>11.0</v>
      </c>
      <c r="I4080" s="128" t="s">
        <v>2890</v>
      </c>
      <c r="L4080" s="292" t="s">
        <v>374</v>
      </c>
      <c r="O4080" s="143" t="s">
        <v>12162</v>
      </c>
      <c r="P4080" s="1182" t="s">
        <v>11953</v>
      </c>
    </row>
    <row r="4081" hidden="1">
      <c r="A4081" s="999">
        <v>53.0</v>
      </c>
      <c r="B4081" s="1186" t="s">
        <v>13888</v>
      </c>
      <c r="C4081" s="1183" t="s">
        <v>80</v>
      </c>
      <c r="D4081" s="1183" t="s">
        <v>13889</v>
      </c>
      <c r="E4081" s="1188" t="s">
        <v>13890</v>
      </c>
      <c r="F4081" s="1183" t="s">
        <v>3157</v>
      </c>
      <c r="G4081" s="1187" t="str">
        <f t="array" ref="G4081">IF(TRIM(E4081)="","",IFERROR(TEXT(INDEX(TAT_HELPER!D:D,MATCH(TRIM(E4081),TRIM(TAT_HELPER!A:A),0)),"dd-mm-yyyy"),""))
</f>
        <v>25-07-2026</v>
      </c>
      <c r="H4081" s="1181">
        <v>11.0</v>
      </c>
      <c r="I4081" s="128" t="s">
        <v>2890</v>
      </c>
      <c r="L4081" s="292" t="s">
        <v>374</v>
      </c>
      <c r="O4081" s="143" t="s">
        <v>12162</v>
      </c>
      <c r="P4081" s="1182" t="s">
        <v>11953</v>
      </c>
    </row>
    <row r="4082" hidden="1">
      <c r="A4082" s="999">
        <v>54.0</v>
      </c>
      <c r="B4082" s="996" t="s">
        <v>13891</v>
      </c>
      <c r="C4082" s="504" t="s">
        <v>80</v>
      </c>
      <c r="D4082" s="504" t="s">
        <v>13892</v>
      </c>
      <c r="E4082" s="995" t="s">
        <v>13893</v>
      </c>
      <c r="F4082" s="504" t="s">
        <v>928</v>
      </c>
      <c r="G4082" s="760" t="str">
        <f t="array" ref="G4082">IF(TRIM(E4082)="","",IFERROR(TEXT(INDEX(TAT_HELPER!D:D,MATCH(TRIM(E4082),TRIM(TAT_HELPER!A:A),0)),"dd-mm-yyyy"),""))
</f>
        <v>28-07-2026</v>
      </c>
      <c r="H4082" s="1181">
        <v>14.0</v>
      </c>
      <c r="I4082" s="128" t="s">
        <v>2890</v>
      </c>
      <c r="L4082" s="292" t="s">
        <v>51</v>
      </c>
      <c r="O4082" s="143" t="s">
        <v>12997</v>
      </c>
      <c r="P4082" s="1182" t="s">
        <v>13894</v>
      </c>
    </row>
    <row r="4083">
      <c r="A4083" s="999">
        <v>55.0</v>
      </c>
      <c r="B4083" s="1080" t="s">
        <v>13895</v>
      </c>
      <c r="C4083" s="342" t="s">
        <v>80</v>
      </c>
      <c r="D4083" s="342" t="s">
        <v>13896</v>
      </c>
      <c r="E4083" s="999" t="s">
        <v>13897</v>
      </c>
      <c r="F4083" s="342" t="s">
        <v>2345</v>
      </c>
      <c r="G4083" s="118" t="str">
        <f t="array" ref="G4083">IF(TRIM(E4083)="","",IFERROR(TEXT(INDEX(TAT_HELPER!D:D,MATCH(TRIM(E4083),TRIM(TAT_HELPER!A:A),0)),"dd-mm-yyyy"),""))
</f>
        <v>01-08-2026</v>
      </c>
      <c r="H4083" s="1181">
        <v>18.0</v>
      </c>
      <c r="I4083" s="128" t="s">
        <v>2890</v>
      </c>
      <c r="L4083" s="292" t="s">
        <v>374</v>
      </c>
    </row>
    <row r="4084">
      <c r="A4084" s="999">
        <v>56.0</v>
      </c>
      <c r="B4084" s="1080" t="s">
        <v>13898</v>
      </c>
      <c r="C4084" s="342" t="s">
        <v>80</v>
      </c>
      <c r="D4084" s="342" t="s">
        <v>13899</v>
      </c>
      <c r="E4084" s="999" t="s">
        <v>13900</v>
      </c>
      <c r="F4084" s="342" t="s">
        <v>10577</v>
      </c>
      <c r="G4084" s="118" t="str">
        <f t="array" ref="G4084">IF(TRIM(E4084)="","",IFERROR(TEXT(INDEX(TAT_HELPER!D:D,MATCH(TRIM(E4084),TRIM(TAT_HELPER!A:A),0)),"dd-mm-yyyy"),""))
</f>
        <v>02-08-2026</v>
      </c>
      <c r="H4084" s="1181">
        <v>19.0</v>
      </c>
      <c r="I4084" s="836" t="s">
        <v>10093</v>
      </c>
      <c r="L4084" s="292" t="s">
        <v>51</v>
      </c>
    </row>
    <row r="4085">
      <c r="A4085" s="1175" t="s">
        <v>13901</v>
      </c>
      <c r="B4085" s="1176"/>
      <c r="C4085" s="1176"/>
      <c r="D4085" s="1176"/>
      <c r="E4085" s="1176"/>
      <c r="F4085" s="1176"/>
      <c r="G4085" s="1176"/>
      <c r="H4085" s="1176"/>
      <c r="I4085" s="1179"/>
      <c r="J4085" s="1179"/>
      <c r="K4085" s="1179"/>
      <c r="L4085" s="533"/>
      <c r="M4085" s="1179"/>
      <c r="N4085" s="1179"/>
      <c r="O4085" s="1179"/>
      <c r="P4085" s="1179"/>
      <c r="Q4085" s="35"/>
      <c r="R4085" s="35"/>
      <c r="S4085" s="35"/>
      <c r="T4085" s="35"/>
      <c r="U4085" s="35"/>
      <c r="V4085" s="35"/>
      <c r="W4085" s="35"/>
      <c r="X4085" s="35"/>
      <c r="Y4085" s="35"/>
      <c r="Z4085" s="35"/>
      <c r="AA4085" s="35"/>
      <c r="AB4085" s="35"/>
      <c r="AC4085" s="35"/>
      <c r="AD4085" s="35"/>
      <c r="AE4085" s="35"/>
      <c r="AF4085" s="35"/>
    </row>
    <row r="4086">
      <c r="A4086" s="670" t="s">
        <v>47</v>
      </c>
      <c r="B4086" s="670" t="s">
        <v>7</v>
      </c>
      <c r="C4086" s="670" t="s">
        <v>9</v>
      </c>
      <c r="D4086" s="670" t="s">
        <v>10</v>
      </c>
      <c r="E4086" s="670" t="s">
        <v>11</v>
      </c>
      <c r="F4086" s="670" t="s">
        <v>12</v>
      </c>
      <c r="G4086" s="670" t="s">
        <v>2378</v>
      </c>
      <c r="H4086" s="670" t="s">
        <v>2681</v>
      </c>
      <c r="I4086" s="4" t="s">
        <v>2847</v>
      </c>
      <c r="J4086" s="8" t="s">
        <v>14</v>
      </c>
      <c r="K4086" s="9" t="s">
        <v>16</v>
      </c>
      <c r="L4086" s="10" t="s">
        <v>11871</v>
      </c>
      <c r="M4086" s="9" t="s">
        <v>18</v>
      </c>
      <c r="N4086" s="9" t="s">
        <v>19</v>
      </c>
      <c r="O4086" s="9" t="s">
        <v>20</v>
      </c>
      <c r="P4086" s="9" t="s">
        <v>21</v>
      </c>
      <c r="Q4086" s="35"/>
      <c r="R4086" s="35"/>
      <c r="S4086" s="35"/>
      <c r="T4086" s="35"/>
      <c r="U4086" s="35"/>
      <c r="V4086" s="35"/>
      <c r="W4086" s="35"/>
      <c r="X4086" s="35"/>
      <c r="Y4086" s="35"/>
      <c r="Z4086" s="35"/>
      <c r="AA4086" s="35"/>
      <c r="AB4086" s="35"/>
      <c r="AC4086" s="35"/>
      <c r="AD4086" s="35"/>
      <c r="AE4086" s="35"/>
      <c r="AF4086" s="35"/>
    </row>
    <row r="4087">
      <c r="A4087" s="1134">
        <v>1.0</v>
      </c>
      <c r="B4087" s="1135" t="s">
        <v>13902</v>
      </c>
      <c r="C4087" s="562" t="s">
        <v>80</v>
      </c>
      <c r="D4087" s="562" t="s">
        <v>13903</v>
      </c>
      <c r="E4087" s="1134" t="s">
        <v>13904</v>
      </c>
      <c r="F4087" s="562" t="s">
        <v>928</v>
      </c>
      <c r="G4087" s="1189" t="str">
        <f t="array" ref="G4087">IF(TRIM(E4087)="","",IFERROR(TEXT(INDEX(TAT_HELPER!D:D,MATCH(TRIM(E4087),TRIM(TAT_HELPER!A:A),0)),"dd-mm-yyyy"),""))
</f>
        <v>30-07-2026</v>
      </c>
      <c r="H4087" s="1136">
        <f t="shared" ref="H4087:H4128" si="1">DATE(VALUE(RIGHT(G4087,4)),VALUE(MID(G4087,4,2)),VALUE(LEFT(G4087,2)))-DATE(2026,7,17)</f>
        <v>13</v>
      </c>
      <c r="I4087" s="1190" t="s">
        <v>10093</v>
      </c>
      <c r="J4087" s="1141"/>
      <c r="K4087" s="1141"/>
      <c r="L4087" s="1191" t="s">
        <v>4195</v>
      </c>
      <c r="M4087" s="1141"/>
      <c r="N4087" s="1141"/>
      <c r="O4087" s="1140" t="s">
        <v>11758</v>
      </c>
      <c r="P4087" s="1141"/>
      <c r="Q4087" s="1141"/>
      <c r="R4087" s="1141"/>
      <c r="S4087" s="1141"/>
      <c r="T4087" s="1141"/>
      <c r="U4087" s="1141"/>
      <c r="V4087" s="1141"/>
      <c r="W4087" s="1141"/>
      <c r="X4087" s="1141"/>
      <c r="Y4087" s="1141"/>
      <c r="Z4087" s="1141"/>
      <c r="AA4087" s="1141"/>
      <c r="AB4087" s="1141"/>
      <c r="AC4087" s="1141"/>
      <c r="AD4087" s="1141"/>
      <c r="AE4087" s="1141"/>
      <c r="AF4087" s="1141"/>
    </row>
    <row r="4088">
      <c r="A4088" s="999">
        <v>2.0</v>
      </c>
      <c r="B4088" s="1000" t="s">
        <v>13905</v>
      </c>
      <c r="C4088" s="342" t="s">
        <v>80</v>
      </c>
      <c r="D4088" s="342" t="s">
        <v>13906</v>
      </c>
      <c r="E4088" s="999" t="s">
        <v>13907</v>
      </c>
      <c r="F4088" s="342" t="s">
        <v>13908</v>
      </c>
      <c r="G4088" s="118" t="str">
        <f t="array" ref="G4088">IF(TRIM(E4088)="","",IFERROR(TEXT(INDEX(TAT_HELPER!D:D,MATCH(TRIM(E4088),TRIM(TAT_HELPER!A:A),0)),"dd-mm-yyyy"),""))
</f>
        <v>07-08-2026</v>
      </c>
      <c r="H4088" s="645">
        <f t="shared" si="1"/>
        <v>21</v>
      </c>
      <c r="I4088" s="128" t="s">
        <v>2890</v>
      </c>
      <c r="L4088" s="292" t="s">
        <v>4195</v>
      </c>
    </row>
    <row r="4089">
      <c r="A4089" s="999">
        <v>3.0</v>
      </c>
      <c r="B4089" s="1000" t="s">
        <v>13909</v>
      </c>
      <c r="C4089" s="342" t="s">
        <v>2307</v>
      </c>
      <c r="D4089" s="342" t="s">
        <v>13910</v>
      </c>
      <c r="E4089" s="999" t="s">
        <v>13911</v>
      </c>
      <c r="F4089" s="342" t="s">
        <v>11347</v>
      </c>
      <c r="G4089" s="118" t="str">
        <f t="array" ref="G4089">IF(TRIM(E4089)="","",IFERROR(TEXT(INDEX(TAT_HELPER!D:D,MATCH(TRIM(E4089),TRIM(TAT_HELPER!A:A),0)),"dd-mm-yyyy"),""))
</f>
        <v>26-07-2026</v>
      </c>
      <c r="H4089" s="1166">
        <f t="shared" si="1"/>
        <v>9</v>
      </c>
      <c r="I4089" s="836" t="s">
        <v>10093</v>
      </c>
      <c r="L4089" s="292" t="s">
        <v>699</v>
      </c>
    </row>
    <row r="4090">
      <c r="A4090" s="999">
        <v>4.0</v>
      </c>
      <c r="B4090" s="1000" t="s">
        <v>13912</v>
      </c>
      <c r="C4090" s="342" t="s">
        <v>2403</v>
      </c>
      <c r="D4090" s="342" t="s">
        <v>13913</v>
      </c>
      <c r="E4090" s="999" t="s">
        <v>13914</v>
      </c>
      <c r="F4090" s="342" t="s">
        <v>11347</v>
      </c>
      <c r="G4090" s="118" t="str">
        <f t="array" ref="G4090">IF(TRIM(E4090)="","",IFERROR(TEXT(INDEX(TAT_HELPER!D:D,MATCH(TRIM(E4090),TRIM(TAT_HELPER!A:A),0)),"dd-mm-yyyy"),""))
</f>
        <v>26-07-2026</v>
      </c>
      <c r="H4090" s="1166">
        <f t="shared" si="1"/>
        <v>9</v>
      </c>
      <c r="I4090" s="836" t="s">
        <v>10198</v>
      </c>
      <c r="L4090" s="292" t="s">
        <v>699</v>
      </c>
    </row>
    <row r="4091">
      <c r="A4091" s="999">
        <v>5.0</v>
      </c>
      <c r="B4091" s="1000" t="s">
        <v>13915</v>
      </c>
      <c r="C4091" s="342" t="s">
        <v>2403</v>
      </c>
      <c r="D4091" s="342" t="s">
        <v>13916</v>
      </c>
      <c r="E4091" s="999" t="s">
        <v>13917</v>
      </c>
      <c r="F4091" s="342" t="s">
        <v>1199</v>
      </c>
      <c r="G4091" s="118" t="str">
        <f t="array" ref="G4091">IF(TRIM(E4091)="","",IFERROR(TEXT(INDEX(TAT_HELPER!D:D,MATCH(TRIM(E4091),TRIM(TAT_HELPER!A:A),0)),"dd-mm-yyyy"),""))
</f>
        <v>23-07-2026</v>
      </c>
      <c r="H4091" s="1166">
        <f t="shared" si="1"/>
        <v>6</v>
      </c>
      <c r="I4091" s="128" t="s">
        <v>2890</v>
      </c>
      <c r="L4091" s="292" t="s">
        <v>699</v>
      </c>
    </row>
    <row r="4092">
      <c r="A4092" s="999">
        <v>6.0</v>
      </c>
      <c r="B4092" s="1000" t="s">
        <v>13918</v>
      </c>
      <c r="C4092" s="342" t="s">
        <v>2307</v>
      </c>
      <c r="D4092" s="342" t="s">
        <v>13919</v>
      </c>
      <c r="E4092" s="999" t="s">
        <v>13920</v>
      </c>
      <c r="F4092" s="342" t="s">
        <v>13921</v>
      </c>
      <c r="G4092" s="118" t="str">
        <f t="array" ref="G4092">IF(TRIM(E4092)="","",IFERROR(TEXT(INDEX(TAT_HELPER!D:D,MATCH(TRIM(E4092),TRIM(TAT_HELPER!A:A),0)),"dd-mm-yyyy"),""))
</f>
        <v>23-07-2026</v>
      </c>
      <c r="H4092" s="1166">
        <f t="shared" si="1"/>
        <v>6</v>
      </c>
      <c r="I4092" s="128" t="s">
        <v>2890</v>
      </c>
      <c r="L4092" s="292" t="s">
        <v>699</v>
      </c>
    </row>
    <row r="4093">
      <c r="A4093" s="999">
        <v>7.0</v>
      </c>
      <c r="B4093" s="1000" t="s">
        <v>13922</v>
      </c>
      <c r="C4093" s="342" t="s">
        <v>80</v>
      </c>
      <c r="D4093" s="342" t="s">
        <v>13923</v>
      </c>
      <c r="E4093" s="1156" t="s">
        <v>13924</v>
      </c>
      <c r="F4093" s="342" t="s">
        <v>3928</v>
      </c>
      <c r="G4093" s="118" t="str">
        <f t="array" ref="G4093">IF(TRIM(E4093)="","",IFERROR(TEXT(INDEX(TAT_HELPER!D:D,MATCH(TRIM(E4093),TRIM(TAT_HELPER!A:A),0)),"dd-mm-yyyy"),""))
</f>
        <v>31-07-2026</v>
      </c>
      <c r="H4093" s="645">
        <f t="shared" si="1"/>
        <v>14</v>
      </c>
      <c r="I4093" s="128" t="s">
        <v>2890</v>
      </c>
      <c r="L4093" s="292" t="s">
        <v>9469</v>
      </c>
    </row>
    <row r="4094">
      <c r="A4094" s="999">
        <v>8.0</v>
      </c>
      <c r="B4094" s="1000" t="s">
        <v>13925</v>
      </c>
      <c r="C4094" s="342" t="s">
        <v>80</v>
      </c>
      <c r="D4094" s="342" t="s">
        <v>13926</v>
      </c>
      <c r="E4094" s="1156" t="s">
        <v>13927</v>
      </c>
      <c r="F4094" s="342" t="s">
        <v>3928</v>
      </c>
      <c r="G4094" s="118" t="str">
        <f t="array" ref="G4094">IF(TRIM(E4094)="","",IFERROR(TEXT(INDEX(TAT_HELPER!D:D,MATCH(TRIM(E4094),TRIM(TAT_HELPER!A:A),0)),"dd-mm-yyyy"),""))
</f>
        <v>31-07-2026</v>
      </c>
      <c r="H4094" s="645">
        <f t="shared" si="1"/>
        <v>14</v>
      </c>
      <c r="I4094" s="128" t="s">
        <v>2890</v>
      </c>
      <c r="L4094" s="292" t="s">
        <v>9469</v>
      </c>
      <c r="O4094" s="1192" t="s">
        <v>13075</v>
      </c>
    </row>
    <row r="4095">
      <c r="A4095" s="999">
        <v>9.0</v>
      </c>
      <c r="B4095" s="1000" t="s">
        <v>13928</v>
      </c>
      <c r="C4095" s="342" t="s">
        <v>80</v>
      </c>
      <c r="D4095" s="342" t="s">
        <v>13929</v>
      </c>
      <c r="E4095" s="1156" t="s">
        <v>13930</v>
      </c>
      <c r="F4095" s="342" t="s">
        <v>3928</v>
      </c>
      <c r="G4095" s="118" t="str">
        <f t="array" ref="G4095">IF(TRIM(E4095)="","",IFERROR(TEXT(INDEX(TAT_HELPER!D:D,MATCH(TRIM(E4095),TRIM(TAT_HELPER!A:A),0)),"dd-mm-yyyy"),""))
</f>
        <v>31-07-2026</v>
      </c>
      <c r="H4095" s="645">
        <f t="shared" si="1"/>
        <v>14</v>
      </c>
      <c r="I4095" s="836" t="s">
        <v>10093</v>
      </c>
      <c r="L4095" s="292" t="s">
        <v>9469</v>
      </c>
    </row>
    <row r="4096">
      <c r="A4096" s="999">
        <v>10.0</v>
      </c>
      <c r="B4096" s="1000" t="s">
        <v>13931</v>
      </c>
      <c r="C4096" s="342" t="s">
        <v>80</v>
      </c>
      <c r="D4096" s="342" t="s">
        <v>13932</v>
      </c>
      <c r="E4096" s="1156" t="s">
        <v>13933</v>
      </c>
      <c r="F4096" s="342" t="s">
        <v>3928</v>
      </c>
      <c r="G4096" s="118" t="str">
        <f t="array" ref="G4096">IF(TRIM(E4096)="","",IFERROR(TEXT(INDEX(TAT_HELPER!D:D,MATCH(TRIM(E4096),TRIM(TAT_HELPER!A:A),0)),"dd-mm-yyyy"),""))
</f>
        <v>31-07-2026</v>
      </c>
      <c r="H4096" s="645">
        <f t="shared" si="1"/>
        <v>14</v>
      </c>
      <c r="I4096" s="836" t="s">
        <v>10093</v>
      </c>
      <c r="L4096" s="292" t="s">
        <v>9469</v>
      </c>
    </row>
    <row r="4097">
      <c r="A4097" s="999">
        <v>11.0</v>
      </c>
      <c r="B4097" s="1000" t="s">
        <v>13934</v>
      </c>
      <c r="C4097" s="342" t="s">
        <v>80</v>
      </c>
      <c r="D4097" s="342" t="s">
        <v>13935</v>
      </c>
      <c r="E4097" s="1156" t="s">
        <v>13936</v>
      </c>
      <c r="F4097" s="342" t="s">
        <v>3928</v>
      </c>
      <c r="G4097" s="118" t="str">
        <f t="array" ref="G4097">IF(TRIM(E4097)="","",IFERROR(TEXT(INDEX(TAT_HELPER!D:D,MATCH(TRIM(E4097),TRIM(TAT_HELPER!A:A),0)),"dd-mm-yyyy"),""))
</f>
        <v>31-07-2026</v>
      </c>
      <c r="H4097" s="645">
        <f t="shared" si="1"/>
        <v>14</v>
      </c>
      <c r="I4097" s="836" t="s">
        <v>13937</v>
      </c>
      <c r="L4097" s="292" t="s">
        <v>9469</v>
      </c>
    </row>
    <row r="4098">
      <c r="A4098" s="999">
        <v>12.0</v>
      </c>
      <c r="B4098" s="1000" t="s">
        <v>13938</v>
      </c>
      <c r="C4098" s="342" t="s">
        <v>80</v>
      </c>
      <c r="D4098" s="342" t="s">
        <v>13939</v>
      </c>
      <c r="E4098" s="1156" t="s">
        <v>13940</v>
      </c>
      <c r="F4098" s="342" t="s">
        <v>3928</v>
      </c>
      <c r="G4098" s="118" t="str">
        <f t="array" ref="G4098">IF(TRIM(E4098)="","",IFERROR(TEXT(INDEX(TAT_HELPER!D:D,MATCH(TRIM(E4098),TRIM(TAT_HELPER!A:A),0)),"dd-mm-yyyy"),""))
</f>
        <v>31-07-2026</v>
      </c>
      <c r="H4098" s="645">
        <f t="shared" si="1"/>
        <v>14</v>
      </c>
      <c r="I4098" s="836" t="s">
        <v>10093</v>
      </c>
      <c r="L4098" s="292" t="s">
        <v>9469</v>
      </c>
    </row>
    <row r="4099">
      <c r="A4099" s="999">
        <v>13.0</v>
      </c>
      <c r="B4099" s="1000" t="s">
        <v>13941</v>
      </c>
      <c r="C4099" s="342" t="s">
        <v>80</v>
      </c>
      <c r="D4099" s="342" t="s">
        <v>13942</v>
      </c>
      <c r="E4099" s="1156" t="s">
        <v>13943</v>
      </c>
      <c r="F4099" s="342" t="s">
        <v>3928</v>
      </c>
      <c r="G4099" s="118" t="str">
        <f t="array" ref="G4099">IF(TRIM(E4099)="","",IFERROR(TEXT(INDEX(TAT_HELPER!D:D,MATCH(TRIM(E4099),TRIM(TAT_HELPER!A:A),0)),"dd-mm-yyyy"),""))
</f>
        <v>31-07-2026</v>
      </c>
      <c r="H4099" s="645">
        <f t="shared" si="1"/>
        <v>14</v>
      </c>
      <c r="I4099" s="128" t="s">
        <v>2890</v>
      </c>
      <c r="L4099" s="292" t="s">
        <v>9469</v>
      </c>
    </row>
    <row r="4100">
      <c r="A4100" s="999">
        <v>14.0</v>
      </c>
      <c r="B4100" s="1000" t="s">
        <v>13944</v>
      </c>
      <c r="C4100" s="342" t="s">
        <v>80</v>
      </c>
      <c r="D4100" s="342" t="s">
        <v>13945</v>
      </c>
      <c r="E4100" s="999" t="s">
        <v>13946</v>
      </c>
      <c r="F4100" s="342" t="s">
        <v>510</v>
      </c>
      <c r="G4100" s="118" t="str">
        <f t="array" ref="G4100">IF(TRIM(E4100)="","",IFERROR(TEXT(INDEX(TAT_HELPER!D:D,MATCH(TRIM(E4100),TRIM(TAT_HELPER!A:A),0)),"dd-mm-yyyy"),""))
</f>
        <v>30-07-2026</v>
      </c>
      <c r="H4100" s="645">
        <f t="shared" si="1"/>
        <v>13</v>
      </c>
      <c r="I4100" s="128" t="s">
        <v>2890</v>
      </c>
      <c r="L4100" s="292" t="s">
        <v>374</v>
      </c>
    </row>
    <row r="4101">
      <c r="A4101" s="1100">
        <v>15.0</v>
      </c>
      <c r="B4101" s="1101" t="s">
        <v>13947</v>
      </c>
      <c r="C4101" s="1048" t="s">
        <v>80</v>
      </c>
      <c r="D4101" s="1048" t="s">
        <v>13948</v>
      </c>
      <c r="E4101" s="1100" t="s">
        <v>13949</v>
      </c>
      <c r="F4101" s="1048" t="s">
        <v>556</v>
      </c>
      <c r="G4101" s="1112" t="str">
        <f t="array" ref="G4101">IF(TRIM(E4101)="","",IFERROR(TEXT(INDEX(TAT_HELPER!D:D,MATCH(TRIM(E4101),TRIM(TAT_HELPER!A:A),0)),"dd-mm-yyyy"),""))
</f>
        <v>29-07-2026</v>
      </c>
      <c r="H4101" s="1104">
        <f t="shared" si="1"/>
        <v>12</v>
      </c>
      <c r="I4101" s="1103" t="s">
        <v>10093</v>
      </c>
      <c r="J4101" s="1054"/>
      <c r="K4101" s="1054"/>
      <c r="L4101" s="1053" t="s">
        <v>51</v>
      </c>
      <c r="M4101" s="1054"/>
      <c r="N4101" s="1054"/>
      <c r="O4101" s="1113" t="s">
        <v>13950</v>
      </c>
      <c r="P4101" s="1054"/>
      <c r="Q4101" s="1057"/>
      <c r="R4101" s="1057"/>
      <c r="S4101" s="1057"/>
      <c r="T4101" s="1057"/>
      <c r="U4101" s="1057"/>
      <c r="V4101" s="1057"/>
      <c r="W4101" s="1057"/>
      <c r="X4101" s="1057"/>
      <c r="Y4101" s="1057"/>
      <c r="Z4101" s="1057"/>
      <c r="AA4101" s="1057"/>
      <c r="AB4101" s="1057"/>
      <c r="AC4101" s="1057"/>
      <c r="AD4101" s="1057"/>
      <c r="AE4101" s="1057"/>
      <c r="AF4101" s="1057"/>
    </row>
    <row r="4102">
      <c r="A4102" s="999">
        <v>16.0</v>
      </c>
      <c r="B4102" s="1000" t="s">
        <v>13951</v>
      </c>
      <c r="C4102" s="342" t="s">
        <v>80</v>
      </c>
      <c r="D4102" s="342" t="s">
        <v>13952</v>
      </c>
      <c r="E4102" s="999" t="s">
        <v>13953</v>
      </c>
      <c r="F4102" s="342" t="s">
        <v>1487</v>
      </c>
      <c r="G4102" s="118" t="str">
        <f t="array" ref="G4102">IF(TRIM(E4102)="","",IFERROR(TEXT(INDEX(TAT_HELPER!D:D,MATCH(TRIM(E4102),TRIM(TAT_HELPER!A:A),0)),"dd-mm-yyyy"),""))
</f>
        <v>30-07-2026</v>
      </c>
      <c r="H4102" s="645">
        <f t="shared" si="1"/>
        <v>13</v>
      </c>
      <c r="I4102" s="128" t="s">
        <v>2890</v>
      </c>
      <c r="L4102" s="292" t="s">
        <v>4195</v>
      </c>
    </row>
    <row r="4103">
      <c r="A4103" s="999">
        <v>17.0</v>
      </c>
      <c r="B4103" s="1000" t="s">
        <v>13954</v>
      </c>
      <c r="C4103" s="342" t="s">
        <v>80</v>
      </c>
      <c r="D4103" s="342" t="s">
        <v>13955</v>
      </c>
      <c r="E4103" s="999" t="s">
        <v>13956</v>
      </c>
      <c r="F4103" s="342" t="s">
        <v>556</v>
      </c>
      <c r="G4103" s="118" t="str">
        <f t="array" ref="G4103">IF(TRIM(E4103)="","",IFERROR(TEXT(INDEX(TAT_HELPER!D:D,MATCH(TRIM(E4103),TRIM(TAT_HELPER!A:A),0)),"dd-mm-yyyy"),""))
</f>
        <v>01-08-2026</v>
      </c>
      <c r="H4103" s="645">
        <f t="shared" si="1"/>
        <v>15</v>
      </c>
      <c r="I4103" s="128" t="s">
        <v>2890</v>
      </c>
      <c r="L4103" s="292" t="s">
        <v>374</v>
      </c>
    </row>
    <row r="4104">
      <c r="A4104" s="999">
        <v>18.0</v>
      </c>
      <c r="B4104" s="1000" t="s">
        <v>13957</v>
      </c>
      <c r="C4104" s="342" t="s">
        <v>80</v>
      </c>
      <c r="D4104" s="342" t="s">
        <v>13958</v>
      </c>
      <c r="E4104" s="999" t="s">
        <v>13959</v>
      </c>
      <c r="F4104" s="342" t="s">
        <v>556</v>
      </c>
      <c r="G4104" s="118" t="str">
        <f t="array" ref="G4104">IF(TRIM(E4104)="","",IFERROR(TEXT(INDEX(TAT_HELPER!D:D,MATCH(TRIM(E4104),TRIM(TAT_HELPER!A:A),0)),"dd-mm-yyyy"),""))
</f>
        <v>01-08-2026</v>
      </c>
      <c r="H4104" s="645">
        <f t="shared" si="1"/>
        <v>15</v>
      </c>
      <c r="I4104" s="128" t="s">
        <v>2890</v>
      </c>
      <c r="L4104" s="292" t="s">
        <v>51</v>
      </c>
    </row>
    <row r="4105">
      <c r="A4105" s="999">
        <v>19.0</v>
      </c>
      <c r="B4105" s="1000" t="s">
        <v>13960</v>
      </c>
      <c r="C4105" s="342" t="s">
        <v>80</v>
      </c>
      <c r="D4105" s="342" t="s">
        <v>13961</v>
      </c>
      <c r="E4105" s="999" t="s">
        <v>13962</v>
      </c>
      <c r="F4105" s="342" t="s">
        <v>556</v>
      </c>
      <c r="G4105" s="118" t="str">
        <f t="array" ref="G4105">IF(TRIM(E4105)="","",IFERROR(TEXT(INDEX(TAT_HELPER!D:D,MATCH(TRIM(E4105),TRIM(TAT_HELPER!A:A),0)),"dd-mm-yyyy"),""))
</f>
        <v>29-07-2026</v>
      </c>
      <c r="H4105" s="645">
        <f t="shared" si="1"/>
        <v>12</v>
      </c>
      <c r="I4105" s="128" t="s">
        <v>2890</v>
      </c>
      <c r="L4105" s="292" t="s">
        <v>4195</v>
      </c>
    </row>
    <row r="4106">
      <c r="A4106" s="999">
        <v>20.0</v>
      </c>
      <c r="B4106" s="1000" t="s">
        <v>13963</v>
      </c>
      <c r="C4106" s="342" t="s">
        <v>12172</v>
      </c>
      <c r="D4106" s="342" t="s">
        <v>13964</v>
      </c>
      <c r="E4106" s="999" t="s">
        <v>13965</v>
      </c>
      <c r="F4106" s="342" t="s">
        <v>25</v>
      </c>
      <c r="G4106" s="118" t="str">
        <f t="array" ref="G4106">IF(TRIM(E4106)="","",IFERROR(TEXT(INDEX(TAT_HELPER!D:D,MATCH(TRIM(E4106),TRIM(TAT_HELPER!A:A),0)),"dd-mm-yyyy"),""))
</f>
        <v>30-07-2026</v>
      </c>
      <c r="H4106" s="645">
        <f t="shared" si="1"/>
        <v>13</v>
      </c>
      <c r="I4106" s="128" t="s">
        <v>2890</v>
      </c>
      <c r="L4106" s="292" t="s">
        <v>374</v>
      </c>
    </row>
    <row r="4107">
      <c r="A4107" s="999">
        <v>21.0</v>
      </c>
      <c r="B4107" s="1000" t="s">
        <v>13966</v>
      </c>
      <c r="C4107" s="342" t="s">
        <v>80</v>
      </c>
      <c r="D4107" s="342" t="s">
        <v>13967</v>
      </c>
      <c r="E4107" s="999" t="s">
        <v>13968</v>
      </c>
      <c r="F4107" s="342" t="s">
        <v>25</v>
      </c>
      <c r="G4107" s="118" t="str">
        <f t="array" ref="G4107">IF(TRIM(E4107)="","",IFERROR(TEXT(INDEX(TAT_HELPER!D:D,MATCH(TRIM(E4107),TRIM(TAT_HELPER!A:A),0)),"dd-mm-yyyy"),""))
</f>
        <v>30-07-2026</v>
      </c>
      <c r="H4107" s="645">
        <f t="shared" si="1"/>
        <v>13</v>
      </c>
      <c r="I4107" s="128" t="s">
        <v>2890</v>
      </c>
      <c r="L4107" s="292" t="s">
        <v>51</v>
      </c>
    </row>
    <row r="4108">
      <c r="A4108" s="999">
        <v>22.0</v>
      </c>
      <c r="B4108" s="1000" t="s">
        <v>13969</v>
      </c>
      <c r="C4108" s="342" t="s">
        <v>651</v>
      </c>
      <c r="D4108" s="342" t="s">
        <v>13970</v>
      </c>
      <c r="E4108" s="999" t="s">
        <v>13971</v>
      </c>
      <c r="F4108" s="342" t="s">
        <v>4779</v>
      </c>
      <c r="G4108" s="118" t="str">
        <f t="array" ref="G4108">IF(TRIM(E4108)="","",IFERROR(TEXT(INDEX(TAT_HELPER!D:D,MATCH(TRIM(E4108),TRIM(TAT_HELPER!A:A),0)),"dd-mm-yyyy"),""))
</f>
        <v>31-07-2026</v>
      </c>
      <c r="H4108" s="645">
        <f t="shared" si="1"/>
        <v>14</v>
      </c>
      <c r="I4108" s="836" t="s">
        <v>10093</v>
      </c>
      <c r="L4108" s="292" t="s">
        <v>4195</v>
      </c>
    </row>
    <row r="4109">
      <c r="A4109" s="999">
        <v>23.0</v>
      </c>
      <c r="B4109" s="1000" t="s">
        <v>13972</v>
      </c>
      <c r="C4109" s="342" t="s">
        <v>80</v>
      </c>
      <c r="D4109" s="342" t="s">
        <v>13973</v>
      </c>
      <c r="E4109" s="999" t="s">
        <v>13974</v>
      </c>
      <c r="F4109" s="342" t="s">
        <v>12913</v>
      </c>
      <c r="G4109" s="118" t="str">
        <f t="array" ref="G4109">IF(TRIM(E4109)="","",IFERROR(TEXT(INDEX(TAT_HELPER!D:D,MATCH(TRIM(E4109),TRIM(TAT_HELPER!A:A),0)),"dd-mm-yyyy"),""))
</f>
        <v>31-07-2026</v>
      </c>
      <c r="H4109" s="645">
        <f t="shared" si="1"/>
        <v>14</v>
      </c>
      <c r="I4109" s="836" t="s">
        <v>10093</v>
      </c>
      <c r="L4109" s="292" t="s">
        <v>374</v>
      </c>
    </row>
    <row r="4110">
      <c r="A4110" s="999">
        <v>24.0</v>
      </c>
      <c r="B4110" s="1000" t="s">
        <v>13975</v>
      </c>
      <c r="C4110" s="342" t="s">
        <v>80</v>
      </c>
      <c r="D4110" s="342" t="s">
        <v>13976</v>
      </c>
      <c r="E4110" s="999" t="s">
        <v>13977</v>
      </c>
      <c r="F4110" s="342" t="s">
        <v>12913</v>
      </c>
      <c r="G4110" s="118" t="str">
        <f t="array" ref="G4110">IF(TRIM(E4110)="","",IFERROR(TEXT(INDEX(TAT_HELPER!D:D,MATCH(TRIM(E4110),TRIM(TAT_HELPER!A:A),0)),"dd-mm-yyyy"),""))
</f>
        <v>31-07-2026</v>
      </c>
      <c r="H4110" s="645">
        <f t="shared" si="1"/>
        <v>14</v>
      </c>
      <c r="I4110" s="128" t="s">
        <v>2890</v>
      </c>
      <c r="L4110" s="292" t="s">
        <v>4195</v>
      </c>
    </row>
    <row r="4111">
      <c r="A4111" s="999">
        <v>25.0</v>
      </c>
      <c r="B4111" s="1000" t="s">
        <v>13978</v>
      </c>
      <c r="C4111" s="342" t="s">
        <v>80</v>
      </c>
      <c r="D4111" s="342" t="s">
        <v>13979</v>
      </c>
      <c r="E4111" s="999" t="s">
        <v>13980</v>
      </c>
      <c r="F4111" s="342" t="s">
        <v>13981</v>
      </c>
      <c r="G4111" s="118" t="str">
        <f t="array" ref="G4111">IF(TRIM(E4111)="","",IFERROR(TEXT(INDEX(TAT_HELPER!D:D,MATCH(TRIM(E4111),TRIM(TAT_HELPER!A:A),0)),"dd-mm-yyyy"),""))
</f>
        <v>30-07-2026</v>
      </c>
      <c r="H4111" s="645">
        <f t="shared" si="1"/>
        <v>13</v>
      </c>
      <c r="I4111" s="836" t="s">
        <v>10093</v>
      </c>
      <c r="L4111" s="292" t="s">
        <v>4195</v>
      </c>
    </row>
    <row r="4112">
      <c r="A4112" s="999">
        <v>26.0</v>
      </c>
      <c r="B4112" s="1000" t="s">
        <v>13982</v>
      </c>
      <c r="C4112" s="342" t="s">
        <v>1058</v>
      </c>
      <c r="D4112" s="1031" t="s">
        <v>13983</v>
      </c>
      <c r="E4112" s="1028" t="s">
        <v>13984</v>
      </c>
      <c r="F4112" s="342" t="s">
        <v>7169</v>
      </c>
      <c r="G4112" s="118" t="str">
        <f t="array" ref="G4112">IF(TRIM(E4112)="","",IFERROR(TEXT(INDEX(TAT_HELPER!D:D,MATCH(TRIM(E4112),TRIM(TAT_HELPER!A:A),0)),"dd-mm-yyyy"),""))
</f>
        <v>30-07-2026</v>
      </c>
      <c r="H4112" s="645">
        <f t="shared" si="1"/>
        <v>13</v>
      </c>
      <c r="I4112" s="37" t="s">
        <v>3492</v>
      </c>
      <c r="L4112" s="292" t="s">
        <v>4195</v>
      </c>
    </row>
    <row r="4113">
      <c r="A4113" s="999">
        <v>27.0</v>
      </c>
      <c r="B4113" s="1000" t="s">
        <v>13985</v>
      </c>
      <c r="C4113" s="342" t="s">
        <v>1058</v>
      </c>
      <c r="D4113" s="1031" t="s">
        <v>13986</v>
      </c>
      <c r="E4113" s="1028" t="s">
        <v>13987</v>
      </c>
      <c r="F4113" s="342" t="s">
        <v>7169</v>
      </c>
      <c r="G4113" s="118" t="str">
        <f t="array" ref="G4113">IF(TRIM(E4113)="","",IFERROR(TEXT(INDEX(TAT_HELPER!D:D,MATCH(TRIM(E4113),TRIM(TAT_HELPER!A:A),0)),"dd-mm-yyyy"),""))
</f>
        <v>30-07-2026</v>
      </c>
      <c r="H4113" s="645">
        <f t="shared" si="1"/>
        <v>13</v>
      </c>
      <c r="I4113" s="836" t="s">
        <v>10093</v>
      </c>
      <c r="L4113" s="292" t="s">
        <v>4195</v>
      </c>
    </row>
    <row r="4114">
      <c r="A4114" s="999">
        <v>28.0</v>
      </c>
      <c r="B4114" s="1000" t="s">
        <v>13988</v>
      </c>
      <c r="C4114" s="342" t="s">
        <v>1185</v>
      </c>
      <c r="D4114" s="342" t="s">
        <v>13989</v>
      </c>
      <c r="E4114" s="999" t="s">
        <v>13990</v>
      </c>
      <c r="F4114" s="342" t="s">
        <v>13991</v>
      </c>
      <c r="G4114" s="118" t="str">
        <f t="array" ref="G4114">IF(TRIM(E4114)="","",IFERROR(TEXT(INDEX(TAT_HELPER!D:D,MATCH(TRIM(E4114),TRIM(TAT_HELPER!A:A),0)),"dd-mm-yyyy"),""))
</f>
        <v>01-08-2026</v>
      </c>
      <c r="H4114" s="645">
        <f t="shared" si="1"/>
        <v>15</v>
      </c>
      <c r="I4114" s="836" t="s">
        <v>10093</v>
      </c>
      <c r="L4114" s="292" t="s">
        <v>778</v>
      </c>
    </row>
    <row r="4115" hidden="1">
      <c r="A4115" s="999">
        <v>29.0</v>
      </c>
      <c r="B4115" s="1000" t="s">
        <v>13992</v>
      </c>
      <c r="C4115" s="342" t="s">
        <v>10101</v>
      </c>
      <c r="D4115" s="342" t="s">
        <v>13993</v>
      </c>
      <c r="E4115" s="999" t="s">
        <v>13994</v>
      </c>
      <c r="F4115" s="342" t="s">
        <v>13995</v>
      </c>
      <c r="G4115" s="941" t="str">
        <f t="array" ref="G4115">IF(TRIM(E4115)="","",IFERROR(TEXT(INDEX(TAT_HELPER!D:D,MATCH(TRIM(E4115),TRIM(TAT_HELPER!A:A),0)),"dd-mm-yyyy"),""))
</f>
        <v>30-12-1899</v>
      </c>
      <c r="H4115" s="1166">
        <f t="shared" si="1"/>
        <v>647741</v>
      </c>
      <c r="I4115" s="128" t="s">
        <v>2890</v>
      </c>
      <c r="L4115" s="292"/>
    </row>
    <row r="4116">
      <c r="A4116" s="999">
        <v>30.0</v>
      </c>
      <c r="B4116" s="1000" t="s">
        <v>13996</v>
      </c>
      <c r="C4116" s="342" t="s">
        <v>80</v>
      </c>
      <c r="D4116" s="342" t="s">
        <v>13997</v>
      </c>
      <c r="E4116" s="999" t="s">
        <v>13998</v>
      </c>
      <c r="F4116" s="342" t="s">
        <v>11685</v>
      </c>
      <c r="G4116" s="118" t="str">
        <f t="array" ref="G4116">IF(TRIM(E4116)="","",IFERROR(TEXT(INDEX(TAT_HELPER!D:D,MATCH(TRIM(E4116),TRIM(TAT_HELPER!A:A),0)),"dd-mm-yyyy"),""))
</f>
        <v>02-08-2026</v>
      </c>
      <c r="H4116" s="645">
        <f t="shared" si="1"/>
        <v>16</v>
      </c>
      <c r="I4116" s="128" t="s">
        <v>2890</v>
      </c>
      <c r="L4116" s="292" t="s">
        <v>51</v>
      </c>
    </row>
    <row r="4117">
      <c r="A4117" s="999">
        <v>31.0</v>
      </c>
      <c r="B4117" s="1000" t="s">
        <v>13999</v>
      </c>
      <c r="C4117" s="342" t="s">
        <v>80</v>
      </c>
      <c r="D4117" s="342" t="s">
        <v>14000</v>
      </c>
      <c r="E4117" s="999" t="s">
        <v>14001</v>
      </c>
      <c r="F4117" s="342" t="s">
        <v>14002</v>
      </c>
      <c r="G4117" s="118" t="str">
        <f t="array" ref="G4117">IF(TRIM(E4117)="","",IFERROR(TEXT(INDEX(TAT_HELPER!D:D,MATCH(TRIM(E4117),TRIM(TAT_HELPER!A:A),0)),"dd-mm-yyyy"),""))
</f>
        <v>02-08-2026</v>
      </c>
      <c r="H4117" s="645">
        <f t="shared" si="1"/>
        <v>16</v>
      </c>
      <c r="I4117" s="128" t="s">
        <v>2890</v>
      </c>
      <c r="L4117" s="292" t="s">
        <v>374</v>
      </c>
    </row>
    <row r="4118">
      <c r="A4118" s="999">
        <v>32.0</v>
      </c>
      <c r="B4118" s="1000" t="s">
        <v>14003</v>
      </c>
      <c r="C4118" s="342" t="s">
        <v>80</v>
      </c>
      <c r="D4118" s="342" t="s">
        <v>14004</v>
      </c>
      <c r="E4118" s="999" t="s">
        <v>14005</v>
      </c>
      <c r="F4118" s="342" t="s">
        <v>14006</v>
      </c>
      <c r="G4118" s="118" t="str">
        <f t="array" ref="G4118">IF(TRIM(E4118)="","",IFERROR(TEXT(INDEX(TAT_HELPER!D:D,MATCH(TRIM(E4118),TRIM(TAT_HELPER!A:A),0)),"dd-mm-yyyy"),""))
</f>
        <v>02-08-2026</v>
      </c>
      <c r="H4118" s="645">
        <f t="shared" si="1"/>
        <v>16</v>
      </c>
      <c r="I4118" s="128" t="s">
        <v>2890</v>
      </c>
      <c r="L4118" s="292" t="s">
        <v>51</v>
      </c>
    </row>
    <row r="4119">
      <c r="A4119" s="999">
        <v>33.0</v>
      </c>
      <c r="B4119" s="1000" t="s">
        <v>14007</v>
      </c>
      <c r="C4119" s="342" t="s">
        <v>80</v>
      </c>
      <c r="D4119" s="342" t="s">
        <v>14008</v>
      </c>
      <c r="E4119" s="999" t="s">
        <v>14009</v>
      </c>
      <c r="F4119" s="342" t="s">
        <v>556</v>
      </c>
      <c r="G4119" s="118" t="str">
        <f t="array" ref="G4119">IF(TRIM(E4119)="","",IFERROR(TEXT(INDEX(TAT_HELPER!D:D,MATCH(TRIM(E4119),TRIM(TAT_HELPER!A:A),0)),"dd-mm-yyyy"),""))
</f>
        <v>02-08-2026</v>
      </c>
      <c r="H4119" s="645">
        <f t="shared" si="1"/>
        <v>16</v>
      </c>
      <c r="I4119" s="836" t="s">
        <v>10198</v>
      </c>
      <c r="L4119" s="292" t="s">
        <v>4195</v>
      </c>
    </row>
    <row r="4120">
      <c r="A4120" s="999">
        <v>34.0</v>
      </c>
      <c r="B4120" s="1000" t="s">
        <v>14010</v>
      </c>
      <c r="C4120" s="342" t="s">
        <v>80</v>
      </c>
      <c r="D4120" s="342" t="s">
        <v>14011</v>
      </c>
      <c r="E4120" s="999" t="s">
        <v>14012</v>
      </c>
      <c r="F4120" s="342" t="s">
        <v>556</v>
      </c>
      <c r="G4120" s="118" t="str">
        <f t="array" ref="G4120">IF(TRIM(E4120)="","",IFERROR(TEXT(INDEX(TAT_HELPER!D:D,MATCH(TRIM(E4120),TRIM(TAT_HELPER!A:A),0)),"dd-mm-yyyy"),""))
</f>
        <v>02-08-2026</v>
      </c>
      <c r="H4120" s="645">
        <f t="shared" si="1"/>
        <v>16</v>
      </c>
      <c r="I4120" s="128" t="s">
        <v>2890</v>
      </c>
      <c r="L4120" s="292" t="s">
        <v>374</v>
      </c>
    </row>
    <row r="4121">
      <c r="A4121" s="999">
        <v>35.0</v>
      </c>
      <c r="B4121" s="1000" t="s">
        <v>14013</v>
      </c>
      <c r="C4121" s="342" t="s">
        <v>80</v>
      </c>
      <c r="D4121" s="342" t="s">
        <v>14014</v>
      </c>
      <c r="E4121" s="999" t="s">
        <v>14015</v>
      </c>
      <c r="F4121" s="342" t="s">
        <v>556</v>
      </c>
      <c r="G4121" s="118" t="str">
        <f t="array" ref="G4121">IF(TRIM(E4121)="","",IFERROR(TEXT(INDEX(TAT_HELPER!D:D,MATCH(TRIM(E4121),TRIM(TAT_HELPER!A:A),0)),"dd-mm-yyyy"),""))
</f>
        <v>02-08-2026</v>
      </c>
      <c r="H4121" s="645">
        <f t="shared" si="1"/>
        <v>16</v>
      </c>
      <c r="I4121" s="128" t="s">
        <v>2890</v>
      </c>
      <c r="L4121" s="292" t="s">
        <v>51</v>
      </c>
    </row>
    <row r="4122">
      <c r="A4122" s="999">
        <v>36.0</v>
      </c>
      <c r="B4122" s="1000" t="s">
        <v>14016</v>
      </c>
      <c r="C4122" s="342" t="s">
        <v>80</v>
      </c>
      <c r="D4122" s="1031" t="s">
        <v>14017</v>
      </c>
      <c r="E4122" s="1028" t="s">
        <v>14018</v>
      </c>
      <c r="F4122" s="342" t="s">
        <v>9657</v>
      </c>
      <c r="G4122" s="118" t="str">
        <f t="array" ref="G4122">IF(TRIM(E4122)="","",IFERROR(TEXT(INDEX(TAT_HELPER!D:D,MATCH(TRIM(E4122),TRIM(TAT_HELPER!A:A),0)),"dd-mm-yyyy"),""))
</f>
        <v>03-08-2026</v>
      </c>
      <c r="H4122" s="645">
        <f t="shared" si="1"/>
        <v>17</v>
      </c>
      <c r="I4122" s="128" t="s">
        <v>2890</v>
      </c>
      <c r="L4122" s="292" t="s">
        <v>2541</v>
      </c>
    </row>
    <row r="4123">
      <c r="A4123" s="999">
        <v>37.0</v>
      </c>
      <c r="B4123" s="1000" t="s">
        <v>14019</v>
      </c>
      <c r="C4123" s="342" t="s">
        <v>80</v>
      </c>
      <c r="D4123" s="1031" t="s">
        <v>14020</v>
      </c>
      <c r="E4123" s="1028" t="s">
        <v>14021</v>
      </c>
      <c r="F4123" s="342" t="s">
        <v>9657</v>
      </c>
      <c r="G4123" s="118" t="str">
        <f t="array" ref="G4123">IF(TRIM(E4123)="","",IFERROR(TEXT(INDEX(TAT_HELPER!D:D,MATCH(TRIM(E4123),TRIM(TAT_HELPER!A:A),0)),"dd-mm-yyyy"),""))
</f>
        <v>03-08-2026</v>
      </c>
      <c r="H4123" s="645">
        <f t="shared" si="1"/>
        <v>17</v>
      </c>
      <c r="I4123" s="128" t="s">
        <v>2890</v>
      </c>
      <c r="L4123" s="292" t="s">
        <v>2541</v>
      </c>
    </row>
    <row r="4124">
      <c r="A4124" s="999">
        <v>38.0</v>
      </c>
      <c r="B4124" s="1000" t="s">
        <v>14022</v>
      </c>
      <c r="C4124" s="342" t="s">
        <v>80</v>
      </c>
      <c r="D4124" s="1031" t="s">
        <v>14023</v>
      </c>
      <c r="E4124" s="1028" t="s">
        <v>14024</v>
      </c>
      <c r="F4124" s="342" t="s">
        <v>9083</v>
      </c>
      <c r="G4124" s="118" t="str">
        <f t="array" ref="G4124">IF(TRIM(E4124)="","",IFERROR(TEXT(INDEX(TAT_HELPER!D:D,MATCH(TRIM(E4124),TRIM(TAT_HELPER!A:A),0)),"dd-mm-yyyy"),""))
</f>
        <v>03-08-2026</v>
      </c>
      <c r="H4124" s="645">
        <f t="shared" si="1"/>
        <v>17</v>
      </c>
      <c r="I4124" s="128" t="s">
        <v>2890</v>
      </c>
      <c r="L4124" s="292" t="s">
        <v>374</v>
      </c>
    </row>
    <row r="4125">
      <c r="A4125" s="999">
        <v>39.0</v>
      </c>
      <c r="B4125" s="1000" t="s">
        <v>14025</v>
      </c>
      <c r="C4125" s="342" t="s">
        <v>80</v>
      </c>
      <c r="D4125" s="1031" t="s">
        <v>14026</v>
      </c>
      <c r="E4125" s="1028" t="s">
        <v>14027</v>
      </c>
      <c r="F4125" s="342" t="s">
        <v>9083</v>
      </c>
      <c r="G4125" s="118" t="str">
        <f t="array" ref="G4125">IF(TRIM(E4125)="","",IFERROR(TEXT(INDEX(TAT_HELPER!D:D,MATCH(TRIM(E4125),TRIM(TAT_HELPER!A:A),0)),"dd-mm-yyyy"),""))
</f>
        <v>03-08-2026</v>
      </c>
      <c r="H4125" s="645">
        <f t="shared" si="1"/>
        <v>17</v>
      </c>
      <c r="I4125" s="128" t="s">
        <v>2890</v>
      </c>
      <c r="L4125" s="292" t="s">
        <v>374</v>
      </c>
    </row>
    <row r="4126">
      <c r="A4126" s="999">
        <v>40.0</v>
      </c>
      <c r="B4126" s="1000" t="s">
        <v>14028</v>
      </c>
      <c r="C4126" s="342" t="s">
        <v>80</v>
      </c>
      <c r="D4126" s="342" t="s">
        <v>14029</v>
      </c>
      <c r="E4126" s="999" t="s">
        <v>14030</v>
      </c>
      <c r="F4126" s="342" t="s">
        <v>556</v>
      </c>
      <c r="G4126" s="118" t="str">
        <f t="array" ref="G4126">IF(TRIM(E4126)="","",IFERROR(TEXT(INDEX(TAT_HELPER!D:D,MATCH(TRIM(E4126),TRIM(TAT_HELPER!A:A),0)),"dd-mm-yyyy"),""))
</f>
        <v>03-08-2026</v>
      </c>
      <c r="H4126" s="645">
        <f t="shared" si="1"/>
        <v>17</v>
      </c>
      <c r="I4126" s="128" t="s">
        <v>2890</v>
      </c>
      <c r="L4126" s="292" t="s">
        <v>4195</v>
      </c>
    </row>
    <row r="4127">
      <c r="A4127" s="999">
        <v>41.0</v>
      </c>
      <c r="B4127" s="1000" t="s">
        <v>14031</v>
      </c>
      <c r="C4127" s="342" t="s">
        <v>1185</v>
      </c>
      <c r="D4127" s="342" t="s">
        <v>14032</v>
      </c>
      <c r="E4127" s="999" t="s">
        <v>14033</v>
      </c>
      <c r="F4127" s="342" t="s">
        <v>556</v>
      </c>
      <c r="G4127" s="118" t="str">
        <f t="array" ref="G4127">IF(TRIM(E4127)="","",IFERROR(TEXT(INDEX(TAT_HELPER!D:D,MATCH(TRIM(E4127),TRIM(TAT_HELPER!A:A),0)),"dd-mm-yyyy"),""))
</f>
        <v>03-08-2026</v>
      </c>
      <c r="H4127" s="645">
        <f t="shared" si="1"/>
        <v>17</v>
      </c>
      <c r="I4127" s="128" t="s">
        <v>2890</v>
      </c>
      <c r="L4127" s="292" t="s">
        <v>374</v>
      </c>
    </row>
    <row r="4128">
      <c r="A4128" s="999">
        <v>42.0</v>
      </c>
      <c r="B4128" s="1000" t="s">
        <v>14034</v>
      </c>
      <c r="C4128" s="342" t="s">
        <v>80</v>
      </c>
      <c r="D4128" s="342" t="s">
        <v>14035</v>
      </c>
      <c r="E4128" s="999" t="s">
        <v>14036</v>
      </c>
      <c r="F4128" s="342" t="s">
        <v>14037</v>
      </c>
      <c r="G4128" s="118" t="str">
        <f t="array" ref="G4128">IF(TRIM(E4128)="","",IFERROR(TEXT(INDEX(TAT_HELPER!D:D,MATCH(TRIM(E4128),TRIM(TAT_HELPER!A:A),0)),"dd-mm-yyyy"),""))
</f>
        <v>04-08-2026</v>
      </c>
      <c r="H4128" s="645">
        <f t="shared" si="1"/>
        <v>18</v>
      </c>
      <c r="I4128" s="37" t="s">
        <v>3465</v>
      </c>
      <c r="L4128" s="292" t="s">
        <v>51</v>
      </c>
    </row>
    <row r="4129">
      <c r="A4129" s="999">
        <v>43.0</v>
      </c>
      <c r="B4129" s="1000" t="s">
        <v>14038</v>
      </c>
      <c r="C4129" s="342" t="s">
        <v>10101</v>
      </c>
      <c r="D4129" s="342" t="s">
        <v>14039</v>
      </c>
      <c r="E4129" s="999" t="s">
        <v>14040</v>
      </c>
      <c r="F4129" s="342" t="s">
        <v>14041</v>
      </c>
      <c r="G4129" s="941"/>
      <c r="H4129" s="1166"/>
      <c r="I4129" s="128" t="s">
        <v>2890</v>
      </c>
      <c r="L4129" s="140"/>
    </row>
    <row r="4130">
      <c r="A4130" s="999">
        <v>44.0</v>
      </c>
      <c r="B4130" s="1000" t="s">
        <v>14042</v>
      </c>
      <c r="C4130" s="342" t="s">
        <v>80</v>
      </c>
      <c r="D4130" s="342" t="s">
        <v>14043</v>
      </c>
      <c r="E4130" s="999" t="s">
        <v>14044</v>
      </c>
      <c r="F4130" s="342" t="s">
        <v>1487</v>
      </c>
      <c r="G4130" s="118" t="str">
        <f t="array" ref="G4130">IF(TRIM(E4130)="","",IFERROR(TEXT(INDEX(TAT_HELPER!D:D,MATCH(TRIM(E4130),TRIM(TAT_HELPER!A:A),0)),"dd-mm-yyyy"),""))
</f>
        <v>04-08-2026</v>
      </c>
      <c r="H4130" s="645">
        <f t="shared" ref="H4130:H4157" si="2">DATE(VALUE(RIGHT(G4130,4)),VALUE(MID(G4130,4,2)),VALUE(LEFT(G4130,2)))-DATE(2026,7,17)</f>
        <v>18</v>
      </c>
      <c r="I4130" s="836" t="s">
        <v>10093</v>
      </c>
      <c r="L4130" s="292" t="s">
        <v>4195</v>
      </c>
    </row>
    <row r="4131">
      <c r="A4131" s="999">
        <v>45.0</v>
      </c>
      <c r="B4131" s="1000" t="s">
        <v>14045</v>
      </c>
      <c r="C4131" s="342" t="s">
        <v>80</v>
      </c>
      <c r="D4131" s="342" t="s">
        <v>14046</v>
      </c>
      <c r="E4131" s="999" t="s">
        <v>14047</v>
      </c>
      <c r="F4131" s="342" t="s">
        <v>14048</v>
      </c>
      <c r="G4131" s="941" t="str">
        <f t="array" ref="G4131">IF(TRIM(E4131)="","",IFERROR(TEXT(INDEX(TAT_HELPER!D:D,MATCH(TRIM(E4131),TRIM(TAT_HELPER!A:A),0)),"dd-mm-yyyy"),""))
</f>
        <v>04-08-2026</v>
      </c>
      <c r="H4131" s="1166">
        <f t="shared" si="2"/>
        <v>18</v>
      </c>
      <c r="I4131" s="128" t="s">
        <v>2890</v>
      </c>
      <c r="L4131" s="292" t="s">
        <v>374</v>
      </c>
    </row>
    <row r="4132">
      <c r="A4132" s="999">
        <v>46.0</v>
      </c>
      <c r="B4132" s="1000" t="s">
        <v>14049</v>
      </c>
      <c r="C4132" s="342" t="s">
        <v>80</v>
      </c>
      <c r="D4132" s="342" t="s">
        <v>14050</v>
      </c>
      <c r="E4132" s="999" t="s">
        <v>14051</v>
      </c>
      <c r="F4132" s="342" t="s">
        <v>2120</v>
      </c>
      <c r="G4132" s="118" t="str">
        <f t="array" ref="G4132">IF(TRIM(E4132)="","",IFERROR(TEXT(INDEX(TAT_HELPER!D:D,MATCH(TRIM(E4132),TRIM(TAT_HELPER!A:A),0)),"dd-mm-yyyy"),""))
</f>
        <v>04-08-2026</v>
      </c>
      <c r="H4132" s="645">
        <f t="shared" si="2"/>
        <v>18</v>
      </c>
      <c r="I4132" s="128" t="s">
        <v>2890</v>
      </c>
      <c r="L4132" s="292" t="s">
        <v>51</v>
      </c>
    </row>
    <row r="4133">
      <c r="A4133" s="999">
        <v>47.0</v>
      </c>
      <c r="B4133" s="1000" t="s">
        <v>14052</v>
      </c>
      <c r="C4133" s="342" t="s">
        <v>80</v>
      </c>
      <c r="D4133" s="342" t="s">
        <v>14053</v>
      </c>
      <c r="E4133" s="999" t="s">
        <v>14054</v>
      </c>
      <c r="F4133" s="342" t="s">
        <v>7987</v>
      </c>
      <c r="G4133" s="118" t="str">
        <f t="array" ref="G4133">IF(TRIM(E4133)="","",IFERROR(TEXT(INDEX(TAT_HELPER!D:D,MATCH(TRIM(E4133),TRIM(TAT_HELPER!A:A),0)),"dd-mm-yyyy"),""))
</f>
        <v>04-08-2026</v>
      </c>
      <c r="H4133" s="645">
        <f t="shared" si="2"/>
        <v>18</v>
      </c>
      <c r="I4133" s="128" t="s">
        <v>2890</v>
      </c>
      <c r="L4133" s="292" t="s">
        <v>4195</v>
      </c>
    </row>
    <row r="4134">
      <c r="A4134" s="999">
        <v>48.0</v>
      </c>
      <c r="B4134" s="1000" t="s">
        <v>14055</v>
      </c>
      <c r="C4134" s="342" t="s">
        <v>80</v>
      </c>
      <c r="D4134" s="1031" t="s">
        <v>14056</v>
      </c>
      <c r="E4134" s="1028" t="s">
        <v>14057</v>
      </c>
      <c r="F4134" s="342" t="s">
        <v>14058</v>
      </c>
      <c r="G4134" s="118" t="str">
        <f t="array" ref="G4134">IF(TRIM(E4134)="","",IFERROR(TEXT(INDEX(TAT_HELPER!D:D,MATCH(TRIM(E4134),TRIM(TAT_HELPER!A:A),0)),"dd-mm-yyyy"),""))
</f>
        <v>04-08-2026</v>
      </c>
      <c r="H4134" s="645">
        <f t="shared" si="2"/>
        <v>18</v>
      </c>
      <c r="I4134" s="128" t="s">
        <v>2890</v>
      </c>
      <c r="L4134" s="292" t="s">
        <v>699</v>
      </c>
    </row>
    <row r="4135">
      <c r="A4135" s="999">
        <v>49.0</v>
      </c>
      <c r="B4135" s="1000" t="s">
        <v>14059</v>
      </c>
      <c r="C4135" s="342" t="s">
        <v>80</v>
      </c>
      <c r="D4135" s="1031" t="s">
        <v>14060</v>
      </c>
      <c r="E4135" s="1028" t="s">
        <v>14061</v>
      </c>
      <c r="F4135" s="342" t="s">
        <v>14058</v>
      </c>
      <c r="G4135" s="118" t="str">
        <f t="array" ref="G4135">IF(TRIM(E4135)="","",IFERROR(TEXT(INDEX(TAT_HELPER!D:D,MATCH(TRIM(E4135),TRIM(TAT_HELPER!A:A),0)),"dd-mm-yyyy"),""))
</f>
        <v>04-08-2026</v>
      </c>
      <c r="H4135" s="645">
        <f t="shared" si="2"/>
        <v>18</v>
      </c>
      <c r="I4135" s="128" t="s">
        <v>2890</v>
      </c>
      <c r="L4135" s="292" t="s">
        <v>699</v>
      </c>
    </row>
    <row r="4136">
      <c r="A4136" s="999">
        <v>50.0</v>
      </c>
      <c r="B4136" s="1000" t="s">
        <v>14062</v>
      </c>
      <c r="C4136" s="342" t="s">
        <v>1185</v>
      </c>
      <c r="D4136" s="342" t="s">
        <v>14063</v>
      </c>
      <c r="E4136" s="999" t="s">
        <v>14064</v>
      </c>
      <c r="F4136" s="342" t="s">
        <v>556</v>
      </c>
      <c r="G4136" s="118" t="str">
        <f t="array" ref="G4136">IF(TRIM(E4136)="","",IFERROR(TEXT(INDEX(TAT_HELPER!D:D,MATCH(TRIM(E4136),TRIM(TAT_HELPER!A:A),0)),"dd-mm-yyyy"),""))
</f>
        <v>28-07-2026</v>
      </c>
      <c r="H4136" s="645">
        <f t="shared" si="2"/>
        <v>11</v>
      </c>
      <c r="I4136" s="836" t="s">
        <v>10093</v>
      </c>
      <c r="L4136" s="292" t="s">
        <v>374</v>
      </c>
    </row>
    <row r="4137">
      <c r="A4137" s="999">
        <v>51.0</v>
      </c>
      <c r="B4137" s="1000" t="s">
        <v>14065</v>
      </c>
      <c r="C4137" s="342" t="s">
        <v>80</v>
      </c>
      <c r="D4137" s="342" t="s">
        <v>14066</v>
      </c>
      <c r="E4137" s="999" t="s">
        <v>14067</v>
      </c>
      <c r="F4137" s="342" t="s">
        <v>12940</v>
      </c>
      <c r="G4137" s="118" t="str">
        <f t="array" ref="G4137">IF(TRIM(E4137)="","",IFERROR(TEXT(INDEX(TAT_HELPER!D:D,MATCH(TRIM(E4137),TRIM(TAT_HELPER!A:A),0)),"dd-mm-yyyy"),""))
</f>
        <v>05-08-2026</v>
      </c>
      <c r="H4137" s="645">
        <f t="shared" si="2"/>
        <v>19</v>
      </c>
      <c r="I4137" s="836" t="s">
        <v>3231</v>
      </c>
      <c r="L4137" s="292" t="s">
        <v>51</v>
      </c>
    </row>
    <row r="4138">
      <c r="A4138" s="999">
        <v>52.0</v>
      </c>
      <c r="B4138" s="1000" t="s">
        <v>14068</v>
      </c>
      <c r="C4138" s="342" t="s">
        <v>80</v>
      </c>
      <c r="D4138" s="342" t="s">
        <v>14069</v>
      </c>
      <c r="E4138" s="999" t="s">
        <v>14070</v>
      </c>
      <c r="F4138" s="342" t="s">
        <v>14071</v>
      </c>
      <c r="G4138" s="118" t="str">
        <f t="array" ref="G4138">IF(TRIM(E4138)="","",IFERROR(TEXT(INDEX(TAT_HELPER!D:D,MATCH(TRIM(E4138),TRIM(TAT_HELPER!A:A),0)),"dd-mm-yyyy"),""))
</f>
        <v>06-08-2026</v>
      </c>
      <c r="H4138" s="645">
        <f t="shared" si="2"/>
        <v>20</v>
      </c>
      <c r="I4138" s="836" t="s">
        <v>10093</v>
      </c>
      <c r="L4138" s="292" t="s">
        <v>4195</v>
      </c>
    </row>
    <row r="4139">
      <c r="A4139" s="999">
        <v>53.0</v>
      </c>
      <c r="B4139" s="1000" t="s">
        <v>14072</v>
      </c>
      <c r="C4139" s="342" t="s">
        <v>80</v>
      </c>
      <c r="D4139" s="1031" t="s">
        <v>14073</v>
      </c>
      <c r="E4139" s="1028" t="s">
        <v>14074</v>
      </c>
      <c r="F4139" s="342" t="s">
        <v>14075</v>
      </c>
      <c r="G4139" s="118" t="str">
        <f t="array" ref="G4139">IF(TRIM(E4139)="","",IFERROR(TEXT(INDEX(TAT_HELPER!D:D,MATCH(TRIM(E4139),TRIM(TAT_HELPER!A:A),0)),"dd-mm-yyyy"),""))
</f>
        <v>06-08-2026</v>
      </c>
      <c r="H4139" s="645">
        <f t="shared" si="2"/>
        <v>20</v>
      </c>
      <c r="I4139" s="128" t="s">
        <v>2890</v>
      </c>
      <c r="L4139" s="292" t="s">
        <v>51</v>
      </c>
    </row>
    <row r="4140">
      <c r="A4140" s="999">
        <v>54.0</v>
      </c>
      <c r="B4140" s="1000" t="s">
        <v>14076</v>
      </c>
      <c r="C4140" s="342" t="s">
        <v>80</v>
      </c>
      <c r="D4140" s="1031" t="s">
        <v>14077</v>
      </c>
      <c r="E4140" s="1028" t="s">
        <v>14078</v>
      </c>
      <c r="F4140" s="342" t="s">
        <v>14075</v>
      </c>
      <c r="G4140" s="118" t="str">
        <f t="array" ref="G4140">IF(TRIM(E4140)="","",IFERROR(TEXT(INDEX(TAT_HELPER!D:D,MATCH(TRIM(E4140),TRIM(TAT_HELPER!A:A),0)),"dd-mm-yyyy"),""))
</f>
        <v>06-08-2026</v>
      </c>
      <c r="H4140" s="645">
        <f t="shared" si="2"/>
        <v>20</v>
      </c>
      <c r="I4140" s="836" t="s">
        <v>14079</v>
      </c>
      <c r="L4140" s="292" t="s">
        <v>51</v>
      </c>
    </row>
    <row r="4141">
      <c r="A4141" s="999">
        <v>55.0</v>
      </c>
      <c r="B4141" s="1000" t="s">
        <v>14080</v>
      </c>
      <c r="C4141" s="342" t="s">
        <v>80</v>
      </c>
      <c r="D4141" s="1031" t="s">
        <v>14081</v>
      </c>
      <c r="E4141" s="1028" t="s">
        <v>14082</v>
      </c>
      <c r="F4141" s="342" t="s">
        <v>14083</v>
      </c>
      <c r="G4141" s="118" t="str">
        <f t="array" ref="G4141">IF(TRIM(E4141)="","",IFERROR(TEXT(INDEX(TAT_HELPER!D:D,MATCH(TRIM(E4141),TRIM(TAT_HELPER!A:A),0)),"dd-mm-yyyy"),""))
</f>
        <v>06-08-2026</v>
      </c>
      <c r="H4141" s="645">
        <f t="shared" si="2"/>
        <v>20</v>
      </c>
      <c r="I4141" s="128" t="s">
        <v>2890</v>
      </c>
      <c r="L4141" s="292" t="s">
        <v>4195</v>
      </c>
    </row>
    <row r="4142">
      <c r="A4142" s="999">
        <v>56.0</v>
      </c>
      <c r="B4142" s="1000" t="s">
        <v>14084</v>
      </c>
      <c r="C4142" s="342" t="s">
        <v>80</v>
      </c>
      <c r="D4142" s="1031" t="s">
        <v>14085</v>
      </c>
      <c r="E4142" s="1028" t="s">
        <v>14086</v>
      </c>
      <c r="F4142" s="342" t="s">
        <v>14083</v>
      </c>
      <c r="G4142" s="118" t="str">
        <f t="array" ref="G4142">IF(TRIM(E4142)="","",IFERROR(TEXT(INDEX(TAT_HELPER!D:D,MATCH(TRIM(E4142),TRIM(TAT_HELPER!A:A),0)),"dd-mm-yyyy"),""))
</f>
        <v>06-08-2026</v>
      </c>
      <c r="H4142" s="645">
        <f t="shared" si="2"/>
        <v>20</v>
      </c>
      <c r="I4142" s="128" t="s">
        <v>2890</v>
      </c>
      <c r="L4142" s="292" t="s">
        <v>4195</v>
      </c>
    </row>
    <row r="4143">
      <c r="A4143" s="999">
        <v>57.0</v>
      </c>
      <c r="B4143" s="1000" t="s">
        <v>14087</v>
      </c>
      <c r="C4143" s="342" t="s">
        <v>1185</v>
      </c>
      <c r="D4143" s="342" t="s">
        <v>14088</v>
      </c>
      <c r="E4143" s="999" t="s">
        <v>14089</v>
      </c>
      <c r="F4143" s="342" t="s">
        <v>2315</v>
      </c>
      <c r="G4143" s="118" t="str">
        <f t="array" ref="G4143">IF(TRIM(E4143)="","",IFERROR(TEXT(INDEX(TAT_HELPER!D:D,MATCH(TRIM(E4143),TRIM(TAT_HELPER!A:A),0)),"dd-mm-yyyy"),""))
</f>
        <v>07-08-2026</v>
      </c>
      <c r="H4143" s="645">
        <f t="shared" si="2"/>
        <v>21</v>
      </c>
      <c r="I4143" s="128" t="s">
        <v>2890</v>
      </c>
      <c r="L4143" s="292" t="s">
        <v>374</v>
      </c>
    </row>
    <row r="4144">
      <c r="A4144" s="999">
        <v>58.0</v>
      </c>
      <c r="B4144" s="1000" t="s">
        <v>14090</v>
      </c>
      <c r="C4144" s="342" t="s">
        <v>80</v>
      </c>
      <c r="D4144" s="1031" t="s">
        <v>14091</v>
      </c>
      <c r="E4144" s="1028" t="s">
        <v>14092</v>
      </c>
      <c r="F4144" s="342" t="s">
        <v>7992</v>
      </c>
      <c r="G4144" s="118" t="str">
        <f t="array" ref="G4144">IF(TRIM(E4144)="","",IFERROR(TEXT(INDEX(TAT_HELPER!D:D,MATCH(TRIM(E4144),TRIM(TAT_HELPER!A:A),0)),"dd-mm-yyyy"),""))
</f>
        <v>07-08-2026</v>
      </c>
      <c r="H4144" s="645">
        <f t="shared" si="2"/>
        <v>21</v>
      </c>
      <c r="I4144" s="836" t="s">
        <v>10093</v>
      </c>
      <c r="L4144" s="292" t="s">
        <v>699</v>
      </c>
    </row>
    <row r="4145">
      <c r="A4145" s="999">
        <v>59.0</v>
      </c>
      <c r="B4145" s="1000" t="s">
        <v>14093</v>
      </c>
      <c r="C4145" s="342" t="s">
        <v>80</v>
      </c>
      <c r="D4145" s="1031" t="s">
        <v>14094</v>
      </c>
      <c r="E4145" s="1028" t="s">
        <v>14095</v>
      </c>
      <c r="F4145" s="342" t="s">
        <v>7992</v>
      </c>
      <c r="G4145" s="118" t="str">
        <f t="array" ref="G4145">IF(TRIM(E4145)="","",IFERROR(TEXT(INDEX(TAT_HELPER!D:D,MATCH(TRIM(E4145),TRIM(TAT_HELPER!A:A),0)),"dd-mm-yyyy"),""))
</f>
        <v>07-08-2026</v>
      </c>
      <c r="H4145" s="645">
        <f t="shared" si="2"/>
        <v>21</v>
      </c>
      <c r="I4145" s="836" t="s">
        <v>10093</v>
      </c>
      <c r="L4145" s="292" t="s">
        <v>699</v>
      </c>
    </row>
    <row r="4146">
      <c r="A4146" s="999">
        <v>60.0</v>
      </c>
      <c r="B4146" s="1000" t="s">
        <v>14096</v>
      </c>
      <c r="C4146" s="342" t="s">
        <v>80</v>
      </c>
      <c r="D4146" s="342" t="s">
        <v>14097</v>
      </c>
      <c r="E4146" s="999" t="s">
        <v>14098</v>
      </c>
      <c r="F4146" s="342" t="s">
        <v>13908</v>
      </c>
      <c r="G4146" s="118" t="str">
        <f t="array" ref="G4146">IF(TRIM(E4146)="","",IFERROR(TEXT(INDEX(TAT_HELPER!D:D,MATCH(TRIM(E4146),TRIM(TAT_HELPER!A:A),0)),"dd-mm-yyyy"),""))
</f>
        <v>07-08-2026</v>
      </c>
      <c r="H4146" s="645">
        <f t="shared" si="2"/>
        <v>21</v>
      </c>
      <c r="I4146" s="128" t="s">
        <v>2890</v>
      </c>
      <c r="L4146" s="292" t="s">
        <v>4195</v>
      </c>
    </row>
    <row r="4147">
      <c r="A4147" s="999">
        <v>61.0</v>
      </c>
      <c r="B4147" s="1000" t="s">
        <v>14099</v>
      </c>
      <c r="C4147" s="342" t="s">
        <v>80</v>
      </c>
      <c r="D4147" s="1031" t="s">
        <v>14100</v>
      </c>
      <c r="E4147" s="1028" t="s">
        <v>14101</v>
      </c>
      <c r="F4147" s="342" t="s">
        <v>4998</v>
      </c>
      <c r="G4147" s="118" t="str">
        <f t="array" ref="G4147">IF(TRIM(E4147)="","",IFERROR(TEXT(INDEX(TAT_HELPER!D:D,MATCH(TRIM(E4147),TRIM(TAT_HELPER!A:A),0)),"dd-mm-yyyy"),""))
</f>
        <v>08-08-2026</v>
      </c>
      <c r="H4147" s="645">
        <f t="shared" si="2"/>
        <v>22</v>
      </c>
      <c r="I4147" s="836" t="s">
        <v>10093</v>
      </c>
      <c r="L4147" s="292" t="s">
        <v>374</v>
      </c>
    </row>
    <row r="4148">
      <c r="A4148" s="999">
        <v>62.0</v>
      </c>
      <c r="B4148" s="1000" t="s">
        <v>14102</v>
      </c>
      <c r="C4148" s="342" t="s">
        <v>80</v>
      </c>
      <c r="D4148" s="1031" t="s">
        <v>14103</v>
      </c>
      <c r="E4148" s="1028" t="s">
        <v>14104</v>
      </c>
      <c r="F4148" s="342" t="s">
        <v>4998</v>
      </c>
      <c r="G4148" s="118" t="str">
        <f t="array" ref="G4148">IF(TRIM(E4148)="","",IFERROR(TEXT(INDEX(TAT_HELPER!D:D,MATCH(TRIM(E4148),TRIM(TAT_HELPER!A:A),0)),"dd-mm-yyyy"),""))
</f>
        <v>08-08-2026</v>
      </c>
      <c r="H4148" s="645">
        <f t="shared" si="2"/>
        <v>22</v>
      </c>
      <c r="I4148" s="128" t="s">
        <v>2890</v>
      </c>
      <c r="L4148" s="292" t="s">
        <v>374</v>
      </c>
    </row>
    <row r="4149">
      <c r="A4149" s="999">
        <v>63.0</v>
      </c>
      <c r="B4149" s="1000" t="s">
        <v>14105</v>
      </c>
      <c r="C4149" s="342" t="s">
        <v>651</v>
      </c>
      <c r="D4149" s="1031" t="s">
        <v>14106</v>
      </c>
      <c r="E4149" s="1028" t="s">
        <v>14107</v>
      </c>
      <c r="F4149" s="342" t="s">
        <v>14108</v>
      </c>
      <c r="G4149" s="118" t="str">
        <f t="array" ref="G4149">IF(TRIM(E4149)="","",IFERROR(TEXT(INDEX(TAT_HELPER!D:D,MATCH(TRIM(E4149),TRIM(TAT_HELPER!A:A),0)),"dd-mm-yyyy"),""))
</f>
        <v>08-08-2026</v>
      </c>
      <c r="H4149" s="645">
        <f t="shared" si="2"/>
        <v>22</v>
      </c>
      <c r="I4149" s="128" t="s">
        <v>2890</v>
      </c>
      <c r="L4149" s="292" t="s">
        <v>11863</v>
      </c>
    </row>
    <row r="4150">
      <c r="A4150" s="999">
        <v>64.0</v>
      </c>
      <c r="B4150" s="1000" t="s">
        <v>14109</v>
      </c>
      <c r="C4150" s="342" t="s">
        <v>651</v>
      </c>
      <c r="D4150" s="1031" t="s">
        <v>14110</v>
      </c>
      <c r="E4150" s="1028" t="s">
        <v>14111</v>
      </c>
      <c r="F4150" s="342" t="s">
        <v>14108</v>
      </c>
      <c r="G4150" s="118" t="str">
        <f t="array" ref="G4150">IF(TRIM(E4150)="","",IFERROR(TEXT(INDEX(TAT_HELPER!D:D,MATCH(TRIM(E4150),TRIM(TAT_HELPER!A:A),0)),"dd-mm-yyyy"),""))
</f>
        <v>08-08-2026</v>
      </c>
      <c r="H4150" s="645">
        <f t="shared" si="2"/>
        <v>22</v>
      </c>
      <c r="I4150" s="128" t="s">
        <v>2890</v>
      </c>
      <c r="L4150" s="292" t="s">
        <v>11863</v>
      </c>
    </row>
    <row r="4151">
      <c r="A4151" s="999">
        <v>65.0</v>
      </c>
      <c r="B4151" s="1000" t="s">
        <v>14112</v>
      </c>
      <c r="C4151" s="342" t="s">
        <v>80</v>
      </c>
      <c r="D4151" s="342" t="s">
        <v>14113</v>
      </c>
      <c r="E4151" s="999" t="s">
        <v>14114</v>
      </c>
      <c r="F4151" s="342" t="s">
        <v>4872</v>
      </c>
      <c r="G4151" s="118" t="str">
        <f t="array" ref="G4151">IF(TRIM(E4151)="","",IFERROR(TEXT(INDEX(TAT_HELPER!D:D,MATCH(TRIM(E4151),TRIM(TAT_HELPER!A:A),0)),"dd-mm-yyyy"),""))
</f>
        <v>05-08-2026</v>
      </c>
      <c r="H4151" s="645">
        <f t="shared" si="2"/>
        <v>19</v>
      </c>
      <c r="I4151" s="836" t="s">
        <v>3231</v>
      </c>
      <c r="L4151" s="292" t="s">
        <v>4195</v>
      </c>
    </row>
    <row r="4152">
      <c r="A4152" s="999">
        <v>66.0</v>
      </c>
      <c r="B4152" s="1000" t="s">
        <v>14115</v>
      </c>
      <c r="C4152" s="342" t="s">
        <v>80</v>
      </c>
      <c r="D4152" s="342" t="s">
        <v>14116</v>
      </c>
      <c r="E4152" s="999" t="s">
        <v>14117</v>
      </c>
      <c r="F4152" s="342" t="s">
        <v>556</v>
      </c>
      <c r="G4152" s="118" t="str">
        <f t="array" ref="G4152">IF(TRIM(E4152)="","",IFERROR(TEXT(INDEX(TAT_HELPER!D:D,MATCH(TRIM(E4152),TRIM(TAT_HELPER!A:A),0)),"dd-mm-yyyy"),""))
</f>
        <v>04-08-2026</v>
      </c>
      <c r="H4152" s="645">
        <f t="shared" si="2"/>
        <v>18</v>
      </c>
      <c r="I4152" s="836" t="s">
        <v>10198</v>
      </c>
      <c r="L4152" s="292" t="s">
        <v>374</v>
      </c>
    </row>
    <row r="4153">
      <c r="A4153" s="999">
        <v>67.0</v>
      </c>
      <c r="B4153" s="1000" t="s">
        <v>14118</v>
      </c>
      <c r="C4153" s="342" t="s">
        <v>80</v>
      </c>
      <c r="D4153" s="342" t="s">
        <v>14119</v>
      </c>
      <c r="E4153" s="999" t="s">
        <v>14120</v>
      </c>
      <c r="F4153" s="342" t="s">
        <v>556</v>
      </c>
      <c r="G4153" s="118" t="str">
        <f t="array" ref="G4153">IF(TRIM(E4153)="","",IFERROR(TEXT(INDEX(TAT_HELPER!D:D,MATCH(TRIM(E4153),TRIM(TAT_HELPER!A:A),0)),"dd-mm-yyyy"),""))
</f>
        <v>04-08-2026</v>
      </c>
      <c r="H4153" s="645">
        <f t="shared" si="2"/>
        <v>18</v>
      </c>
      <c r="I4153" s="836" t="s">
        <v>10198</v>
      </c>
      <c r="L4153" s="292" t="s">
        <v>51</v>
      </c>
    </row>
    <row r="4154">
      <c r="A4154" s="999">
        <v>68.0</v>
      </c>
      <c r="B4154" s="1000" t="s">
        <v>14121</v>
      </c>
      <c r="C4154" s="342" t="s">
        <v>80</v>
      </c>
      <c r="D4154" s="1031" t="s">
        <v>14122</v>
      </c>
      <c r="E4154" s="1028" t="s">
        <v>14123</v>
      </c>
      <c r="F4154" s="342" t="s">
        <v>14124</v>
      </c>
      <c r="G4154" s="118" t="str">
        <f t="array" ref="G4154">IF(TRIM(E4154)="","",IFERROR(TEXT(INDEX(TAT_HELPER!D:D,MATCH(TRIM(E4154),TRIM(TAT_HELPER!A:A),0)),"dd-mm-yyyy"),""))
</f>
        <v>01-08-2026</v>
      </c>
      <c r="H4154" s="645">
        <f t="shared" si="2"/>
        <v>15</v>
      </c>
      <c r="I4154" s="128" t="s">
        <v>2890</v>
      </c>
      <c r="L4154" s="292" t="s">
        <v>2541</v>
      </c>
    </row>
    <row r="4155">
      <c r="A4155" s="999">
        <v>69.0</v>
      </c>
      <c r="B4155" s="1000" t="s">
        <v>14125</v>
      </c>
      <c r="C4155" s="342" t="s">
        <v>80</v>
      </c>
      <c r="D4155" s="1031" t="s">
        <v>14126</v>
      </c>
      <c r="E4155" s="1028" t="s">
        <v>14127</v>
      </c>
      <c r="F4155" s="342" t="s">
        <v>14124</v>
      </c>
      <c r="G4155" s="118" t="str">
        <f t="array" ref="G4155">IF(TRIM(E4155)="","",IFERROR(TEXT(INDEX(TAT_HELPER!D:D,MATCH(TRIM(E4155),TRIM(TAT_HELPER!A:A),0)),"dd-mm-yyyy"),""))
</f>
        <v>01-08-2026</v>
      </c>
      <c r="H4155" s="645">
        <f t="shared" si="2"/>
        <v>15</v>
      </c>
      <c r="I4155" s="128" t="s">
        <v>2890</v>
      </c>
      <c r="L4155" s="292" t="s">
        <v>2541</v>
      </c>
    </row>
    <row r="4156">
      <c r="A4156" s="1193">
        <v>70.0</v>
      </c>
      <c r="B4156" s="1194" t="s">
        <v>14128</v>
      </c>
      <c r="C4156" s="1195" t="s">
        <v>80</v>
      </c>
      <c r="D4156" s="1195" t="s">
        <v>14129</v>
      </c>
      <c r="E4156" s="1193" t="s">
        <v>14130</v>
      </c>
      <c r="F4156" s="1195" t="s">
        <v>928</v>
      </c>
      <c r="G4156" s="608" t="str">
        <f t="array" ref="G4156">IF(TRIM(E4156)="","",IFERROR(TEXT(INDEX(TAT_HELPER!D:D,MATCH(TRIM(E4156),TRIM(TAT_HELPER!A:A),0)),"dd-mm-yyyy"),""))
</f>
        <v>30-07-2026</v>
      </c>
      <c r="H4156" s="1196">
        <f t="shared" si="2"/>
        <v>13</v>
      </c>
      <c r="I4156" s="1197" t="s">
        <v>10093</v>
      </c>
      <c r="J4156" s="1198"/>
      <c r="K4156" s="1198"/>
      <c r="L4156" s="1199" t="s">
        <v>4195</v>
      </c>
      <c r="M4156" s="1198"/>
      <c r="N4156" s="1198"/>
      <c r="O4156" s="1200" t="s">
        <v>11758</v>
      </c>
      <c r="P4156" s="1198"/>
      <c r="Q4156" s="1198"/>
      <c r="R4156" s="1198"/>
      <c r="S4156" s="1198"/>
      <c r="T4156" s="1198"/>
      <c r="U4156" s="1198"/>
      <c r="V4156" s="1198"/>
      <c r="W4156" s="1198"/>
      <c r="X4156" s="1198"/>
      <c r="Y4156" s="1198"/>
      <c r="Z4156" s="1198"/>
      <c r="AA4156" s="1198"/>
      <c r="AB4156" s="1198"/>
      <c r="AC4156" s="1198"/>
      <c r="AD4156" s="1198"/>
      <c r="AE4156" s="1198"/>
      <c r="AF4156" s="1198"/>
    </row>
    <row r="4157">
      <c r="A4157" s="1193">
        <v>71.0</v>
      </c>
      <c r="B4157" s="1194" t="s">
        <v>14131</v>
      </c>
      <c r="C4157" s="1195" t="s">
        <v>80</v>
      </c>
      <c r="D4157" s="1195" t="s">
        <v>14132</v>
      </c>
      <c r="E4157" s="1193" t="s">
        <v>14133</v>
      </c>
      <c r="F4157" s="1195" t="s">
        <v>928</v>
      </c>
      <c r="G4157" s="608" t="str">
        <f t="array" ref="G4157">IF(TRIM(E4157)="","",IFERROR(TEXT(INDEX(TAT_HELPER!D:D,MATCH(TRIM(E4157),TRIM(TAT_HELPER!A:A),0)),"dd-mm-yyyy"),""))
</f>
        <v>30-07-2026</v>
      </c>
      <c r="H4157" s="1196">
        <f t="shared" si="2"/>
        <v>13</v>
      </c>
      <c r="I4157" s="1197" t="s">
        <v>9180</v>
      </c>
      <c r="J4157" s="1198"/>
      <c r="K4157" s="1198"/>
      <c r="L4157" s="1199" t="s">
        <v>4195</v>
      </c>
      <c r="M4157" s="1198"/>
      <c r="N4157" s="1198"/>
      <c r="O4157" s="1201" t="s">
        <v>11758</v>
      </c>
      <c r="P4157" s="1198"/>
      <c r="Q4157" s="1198"/>
      <c r="R4157" s="1198"/>
      <c r="S4157" s="1198"/>
      <c r="T4157" s="1198"/>
      <c r="U4157" s="1198"/>
      <c r="V4157" s="1198"/>
      <c r="W4157" s="1198"/>
      <c r="X4157" s="1198"/>
      <c r="Y4157" s="1198"/>
      <c r="Z4157" s="1198"/>
      <c r="AA4157" s="1198"/>
      <c r="AB4157" s="1198"/>
      <c r="AC4157" s="1198"/>
      <c r="AD4157" s="1198"/>
      <c r="AE4157" s="1198"/>
      <c r="AF4157" s="1198"/>
    </row>
    <row r="4158">
      <c r="A4158" s="1175" t="s">
        <v>14134</v>
      </c>
      <c r="B4158" s="1176"/>
      <c r="C4158" s="1176"/>
      <c r="D4158" s="1176"/>
      <c r="E4158" s="1176"/>
      <c r="F4158" s="1176"/>
      <c r="G4158" s="1176"/>
      <c r="H4158" s="1175"/>
      <c r="I4158" s="1179"/>
      <c r="J4158" s="1179"/>
      <c r="K4158" s="1179"/>
      <c r="L4158" s="533"/>
      <c r="M4158" s="1179"/>
      <c r="N4158" s="1179"/>
      <c r="O4158" s="1179"/>
      <c r="P4158" s="1179"/>
      <c r="Q4158" s="35"/>
      <c r="R4158" s="35"/>
      <c r="S4158" s="35"/>
      <c r="T4158" s="35"/>
      <c r="U4158" s="35"/>
      <c r="V4158" s="35"/>
      <c r="W4158" s="35"/>
      <c r="X4158" s="35"/>
      <c r="Y4158" s="35"/>
      <c r="Z4158" s="35"/>
      <c r="AA4158" s="35"/>
      <c r="AB4158" s="35"/>
      <c r="AC4158" s="35"/>
      <c r="AD4158" s="35"/>
      <c r="AE4158" s="35"/>
      <c r="AF4158" s="35"/>
    </row>
    <row r="4159">
      <c r="A4159" s="670" t="s">
        <v>47</v>
      </c>
      <c r="B4159" s="670" t="s">
        <v>7</v>
      </c>
      <c r="C4159" s="670" t="s">
        <v>9</v>
      </c>
      <c r="D4159" s="670" t="s">
        <v>10</v>
      </c>
      <c r="E4159" s="670" t="s">
        <v>11</v>
      </c>
      <c r="F4159" s="670" t="s">
        <v>12</v>
      </c>
      <c r="G4159" s="670" t="s">
        <v>2378</v>
      </c>
      <c r="H4159" s="670" t="s">
        <v>2681</v>
      </c>
      <c r="I4159" s="4" t="s">
        <v>2847</v>
      </c>
      <c r="J4159" s="8" t="s">
        <v>14</v>
      </c>
      <c r="K4159" s="9" t="s">
        <v>16</v>
      </c>
      <c r="L4159" s="10" t="s">
        <v>11871</v>
      </c>
      <c r="M4159" s="10" t="s">
        <v>14135</v>
      </c>
      <c r="N4159" s="9" t="s">
        <v>19</v>
      </c>
      <c r="O4159" s="9" t="s">
        <v>20</v>
      </c>
      <c r="P4159" s="9" t="s">
        <v>21</v>
      </c>
      <c r="Q4159" s="35"/>
      <c r="R4159" s="35"/>
      <c r="S4159" s="35"/>
      <c r="T4159" s="35"/>
      <c r="U4159" s="35"/>
      <c r="V4159" s="35"/>
      <c r="W4159" s="35"/>
      <c r="X4159" s="35"/>
      <c r="Y4159" s="35"/>
      <c r="Z4159" s="35"/>
      <c r="AA4159" s="35"/>
      <c r="AB4159" s="35"/>
      <c r="AC4159" s="35"/>
      <c r="AD4159" s="35"/>
      <c r="AE4159" s="35"/>
      <c r="AF4159" s="35"/>
    </row>
    <row r="4160">
      <c r="A4160" s="134">
        <v>1.0</v>
      </c>
      <c r="B4160" s="1202" t="s">
        <v>13591</v>
      </c>
      <c r="C4160" s="134" t="s">
        <v>8251</v>
      </c>
      <c r="D4160" s="134" t="s">
        <v>14136</v>
      </c>
      <c r="E4160" s="1203" t="s">
        <v>13593</v>
      </c>
      <c r="F4160" s="138" t="s">
        <v>13594</v>
      </c>
      <c r="G4160" s="1204" t="str">
        <f t="array" ref="G4160">IF(TRIM(E4160)="","",IFERROR(TEXT(INDEX(TAT_HELPER!D:D,MATCH(TRIM(E4160),TRIM(TAT_HELPER!A:A),0)),"dd-mm-yyyy"),""))
</f>
        <v>26-07-2026</v>
      </c>
      <c r="H4160" s="645"/>
      <c r="I4160" s="355"/>
      <c r="L4160" s="292" t="s">
        <v>2541</v>
      </c>
    </row>
    <row r="4161">
      <c r="A4161" s="1175" t="s">
        <v>14137</v>
      </c>
      <c r="B4161" s="1176"/>
      <c r="C4161" s="1176"/>
      <c r="D4161" s="1176"/>
      <c r="E4161" s="1176"/>
      <c r="F4161" s="1176"/>
      <c r="G4161" s="1176"/>
      <c r="H4161" s="1175"/>
      <c r="I4161" s="355"/>
      <c r="L4161" s="140"/>
    </row>
    <row r="4162">
      <c r="A4162" s="670" t="s">
        <v>47</v>
      </c>
      <c r="B4162" s="670" t="s">
        <v>7</v>
      </c>
      <c r="C4162" s="670" t="s">
        <v>9</v>
      </c>
      <c r="D4162" s="670" t="s">
        <v>10</v>
      </c>
      <c r="E4162" s="670" t="s">
        <v>11</v>
      </c>
      <c r="F4162" s="670" t="s">
        <v>12</v>
      </c>
      <c r="G4162" s="670" t="s">
        <v>2378</v>
      </c>
      <c r="H4162" s="670" t="s">
        <v>2681</v>
      </c>
      <c r="I4162" s="4" t="s">
        <v>2847</v>
      </c>
      <c r="J4162" s="8" t="s">
        <v>14</v>
      </c>
      <c r="K4162" s="9" t="s">
        <v>16</v>
      </c>
      <c r="L4162" s="10" t="s">
        <v>11871</v>
      </c>
      <c r="M4162" s="10" t="s">
        <v>14135</v>
      </c>
      <c r="N4162" s="9" t="s">
        <v>19</v>
      </c>
      <c r="O4162" s="9" t="s">
        <v>20</v>
      </c>
      <c r="P4162" s="9" t="s">
        <v>21</v>
      </c>
      <c r="Q4162" s="35"/>
      <c r="R4162" s="35"/>
      <c r="S4162" s="35"/>
      <c r="T4162" s="35"/>
      <c r="U4162" s="35"/>
      <c r="V4162" s="35"/>
      <c r="W4162" s="35"/>
      <c r="X4162" s="35"/>
      <c r="Y4162" s="35"/>
      <c r="Z4162" s="35"/>
      <c r="AA4162" s="35"/>
      <c r="AB4162" s="35"/>
      <c r="AC4162" s="35"/>
      <c r="AD4162" s="35"/>
      <c r="AE4162" s="35"/>
      <c r="AF4162" s="35"/>
    </row>
    <row r="4163" hidden="1">
      <c r="A4163" s="504">
        <v>1.0</v>
      </c>
      <c r="B4163" s="511" t="s">
        <v>14138</v>
      </c>
      <c r="C4163" s="504" t="s">
        <v>14139</v>
      </c>
      <c r="D4163" s="504" t="s">
        <v>14140</v>
      </c>
      <c r="E4163" s="504" t="s">
        <v>14141</v>
      </c>
      <c r="F4163" s="504" t="s">
        <v>11203</v>
      </c>
      <c r="G4163" s="1204" t="str">
        <f t="array" ref="G4163">IF(TRIM(E4163)="","",IFERROR(TEXT(INDEX(TAT_HELPER!D:D,MATCH(TRIM(E4163),TRIM(TAT_HELPER!A:A),0)),"dd-mm-yyyy"),""))
</f>
        <v/>
      </c>
      <c r="H4163" s="645"/>
      <c r="I4163" s="355"/>
      <c r="L4163" s="292" t="s">
        <v>699</v>
      </c>
      <c r="O4163" s="143" t="s">
        <v>12919</v>
      </c>
    </row>
    <row r="4164" hidden="1">
      <c r="A4164" s="342">
        <v>2.0</v>
      </c>
      <c r="B4164" s="512" t="s">
        <v>14142</v>
      </c>
      <c r="C4164" s="342" t="s">
        <v>14143</v>
      </c>
      <c r="D4164" s="342" t="s">
        <v>14144</v>
      </c>
      <c r="E4164" s="342" t="s">
        <v>14141</v>
      </c>
      <c r="F4164" s="342" t="s">
        <v>11203</v>
      </c>
      <c r="G4164" s="1204" t="str">
        <f t="array" ref="G4164">IF(TRIM(E4164)="","",IFERROR(TEXT(INDEX(TAT_HELPER!D:D,MATCH(TRIM(E4164),TRIM(TAT_HELPER!A:A),0)),"dd-mm-yyyy"),""))
</f>
        <v/>
      </c>
      <c r="H4164" s="645"/>
      <c r="I4164" s="355"/>
      <c r="L4164" s="140"/>
      <c r="N4164" s="143" t="s">
        <v>13457</v>
      </c>
    </row>
    <row r="4165" hidden="1">
      <c r="A4165" s="342">
        <v>3.0</v>
      </c>
      <c r="B4165" s="512" t="s">
        <v>14145</v>
      </c>
      <c r="C4165" s="342" t="s">
        <v>14143</v>
      </c>
      <c r="D4165" s="342" t="s">
        <v>14146</v>
      </c>
      <c r="E4165" s="342" t="s">
        <v>14141</v>
      </c>
      <c r="F4165" s="342" t="s">
        <v>11203</v>
      </c>
      <c r="G4165" s="1204" t="str">
        <f t="array" ref="G4165">IF(TRIM(E4165)="","",IFERROR(TEXT(INDEX(TAT_HELPER!D:D,MATCH(TRIM(E4165),TRIM(TAT_HELPER!A:A),0)),"dd-mm-yyyy"),""))
</f>
        <v/>
      </c>
      <c r="H4165" s="645"/>
      <c r="I4165" s="355"/>
      <c r="L4165" s="140"/>
      <c r="N4165" s="143" t="s">
        <v>13457</v>
      </c>
    </row>
    <row r="4166" hidden="1">
      <c r="A4166" s="342">
        <v>4.0</v>
      </c>
      <c r="B4166" s="512" t="s">
        <v>14147</v>
      </c>
      <c r="C4166" s="342" t="s">
        <v>14148</v>
      </c>
      <c r="D4166" s="342" t="s">
        <v>14149</v>
      </c>
      <c r="E4166" s="342" t="s">
        <v>14141</v>
      </c>
      <c r="F4166" s="342" t="s">
        <v>11203</v>
      </c>
      <c r="G4166" s="1204" t="str">
        <f t="array" ref="G4166">IF(TRIM(E4166)="","",IFERROR(TEXT(INDEX(TAT_HELPER!D:D,MATCH(TRIM(E4166),TRIM(TAT_HELPER!A:A),0)),"dd-mm-yyyy"),""))
</f>
        <v/>
      </c>
      <c r="H4166" s="645"/>
      <c r="I4166" s="355"/>
      <c r="L4166" s="140"/>
      <c r="N4166" s="143" t="s">
        <v>13457</v>
      </c>
    </row>
    <row r="4167" hidden="1">
      <c r="A4167" s="342">
        <v>5.0</v>
      </c>
      <c r="B4167" s="512" t="s">
        <v>14150</v>
      </c>
      <c r="C4167" s="342" t="s">
        <v>5976</v>
      </c>
      <c r="D4167" s="1031" t="s">
        <v>14151</v>
      </c>
      <c r="E4167" s="1031" t="s">
        <v>5976</v>
      </c>
      <c r="F4167" s="647"/>
      <c r="G4167" s="1204" t="str">
        <f t="array" ref="G4167">IF(TRIM(E4167)="","",IFERROR(TEXT(INDEX(TAT_HELPER!D:D,MATCH(TRIM(E4167),TRIM(TAT_HELPER!A:A),0)),"dd-mm-yyyy"),""))
</f>
        <v/>
      </c>
      <c r="H4167" s="645"/>
      <c r="I4167" s="783" t="s">
        <v>11076</v>
      </c>
      <c r="L4167" s="292" t="s">
        <v>14152</v>
      </c>
      <c r="N4167" s="143" t="s">
        <v>14153</v>
      </c>
      <c r="O4167" s="143" t="s">
        <v>12941</v>
      </c>
    </row>
    <row r="4168" hidden="1">
      <c r="A4168" s="342">
        <v>6.0</v>
      </c>
      <c r="B4168" s="512" t="s">
        <v>14154</v>
      </c>
      <c r="C4168" s="342" t="s">
        <v>5976</v>
      </c>
      <c r="D4168" s="1031" t="s">
        <v>14155</v>
      </c>
      <c r="E4168" s="1031" t="s">
        <v>5976</v>
      </c>
      <c r="F4168" s="647"/>
      <c r="G4168" s="1204" t="str">
        <f t="array" ref="G4168">IF(TRIM(E4168)="","",IFERROR(TEXT(INDEX(TAT_HELPER!D:D,MATCH(TRIM(E4168),TRIM(TAT_HELPER!A:A),0)),"dd-mm-yyyy"),""))
</f>
        <v/>
      </c>
      <c r="H4168" s="645"/>
      <c r="I4168" s="783" t="s">
        <v>10093</v>
      </c>
      <c r="L4168" s="292" t="s">
        <v>14152</v>
      </c>
      <c r="N4168" s="143" t="s">
        <v>14153</v>
      </c>
      <c r="O4168" s="143" t="s">
        <v>12941</v>
      </c>
    </row>
    <row r="4169">
      <c r="A4169" s="342">
        <v>7.0</v>
      </c>
      <c r="B4169" s="512" t="s">
        <v>14156</v>
      </c>
      <c r="C4169" s="342" t="s">
        <v>80</v>
      </c>
      <c r="D4169" s="342" t="s">
        <v>14157</v>
      </c>
      <c r="E4169" s="580" t="s">
        <v>14158</v>
      </c>
      <c r="F4169" s="342" t="s">
        <v>3583</v>
      </c>
      <c r="G4169" s="1204" t="str">
        <f t="array" ref="G4169">IF(TRIM(E4169)="","",IFERROR(TEXT(INDEX(TAT_HELPER!D:D,MATCH(TRIM(E4169),TRIM(TAT_HELPER!A:A),0)),"dd-mm-yyyy"),""))
</f>
        <v>03-08-2026</v>
      </c>
      <c r="H4169" s="645"/>
      <c r="I4169" s="783" t="s">
        <v>10093</v>
      </c>
      <c r="L4169" s="292" t="s">
        <v>3066</v>
      </c>
    </row>
    <row r="4170">
      <c r="A4170" s="342">
        <v>8.0</v>
      </c>
      <c r="B4170" s="512" t="s">
        <v>14159</v>
      </c>
      <c r="C4170" s="342" t="s">
        <v>80</v>
      </c>
      <c r="D4170" s="342" t="s">
        <v>14160</v>
      </c>
      <c r="E4170" s="580" t="s">
        <v>14161</v>
      </c>
      <c r="F4170" s="342" t="s">
        <v>3583</v>
      </c>
      <c r="G4170" s="1204" t="str">
        <f t="array" ref="G4170">IF(TRIM(E4170)="","",IFERROR(TEXT(INDEX(TAT_HELPER!D:D,MATCH(TRIM(E4170),TRIM(TAT_HELPER!A:A),0)),"dd-mm-yyyy"),""))
</f>
        <v>03-08-2026</v>
      </c>
      <c r="H4170" s="645"/>
      <c r="I4170" s="275" t="s">
        <v>2890</v>
      </c>
      <c r="L4170" s="292" t="s">
        <v>11863</v>
      </c>
    </row>
    <row r="4171">
      <c r="A4171" s="342">
        <v>9.0</v>
      </c>
      <c r="B4171" s="512" t="s">
        <v>14162</v>
      </c>
      <c r="C4171" s="342" t="s">
        <v>80</v>
      </c>
      <c r="D4171" s="342" t="s">
        <v>14163</v>
      </c>
      <c r="E4171" s="580" t="s">
        <v>14164</v>
      </c>
      <c r="F4171" s="342" t="s">
        <v>3583</v>
      </c>
      <c r="G4171" s="1204" t="str">
        <f t="array" ref="G4171">IF(TRIM(E4171)="","",IFERROR(TEXT(INDEX(TAT_HELPER!D:D,MATCH(TRIM(E4171),TRIM(TAT_HELPER!A:A),0)),"dd-mm-yyyy"),""))
</f>
        <v>03-08-2026</v>
      </c>
      <c r="H4171" s="645"/>
      <c r="I4171" s="275" t="s">
        <v>2890</v>
      </c>
      <c r="L4171" s="292" t="s">
        <v>3066</v>
      </c>
    </row>
    <row r="4172">
      <c r="A4172" s="342">
        <v>10.0</v>
      </c>
      <c r="B4172" s="512" t="s">
        <v>14165</v>
      </c>
      <c r="C4172" s="342" t="s">
        <v>80</v>
      </c>
      <c r="D4172" s="342" t="s">
        <v>14166</v>
      </c>
      <c r="E4172" s="580" t="s">
        <v>14167</v>
      </c>
      <c r="F4172" s="342" t="s">
        <v>3583</v>
      </c>
      <c r="G4172" s="1204" t="str">
        <f t="array" ref="G4172">IF(TRIM(E4172)="","",IFERROR(TEXT(INDEX(TAT_HELPER!D:D,MATCH(TRIM(E4172),TRIM(TAT_HELPER!A:A),0)),"dd-mm-yyyy"),""))
</f>
        <v>04-08-2026</v>
      </c>
      <c r="H4172" s="645"/>
      <c r="I4172" s="275" t="s">
        <v>2890</v>
      </c>
      <c r="L4172" s="292" t="s">
        <v>11863</v>
      </c>
    </row>
    <row r="4173">
      <c r="A4173" s="342">
        <v>11.0</v>
      </c>
      <c r="B4173" s="512" t="s">
        <v>14168</v>
      </c>
      <c r="C4173" s="342" t="s">
        <v>80</v>
      </c>
      <c r="D4173" s="342" t="s">
        <v>14169</v>
      </c>
      <c r="E4173" s="580" t="s">
        <v>14170</v>
      </c>
      <c r="F4173" s="342" t="s">
        <v>14171</v>
      </c>
      <c r="G4173" s="1204" t="str">
        <f t="array" ref="G4173">IF(TRIM(E4173)="","",IFERROR(TEXT(INDEX(TAT_HELPER!D:D,MATCH(TRIM(E4173),TRIM(TAT_HELPER!A:A),0)),"dd-mm-yyyy"),""))
</f>
        <v>04-08-2026</v>
      </c>
      <c r="H4173" s="645"/>
      <c r="I4173" s="783" t="s">
        <v>14172</v>
      </c>
      <c r="L4173" s="292" t="s">
        <v>3066</v>
      </c>
    </row>
    <row r="4174">
      <c r="A4174" s="342">
        <v>12.0</v>
      </c>
      <c r="B4174" s="512" t="s">
        <v>14173</v>
      </c>
      <c r="C4174" s="342" t="s">
        <v>80</v>
      </c>
      <c r="D4174" s="342" t="s">
        <v>14174</v>
      </c>
      <c r="E4174" s="580" t="s">
        <v>14175</v>
      </c>
      <c r="F4174" s="342" t="s">
        <v>3928</v>
      </c>
      <c r="G4174" s="1204" t="str">
        <f t="array" ref="G4174">IF(TRIM(E4174)="","",IFERROR(TEXT(INDEX(TAT_HELPER!D:D,MATCH(TRIM(E4174),TRIM(TAT_HELPER!A:A),0)),"dd-mm-yyyy"),""))
</f>
        <v>04-08-2026</v>
      </c>
      <c r="H4174" s="645"/>
      <c r="I4174" s="275" t="s">
        <v>2890</v>
      </c>
      <c r="L4174" s="292" t="s">
        <v>14176</v>
      </c>
    </row>
    <row r="4175">
      <c r="A4175" s="342">
        <v>13.0</v>
      </c>
      <c r="B4175" s="512" t="s">
        <v>14177</v>
      </c>
      <c r="C4175" s="342" t="s">
        <v>80</v>
      </c>
      <c r="D4175" s="342" t="s">
        <v>14178</v>
      </c>
      <c r="E4175" s="580" t="s">
        <v>14179</v>
      </c>
      <c r="F4175" s="342" t="s">
        <v>3928</v>
      </c>
      <c r="G4175" s="1204" t="str">
        <f t="array" ref="G4175">IF(TRIM(E4175)="","",IFERROR(TEXT(INDEX(TAT_HELPER!D:D,MATCH(TRIM(E4175),TRIM(TAT_HELPER!A:A),0)),"dd-mm-yyyy"),""))
</f>
        <v>04-08-2026</v>
      </c>
      <c r="H4175" s="645"/>
      <c r="I4175" s="275" t="s">
        <v>2890</v>
      </c>
      <c r="L4175" s="292" t="s">
        <v>14176</v>
      </c>
      <c r="O4175" s="143" t="s">
        <v>13469</v>
      </c>
    </row>
    <row r="4176">
      <c r="A4176" s="342">
        <v>14.0</v>
      </c>
      <c r="B4176" s="512" t="s">
        <v>14180</v>
      </c>
      <c r="C4176" s="342" t="s">
        <v>80</v>
      </c>
      <c r="D4176" s="342" t="s">
        <v>14181</v>
      </c>
      <c r="E4176" s="580" t="s">
        <v>14182</v>
      </c>
      <c r="F4176" s="342" t="s">
        <v>3928</v>
      </c>
      <c r="G4176" s="1204" t="str">
        <f t="array" ref="G4176">IF(TRIM(E4176)="","",IFERROR(TEXT(INDEX(TAT_HELPER!D:D,MATCH(TRIM(E4176),TRIM(TAT_HELPER!A:A),0)),"dd-mm-yyyy"),""))
</f>
        <v>04-08-2026</v>
      </c>
      <c r="H4176" s="645"/>
      <c r="I4176" s="540" t="s">
        <v>3465</v>
      </c>
      <c r="L4176" s="292" t="s">
        <v>14176</v>
      </c>
    </row>
    <row r="4177">
      <c r="A4177" s="342">
        <v>15.0</v>
      </c>
      <c r="B4177" s="512" t="s">
        <v>14183</v>
      </c>
      <c r="C4177" s="342" t="s">
        <v>80</v>
      </c>
      <c r="D4177" s="342" t="s">
        <v>14184</v>
      </c>
      <c r="E4177" s="580" t="s">
        <v>14185</v>
      </c>
      <c r="F4177" s="342" t="s">
        <v>3928</v>
      </c>
      <c r="G4177" s="1204" t="str">
        <f t="array" ref="G4177">IF(TRIM(E4177)="","",IFERROR(TEXT(INDEX(TAT_HELPER!D:D,MATCH(TRIM(E4177),TRIM(TAT_HELPER!A:A),0)),"dd-mm-yyyy"),""))
</f>
        <v>04-08-2026</v>
      </c>
      <c r="H4177" s="645"/>
      <c r="I4177" s="783" t="s">
        <v>3231</v>
      </c>
      <c r="L4177" s="292" t="s">
        <v>14176</v>
      </c>
    </row>
    <row r="4178">
      <c r="A4178" s="342">
        <v>16.0</v>
      </c>
      <c r="B4178" s="512" t="s">
        <v>14186</v>
      </c>
      <c r="C4178" s="342" t="s">
        <v>80</v>
      </c>
      <c r="D4178" s="342" t="s">
        <v>14187</v>
      </c>
      <c r="E4178" s="580" t="s">
        <v>14188</v>
      </c>
      <c r="F4178" s="342" t="s">
        <v>3928</v>
      </c>
      <c r="G4178" s="1204" t="str">
        <f t="array" ref="G4178">IF(TRIM(E4178)="","",IFERROR(TEXT(INDEX(TAT_HELPER!D:D,MATCH(TRIM(E4178),TRIM(TAT_HELPER!A:A),0)),"dd-mm-yyyy"),""))
</f>
        <v>06-08-2026</v>
      </c>
      <c r="H4178" s="645"/>
      <c r="I4178" s="275" t="s">
        <v>2890</v>
      </c>
      <c r="L4178" s="292" t="s">
        <v>14176</v>
      </c>
    </row>
    <row r="4179">
      <c r="A4179" s="342">
        <v>17.0</v>
      </c>
      <c r="B4179" s="512" t="s">
        <v>14189</v>
      </c>
      <c r="C4179" s="342" t="s">
        <v>80</v>
      </c>
      <c r="D4179" s="342" t="s">
        <v>14190</v>
      </c>
      <c r="E4179" s="580" t="s">
        <v>14191</v>
      </c>
      <c r="F4179" s="342" t="s">
        <v>3928</v>
      </c>
      <c r="G4179" s="1204" t="str">
        <f t="array" ref="G4179">IF(TRIM(E4179)="","",IFERROR(TEXT(INDEX(TAT_HELPER!D:D,MATCH(TRIM(E4179),TRIM(TAT_HELPER!A:A),0)),"dd-mm-yyyy"),""))
</f>
        <v>06-08-2026</v>
      </c>
      <c r="H4179" s="645"/>
      <c r="I4179" s="783" t="s">
        <v>10093</v>
      </c>
      <c r="L4179" s="292" t="s">
        <v>14176</v>
      </c>
    </row>
    <row r="4180">
      <c r="A4180" s="342">
        <v>18.0</v>
      </c>
      <c r="B4180" s="512" t="s">
        <v>14192</v>
      </c>
      <c r="C4180" s="342" t="s">
        <v>80</v>
      </c>
      <c r="D4180" s="342" t="s">
        <v>14193</v>
      </c>
      <c r="E4180" s="580" t="s">
        <v>14194</v>
      </c>
      <c r="F4180" s="342" t="s">
        <v>3928</v>
      </c>
      <c r="G4180" s="1204" t="str">
        <f t="array" ref="G4180">IF(TRIM(E4180)="","",IFERROR(TEXT(INDEX(TAT_HELPER!D:D,MATCH(TRIM(E4180),TRIM(TAT_HELPER!A:A),0)),"dd-mm-yyyy"),""))
</f>
        <v>06-08-2026</v>
      </c>
      <c r="H4180" s="645"/>
      <c r="I4180" s="783" t="s">
        <v>3231</v>
      </c>
      <c r="L4180" s="292" t="s">
        <v>14176</v>
      </c>
    </row>
    <row r="4181">
      <c r="A4181" s="342">
        <v>19.0</v>
      </c>
      <c r="B4181" s="512" t="s">
        <v>14195</v>
      </c>
      <c r="C4181" s="342" t="s">
        <v>80</v>
      </c>
      <c r="D4181" s="342" t="s">
        <v>14196</v>
      </c>
      <c r="E4181" s="580" t="s">
        <v>14197</v>
      </c>
      <c r="F4181" s="342" t="s">
        <v>3928</v>
      </c>
      <c r="G4181" s="1204" t="str">
        <f t="array" ref="G4181">IF(TRIM(E4181)="","",IFERROR(TEXT(INDEX(TAT_HELPER!D:D,MATCH(TRIM(E4181),TRIM(TAT_HELPER!A:A),0)),"dd-mm-yyyy"),""))
</f>
        <v>06-08-2026</v>
      </c>
      <c r="H4181" s="645"/>
      <c r="I4181" s="783" t="s">
        <v>10093</v>
      </c>
      <c r="L4181" s="292" t="s">
        <v>14176</v>
      </c>
    </row>
    <row r="4182">
      <c r="A4182" s="342">
        <v>20.0</v>
      </c>
      <c r="B4182" s="512" t="s">
        <v>14198</v>
      </c>
      <c r="C4182" s="342" t="s">
        <v>80</v>
      </c>
      <c r="D4182" s="342" t="s">
        <v>14199</v>
      </c>
      <c r="E4182" s="580" t="s">
        <v>14200</v>
      </c>
      <c r="F4182" s="342" t="s">
        <v>3928</v>
      </c>
      <c r="G4182" s="1204" t="str">
        <f t="array" ref="G4182">IF(TRIM(E4182)="","",IFERROR(TEXT(INDEX(TAT_HELPER!D:D,MATCH(TRIM(E4182),TRIM(TAT_HELPER!A:A),0)),"dd-mm-yyyy"),""))
</f>
        <v>06-08-2026</v>
      </c>
      <c r="H4182" s="645"/>
      <c r="I4182" s="275" t="s">
        <v>2890</v>
      </c>
      <c r="L4182" s="292" t="s">
        <v>14176</v>
      </c>
    </row>
    <row r="4183">
      <c r="A4183" s="342">
        <v>21.0</v>
      </c>
      <c r="B4183" s="512" t="s">
        <v>14201</v>
      </c>
      <c r="C4183" s="342" t="s">
        <v>1185</v>
      </c>
      <c r="D4183" s="342" t="s">
        <v>14202</v>
      </c>
      <c r="E4183" s="580" t="s">
        <v>14203</v>
      </c>
      <c r="F4183" s="342" t="s">
        <v>3583</v>
      </c>
      <c r="G4183" s="1204" t="str">
        <f t="array" ref="G4183">IF(TRIM(E4183)="","",IFERROR(TEXT(INDEX(TAT_HELPER!D:D,MATCH(TRIM(E4183),TRIM(TAT_HELPER!A:A),0)),"dd-mm-yyyy"),""))
</f>
        <v>05-08-2026</v>
      </c>
      <c r="H4183" s="645"/>
      <c r="I4183" s="783" t="s">
        <v>10093</v>
      </c>
      <c r="L4183" s="292" t="s">
        <v>11863</v>
      </c>
    </row>
    <row r="4184">
      <c r="A4184" s="342">
        <v>22.0</v>
      </c>
      <c r="B4184" s="512" t="s">
        <v>14204</v>
      </c>
      <c r="C4184" s="342" t="s">
        <v>80</v>
      </c>
      <c r="D4184" s="342" t="s">
        <v>14205</v>
      </c>
      <c r="E4184" s="342" t="s">
        <v>14206</v>
      </c>
      <c r="F4184" s="342" t="s">
        <v>5229</v>
      </c>
      <c r="G4184" s="1204" t="str">
        <f t="array" ref="G4184">IF(TRIM(E4184)="","",IFERROR(TEXT(INDEX(TAT_HELPER!D:D,MATCH(TRIM(E4184),TRIM(TAT_HELPER!A:A),0)),"dd-mm-yyyy"),""))
</f>
        <v>08-08-2026</v>
      </c>
      <c r="H4184" s="645"/>
      <c r="I4184" s="275" t="s">
        <v>2890</v>
      </c>
      <c r="L4184" s="292" t="s">
        <v>4195</v>
      </c>
    </row>
    <row r="4185">
      <c r="A4185" s="342">
        <v>23.0</v>
      </c>
      <c r="B4185" s="512" t="s">
        <v>14207</v>
      </c>
      <c r="C4185" s="342" t="s">
        <v>651</v>
      </c>
      <c r="D4185" s="342" t="s">
        <v>14208</v>
      </c>
      <c r="E4185" s="342" t="s">
        <v>14209</v>
      </c>
      <c r="F4185" s="342" t="s">
        <v>5436</v>
      </c>
      <c r="G4185" s="1204" t="str">
        <f t="array" ref="G4185">IF(TRIM(E4185)="","",IFERROR(TEXT(INDEX(TAT_HELPER!D:D,MATCH(TRIM(E4185),TRIM(TAT_HELPER!A:A),0)),"dd-mm-yyyy"),""))
</f>
        <v>08-08-2026</v>
      </c>
      <c r="H4185" s="645"/>
      <c r="I4185" s="275" t="s">
        <v>2890</v>
      </c>
      <c r="L4185" s="292" t="s">
        <v>374</v>
      </c>
    </row>
    <row r="4186">
      <c r="A4186" s="342">
        <v>24.0</v>
      </c>
      <c r="B4186" s="512" t="s">
        <v>14210</v>
      </c>
      <c r="C4186" s="342" t="s">
        <v>80</v>
      </c>
      <c r="D4186" s="342" t="s">
        <v>14211</v>
      </c>
      <c r="E4186" s="342" t="s">
        <v>14212</v>
      </c>
      <c r="F4186" s="342" t="s">
        <v>2315</v>
      </c>
      <c r="G4186" s="1204" t="str">
        <f t="array" ref="G4186">IF(TRIM(E4186)="","",IFERROR(TEXT(INDEX(TAT_HELPER!D:D,MATCH(TRIM(E4186),TRIM(TAT_HELPER!A:A),0)),"dd-mm-yyyy"),""))
</f>
        <v>08-08-2026</v>
      </c>
      <c r="H4186" s="645"/>
      <c r="I4186" s="783" t="s">
        <v>10093</v>
      </c>
      <c r="L4186" s="292" t="s">
        <v>51</v>
      </c>
    </row>
    <row r="4187">
      <c r="A4187" s="342">
        <v>25.0</v>
      </c>
      <c r="B4187" s="512" t="s">
        <v>14213</v>
      </c>
      <c r="C4187" s="342" t="s">
        <v>80</v>
      </c>
      <c r="D4187" s="342" t="s">
        <v>14214</v>
      </c>
      <c r="E4187" s="342" t="s">
        <v>14215</v>
      </c>
      <c r="F4187" s="342" t="s">
        <v>172</v>
      </c>
      <c r="G4187" s="1204" t="str">
        <f t="array" ref="G4187">IF(TRIM(E4187)="","",IFERROR(TEXT(INDEX(TAT_HELPER!D:D,MATCH(TRIM(E4187),TRIM(TAT_HELPER!A:A),0)),"dd-mm-yyyy"),""))
</f>
        <v>09-08-2026</v>
      </c>
      <c r="H4187" s="645"/>
      <c r="I4187" s="275" t="s">
        <v>2890</v>
      </c>
      <c r="L4187" s="292" t="s">
        <v>4195</v>
      </c>
    </row>
    <row r="4188">
      <c r="A4188" s="342">
        <v>26.0</v>
      </c>
      <c r="B4188" s="512" t="s">
        <v>14216</v>
      </c>
      <c r="C4188" s="342" t="s">
        <v>80</v>
      </c>
      <c r="D4188" s="342" t="s">
        <v>14217</v>
      </c>
      <c r="E4188" s="342" t="s">
        <v>14218</v>
      </c>
      <c r="F4188" s="342" t="s">
        <v>556</v>
      </c>
      <c r="G4188" s="1204" t="str">
        <f t="array" ref="G4188">IF(TRIM(E4188)="","",IFERROR(TEXT(INDEX(TAT_HELPER!D:D,MATCH(TRIM(E4188),TRIM(TAT_HELPER!A:A),0)),"dd-mm-yyyy"),""))
</f>
        <v>09-08-2026</v>
      </c>
      <c r="H4188" s="645"/>
      <c r="I4188" s="783" t="s">
        <v>10093</v>
      </c>
      <c r="L4188" s="292" t="s">
        <v>51</v>
      </c>
    </row>
    <row r="4189">
      <c r="A4189" s="342">
        <v>27.0</v>
      </c>
      <c r="B4189" s="512" t="s">
        <v>14219</v>
      </c>
      <c r="C4189" s="342" t="s">
        <v>80</v>
      </c>
      <c r="D4189" s="342" t="s">
        <v>14220</v>
      </c>
      <c r="E4189" s="342" t="s">
        <v>14221</v>
      </c>
      <c r="F4189" s="342" t="s">
        <v>14222</v>
      </c>
      <c r="G4189" s="1204" t="str">
        <f t="array" ref="G4189">IF(TRIM(E4189)="","",IFERROR(TEXT(INDEX(TAT_HELPER!D:D,MATCH(TRIM(E4189),TRIM(TAT_HELPER!A:A),0)),"dd-mm-yyyy"),""))
</f>
        <v>06-08-2026</v>
      </c>
      <c r="H4189" s="645"/>
      <c r="I4189" s="783" t="s">
        <v>10093</v>
      </c>
      <c r="L4189" s="292" t="s">
        <v>374</v>
      </c>
    </row>
    <row r="4190">
      <c r="A4190" s="342">
        <v>28.0</v>
      </c>
      <c r="B4190" s="621" t="s">
        <v>14223</v>
      </c>
      <c r="C4190" s="342" t="s">
        <v>80</v>
      </c>
      <c r="D4190" s="342" t="s">
        <v>14224</v>
      </c>
      <c r="E4190" s="342" t="s">
        <v>14225</v>
      </c>
      <c r="F4190" s="342" t="s">
        <v>14226</v>
      </c>
      <c r="G4190" s="1204" t="str">
        <f t="array" ref="G4190">IF(TRIM(E4190)="","",IFERROR(TEXT(INDEX(TAT_HELPER!D:D,MATCH(TRIM(E4190),TRIM(TAT_HELPER!A:A),0)),"dd-mm-yyyy"),""))
</f>
        <v>08-08-2026</v>
      </c>
      <c r="H4190" s="645"/>
      <c r="I4190" s="783" t="s">
        <v>5668</v>
      </c>
      <c r="L4190" s="292" t="s">
        <v>4195</v>
      </c>
    </row>
    <row r="4191">
      <c r="A4191" s="1205">
        <v>29.0</v>
      </c>
      <c r="B4191" s="1206" t="s">
        <v>13373</v>
      </c>
      <c r="C4191" s="1205" t="s">
        <v>80</v>
      </c>
      <c r="D4191" s="1205" t="s">
        <v>14227</v>
      </c>
      <c r="E4191" s="1205" t="s">
        <v>13375</v>
      </c>
      <c r="F4191" s="1205" t="s">
        <v>4358</v>
      </c>
      <c r="G4191" s="1207" t="str">
        <f t="array" ref="G4191">IF(TRIM(E4191)="","",IFERROR(TEXT(INDEX(TAT_HELPER!D:D,MATCH(TRIM(E4191),TRIM(TAT_HELPER!A:A),0)),"dd-mm-yyyy"),""))
</f>
        <v>22-07-2026</v>
      </c>
      <c r="H4191" s="1208"/>
      <c r="I4191" s="1209" t="s">
        <v>2890</v>
      </c>
      <c r="J4191" s="1210"/>
      <c r="K4191" s="1210"/>
      <c r="L4191" s="1211"/>
      <c r="M4191" s="1210"/>
      <c r="N4191" s="1210"/>
      <c r="O4191" s="1210"/>
      <c r="P4191" s="1210"/>
      <c r="Q4191" s="1210"/>
      <c r="R4191" s="1210"/>
      <c r="S4191" s="1210"/>
      <c r="T4191" s="1210"/>
      <c r="U4191" s="1210"/>
      <c r="V4191" s="1210"/>
      <c r="W4191" s="1210"/>
      <c r="X4191" s="1210"/>
      <c r="Y4191" s="1210"/>
      <c r="Z4191" s="1210"/>
      <c r="AA4191" s="1210"/>
      <c r="AB4191" s="1210"/>
      <c r="AC4191" s="1210"/>
      <c r="AD4191" s="1210"/>
      <c r="AE4191" s="1210"/>
      <c r="AF4191" s="1210"/>
    </row>
    <row r="4192">
      <c r="A4192" s="342">
        <v>30.0</v>
      </c>
      <c r="B4192" s="512" t="s">
        <v>14228</v>
      </c>
      <c r="C4192" s="342" t="s">
        <v>1185</v>
      </c>
      <c r="D4192" s="342" t="s">
        <v>14229</v>
      </c>
      <c r="E4192" s="342" t="s">
        <v>14230</v>
      </c>
      <c r="F4192" s="342" t="s">
        <v>14231</v>
      </c>
      <c r="G4192" s="1204" t="str">
        <f t="array" ref="G4192">IF(TRIM(E4192)="","",IFERROR(TEXT(INDEX(TAT_HELPER!D:D,MATCH(TRIM(E4192),TRIM(TAT_HELPER!A:A),0)),"dd-mm-yyyy"),""))
</f>
        <v>09-08-2026</v>
      </c>
      <c r="H4192" s="645"/>
      <c r="I4192" s="783" t="s">
        <v>11403</v>
      </c>
      <c r="L4192" s="292" t="s">
        <v>374</v>
      </c>
    </row>
    <row r="4193">
      <c r="A4193" s="342">
        <v>31.0</v>
      </c>
      <c r="B4193" s="512" t="s">
        <v>14232</v>
      </c>
      <c r="C4193" s="342" t="s">
        <v>651</v>
      </c>
      <c r="D4193" s="342" t="s">
        <v>14233</v>
      </c>
      <c r="E4193" s="342" t="s">
        <v>14234</v>
      </c>
      <c r="F4193" s="342" t="s">
        <v>5436</v>
      </c>
      <c r="G4193" s="1204" t="str">
        <f t="array" ref="G4193">IF(TRIM(E4193)="","",IFERROR(TEXT(INDEX(TAT_HELPER!D:D,MATCH(TRIM(E4193),TRIM(TAT_HELPER!A:A),0)),"dd-mm-yyyy"),""))
</f>
        <v>10-08-2026</v>
      </c>
      <c r="H4193" s="645"/>
      <c r="I4193" s="275" t="s">
        <v>2890</v>
      </c>
      <c r="L4193" s="292" t="s">
        <v>51</v>
      </c>
    </row>
    <row r="4194">
      <c r="A4194" s="342">
        <v>32.0</v>
      </c>
      <c r="B4194" s="512" t="s">
        <v>14235</v>
      </c>
      <c r="C4194" s="342" t="s">
        <v>80</v>
      </c>
      <c r="D4194" s="342" t="s">
        <v>14236</v>
      </c>
      <c r="E4194" s="342" t="s">
        <v>14237</v>
      </c>
      <c r="F4194" s="342" t="s">
        <v>556</v>
      </c>
      <c r="G4194" s="1204" t="str">
        <f t="array" ref="G4194">IF(TRIM(E4194)="","",IFERROR(TEXT(INDEX(TAT_HELPER!D:D,MATCH(TRIM(E4194),TRIM(TAT_HELPER!A:A),0)),"dd-mm-yyyy"),""))
</f>
        <v>09-08-2026</v>
      </c>
      <c r="H4194" s="645"/>
      <c r="I4194" s="275" t="s">
        <v>2890</v>
      </c>
      <c r="L4194" s="292" t="s">
        <v>4195</v>
      </c>
    </row>
    <row r="4195">
      <c r="A4195" s="342">
        <v>33.0</v>
      </c>
      <c r="B4195" s="512" t="s">
        <v>14238</v>
      </c>
      <c r="C4195" s="342" t="s">
        <v>80</v>
      </c>
      <c r="D4195" s="342" t="s">
        <v>14239</v>
      </c>
      <c r="E4195" s="342" t="s">
        <v>14240</v>
      </c>
      <c r="F4195" s="342" t="s">
        <v>556</v>
      </c>
      <c r="G4195" s="1204" t="str">
        <f t="array" ref="G4195">IF(TRIM(E4195)="","",IFERROR(TEXT(INDEX(TAT_HELPER!D:D,MATCH(TRIM(E4195),TRIM(TAT_HELPER!A:A),0)),"dd-mm-yyyy"),""))
</f>
        <v>09-08-2026</v>
      </c>
      <c r="H4195" s="645"/>
      <c r="I4195" s="275" t="s">
        <v>2890</v>
      </c>
      <c r="L4195" s="292" t="s">
        <v>374</v>
      </c>
    </row>
    <row r="4196">
      <c r="A4196" s="342">
        <v>34.0</v>
      </c>
      <c r="B4196" s="512" t="s">
        <v>14241</v>
      </c>
      <c r="C4196" s="342" t="s">
        <v>80</v>
      </c>
      <c r="D4196" s="342" t="s">
        <v>14242</v>
      </c>
      <c r="E4196" s="342" t="s">
        <v>14243</v>
      </c>
      <c r="F4196" s="342" t="s">
        <v>556</v>
      </c>
      <c r="G4196" s="1204" t="str">
        <f t="array" ref="G4196">IF(TRIM(E4196)="","",IFERROR(TEXT(INDEX(TAT_HELPER!D:D,MATCH(TRIM(E4196),TRIM(TAT_HELPER!A:A),0)),"dd-mm-yyyy"),""))
</f>
        <v>09-08-2026</v>
      </c>
      <c r="H4196" s="645"/>
      <c r="I4196" s="275" t="s">
        <v>2890</v>
      </c>
      <c r="L4196" s="292" t="s">
        <v>51</v>
      </c>
    </row>
    <row r="4197">
      <c r="A4197" s="342">
        <v>35.0</v>
      </c>
      <c r="B4197" s="512" t="s">
        <v>14244</v>
      </c>
      <c r="C4197" s="342" t="s">
        <v>80</v>
      </c>
      <c r="D4197" s="342" t="s">
        <v>14245</v>
      </c>
      <c r="E4197" s="342" t="s">
        <v>14246</v>
      </c>
      <c r="F4197" s="342" t="s">
        <v>10983</v>
      </c>
      <c r="G4197" s="1204" t="str">
        <f t="array" ref="G4197">IF(TRIM(E4197)="","",IFERROR(TEXT(INDEX(TAT_HELPER!D:D,MATCH(TRIM(E4197),TRIM(TAT_HELPER!A:A),0)),"dd-mm-yyyy"),""))
</f>
        <v>09-08-2026</v>
      </c>
      <c r="H4197" s="645"/>
      <c r="I4197" s="275" t="s">
        <v>2890</v>
      </c>
      <c r="L4197" s="292" t="s">
        <v>4195</v>
      </c>
    </row>
    <row r="4198">
      <c r="A4198" s="342">
        <v>36.0</v>
      </c>
      <c r="B4198" s="512" t="s">
        <v>14247</v>
      </c>
      <c r="C4198" s="342" t="s">
        <v>80</v>
      </c>
      <c r="D4198" s="342" t="s">
        <v>14248</v>
      </c>
      <c r="E4198" s="342" t="s">
        <v>14249</v>
      </c>
      <c r="F4198" s="342" t="s">
        <v>1846</v>
      </c>
      <c r="G4198" s="1204" t="str">
        <f t="array" ref="G4198">IF(TRIM(E4198)="","",IFERROR(TEXT(INDEX(TAT_HELPER!D:D,MATCH(TRIM(E4198),TRIM(TAT_HELPER!A:A),0)),"dd-mm-yyyy"),""))
</f>
        <v>09-08-2026</v>
      </c>
      <c r="H4198" s="645"/>
      <c r="I4198" s="275" t="s">
        <v>2890</v>
      </c>
      <c r="L4198" s="292" t="s">
        <v>374</v>
      </c>
    </row>
    <row r="4199">
      <c r="A4199" s="342">
        <v>37.0</v>
      </c>
      <c r="B4199" s="512" t="s">
        <v>14250</v>
      </c>
      <c r="C4199" s="342" t="s">
        <v>80</v>
      </c>
      <c r="D4199" s="342" t="s">
        <v>14251</v>
      </c>
      <c r="E4199" s="1212" t="s">
        <v>14252</v>
      </c>
      <c r="F4199" s="342" t="s">
        <v>14253</v>
      </c>
      <c r="G4199" s="1204" t="str">
        <f t="array" ref="G4199">IF(TRIM(E4199)="","",IFERROR(TEXT(INDEX(TAT_HELPER!D:D,MATCH(TRIM(E4199),TRIM(TAT_HELPER!A:A),0)),"dd-mm-yyyy"),""))
</f>
        <v>09-08-2026</v>
      </c>
      <c r="H4199" s="645"/>
      <c r="I4199" s="783" t="s">
        <v>14254</v>
      </c>
      <c r="L4199" s="292" t="s">
        <v>4195</v>
      </c>
    </row>
    <row r="4200">
      <c r="A4200" s="342">
        <v>38.0</v>
      </c>
      <c r="B4200" s="512" t="s">
        <v>14255</v>
      </c>
      <c r="C4200" s="342" t="s">
        <v>80</v>
      </c>
      <c r="D4200" s="342" t="s">
        <v>14256</v>
      </c>
      <c r="E4200" s="1212" t="s">
        <v>14257</v>
      </c>
      <c r="F4200" s="342" t="s">
        <v>14253</v>
      </c>
      <c r="G4200" s="1204" t="str">
        <f t="array" ref="G4200">IF(TRIM(E4200)="","",IFERROR(TEXT(INDEX(TAT_HELPER!D:D,MATCH(TRIM(E4200),TRIM(TAT_HELPER!A:A),0)),"dd-mm-yyyy"),""))
</f>
        <v>09-08-2026</v>
      </c>
      <c r="H4200" s="645"/>
      <c r="I4200" s="275" t="s">
        <v>2890</v>
      </c>
      <c r="L4200" s="292" t="s">
        <v>4195</v>
      </c>
    </row>
    <row r="4201">
      <c r="A4201" s="342">
        <v>39.0</v>
      </c>
      <c r="B4201" s="512" t="s">
        <v>14258</v>
      </c>
      <c r="C4201" s="342" t="s">
        <v>80</v>
      </c>
      <c r="D4201" s="342" t="s">
        <v>14259</v>
      </c>
      <c r="E4201" s="1212" t="s">
        <v>14260</v>
      </c>
      <c r="F4201" s="342" t="s">
        <v>1519</v>
      </c>
      <c r="G4201" s="1204" t="str">
        <f t="array" ref="G4201">IF(TRIM(E4201)="","",IFERROR(TEXT(INDEX(TAT_HELPER!D:D,MATCH(TRIM(E4201),TRIM(TAT_HELPER!A:A),0)),"dd-mm-yyyy"),""))
</f>
        <v>07-08-2026</v>
      </c>
      <c r="H4201" s="645"/>
      <c r="I4201" s="540" t="s">
        <v>3492</v>
      </c>
      <c r="L4201" s="292" t="s">
        <v>699</v>
      </c>
    </row>
    <row r="4202">
      <c r="A4202" s="342">
        <v>40.0</v>
      </c>
      <c r="B4202" s="512" t="s">
        <v>14261</v>
      </c>
      <c r="C4202" s="342" t="s">
        <v>80</v>
      </c>
      <c r="D4202" s="342" t="s">
        <v>14262</v>
      </c>
      <c r="E4202" s="1212" t="s">
        <v>14263</v>
      </c>
      <c r="F4202" s="342" t="s">
        <v>1519</v>
      </c>
      <c r="G4202" s="118" t="str">
        <f t="array" ref="G4202">IF(TRIM(E4202)="","",IFERROR(TEXT(INDEX(TAT_HELPER!D:D,MATCH(TRIM(E4202),TRIM(TAT_HELPER!A:A),0)),"dd-mm-yyyy"),""))
</f>
        <v>07-08-2026</v>
      </c>
      <c r="H4202" s="645"/>
      <c r="I4202" s="275" t="s">
        <v>2890</v>
      </c>
      <c r="L4202" s="292" t="s">
        <v>699</v>
      </c>
    </row>
    <row r="4203">
      <c r="A4203" s="1175" t="s">
        <v>14264</v>
      </c>
      <c r="B4203" s="1175"/>
      <c r="C4203" s="1175"/>
      <c r="D4203" s="1175"/>
      <c r="E4203" s="1175"/>
      <c r="F4203" s="1175"/>
      <c r="G4203" s="118" t="str">
        <f t="array" ref="G4203">IF(TRIM(E4203)="","",IFERROR(TEXT(INDEX(TAT_HELPER!D:D,MATCH(TRIM(E4203),TRIM(TAT_HELPER!A:A),0)),"dd-mm-yyyy"),""))
</f>
        <v/>
      </c>
      <c r="H4203" s="645"/>
      <c r="I4203" s="275" t="s">
        <v>2890</v>
      </c>
      <c r="L4203" s="140"/>
    </row>
    <row r="4204">
      <c r="A4204" s="670" t="s">
        <v>47</v>
      </c>
      <c r="B4204" s="670" t="s">
        <v>7</v>
      </c>
      <c r="C4204" s="670" t="s">
        <v>9</v>
      </c>
      <c r="D4204" s="670" t="s">
        <v>10</v>
      </c>
      <c r="E4204" s="670" t="s">
        <v>11</v>
      </c>
      <c r="F4204" s="670" t="s">
        <v>12</v>
      </c>
      <c r="G4204" s="670" t="s">
        <v>2378</v>
      </c>
      <c r="H4204" s="670" t="s">
        <v>2681</v>
      </c>
      <c r="I4204" s="783" t="s">
        <v>10093</v>
      </c>
      <c r="J4204" s="8" t="s">
        <v>14</v>
      </c>
      <c r="K4204" s="9" t="s">
        <v>16</v>
      </c>
      <c r="L4204" s="10" t="s">
        <v>14265</v>
      </c>
      <c r="M4204" s="10" t="s">
        <v>14135</v>
      </c>
      <c r="N4204" s="9" t="s">
        <v>19</v>
      </c>
      <c r="O4204" s="9" t="s">
        <v>20</v>
      </c>
      <c r="P4204" s="9" t="s">
        <v>21</v>
      </c>
      <c r="Q4204" s="35"/>
      <c r="R4204" s="35"/>
      <c r="S4204" s="35"/>
      <c r="T4204" s="35"/>
      <c r="U4204" s="35"/>
      <c r="V4204" s="35"/>
      <c r="W4204" s="35"/>
      <c r="X4204" s="35"/>
      <c r="Y4204" s="35"/>
      <c r="Z4204" s="35"/>
      <c r="AA4204" s="35"/>
      <c r="AB4204" s="35"/>
      <c r="AC4204" s="35"/>
      <c r="AD4204" s="35"/>
      <c r="AE4204" s="35"/>
      <c r="AF4204" s="35"/>
    </row>
    <row r="4205">
      <c r="A4205" s="471">
        <v>1.0</v>
      </c>
      <c r="B4205" s="1213" t="s">
        <v>14266</v>
      </c>
      <c r="C4205" s="138" t="s">
        <v>8251</v>
      </c>
      <c r="D4205" s="342" t="s">
        <v>14267</v>
      </c>
      <c r="E4205" s="1214" t="s">
        <v>14268</v>
      </c>
      <c r="F4205" s="138" t="s">
        <v>14269</v>
      </c>
      <c r="G4205" s="118" t="str">
        <f t="array" ref="G4205">IF(TRIM(E4205)="","",IFERROR(TEXT(INDEX(TAT_HELPER!D:D,MATCH(TRIM(E4205),TRIM(TAT_HELPER!A:A),0)),"dd-mm-yyyy"),""))
</f>
        <v>11-08-2026</v>
      </c>
      <c r="H4205" s="1215"/>
      <c r="I4205" s="275" t="s">
        <v>2890</v>
      </c>
      <c r="J4205" s="1216"/>
      <c r="K4205" s="1216"/>
      <c r="L4205" s="1215" t="s">
        <v>2541</v>
      </c>
      <c r="M4205" s="1216"/>
      <c r="N4205" s="1216"/>
      <c r="O4205" s="1216"/>
      <c r="P4205" s="1216"/>
      <c r="Q4205" s="1216"/>
      <c r="R4205" s="1216"/>
      <c r="S4205" s="1216"/>
      <c r="T4205" s="1216"/>
      <c r="U4205" s="1216"/>
      <c r="V4205" s="1216"/>
      <c r="W4205" s="1216"/>
      <c r="X4205" s="1216"/>
      <c r="Y4205" s="1216"/>
      <c r="Z4205" s="1216"/>
      <c r="AA4205" s="1216"/>
      <c r="AB4205" s="1216"/>
      <c r="AC4205" s="1216"/>
      <c r="AD4205" s="1216"/>
      <c r="AE4205" s="1216"/>
      <c r="AF4205" s="1216"/>
    </row>
    <row r="4206">
      <c r="A4206" s="1175" t="s">
        <v>14270</v>
      </c>
      <c r="B4206" s="1176"/>
      <c r="C4206" s="1176"/>
      <c r="D4206" s="1176"/>
      <c r="E4206" s="1176"/>
      <c r="F4206" s="1176"/>
      <c r="G4206" s="118" t="str">
        <f t="array" ref="G4206">IF(TRIM(E4206)="","",IFERROR(TEXT(INDEX(TAT_HELPER!D:D,MATCH(TRIM(E4206),TRIM(TAT_HELPER!A:A),0)),"dd-mm-yyyy"),""))
</f>
        <v/>
      </c>
      <c r="H4206" s="645"/>
      <c r="I4206" s="275" t="s">
        <v>2890</v>
      </c>
      <c r="L4206" s="140"/>
    </row>
    <row r="4207">
      <c r="A4207" s="670" t="s">
        <v>47</v>
      </c>
      <c r="B4207" s="670" t="s">
        <v>7</v>
      </c>
      <c r="C4207" s="670" t="s">
        <v>9</v>
      </c>
      <c r="D4207" s="670" t="s">
        <v>10</v>
      </c>
      <c r="E4207" s="670" t="s">
        <v>11</v>
      </c>
      <c r="F4207" s="670" t="s">
        <v>12</v>
      </c>
      <c r="G4207" s="670" t="s">
        <v>2378</v>
      </c>
      <c r="H4207" s="670" t="s">
        <v>2681</v>
      </c>
      <c r="I4207" s="4" t="s">
        <v>2847</v>
      </c>
      <c r="J4207" s="8" t="s">
        <v>14</v>
      </c>
      <c r="K4207" s="9" t="s">
        <v>16</v>
      </c>
      <c r="L4207" s="10" t="s">
        <v>14271</v>
      </c>
      <c r="M4207" s="10" t="s">
        <v>14135</v>
      </c>
      <c r="N4207" s="9" t="s">
        <v>19</v>
      </c>
      <c r="O4207" s="9" t="s">
        <v>20</v>
      </c>
      <c r="P4207" s="9" t="s">
        <v>21</v>
      </c>
      <c r="Q4207" s="35"/>
      <c r="R4207" s="35"/>
      <c r="S4207" s="35"/>
      <c r="T4207" s="35"/>
      <c r="U4207" s="35"/>
      <c r="V4207" s="35"/>
      <c r="W4207" s="35"/>
      <c r="X4207" s="35"/>
      <c r="Y4207" s="35"/>
      <c r="Z4207" s="35"/>
      <c r="AA4207" s="35"/>
      <c r="AB4207" s="35"/>
      <c r="AC4207" s="35"/>
      <c r="AD4207" s="35"/>
      <c r="AE4207" s="35"/>
      <c r="AF4207" s="35"/>
    </row>
    <row r="4208">
      <c r="A4208" s="995">
        <v>1.0</v>
      </c>
      <c r="B4208" s="996" t="s">
        <v>14272</v>
      </c>
      <c r="C4208" s="504" t="s">
        <v>80</v>
      </c>
      <c r="D4208" s="504" t="s">
        <v>14273</v>
      </c>
      <c r="E4208" s="995" t="s">
        <v>14274</v>
      </c>
      <c r="F4208" s="504" t="s">
        <v>12876</v>
      </c>
      <c r="G4208" s="118" t="str">
        <f t="array" ref="G4208">IF(TRIM(E4208)="","",IFERROR(TEXT(INDEX(TAT_HELPER!D:D,MATCH(TRIM(E4208),TRIM(TAT_HELPER!A:A),0)),"dd-mm-yyyy"),""))
</f>
        <v>02-08-2026</v>
      </c>
      <c r="H4208" s="645"/>
      <c r="I4208" s="619" t="s">
        <v>2890</v>
      </c>
      <c r="L4208" s="292" t="s">
        <v>374</v>
      </c>
    </row>
    <row r="4209">
      <c r="A4209" s="1100">
        <v>2.0</v>
      </c>
      <c r="B4209" s="1101" t="s">
        <v>14275</v>
      </c>
      <c r="C4209" s="1048" t="s">
        <v>80</v>
      </c>
      <c r="D4209" s="1048" t="s">
        <v>14276</v>
      </c>
      <c r="E4209" s="1100" t="s">
        <v>14277</v>
      </c>
      <c r="F4209" s="1048" t="s">
        <v>349</v>
      </c>
      <c r="G4209" s="1052" t="str">
        <f t="array" ref="G4209">IF(TRIM(E4209)="","",IFERROR(TEXT(INDEX(TAT_HELPER!D:D,MATCH(TRIM(E4209),TRIM(TAT_HELPER!A:A),0)),"dd-mm-yyyy"),""))
</f>
        <v>09-08-2026</v>
      </c>
      <c r="H4209" s="1104"/>
      <c r="I4209" s="1103" t="s">
        <v>2890</v>
      </c>
      <c r="J4209" s="1057"/>
      <c r="K4209" s="1057"/>
      <c r="L4209" s="1217" t="s">
        <v>51</v>
      </c>
      <c r="M4209" s="1057"/>
      <c r="N4209" s="1057"/>
      <c r="O4209" s="1218">
        <v>46030.0</v>
      </c>
      <c r="P4209" s="1057"/>
      <c r="Q4209" s="1057"/>
      <c r="R4209" s="1057"/>
      <c r="S4209" s="1057"/>
      <c r="T4209" s="1057"/>
      <c r="U4209" s="1057"/>
      <c r="V4209" s="1057"/>
      <c r="W4209" s="1057"/>
      <c r="X4209" s="1057"/>
      <c r="Y4209" s="1057"/>
      <c r="Z4209" s="1057"/>
      <c r="AA4209" s="1057"/>
      <c r="AB4209" s="1057"/>
      <c r="AC4209" s="1057"/>
      <c r="AD4209" s="1057"/>
      <c r="AE4209" s="1057"/>
      <c r="AF4209" s="1057"/>
    </row>
    <row r="4210">
      <c r="A4210" s="999">
        <v>3.0</v>
      </c>
      <c r="B4210" s="1000" t="s">
        <v>14278</v>
      </c>
      <c r="C4210" s="342" t="s">
        <v>80</v>
      </c>
      <c r="D4210" s="342" t="s">
        <v>14279</v>
      </c>
      <c r="E4210" s="999" t="s">
        <v>14280</v>
      </c>
      <c r="F4210" s="342" t="s">
        <v>12876</v>
      </c>
      <c r="G4210" s="118" t="str">
        <f t="array" ref="G4210">IF(TRIM(E4210)="","",IFERROR(TEXT(INDEX(TAT_HELPER!D:D,MATCH(TRIM(E4210),TRIM(TAT_HELPER!A:A),0)),"dd-mm-yyyy"),""))
</f>
        <v>02-08-2026</v>
      </c>
      <c r="H4210" s="645"/>
      <c r="I4210" s="306" t="s">
        <v>2890</v>
      </c>
      <c r="L4210" s="292" t="s">
        <v>4195</v>
      </c>
    </row>
    <row r="4211">
      <c r="A4211" s="999">
        <v>4.0</v>
      </c>
      <c r="B4211" s="1000" t="s">
        <v>14281</v>
      </c>
      <c r="C4211" s="342" t="s">
        <v>80</v>
      </c>
      <c r="D4211" s="342" t="s">
        <v>14282</v>
      </c>
      <c r="E4211" s="999" t="s">
        <v>14283</v>
      </c>
      <c r="F4211" s="342" t="s">
        <v>12876</v>
      </c>
      <c r="G4211" s="118" t="str">
        <f t="array" ref="G4211">IF(TRIM(E4211)="","",IFERROR(TEXT(INDEX(TAT_HELPER!D:D,MATCH(TRIM(E4211),TRIM(TAT_HELPER!A:A),0)),"dd-mm-yyyy"),""))
</f>
        <v>02-08-2026</v>
      </c>
      <c r="H4211" s="645"/>
      <c r="I4211" s="306" t="s">
        <v>2890</v>
      </c>
      <c r="L4211" s="292" t="s">
        <v>4195</v>
      </c>
    </row>
    <row r="4212">
      <c r="A4212" s="999">
        <v>5.0</v>
      </c>
      <c r="B4212" s="1000" t="s">
        <v>14284</v>
      </c>
      <c r="C4212" s="342" t="s">
        <v>80</v>
      </c>
      <c r="D4212" s="342" t="s">
        <v>14285</v>
      </c>
      <c r="E4212" s="1185" t="s">
        <v>14286</v>
      </c>
      <c r="F4212" s="342" t="s">
        <v>3928</v>
      </c>
      <c r="G4212" s="118" t="str">
        <f t="array" ref="G4212">IF(TRIM(E4212)="","",IFERROR(TEXT(INDEX(TAT_HELPER!D:D,MATCH(TRIM(E4212),TRIM(TAT_HELPER!A:A),0)),"dd-mm-yyyy"),""))
</f>
        <v>08-08-2026</v>
      </c>
      <c r="H4212" s="645"/>
      <c r="I4212" s="306" t="s">
        <v>2890</v>
      </c>
      <c r="L4212" s="292" t="s">
        <v>9469</v>
      </c>
    </row>
    <row r="4213">
      <c r="A4213" s="999">
        <v>6.0</v>
      </c>
      <c r="B4213" s="1000" t="s">
        <v>14287</v>
      </c>
      <c r="C4213" s="342" t="s">
        <v>80</v>
      </c>
      <c r="D4213" s="342" t="s">
        <v>14288</v>
      </c>
      <c r="E4213" s="1185" t="s">
        <v>14289</v>
      </c>
      <c r="F4213" s="342" t="s">
        <v>3928</v>
      </c>
      <c r="G4213" s="118" t="str">
        <f t="array" ref="G4213">IF(TRIM(E4213)="","",IFERROR(TEXT(INDEX(TAT_HELPER!D:D,MATCH(TRIM(E4213),TRIM(TAT_HELPER!A:A),0)),"dd-mm-yyyy"),""))
</f>
        <v>08-08-2026</v>
      </c>
      <c r="H4213" s="645"/>
      <c r="I4213" s="514" t="s">
        <v>10093</v>
      </c>
      <c r="L4213" s="292" t="s">
        <v>9469</v>
      </c>
    </row>
    <row r="4214">
      <c r="A4214" s="999">
        <v>7.0</v>
      </c>
      <c r="B4214" s="1000" t="s">
        <v>14290</v>
      </c>
      <c r="C4214" s="342" t="s">
        <v>80</v>
      </c>
      <c r="D4214" s="342" t="s">
        <v>14291</v>
      </c>
      <c r="E4214" s="1185" t="s">
        <v>14292</v>
      </c>
      <c r="F4214" s="342" t="s">
        <v>3928</v>
      </c>
      <c r="G4214" s="118" t="str">
        <f t="array" ref="G4214">IF(TRIM(E4214)="","",IFERROR(TEXT(INDEX(TAT_HELPER!D:D,MATCH(TRIM(E4214),TRIM(TAT_HELPER!A:A),0)),"dd-mm-yyyy"),""))
</f>
        <v>08-08-2026</v>
      </c>
      <c r="H4214" s="645"/>
      <c r="I4214" s="514" t="s">
        <v>10093</v>
      </c>
      <c r="L4214" s="292" t="s">
        <v>9469</v>
      </c>
    </row>
    <row r="4215">
      <c r="A4215" s="999">
        <v>8.0</v>
      </c>
      <c r="B4215" s="1000" t="s">
        <v>14293</v>
      </c>
      <c r="C4215" s="342" t="s">
        <v>80</v>
      </c>
      <c r="D4215" s="342" t="s">
        <v>14294</v>
      </c>
      <c r="E4215" s="1185" t="s">
        <v>14295</v>
      </c>
      <c r="F4215" s="342" t="s">
        <v>3928</v>
      </c>
      <c r="G4215" s="118" t="str">
        <f t="array" ref="G4215">IF(TRIM(E4215)="","",IFERROR(TEXT(INDEX(TAT_HELPER!D:D,MATCH(TRIM(E4215),TRIM(TAT_HELPER!A:A),0)),"dd-mm-yyyy"),""))
</f>
        <v>08-08-2026</v>
      </c>
      <c r="H4215" s="645"/>
      <c r="I4215" s="306" t="s">
        <v>2890</v>
      </c>
      <c r="L4215" s="292" t="s">
        <v>9469</v>
      </c>
    </row>
    <row r="4216">
      <c r="A4216" s="999">
        <v>9.0</v>
      </c>
      <c r="B4216" s="1000" t="s">
        <v>14296</v>
      </c>
      <c r="C4216" s="342" t="s">
        <v>80</v>
      </c>
      <c r="D4216" s="342" t="s">
        <v>14297</v>
      </c>
      <c r="E4216" s="1185" t="s">
        <v>14298</v>
      </c>
      <c r="F4216" s="342" t="s">
        <v>3583</v>
      </c>
      <c r="G4216" s="118" t="str">
        <f t="array" ref="G4216">IF(TRIM(E4216)="","",IFERROR(TEXT(INDEX(TAT_HELPER!D:D,MATCH(TRIM(E4216),TRIM(TAT_HELPER!A:A),0)),"dd-mm-yyyy"),""))
</f>
        <v>08-08-2026</v>
      </c>
      <c r="H4216" s="645"/>
      <c r="I4216" s="306" t="s">
        <v>2890</v>
      </c>
      <c r="L4216" s="292" t="s">
        <v>2541</v>
      </c>
    </row>
    <row r="4217">
      <c r="A4217" s="999">
        <v>10.0</v>
      </c>
      <c r="B4217" s="1000" t="s">
        <v>14299</v>
      </c>
      <c r="C4217" s="342" t="s">
        <v>80</v>
      </c>
      <c r="D4217" s="342" t="s">
        <v>14300</v>
      </c>
      <c r="E4217" s="1185" t="s">
        <v>14301</v>
      </c>
      <c r="F4217" s="342" t="s">
        <v>3583</v>
      </c>
      <c r="G4217" s="118" t="str">
        <f t="array" ref="G4217">IF(TRIM(E4217)="","",IFERROR(TEXT(INDEX(TAT_HELPER!D:D,MATCH(TRIM(E4217),TRIM(TAT_HELPER!A:A),0)),"dd-mm-yyyy"),""))
</f>
        <v>08-08-2026</v>
      </c>
      <c r="H4217" s="645"/>
      <c r="I4217" s="306" t="s">
        <v>2890</v>
      </c>
      <c r="L4217" s="292" t="s">
        <v>12198</v>
      </c>
    </row>
    <row r="4218">
      <c r="A4218" s="999">
        <v>11.0</v>
      </c>
      <c r="B4218" s="1000" t="s">
        <v>14302</v>
      </c>
      <c r="C4218" s="342" t="s">
        <v>80</v>
      </c>
      <c r="D4218" s="342" t="s">
        <v>14303</v>
      </c>
      <c r="E4218" s="1185" t="s">
        <v>14304</v>
      </c>
      <c r="F4218" s="342" t="s">
        <v>3583</v>
      </c>
      <c r="G4218" s="118" t="str">
        <f t="array" ref="G4218">IF(TRIM(E4218)="","",IFERROR(TEXT(INDEX(TAT_HELPER!D:D,MATCH(TRIM(E4218),TRIM(TAT_HELPER!A:A),0)),"dd-mm-yyyy"),""))
</f>
        <v>08-08-2026</v>
      </c>
      <c r="H4218" s="645"/>
      <c r="I4218" s="306" t="s">
        <v>2890</v>
      </c>
      <c r="L4218" s="292" t="s">
        <v>2541</v>
      </c>
    </row>
    <row r="4219">
      <c r="A4219" s="999">
        <v>12.0</v>
      </c>
      <c r="B4219" s="1000" t="s">
        <v>14305</v>
      </c>
      <c r="C4219" s="342" t="s">
        <v>1185</v>
      </c>
      <c r="D4219" s="342" t="s">
        <v>14306</v>
      </c>
      <c r="E4219" s="1185" t="s">
        <v>14307</v>
      </c>
      <c r="F4219" s="342" t="s">
        <v>3583</v>
      </c>
      <c r="G4219" s="118" t="str">
        <f t="array" ref="G4219">IF(TRIM(E4219)="","",IFERROR(TEXT(INDEX(TAT_HELPER!D:D,MATCH(TRIM(E4219),TRIM(TAT_HELPER!A:A),0)),"dd-mm-yyyy"),""))
</f>
        <v>08-08-2026</v>
      </c>
      <c r="H4219" s="645"/>
      <c r="I4219" s="514" t="s">
        <v>10093</v>
      </c>
      <c r="L4219" s="292" t="s">
        <v>12198</v>
      </c>
    </row>
    <row r="4220">
      <c r="A4220" s="999">
        <v>13.0</v>
      </c>
      <c r="B4220" s="1080" t="s">
        <v>14308</v>
      </c>
      <c r="C4220" s="342" t="s">
        <v>80</v>
      </c>
      <c r="D4220" s="342" t="s">
        <v>14309</v>
      </c>
      <c r="E4220" s="999" t="s">
        <v>14310</v>
      </c>
      <c r="F4220" s="342" t="s">
        <v>1387</v>
      </c>
      <c r="G4220" s="118" t="str">
        <f t="array" ref="G4220">IF(TRIM(E4220)="","",IFERROR(TEXT(INDEX(TAT_HELPER!D:D,MATCH(TRIM(E4220),TRIM(TAT_HELPER!A:A),0)),"dd-mm-yyyy"),""))
</f>
        <v>11-08-2026</v>
      </c>
      <c r="H4220" s="645"/>
      <c r="I4220" s="514" t="s">
        <v>10093</v>
      </c>
      <c r="L4220" s="292" t="s">
        <v>4195</v>
      </c>
    </row>
    <row r="4221">
      <c r="A4221" s="999">
        <v>14.0</v>
      </c>
      <c r="B4221" s="1000" t="s">
        <v>14311</v>
      </c>
      <c r="C4221" s="342" t="s">
        <v>80</v>
      </c>
      <c r="D4221" s="342" t="s">
        <v>14312</v>
      </c>
      <c r="E4221" s="999" t="s">
        <v>14313</v>
      </c>
      <c r="F4221" s="342" t="s">
        <v>1959</v>
      </c>
      <c r="G4221" s="118" t="str">
        <f t="array" ref="G4221">IF(TRIM(E4221)="","",IFERROR(TEXT(INDEX(TAT_HELPER!D:D,MATCH(TRIM(E4221),TRIM(TAT_HELPER!A:A),0)),"dd-mm-yyyy"),""))
</f>
        <v>10-08-2026</v>
      </c>
      <c r="H4221" s="645"/>
      <c r="I4221" s="306" t="s">
        <v>2890</v>
      </c>
      <c r="L4221" s="292" t="s">
        <v>374</v>
      </c>
    </row>
    <row r="4222" hidden="1">
      <c r="A4222" s="999">
        <v>15.0</v>
      </c>
      <c r="B4222" s="1000" t="s">
        <v>14314</v>
      </c>
      <c r="C4222" s="342" t="s">
        <v>8495</v>
      </c>
      <c r="D4222" s="342" t="s">
        <v>14315</v>
      </c>
      <c r="E4222" s="999" t="s">
        <v>14316</v>
      </c>
      <c r="F4222" s="342" t="s">
        <v>2040</v>
      </c>
      <c r="G4222" s="118" t="str">
        <f t="array" ref="G4222">IF(TRIM(E4222)="","",IFERROR(TEXT(INDEX(TAT_HELPER!D:D,MATCH(TRIM(E4222),TRIM(TAT_HELPER!A:A),0)),"dd-mm-yyyy"),""))
</f>
        <v>30-12-1899</v>
      </c>
      <c r="H4222" s="645"/>
      <c r="I4222" s="514" t="s">
        <v>10093</v>
      </c>
      <c r="L4222" s="292" t="s">
        <v>51</v>
      </c>
      <c r="N4222" s="143" t="s">
        <v>13457</v>
      </c>
    </row>
    <row r="4223">
      <c r="A4223" s="999">
        <v>16.0</v>
      </c>
      <c r="B4223" s="1000" t="s">
        <v>14317</v>
      </c>
      <c r="C4223" s="342" t="s">
        <v>80</v>
      </c>
      <c r="D4223" s="342" t="s">
        <v>14318</v>
      </c>
      <c r="E4223" s="1075" t="s">
        <v>14319</v>
      </c>
      <c r="F4223" s="342" t="s">
        <v>9965</v>
      </c>
      <c r="G4223" s="118" t="str">
        <f t="array" ref="G4223">IF(TRIM(E4223)="","",IFERROR(TEXT(INDEX(TAT_HELPER!D:D,MATCH(TRIM(E4223),TRIM(TAT_HELPER!A:A),0)),"dd-mm-yyyy"),""))
</f>
        <v>11-08-2026</v>
      </c>
      <c r="H4223" s="645"/>
      <c r="I4223" s="485" t="s">
        <v>3465</v>
      </c>
      <c r="L4223" s="292" t="s">
        <v>51</v>
      </c>
    </row>
    <row r="4224">
      <c r="A4224" s="1175" t="s">
        <v>14320</v>
      </c>
      <c r="B4224" s="1176"/>
      <c r="C4224" s="1176"/>
      <c r="D4224" s="1176"/>
      <c r="E4224" s="1176"/>
      <c r="F4224" s="1176"/>
      <c r="G4224" s="118" t="str">
        <f t="array" ref="G4224">IF(TRIM(E4224)="","",IFERROR(TEXT(INDEX(TAT_HELPER!D:D,MATCH(TRIM(E4224),TRIM(TAT_HELPER!A:A),0)),"dd-mm-yyyy"),""))
</f>
        <v/>
      </c>
      <c r="H4224" s="645"/>
      <c r="I4224" s="275" t="s">
        <v>2890</v>
      </c>
      <c r="L4224" s="140"/>
    </row>
    <row r="4225">
      <c r="A4225" s="41" t="s">
        <v>47</v>
      </c>
      <c r="B4225" s="42" t="s">
        <v>7</v>
      </c>
      <c r="C4225" s="42" t="s">
        <v>56</v>
      </c>
      <c r="D4225" s="42" t="s">
        <v>58</v>
      </c>
      <c r="E4225" s="42" t="s">
        <v>30</v>
      </c>
      <c r="F4225" s="42" t="s">
        <v>12</v>
      </c>
      <c r="G4225" s="42" t="s">
        <v>33</v>
      </c>
      <c r="H4225" s="46" t="s">
        <v>34</v>
      </c>
      <c r="I4225" s="46"/>
      <c r="J4225" s="42" t="s">
        <v>67</v>
      </c>
      <c r="K4225" s="42" t="s">
        <v>16</v>
      </c>
      <c r="L4225" s="42" t="s">
        <v>14265</v>
      </c>
      <c r="M4225" s="42" t="s">
        <v>18</v>
      </c>
      <c r="N4225" s="42" t="s">
        <v>19</v>
      </c>
      <c r="O4225" s="42" t="s">
        <v>20</v>
      </c>
      <c r="P4225" s="48" t="s">
        <v>74</v>
      </c>
    </row>
    <row r="4226">
      <c r="A4226" s="128">
        <v>1.0</v>
      </c>
      <c r="B4226" s="342" t="s">
        <v>14321</v>
      </c>
      <c r="C4226" s="128" t="s">
        <v>80</v>
      </c>
      <c r="D4226" s="1031" t="s">
        <v>14322</v>
      </c>
      <c r="E4226" s="1219" t="s">
        <v>14323</v>
      </c>
      <c r="F4226" s="128" t="s">
        <v>2976</v>
      </c>
      <c r="G4226" s="118" t="str">
        <f t="array" ref="G4226">IF(TRIM(E4226)="","",IFERROR(TEXT(INDEX(TAT_HELPER!D:D,MATCH(TRIM(E4226),TRIM(TAT_HELPER!A:A),0)),"dd-mm-yyyy"),""))
</f>
        <v>09-08-2026</v>
      </c>
      <c r="I4226" s="275" t="s">
        <v>2890</v>
      </c>
      <c r="L4226" s="292" t="s">
        <v>51</v>
      </c>
    </row>
    <row r="4227">
      <c r="A4227" s="128">
        <v>2.0</v>
      </c>
      <c r="B4227" s="342" t="s">
        <v>14324</v>
      </c>
      <c r="C4227" s="128" t="s">
        <v>2307</v>
      </c>
      <c r="D4227" s="342" t="s">
        <v>14325</v>
      </c>
      <c r="E4227" s="1220" t="s">
        <v>14326</v>
      </c>
      <c r="F4227" s="128" t="s">
        <v>14327</v>
      </c>
      <c r="G4227" s="118" t="str">
        <f t="array" ref="G4227">IF(TRIM(E4227)="","",IFERROR(TEXT(INDEX(TAT_HELPER!D:D,MATCH(TRIM(E4227),TRIM(TAT_HELPER!A:A),0)),"dd-mm-yyyy"),""))
</f>
        <v>29-07-2026</v>
      </c>
      <c r="I4227" s="783" t="s">
        <v>10093</v>
      </c>
      <c r="L4227" s="292" t="s">
        <v>699</v>
      </c>
    </row>
    <row r="4228">
      <c r="A4228" s="128">
        <v>3.0</v>
      </c>
      <c r="B4228" s="342" t="s">
        <v>14328</v>
      </c>
      <c r="C4228" s="128" t="s">
        <v>2307</v>
      </c>
      <c r="D4228" s="342" t="s">
        <v>14329</v>
      </c>
      <c r="E4228" s="1220" t="s">
        <v>14330</v>
      </c>
      <c r="F4228" s="128" t="s">
        <v>3656</v>
      </c>
      <c r="G4228" s="118" t="str">
        <f t="array" ref="G4228">IF(TRIM(E4228)="","",IFERROR(TEXT(INDEX(TAT_HELPER!D:D,MATCH(TRIM(E4228),TRIM(TAT_HELPER!A:A),0)),"dd-mm-yyyy"),""))
</f>
        <v>01-08-2026</v>
      </c>
      <c r="I4228" s="275" t="s">
        <v>2890</v>
      </c>
      <c r="L4228" s="292" t="s">
        <v>699</v>
      </c>
    </row>
    <row r="4229">
      <c r="A4229" s="128">
        <v>4.0</v>
      </c>
      <c r="B4229" s="342" t="s">
        <v>14331</v>
      </c>
      <c r="C4229" s="128" t="s">
        <v>2403</v>
      </c>
      <c r="D4229" s="342" t="s">
        <v>14332</v>
      </c>
      <c r="E4229" s="1220" t="s">
        <v>14333</v>
      </c>
      <c r="F4229" s="128" t="s">
        <v>148</v>
      </c>
      <c r="G4229" s="118" t="str">
        <f t="array" ref="G4229">IF(TRIM(E4229)="","",IFERROR(TEXT(INDEX(TAT_HELPER!D:D,MATCH(TRIM(E4229),TRIM(TAT_HELPER!A:A),0)),"dd-mm-yyyy"),""))
</f>
        <v>02-08-2026</v>
      </c>
      <c r="I4229" s="275" t="s">
        <v>2890</v>
      </c>
      <c r="L4229" s="292" t="s">
        <v>699</v>
      </c>
    </row>
    <row r="4230">
      <c r="A4230" s="128">
        <v>5.0</v>
      </c>
      <c r="B4230" s="342" t="s">
        <v>14334</v>
      </c>
      <c r="C4230" s="128" t="s">
        <v>2307</v>
      </c>
      <c r="D4230" s="342" t="s">
        <v>14335</v>
      </c>
      <c r="E4230" s="1220" t="s">
        <v>14336</v>
      </c>
      <c r="F4230" s="128" t="s">
        <v>148</v>
      </c>
      <c r="G4230" s="118" t="str">
        <f t="array" ref="G4230">IF(TRIM(E4230)="","",IFERROR(TEXT(INDEX(TAT_HELPER!D:D,MATCH(TRIM(E4230),TRIM(TAT_HELPER!A:A),0)),"dd-mm-yyyy"),""))
</f>
        <v>02-08-2026</v>
      </c>
      <c r="I4230" s="783" t="s">
        <v>10093</v>
      </c>
      <c r="L4230" s="292" t="s">
        <v>699</v>
      </c>
    </row>
    <row r="4231">
      <c r="A4231" s="128">
        <v>6.0</v>
      </c>
      <c r="B4231" s="342" t="s">
        <v>14337</v>
      </c>
      <c r="C4231" s="128" t="s">
        <v>2307</v>
      </c>
      <c r="D4231" s="342" t="s">
        <v>14338</v>
      </c>
      <c r="E4231" s="1221" t="s">
        <v>14339</v>
      </c>
      <c r="F4231" s="128" t="s">
        <v>10577</v>
      </c>
      <c r="G4231" s="118" t="str">
        <f t="array" ref="G4231">IF(TRIM(E4231)="","",IFERROR(TEXT(INDEX(TAT_HELPER!D:D,MATCH(TRIM(E4231),TRIM(TAT_HELPER!A:A),0)),"dd-mm-yyyy"),""))
</f>
        <v>03-08-2026</v>
      </c>
      <c r="I4231" s="783" t="s">
        <v>11403</v>
      </c>
      <c r="L4231" s="292" t="s">
        <v>699</v>
      </c>
    </row>
    <row r="4232">
      <c r="A4232" s="128">
        <v>7.0</v>
      </c>
      <c r="B4232" s="342" t="s">
        <v>14340</v>
      </c>
      <c r="C4232" s="128" t="s">
        <v>2307</v>
      </c>
      <c r="D4232" s="342" t="s">
        <v>14341</v>
      </c>
      <c r="E4232" s="1221" t="s">
        <v>14342</v>
      </c>
      <c r="F4232" s="128" t="s">
        <v>10298</v>
      </c>
      <c r="G4232" s="118" t="str">
        <f t="array" ref="G4232">IF(TRIM(E4232)="","",IFERROR(TEXT(INDEX(TAT_HELPER!D:D,MATCH(TRIM(E4232),TRIM(TAT_HELPER!A:A),0)),"dd-mm-yyyy"),""))
</f>
        <v>03-08-2026</v>
      </c>
      <c r="I4232" s="783" t="s">
        <v>10093</v>
      </c>
      <c r="L4232" s="292" t="s">
        <v>699</v>
      </c>
    </row>
    <row r="4233">
      <c r="A4233" s="128">
        <v>8.0</v>
      </c>
      <c r="B4233" s="342" t="s">
        <v>14343</v>
      </c>
      <c r="C4233" s="128" t="s">
        <v>2307</v>
      </c>
      <c r="D4233" s="342" t="s">
        <v>14344</v>
      </c>
      <c r="E4233" s="1221" t="s">
        <v>14345</v>
      </c>
      <c r="F4233" s="128" t="s">
        <v>9955</v>
      </c>
      <c r="G4233" s="118" t="str">
        <f t="array" ref="G4233">IF(TRIM(E4233)="","",IFERROR(TEXT(INDEX(TAT_HELPER!D:D,MATCH(TRIM(E4233),TRIM(TAT_HELPER!A:A),0)),"dd-mm-yyyy"),""))
</f>
        <v>04-08-2026</v>
      </c>
      <c r="I4233" s="275" t="s">
        <v>2890</v>
      </c>
      <c r="L4233" s="292" t="s">
        <v>699</v>
      </c>
    </row>
    <row r="4234">
      <c r="A4234" s="128">
        <v>9.0</v>
      </c>
      <c r="B4234" s="342" t="s">
        <v>14346</v>
      </c>
      <c r="C4234" s="128" t="s">
        <v>2307</v>
      </c>
      <c r="D4234" s="342" t="s">
        <v>14347</v>
      </c>
      <c r="E4234" s="1221" t="s">
        <v>14348</v>
      </c>
      <c r="F4234" s="128" t="s">
        <v>3656</v>
      </c>
      <c r="G4234" s="118" t="str">
        <f t="array" ref="G4234">IF(TRIM(E4234)="","",IFERROR(TEXT(INDEX(TAT_HELPER!D:D,MATCH(TRIM(E4234),TRIM(TAT_HELPER!A:A),0)),"dd-mm-yyyy"),""))
</f>
        <v>05-08-2026</v>
      </c>
      <c r="I4234" s="783" t="s">
        <v>10093</v>
      </c>
      <c r="L4234" s="292" t="s">
        <v>699</v>
      </c>
    </row>
    <row r="4235">
      <c r="A4235" s="128">
        <v>10.0</v>
      </c>
      <c r="B4235" s="342" t="s">
        <v>14349</v>
      </c>
      <c r="C4235" s="128" t="s">
        <v>8495</v>
      </c>
      <c r="D4235" s="342" t="s">
        <v>14350</v>
      </c>
      <c r="E4235" s="1221" t="s">
        <v>14351</v>
      </c>
      <c r="F4235" s="128" t="s">
        <v>14352</v>
      </c>
      <c r="G4235" s="118" t="str">
        <f t="array" ref="G4235">IF(TRIM(E4235)="","",IFERROR(TEXT(INDEX(TAT_HELPER!D:D,MATCH(TRIM(E4235),TRIM(TAT_HELPER!A:A),0)),"dd-mm-yyyy"),""))
</f>
        <v>30-12-1899</v>
      </c>
      <c r="I4235" s="783" t="s">
        <v>10093</v>
      </c>
      <c r="L4235" s="292" t="s">
        <v>374</v>
      </c>
    </row>
    <row r="4236">
      <c r="A4236" s="128">
        <v>11.0</v>
      </c>
      <c r="B4236" s="342" t="s">
        <v>14353</v>
      </c>
      <c r="C4236" s="128" t="s">
        <v>80</v>
      </c>
      <c r="D4236" s="342" t="s">
        <v>14354</v>
      </c>
      <c r="E4236" s="1220" t="s">
        <v>14355</v>
      </c>
      <c r="F4236" s="128" t="s">
        <v>172</v>
      </c>
      <c r="G4236" s="118" t="str">
        <f t="array" ref="G4236">IF(TRIM(E4236)="","",IFERROR(TEXT(INDEX(TAT_HELPER!D:D,MATCH(TRIM(E4236),TRIM(TAT_HELPER!A:A),0)),"dd-mm-yyyy"),""))
</f>
        <v>11-08-2026</v>
      </c>
      <c r="I4236" s="783" t="s">
        <v>14356</v>
      </c>
      <c r="L4236" s="292" t="s">
        <v>51</v>
      </c>
    </row>
    <row r="4237">
      <c r="A4237" s="128">
        <v>12.0</v>
      </c>
      <c r="B4237" s="342" t="s">
        <v>14357</v>
      </c>
      <c r="C4237" s="128" t="s">
        <v>14358</v>
      </c>
      <c r="D4237" s="342" t="s">
        <v>14359</v>
      </c>
      <c r="E4237" s="1220" t="s">
        <v>14360</v>
      </c>
      <c r="F4237" s="128" t="s">
        <v>815</v>
      </c>
      <c r="G4237" s="118" t="str">
        <f t="array" ref="G4237">IF(TRIM(E4237)="","",IFERROR(TEXT(INDEX(TAT_HELPER!D:D,MATCH(TRIM(E4237),TRIM(TAT_HELPER!A:A),0)),"dd-mm-yyyy"),""))
</f>
        <v>12-08-2026</v>
      </c>
      <c r="I4237" s="540" t="s">
        <v>3465</v>
      </c>
      <c r="L4237" s="292" t="s">
        <v>4195</v>
      </c>
    </row>
    <row r="4238">
      <c r="A4238" s="128">
        <v>13.0</v>
      </c>
      <c r="B4238" s="342" t="s">
        <v>14361</v>
      </c>
      <c r="C4238" s="128" t="s">
        <v>80</v>
      </c>
      <c r="D4238" s="1031" t="s">
        <v>14362</v>
      </c>
      <c r="E4238" s="1222" t="s">
        <v>14363</v>
      </c>
      <c r="F4238" s="128" t="s">
        <v>1815</v>
      </c>
      <c r="G4238" s="118" t="str">
        <f t="array" ref="G4238">IF(TRIM(E4238)="","",IFERROR(TEXT(INDEX(TAT_HELPER!D:D,MATCH(TRIM(E4238),TRIM(TAT_HELPER!A:A),0)),"dd-mm-yyyy"),""))
</f>
        <v>11-08-2026</v>
      </c>
      <c r="I4238" s="275" t="s">
        <v>2890</v>
      </c>
      <c r="L4238" s="292" t="s">
        <v>4195</v>
      </c>
    </row>
    <row r="4239">
      <c r="A4239" s="128">
        <v>14.0</v>
      </c>
      <c r="B4239" s="342" t="s">
        <v>14364</v>
      </c>
      <c r="C4239" s="128" t="s">
        <v>80</v>
      </c>
      <c r="D4239" s="1031" t="s">
        <v>14365</v>
      </c>
      <c r="E4239" s="1222" t="s">
        <v>14366</v>
      </c>
      <c r="F4239" s="128" t="s">
        <v>1815</v>
      </c>
      <c r="G4239" s="118" t="str">
        <f t="array" ref="G4239">IF(TRIM(E4239)="","",IFERROR(TEXT(INDEX(TAT_HELPER!D:D,MATCH(TRIM(E4239),TRIM(TAT_HELPER!A:A),0)),"dd-mm-yyyy"),""))
</f>
        <v>11-08-2026</v>
      </c>
      <c r="I4239" s="275" t="s">
        <v>2890</v>
      </c>
      <c r="L4239" s="292" t="s">
        <v>4195</v>
      </c>
    </row>
    <row r="4240">
      <c r="A4240" s="128">
        <v>15.0</v>
      </c>
      <c r="B4240" s="342" t="s">
        <v>14367</v>
      </c>
      <c r="C4240" s="128" t="s">
        <v>80</v>
      </c>
      <c r="D4240" s="342" t="s">
        <v>14368</v>
      </c>
      <c r="E4240" s="1220" t="s">
        <v>14369</v>
      </c>
      <c r="F4240" s="128" t="s">
        <v>14370</v>
      </c>
      <c r="G4240" s="118" t="str">
        <f t="array" ref="G4240">IF(TRIM(E4240)="","",IFERROR(TEXT(INDEX(TAT_HELPER!D:D,MATCH(TRIM(E4240),TRIM(TAT_HELPER!A:A),0)),"dd-mm-yyyy"),""))
</f>
        <v>11-08-2026</v>
      </c>
      <c r="I4240" s="783" t="s">
        <v>10093</v>
      </c>
      <c r="L4240" s="292" t="s">
        <v>374</v>
      </c>
    </row>
    <row r="4241">
      <c r="A4241" s="128">
        <v>16.0</v>
      </c>
      <c r="B4241" s="342" t="s">
        <v>14371</v>
      </c>
      <c r="C4241" s="128" t="s">
        <v>6024</v>
      </c>
      <c r="D4241" s="342" t="s">
        <v>14372</v>
      </c>
      <c r="E4241" s="1220" t="s">
        <v>14373</v>
      </c>
      <c r="F4241" s="128" t="s">
        <v>1025</v>
      </c>
      <c r="G4241" s="118" t="str">
        <f t="array" ref="G4241">IF(TRIM(E4241)="","",IFERROR(TEXT(INDEX(TAT_HELPER!D:D,MATCH(TRIM(E4241),TRIM(TAT_HELPER!A:A),0)),"dd-mm-yyyy"),""))
</f>
        <v>12-08-2026</v>
      </c>
      <c r="I4241" s="275" t="s">
        <v>2890</v>
      </c>
      <c r="L4241" s="292" t="s">
        <v>51</v>
      </c>
    </row>
    <row r="4242">
      <c r="A4242" s="128">
        <v>17.0</v>
      </c>
      <c r="B4242" s="342" t="s">
        <v>14374</v>
      </c>
      <c r="C4242" s="128" t="s">
        <v>6024</v>
      </c>
      <c r="D4242" s="342" t="s">
        <v>14375</v>
      </c>
      <c r="E4242" s="1220" t="s">
        <v>14376</v>
      </c>
      <c r="F4242" s="128" t="s">
        <v>5436</v>
      </c>
      <c r="G4242" s="118" t="str">
        <f t="array" ref="G4242">IF(TRIM(E4242)="","",IFERROR(TEXT(INDEX(TAT_HELPER!D:D,MATCH(TRIM(E4242),TRIM(TAT_HELPER!A:A),0)),"dd-mm-yyyy"),""))
</f>
        <v>13-08-2026</v>
      </c>
      <c r="I4242" s="540" t="s">
        <v>3465</v>
      </c>
      <c r="L4242" s="292" t="s">
        <v>51</v>
      </c>
    </row>
    <row r="4243">
      <c r="A4243" s="128">
        <v>18.0</v>
      </c>
      <c r="B4243" s="342" t="s">
        <v>14377</v>
      </c>
      <c r="C4243" s="128" t="s">
        <v>1058</v>
      </c>
      <c r="D4243" s="1031" t="s">
        <v>14378</v>
      </c>
      <c r="E4243" s="1222" t="s">
        <v>14379</v>
      </c>
      <c r="F4243" s="128" t="s">
        <v>1370</v>
      </c>
      <c r="G4243" s="118" t="str">
        <f t="array" ref="G4243">IF(TRIM(E4243)="","",IFERROR(TEXT(INDEX(TAT_HELPER!D:D,MATCH(TRIM(E4243),TRIM(TAT_HELPER!A:A),0)),"dd-mm-yyyy"),""))
</f>
        <v>13-08-2026</v>
      </c>
      <c r="I4243" s="275" t="s">
        <v>2890</v>
      </c>
      <c r="L4243" s="292" t="s">
        <v>374</v>
      </c>
    </row>
    <row r="4244">
      <c r="A4244" s="128">
        <v>19.0</v>
      </c>
      <c r="B4244" s="342" t="s">
        <v>14380</v>
      </c>
      <c r="C4244" s="128" t="s">
        <v>1058</v>
      </c>
      <c r="D4244" s="1031" t="s">
        <v>14381</v>
      </c>
      <c r="E4244" s="1222" t="s">
        <v>14382</v>
      </c>
      <c r="F4244" s="128" t="s">
        <v>1370</v>
      </c>
      <c r="G4244" s="118" t="str">
        <f t="array" ref="G4244">IF(TRIM(E4244)="","",IFERROR(TEXT(INDEX(TAT_HELPER!D:D,MATCH(TRIM(E4244),TRIM(TAT_HELPER!A:A),0)),"dd-mm-yyyy"),""))
</f>
        <v>13-08-2026</v>
      </c>
      <c r="I4244" s="275" t="s">
        <v>2890</v>
      </c>
      <c r="L4244" s="292" t="s">
        <v>374</v>
      </c>
    </row>
    <row r="4245">
      <c r="A4245" s="128">
        <v>20.0</v>
      </c>
      <c r="B4245" s="342" t="s">
        <v>14383</v>
      </c>
      <c r="C4245" s="128" t="s">
        <v>80</v>
      </c>
      <c r="D4245" s="1031" t="s">
        <v>14384</v>
      </c>
      <c r="E4245" s="1222" t="s">
        <v>14385</v>
      </c>
      <c r="F4245" s="128" t="s">
        <v>14386</v>
      </c>
      <c r="G4245" s="118" t="str">
        <f t="array" ref="G4245">IF(TRIM(E4245)="","",IFERROR(TEXT(INDEX(TAT_HELPER!D:D,MATCH(TRIM(E4245),TRIM(TAT_HELPER!A:A),0)),"dd-mm-yyyy"),""))
</f>
        <v>13-08-2026</v>
      </c>
      <c r="I4245" s="275" t="s">
        <v>2890</v>
      </c>
      <c r="L4245" s="292" t="s">
        <v>699</v>
      </c>
    </row>
    <row r="4246">
      <c r="A4246" s="128">
        <v>21.0</v>
      </c>
      <c r="B4246" s="342" t="s">
        <v>14387</v>
      </c>
      <c r="C4246" s="128" t="s">
        <v>80</v>
      </c>
      <c r="D4246" s="1031" t="s">
        <v>14388</v>
      </c>
      <c r="E4246" s="1222" t="s">
        <v>14389</v>
      </c>
      <c r="F4246" s="128" t="s">
        <v>14386</v>
      </c>
      <c r="G4246" s="118" t="str">
        <f t="array" ref="G4246">IF(TRIM(E4246)="","",IFERROR(TEXT(INDEX(TAT_HELPER!D:D,MATCH(TRIM(E4246),TRIM(TAT_HELPER!A:A),0)),"dd-mm-yyyy"),""))
</f>
        <v>13-08-2026</v>
      </c>
      <c r="I4246" s="275" t="s">
        <v>2890</v>
      </c>
      <c r="L4246" s="292" t="s">
        <v>699</v>
      </c>
    </row>
    <row r="4247">
      <c r="A4247" s="128">
        <v>22.0</v>
      </c>
      <c r="B4247" s="342" t="s">
        <v>14390</v>
      </c>
      <c r="C4247" s="128" t="s">
        <v>80</v>
      </c>
      <c r="D4247" s="342" t="s">
        <v>14391</v>
      </c>
      <c r="E4247" s="1220" t="s">
        <v>14392</v>
      </c>
      <c r="F4247" s="128" t="s">
        <v>556</v>
      </c>
      <c r="G4247" s="118" t="str">
        <f t="array" ref="G4247">IF(TRIM(E4247)="","",IFERROR(TEXT(INDEX(TAT_HELPER!D:D,MATCH(TRIM(E4247),TRIM(TAT_HELPER!A:A),0)),"dd-mm-yyyy"),""))
</f>
        <v>09-08-2026</v>
      </c>
      <c r="I4247" s="275" t="s">
        <v>2890</v>
      </c>
      <c r="L4247" s="292" t="s">
        <v>374</v>
      </c>
    </row>
    <row r="4248">
      <c r="A4248" s="128">
        <v>23.0</v>
      </c>
      <c r="B4248" s="342" t="s">
        <v>14393</v>
      </c>
      <c r="C4248" s="128" t="s">
        <v>14358</v>
      </c>
      <c r="D4248" s="342" t="s">
        <v>14394</v>
      </c>
      <c r="E4248" s="1223" t="s">
        <v>14395</v>
      </c>
      <c r="F4248" s="128" t="s">
        <v>3583</v>
      </c>
      <c r="G4248" s="118" t="str">
        <f t="array" ref="G4248">IF(TRIM(E4248)="","",IFERROR(TEXT(INDEX(TAT_HELPER!D:D,MATCH(TRIM(E4248),TRIM(TAT_HELPER!A:A),0)),"dd-mm-yyyy"),""))
</f>
        <v>12-08-2026</v>
      </c>
      <c r="I4248" s="275" t="s">
        <v>2890</v>
      </c>
      <c r="L4248" s="292" t="s">
        <v>2541</v>
      </c>
    </row>
    <row r="4249">
      <c r="A4249" s="128">
        <v>24.0</v>
      </c>
      <c r="B4249" s="342" t="s">
        <v>14396</v>
      </c>
      <c r="C4249" s="128" t="s">
        <v>14358</v>
      </c>
      <c r="D4249" s="342" t="s">
        <v>14397</v>
      </c>
      <c r="E4249" s="1223" t="s">
        <v>14398</v>
      </c>
      <c r="F4249" s="128" t="s">
        <v>3583</v>
      </c>
      <c r="G4249" s="118" t="str">
        <f t="array" ref="G4249">IF(TRIM(E4249)="","",IFERROR(TEXT(INDEX(TAT_HELPER!D:D,MATCH(TRIM(E4249),TRIM(TAT_HELPER!A:A),0)),"dd-mm-yyyy"),""))
</f>
        <v>11-08-2026</v>
      </c>
      <c r="I4249" s="783" t="s">
        <v>13512</v>
      </c>
      <c r="L4249" s="292" t="s">
        <v>11863</v>
      </c>
    </row>
    <row r="4250">
      <c r="A4250" s="128">
        <v>25.0</v>
      </c>
      <c r="B4250" s="342" t="s">
        <v>14399</v>
      </c>
      <c r="C4250" s="128" t="s">
        <v>80</v>
      </c>
      <c r="D4250" s="342" t="s">
        <v>14400</v>
      </c>
      <c r="E4250" s="1223" t="s">
        <v>14401</v>
      </c>
      <c r="F4250" s="128" t="s">
        <v>3583</v>
      </c>
      <c r="G4250" s="118" t="str">
        <f t="array" ref="G4250">IF(TRIM(E4250)="","",IFERROR(TEXT(INDEX(TAT_HELPER!D:D,MATCH(TRIM(E4250),TRIM(TAT_HELPER!A:A),0)),"dd-mm-yyyy"),""))
</f>
        <v>11-08-2026</v>
      </c>
      <c r="I4250" s="783" t="s">
        <v>5895</v>
      </c>
      <c r="L4250" s="292" t="s">
        <v>2541</v>
      </c>
    </row>
    <row r="4251">
      <c r="A4251" s="128">
        <v>26.0</v>
      </c>
      <c r="B4251" s="342" t="s">
        <v>14402</v>
      </c>
      <c r="C4251" s="128" t="s">
        <v>80</v>
      </c>
      <c r="D4251" s="342" t="s">
        <v>14403</v>
      </c>
      <c r="E4251" s="1223" t="s">
        <v>14404</v>
      </c>
      <c r="F4251" s="128" t="s">
        <v>3928</v>
      </c>
      <c r="G4251" s="118" t="str">
        <f t="array" ref="G4251">IF(TRIM(E4251)="","",IFERROR(TEXT(INDEX(TAT_HELPER!D:D,MATCH(TRIM(E4251),TRIM(TAT_HELPER!A:A),0)),"dd-mm-yyyy"),""))
</f>
        <v>11-08-2026</v>
      </c>
      <c r="I4251" s="783" t="s">
        <v>10093</v>
      </c>
      <c r="L4251" s="292" t="s">
        <v>9469</v>
      </c>
    </row>
    <row r="4252">
      <c r="A4252" s="128">
        <v>27.0</v>
      </c>
      <c r="B4252" s="342" t="s">
        <v>14405</v>
      </c>
      <c r="C4252" s="128" t="s">
        <v>80</v>
      </c>
      <c r="D4252" s="342" t="s">
        <v>14406</v>
      </c>
      <c r="E4252" s="1223" t="s">
        <v>14407</v>
      </c>
      <c r="F4252" s="128" t="s">
        <v>3928</v>
      </c>
      <c r="G4252" s="118" t="str">
        <f t="array" ref="G4252">IF(TRIM(E4252)="","",IFERROR(TEXT(INDEX(TAT_HELPER!D:D,MATCH(TRIM(E4252),TRIM(TAT_HELPER!A:A),0)),"dd-mm-yyyy"),""))
</f>
        <v>11-08-2026</v>
      </c>
      <c r="I4252" s="275" t="s">
        <v>2890</v>
      </c>
      <c r="L4252" s="292" t="s">
        <v>9469</v>
      </c>
    </row>
    <row r="4253">
      <c r="A4253" s="128">
        <v>28.0</v>
      </c>
      <c r="B4253" s="342" t="s">
        <v>14408</v>
      </c>
      <c r="C4253" s="128" t="s">
        <v>80</v>
      </c>
      <c r="D4253" s="342" t="s">
        <v>14409</v>
      </c>
      <c r="E4253" s="1223" t="s">
        <v>14410</v>
      </c>
      <c r="F4253" s="128" t="s">
        <v>3928</v>
      </c>
      <c r="G4253" s="118" t="str">
        <f t="array" ref="G4253">IF(TRIM(E4253)="","",IFERROR(TEXT(INDEX(TAT_HELPER!D:D,MATCH(TRIM(E4253),TRIM(TAT_HELPER!A:A),0)),"dd-mm-yyyy"),""))
</f>
        <v>11-08-2026</v>
      </c>
      <c r="I4253" s="275" t="s">
        <v>2890</v>
      </c>
      <c r="L4253" s="292" t="s">
        <v>9469</v>
      </c>
    </row>
    <row r="4254">
      <c r="A4254" s="128">
        <v>29.0</v>
      </c>
      <c r="B4254" s="342" t="s">
        <v>14411</v>
      </c>
      <c r="C4254" s="128" t="s">
        <v>80</v>
      </c>
      <c r="D4254" s="342" t="s">
        <v>14412</v>
      </c>
      <c r="E4254" s="1223" t="s">
        <v>14413</v>
      </c>
      <c r="F4254" s="128" t="s">
        <v>3928</v>
      </c>
      <c r="G4254" s="118" t="str">
        <f t="array" ref="G4254">IF(TRIM(E4254)="","",IFERROR(TEXT(INDEX(TAT_HELPER!D:D,MATCH(TRIM(E4254),TRIM(TAT_HELPER!A:A),0)),"dd-mm-yyyy"),""))
</f>
        <v>11-08-2026</v>
      </c>
      <c r="I4254" s="275" t="s">
        <v>2890</v>
      </c>
      <c r="L4254" s="292" t="s">
        <v>9469</v>
      </c>
    </row>
    <row r="4255">
      <c r="A4255" s="128">
        <v>30.0</v>
      </c>
      <c r="B4255" s="342" t="s">
        <v>14414</v>
      </c>
      <c r="C4255" s="128" t="s">
        <v>6024</v>
      </c>
      <c r="D4255" s="342" t="s">
        <v>14415</v>
      </c>
      <c r="E4255" s="1221" t="s">
        <v>14416</v>
      </c>
      <c r="F4255" s="128" t="s">
        <v>4779</v>
      </c>
      <c r="G4255" s="118" t="str">
        <f t="array" ref="G4255">IF(TRIM(E4255)="","",IFERROR(TEXT(INDEX(TAT_HELPER!D:D,MATCH(TRIM(E4255),TRIM(TAT_HELPER!A:A),0)),"dd-mm-yyyy"),""))
</f>
        <v>14-08-2026</v>
      </c>
      <c r="I4255" s="275" t="s">
        <v>2890</v>
      </c>
      <c r="L4255" s="292" t="s">
        <v>51</v>
      </c>
    </row>
    <row r="4256">
      <c r="A4256" s="128">
        <v>31.0</v>
      </c>
      <c r="B4256" s="342" t="s">
        <v>14417</v>
      </c>
      <c r="C4256" s="128" t="s">
        <v>80</v>
      </c>
      <c r="D4256" s="1031" t="s">
        <v>14418</v>
      </c>
      <c r="E4256" s="1219" t="s">
        <v>14419</v>
      </c>
      <c r="F4256" s="128" t="s">
        <v>9068</v>
      </c>
      <c r="G4256" s="118" t="str">
        <f t="array" ref="G4256">IF(TRIM(E4256)="","",IFERROR(TEXT(INDEX(TAT_HELPER!D:D,MATCH(TRIM(E4256),TRIM(TAT_HELPER!A:A),0)),"dd-mm-yyyy"),""))
</f>
        <v>15-08-2026</v>
      </c>
      <c r="I4256" s="783" t="s">
        <v>10093</v>
      </c>
      <c r="L4256" s="292" t="s">
        <v>51</v>
      </c>
    </row>
    <row r="4257">
      <c r="A4257" s="128">
        <v>32.0</v>
      </c>
      <c r="B4257" s="342" t="s">
        <v>14420</v>
      </c>
      <c r="C4257" s="128" t="s">
        <v>80</v>
      </c>
      <c r="D4257" s="1031" t="s">
        <v>14421</v>
      </c>
      <c r="E4257" s="1219" t="s">
        <v>14422</v>
      </c>
      <c r="F4257" s="128" t="s">
        <v>9068</v>
      </c>
      <c r="G4257" s="118" t="str">
        <f t="array" ref="G4257">IF(TRIM(E4257)="","",IFERROR(TEXT(INDEX(TAT_HELPER!D:D,MATCH(TRIM(E4257),TRIM(TAT_HELPER!A:A),0)),"dd-mm-yyyy"),""))
</f>
        <v>15-08-2026</v>
      </c>
      <c r="I4257" s="275" t="s">
        <v>2890</v>
      </c>
      <c r="L4257" s="292" t="s">
        <v>51</v>
      </c>
    </row>
    <row r="4258">
      <c r="A4258" s="128">
        <v>33.0</v>
      </c>
      <c r="B4258" s="342" t="s">
        <v>14423</v>
      </c>
      <c r="C4258" s="128" t="s">
        <v>80</v>
      </c>
      <c r="D4258" s="1031" t="s">
        <v>14424</v>
      </c>
      <c r="E4258" s="1219" t="s">
        <v>14425</v>
      </c>
      <c r="F4258" s="128" t="s">
        <v>14426</v>
      </c>
      <c r="G4258" s="118" t="str">
        <f t="array" ref="G4258">IF(TRIM(E4258)="","",IFERROR(TEXT(INDEX(TAT_HELPER!D:D,MATCH(TRIM(E4258),TRIM(TAT_HELPER!A:A),0)),"dd-mm-yyyy"),""))
</f>
        <v>13-08-2026</v>
      </c>
      <c r="I4258" s="275" t="s">
        <v>2890</v>
      </c>
      <c r="L4258" s="292" t="s">
        <v>4195</v>
      </c>
    </row>
    <row r="4259">
      <c r="A4259" s="128">
        <v>34.0</v>
      </c>
      <c r="B4259" s="342" t="s">
        <v>14427</v>
      </c>
      <c r="C4259" s="128" t="s">
        <v>80</v>
      </c>
      <c r="D4259" s="1031" t="s">
        <v>14428</v>
      </c>
      <c r="E4259" s="1219" t="s">
        <v>14429</v>
      </c>
      <c r="F4259" s="128" t="s">
        <v>14426</v>
      </c>
      <c r="G4259" s="118" t="str">
        <f t="array" ref="G4259">IF(TRIM(E4259)="","",IFERROR(TEXT(INDEX(TAT_HELPER!D:D,MATCH(TRIM(E4259),TRIM(TAT_HELPER!A:A),0)),"dd-mm-yyyy"),""))
</f>
        <v>13-08-2026</v>
      </c>
      <c r="I4259" s="783" t="s">
        <v>10093</v>
      </c>
      <c r="L4259" s="292" t="s">
        <v>4195</v>
      </c>
    </row>
    <row r="4260">
      <c r="A4260" s="128">
        <v>35.0</v>
      </c>
      <c r="B4260" s="342" t="s">
        <v>14430</v>
      </c>
      <c r="C4260" s="128" t="s">
        <v>80</v>
      </c>
      <c r="D4260" s="1031" t="s">
        <v>14431</v>
      </c>
      <c r="E4260" s="1219" t="s">
        <v>14432</v>
      </c>
      <c r="F4260" s="128" t="s">
        <v>7169</v>
      </c>
      <c r="G4260" s="118" t="str">
        <f t="array" ref="G4260">IF(TRIM(E4260)="","",IFERROR(TEXT(INDEX(TAT_HELPER!D:D,MATCH(TRIM(E4260),TRIM(TAT_HELPER!A:A),0)),"dd-mm-yyyy"),""))
</f>
        <v>14-08-2026</v>
      </c>
      <c r="I4260" s="783" t="s">
        <v>10093</v>
      </c>
      <c r="L4260" s="292" t="s">
        <v>374</v>
      </c>
    </row>
    <row r="4261">
      <c r="A4261" s="128">
        <v>36.0</v>
      </c>
      <c r="B4261" s="342" t="s">
        <v>14433</v>
      </c>
      <c r="C4261" s="128" t="s">
        <v>80</v>
      </c>
      <c r="D4261" s="1031" t="s">
        <v>14434</v>
      </c>
      <c r="E4261" s="1219" t="s">
        <v>14435</v>
      </c>
      <c r="F4261" s="128" t="s">
        <v>7169</v>
      </c>
      <c r="G4261" s="118" t="str">
        <f t="array" ref="G4261">IF(TRIM(E4261)="","",IFERROR(TEXT(INDEX(TAT_HELPER!D:D,MATCH(TRIM(E4261),TRIM(TAT_HELPER!A:A),0)),"dd-mm-yyyy"),""))
</f>
        <v>14-08-2026</v>
      </c>
      <c r="I4261" s="275" t="s">
        <v>2890</v>
      </c>
      <c r="L4261" s="292" t="s">
        <v>374</v>
      </c>
    </row>
    <row r="4262">
      <c r="A4262" s="128">
        <v>37.0</v>
      </c>
      <c r="B4262" s="342" t="s">
        <v>14436</v>
      </c>
      <c r="C4262" s="128" t="s">
        <v>80</v>
      </c>
      <c r="D4262" s="1031" t="s">
        <v>14437</v>
      </c>
      <c r="E4262" s="1219" t="s">
        <v>14438</v>
      </c>
      <c r="F4262" s="128" t="s">
        <v>14439</v>
      </c>
      <c r="G4262" s="118" t="str">
        <f t="array" ref="G4262">IF(TRIM(E4262)="","",IFERROR(TEXT(INDEX(TAT_HELPER!D:D,MATCH(TRIM(E4262),TRIM(TAT_HELPER!A:A),0)),"dd-mm-yyyy"),""))
</f>
        <v>15-08-2026</v>
      </c>
      <c r="I4262" s="275" t="s">
        <v>2890</v>
      </c>
      <c r="L4262" s="292" t="s">
        <v>699</v>
      </c>
    </row>
    <row r="4263">
      <c r="A4263" s="128">
        <v>38.0</v>
      </c>
      <c r="B4263" s="342" t="s">
        <v>14440</v>
      </c>
      <c r="C4263" s="128" t="s">
        <v>80</v>
      </c>
      <c r="D4263" s="1031" t="s">
        <v>14441</v>
      </c>
      <c r="E4263" s="1219" t="s">
        <v>14442</v>
      </c>
      <c r="F4263" s="128" t="s">
        <v>14439</v>
      </c>
      <c r="G4263" s="118" t="str">
        <f t="array" ref="G4263">IF(TRIM(E4263)="","",IFERROR(TEXT(INDEX(TAT_HELPER!D:D,MATCH(TRIM(E4263),TRIM(TAT_HELPER!A:A),0)),"dd-mm-yyyy"),""))
</f>
        <v>15-08-2026</v>
      </c>
      <c r="I4263" s="275" t="s">
        <v>2890</v>
      </c>
      <c r="L4263" s="292" t="s">
        <v>699</v>
      </c>
    </row>
    <row r="4264">
      <c r="A4264" s="128">
        <v>39.0</v>
      </c>
      <c r="B4264" s="342" t="s">
        <v>14443</v>
      </c>
      <c r="C4264" s="128" t="s">
        <v>80</v>
      </c>
      <c r="D4264" s="342" t="s">
        <v>14444</v>
      </c>
      <c r="E4264" s="1221" t="s">
        <v>14445</v>
      </c>
      <c r="F4264" s="128" t="s">
        <v>9083</v>
      </c>
      <c r="G4264" s="118" t="str">
        <f t="array" ref="G4264">IF(TRIM(E4264)="","",IFERROR(TEXT(INDEX(TAT_HELPER!D:D,MATCH(TRIM(E4264),TRIM(TAT_HELPER!A:A),0)),"dd-mm-yyyy"),""))
</f>
        <v>15-08-2026</v>
      </c>
      <c r="I4264" s="275" t="s">
        <v>2890</v>
      </c>
      <c r="L4264" s="292" t="s">
        <v>4195</v>
      </c>
    </row>
    <row r="4265">
      <c r="A4265" s="128">
        <v>40.0</v>
      </c>
      <c r="B4265" s="342" t="s">
        <v>14446</v>
      </c>
      <c r="C4265" s="128" t="s">
        <v>80</v>
      </c>
      <c r="D4265" s="1031" t="s">
        <v>14447</v>
      </c>
      <c r="E4265" s="1219" t="s">
        <v>14448</v>
      </c>
      <c r="F4265" s="128" t="s">
        <v>14449</v>
      </c>
      <c r="G4265" s="118" t="str">
        <f t="array" ref="G4265">IF(TRIM(E4265)="","",IFERROR(TEXT(INDEX(TAT_HELPER!D:D,MATCH(TRIM(E4265),TRIM(TAT_HELPER!A:A),0)),"dd-mm-yyyy"),""))
</f>
        <v>15-08-2026</v>
      </c>
      <c r="I4265" s="275" t="s">
        <v>2890</v>
      </c>
      <c r="L4265" s="292" t="s">
        <v>51</v>
      </c>
    </row>
    <row r="4266">
      <c r="A4266" s="128">
        <v>41.0</v>
      </c>
      <c r="B4266" s="342" t="s">
        <v>14450</v>
      </c>
      <c r="C4266" s="128" t="s">
        <v>80</v>
      </c>
      <c r="D4266" s="1031" t="s">
        <v>14451</v>
      </c>
      <c r="E4266" s="1219" t="s">
        <v>14452</v>
      </c>
      <c r="F4266" s="128" t="s">
        <v>14449</v>
      </c>
      <c r="G4266" s="118" t="str">
        <f t="array" ref="G4266">IF(TRIM(E4266)="","",IFERROR(TEXT(INDEX(TAT_HELPER!D:D,MATCH(TRIM(E4266),TRIM(TAT_HELPER!A:A),0)),"dd-mm-yyyy"),""))
</f>
        <v>15-08-2026</v>
      </c>
      <c r="I4266" s="783" t="s">
        <v>10093</v>
      </c>
      <c r="L4266" s="292" t="s">
        <v>51</v>
      </c>
    </row>
    <row r="4267">
      <c r="A4267" s="128">
        <v>42.0</v>
      </c>
      <c r="B4267" s="342" t="s">
        <v>14453</v>
      </c>
      <c r="C4267" s="128" t="s">
        <v>80</v>
      </c>
      <c r="D4267" s="342" t="s">
        <v>14454</v>
      </c>
      <c r="E4267" s="1221" t="s">
        <v>14455</v>
      </c>
      <c r="F4267" s="128" t="s">
        <v>5229</v>
      </c>
      <c r="G4267" s="118" t="str">
        <f t="array" ref="G4267">IF(TRIM(E4267)="","",IFERROR(TEXT(INDEX(TAT_HELPER!D:D,MATCH(TRIM(E4267),TRIM(TAT_HELPER!A:A),0)),"dd-mm-yyyy"),""))
</f>
        <v>16-08-2026</v>
      </c>
      <c r="I4267" s="275" t="s">
        <v>2890</v>
      </c>
      <c r="L4267" s="292" t="s">
        <v>374</v>
      </c>
    </row>
    <row r="4268">
      <c r="A4268" s="128">
        <v>43.0</v>
      </c>
      <c r="B4268" s="342" t="s">
        <v>14456</v>
      </c>
      <c r="C4268" s="128" t="s">
        <v>80</v>
      </c>
      <c r="D4268" s="342" t="s">
        <v>14457</v>
      </c>
      <c r="E4268" s="1221" t="s">
        <v>14458</v>
      </c>
      <c r="F4268" s="128" t="s">
        <v>1557</v>
      </c>
      <c r="G4268" s="118" t="str">
        <f t="array" ref="G4268">IF(TRIM(E4268)="","",IFERROR(TEXT(INDEX(TAT_HELPER!D:D,MATCH(TRIM(E4268),TRIM(TAT_HELPER!A:A),0)),"dd-mm-yyyy"),""))
</f>
        <v>16-08-2026</v>
      </c>
      <c r="I4268" s="275" t="s">
        <v>2890</v>
      </c>
      <c r="L4268" s="292" t="s">
        <v>4884</v>
      </c>
    </row>
    <row r="4269">
      <c r="A4269" s="128">
        <v>44.0</v>
      </c>
      <c r="B4269" s="342" t="s">
        <v>14459</v>
      </c>
      <c r="C4269" s="128" t="s">
        <v>80</v>
      </c>
      <c r="D4269" s="1031" t="s">
        <v>14460</v>
      </c>
      <c r="E4269" s="1219" t="s">
        <v>14461</v>
      </c>
      <c r="F4269" s="128" t="s">
        <v>9068</v>
      </c>
      <c r="G4269" s="118" t="str">
        <f t="array" ref="G4269">IF(TRIM(E4269)="","",IFERROR(TEXT(INDEX(TAT_HELPER!D:D,MATCH(TRIM(E4269),TRIM(TAT_HELPER!A:A),0)),"dd-mm-yyyy"),""))
</f>
        <v>17-08-2026</v>
      </c>
      <c r="I4269" s="783" t="s">
        <v>10093</v>
      </c>
      <c r="L4269" s="292" t="s">
        <v>4195</v>
      </c>
    </row>
    <row r="4270">
      <c r="A4270" s="128">
        <v>45.0</v>
      </c>
      <c r="B4270" s="342" t="s">
        <v>14462</v>
      </c>
      <c r="C4270" s="128" t="s">
        <v>80</v>
      </c>
      <c r="D4270" s="342" t="s">
        <v>14463</v>
      </c>
      <c r="E4270" s="1221" t="s">
        <v>14464</v>
      </c>
      <c r="F4270" s="128" t="s">
        <v>556</v>
      </c>
      <c r="G4270" s="118" t="str">
        <f t="array" ref="G4270">IF(TRIM(E4270)="","",IFERROR(TEXT(INDEX(TAT_HELPER!D:D,MATCH(TRIM(E4270),TRIM(TAT_HELPER!A:A),0)),"dd-mm-yyyy"),""))
</f>
        <v>16-08-2026</v>
      </c>
      <c r="I4270" s="783" t="s">
        <v>10093</v>
      </c>
      <c r="L4270" s="292" t="s">
        <v>4195</v>
      </c>
    </row>
    <row r="4271">
      <c r="A4271" s="128">
        <v>46.0</v>
      </c>
      <c r="B4271" s="342" t="s">
        <v>14465</v>
      </c>
      <c r="C4271" s="128" t="s">
        <v>80</v>
      </c>
      <c r="D4271" s="342" t="s">
        <v>14466</v>
      </c>
      <c r="E4271" s="1221" t="s">
        <v>14467</v>
      </c>
      <c r="F4271" s="128" t="s">
        <v>25</v>
      </c>
      <c r="G4271" s="118" t="str">
        <f t="array" ref="G4271">IF(TRIM(E4271)="","",IFERROR(TEXT(INDEX(TAT_HELPER!D:D,MATCH(TRIM(E4271),TRIM(TAT_HELPER!A:A),0)),"dd-mm-yyyy"),""))
</f>
        <v>16-08-2026</v>
      </c>
      <c r="I4271" s="783" t="s">
        <v>3231</v>
      </c>
      <c r="L4271" s="292" t="s">
        <v>374</v>
      </c>
    </row>
    <row r="4272">
      <c r="A4272" s="128">
        <v>47.0</v>
      </c>
      <c r="B4272" s="342" t="s">
        <v>14468</v>
      </c>
      <c r="C4272" s="128" t="s">
        <v>80</v>
      </c>
      <c r="D4272" s="342" t="s">
        <v>14469</v>
      </c>
      <c r="E4272" s="1221" t="s">
        <v>14470</v>
      </c>
      <c r="F4272" s="128" t="s">
        <v>14471</v>
      </c>
      <c r="G4272" s="118" t="str">
        <f t="array" ref="G4272">IF(TRIM(E4272)="","",IFERROR(TEXT(INDEX(TAT_HELPER!D:D,MATCH(TRIM(E4272),TRIM(TAT_HELPER!A:A),0)),"dd-mm-yyyy"),""))
</f>
        <v>17-08-2026</v>
      </c>
      <c r="I4272" s="783" t="s">
        <v>10093</v>
      </c>
      <c r="L4272" s="292" t="s">
        <v>51</v>
      </c>
    </row>
    <row r="4273">
      <c r="A4273" s="128">
        <v>48.0</v>
      </c>
      <c r="B4273" s="342" t="s">
        <v>14472</v>
      </c>
      <c r="C4273" s="128" t="s">
        <v>80</v>
      </c>
      <c r="D4273" s="342" t="s">
        <v>14473</v>
      </c>
      <c r="E4273" s="1221" t="s">
        <v>14474</v>
      </c>
      <c r="F4273" s="128" t="s">
        <v>5436</v>
      </c>
      <c r="G4273" s="118" t="str">
        <f t="array" ref="G4273">IF(TRIM(E4273)="","",IFERROR(TEXT(INDEX(TAT_HELPER!D:D,MATCH(TRIM(E4273),TRIM(TAT_HELPER!A:A),0)),"dd-mm-yyyy"),""))
</f>
        <v>17-08-2026</v>
      </c>
      <c r="I4273" s="275" t="s">
        <v>2890</v>
      </c>
      <c r="L4273" s="292" t="s">
        <v>4195</v>
      </c>
    </row>
    <row r="4274">
      <c r="A4274" s="1175" t="s">
        <v>14475</v>
      </c>
      <c r="B4274" s="1176"/>
      <c r="C4274" s="1176"/>
      <c r="D4274" s="1176"/>
      <c r="E4274" s="1176"/>
      <c r="F4274" s="1176"/>
      <c r="G4274" s="645"/>
      <c r="H4274" s="645"/>
      <c r="I4274" s="355"/>
      <c r="L4274" s="140"/>
    </row>
    <row r="4275">
      <c r="A4275" s="670" t="s">
        <v>47</v>
      </c>
      <c r="B4275" s="670" t="s">
        <v>7</v>
      </c>
      <c r="C4275" s="670" t="s">
        <v>9</v>
      </c>
      <c r="D4275" s="670" t="s">
        <v>10</v>
      </c>
      <c r="E4275" s="670" t="s">
        <v>11</v>
      </c>
      <c r="F4275" s="670" t="s">
        <v>12</v>
      </c>
      <c r="G4275" s="118" t="str">
        <f t="array" ref="G4275">IF(TRIM(E4275)="","",IFERROR(TEXT(INDEX(TAT_HELPER!D:D,MATCH(TRIM(E4275),TRIM(TAT_HELPER!A:A),0)),"dd-mm-yyyy"),""))
</f>
        <v/>
      </c>
      <c r="H4275" s="670" t="s">
        <v>2681</v>
      </c>
      <c r="I4275" s="4" t="s">
        <v>2847</v>
      </c>
      <c r="J4275" s="8" t="s">
        <v>14</v>
      </c>
      <c r="K4275" s="9" t="s">
        <v>16</v>
      </c>
      <c r="L4275" s="9" t="s">
        <v>4330</v>
      </c>
      <c r="M4275" s="10" t="s">
        <v>14135</v>
      </c>
      <c r="N4275" s="9" t="s">
        <v>19</v>
      </c>
      <c r="O4275" s="9" t="s">
        <v>20</v>
      </c>
      <c r="P4275" s="9" t="s">
        <v>21</v>
      </c>
      <c r="Q4275" s="35"/>
      <c r="R4275" s="35"/>
      <c r="S4275" s="35"/>
      <c r="T4275" s="35"/>
      <c r="U4275" s="35"/>
      <c r="V4275" s="35"/>
      <c r="W4275" s="35"/>
      <c r="X4275" s="35"/>
      <c r="Y4275" s="35"/>
      <c r="Z4275" s="35"/>
      <c r="AA4275" s="35"/>
      <c r="AB4275" s="35"/>
      <c r="AC4275" s="35"/>
      <c r="AD4275" s="35"/>
      <c r="AE4275" s="35"/>
      <c r="AF4275" s="35"/>
    </row>
    <row r="4276">
      <c r="A4276" s="999">
        <v>1.0</v>
      </c>
      <c r="B4276" s="1000" t="s">
        <v>14476</v>
      </c>
      <c r="C4276" s="342" t="s">
        <v>80</v>
      </c>
      <c r="D4276" s="342" t="s">
        <v>14477</v>
      </c>
      <c r="E4276" s="1185" t="s">
        <v>14478</v>
      </c>
      <c r="F4276" s="342" t="s">
        <v>5809</v>
      </c>
      <c r="G4276" s="645"/>
      <c r="H4276" s="645"/>
      <c r="I4276" s="355"/>
      <c r="L4276" s="292" t="s">
        <v>699</v>
      </c>
    </row>
    <row r="4277">
      <c r="A4277" s="999">
        <v>2.0</v>
      </c>
      <c r="B4277" s="1000" t="s">
        <v>14479</v>
      </c>
      <c r="C4277" s="342" t="s">
        <v>80</v>
      </c>
      <c r="D4277" s="342" t="s">
        <v>14480</v>
      </c>
      <c r="E4277" s="1185" t="s">
        <v>14481</v>
      </c>
      <c r="F4277" s="342" t="s">
        <v>5809</v>
      </c>
      <c r="G4277" s="645"/>
      <c r="H4277" s="645"/>
      <c r="I4277" s="355"/>
      <c r="L4277" s="292" t="s">
        <v>699</v>
      </c>
    </row>
    <row r="4278">
      <c r="A4278" s="999">
        <v>3.0</v>
      </c>
      <c r="B4278" s="1000" t="s">
        <v>14482</v>
      </c>
      <c r="C4278" s="342" t="s">
        <v>80</v>
      </c>
      <c r="D4278" s="342" t="s">
        <v>14483</v>
      </c>
      <c r="E4278" s="1185" t="s">
        <v>14484</v>
      </c>
      <c r="F4278" s="342" t="s">
        <v>5809</v>
      </c>
      <c r="G4278" s="645"/>
      <c r="H4278" s="645"/>
      <c r="I4278" s="355"/>
      <c r="L4278" s="292" t="s">
        <v>699</v>
      </c>
    </row>
    <row r="4279">
      <c r="A4279" s="999">
        <v>4.0</v>
      </c>
      <c r="B4279" s="1000" t="s">
        <v>14485</v>
      </c>
      <c r="C4279" s="342" t="s">
        <v>80</v>
      </c>
      <c r="D4279" s="342" t="s">
        <v>14486</v>
      </c>
      <c r="E4279" s="1185" t="s">
        <v>14487</v>
      </c>
      <c r="F4279" s="342" t="s">
        <v>5809</v>
      </c>
      <c r="G4279" s="645"/>
      <c r="H4279" s="645"/>
      <c r="I4279" s="355"/>
      <c r="L4279" s="292" t="s">
        <v>699</v>
      </c>
    </row>
    <row r="4280">
      <c r="A4280" s="999">
        <v>5.0</v>
      </c>
      <c r="B4280" s="1000" t="s">
        <v>14488</v>
      </c>
      <c r="C4280" s="342" t="s">
        <v>80</v>
      </c>
      <c r="D4280" s="342" t="s">
        <v>14489</v>
      </c>
      <c r="E4280" s="1185" t="s">
        <v>14490</v>
      </c>
      <c r="F4280" s="342" t="s">
        <v>5809</v>
      </c>
      <c r="G4280" s="645"/>
      <c r="H4280" s="645"/>
      <c r="I4280" s="355"/>
      <c r="L4280" s="292" t="s">
        <v>699</v>
      </c>
    </row>
    <row r="4281">
      <c r="A4281" s="999">
        <v>6.0</v>
      </c>
      <c r="B4281" s="1000" t="s">
        <v>14491</v>
      </c>
      <c r="C4281" s="342" t="s">
        <v>80</v>
      </c>
      <c r="D4281" s="342" t="s">
        <v>14492</v>
      </c>
      <c r="E4281" s="1185" t="s">
        <v>14493</v>
      </c>
      <c r="F4281" s="342" t="s">
        <v>5809</v>
      </c>
      <c r="G4281" s="645"/>
      <c r="H4281" s="645"/>
      <c r="I4281" s="355"/>
      <c r="L4281" s="292" t="s">
        <v>699</v>
      </c>
    </row>
    <row r="4282">
      <c r="A4282" s="999">
        <v>7.0</v>
      </c>
      <c r="B4282" s="1000" t="s">
        <v>14494</v>
      </c>
      <c r="C4282" s="342" t="s">
        <v>80</v>
      </c>
      <c r="D4282" s="342" t="s">
        <v>14495</v>
      </c>
      <c r="E4282" s="1185" t="s">
        <v>14496</v>
      </c>
      <c r="F4282" s="342" t="s">
        <v>5809</v>
      </c>
      <c r="G4282" s="645"/>
      <c r="H4282" s="645"/>
      <c r="I4282" s="355"/>
      <c r="L4282" s="292" t="s">
        <v>699</v>
      </c>
    </row>
    <row r="4283">
      <c r="A4283" s="999">
        <v>8.0</v>
      </c>
      <c r="B4283" s="1000" t="s">
        <v>14497</v>
      </c>
      <c r="C4283" s="342" t="s">
        <v>80</v>
      </c>
      <c r="D4283" s="342" t="s">
        <v>14498</v>
      </c>
      <c r="E4283" s="1185" t="s">
        <v>14499</v>
      </c>
      <c r="F4283" s="342" t="s">
        <v>5809</v>
      </c>
      <c r="G4283" s="645"/>
      <c r="H4283" s="645"/>
      <c r="I4283" s="355"/>
      <c r="L4283" s="292" t="s">
        <v>699</v>
      </c>
    </row>
    <row r="4284">
      <c r="A4284" s="999">
        <v>9.0</v>
      </c>
      <c r="B4284" s="1000" t="s">
        <v>14500</v>
      </c>
      <c r="C4284" s="342" t="s">
        <v>80</v>
      </c>
      <c r="D4284" s="342" t="s">
        <v>14501</v>
      </c>
      <c r="E4284" s="1185" t="s">
        <v>14502</v>
      </c>
      <c r="F4284" s="342" t="s">
        <v>5809</v>
      </c>
      <c r="G4284" s="645"/>
      <c r="H4284" s="645"/>
      <c r="I4284" s="355"/>
      <c r="L4284" s="292" t="s">
        <v>699</v>
      </c>
    </row>
    <row r="4285">
      <c r="A4285" s="999">
        <v>10.0</v>
      </c>
      <c r="B4285" s="1000" t="s">
        <v>14503</v>
      </c>
      <c r="C4285" s="342" t="s">
        <v>80</v>
      </c>
      <c r="D4285" s="342" t="s">
        <v>14504</v>
      </c>
      <c r="E4285" s="1185" t="s">
        <v>14505</v>
      </c>
      <c r="F4285" s="342" t="s">
        <v>5809</v>
      </c>
      <c r="G4285" s="645"/>
      <c r="H4285" s="645"/>
      <c r="I4285" s="355"/>
      <c r="L4285" s="292" t="s">
        <v>699</v>
      </c>
    </row>
    <row r="4286">
      <c r="A4286" s="999">
        <v>11.0</v>
      </c>
      <c r="B4286" s="1000" t="s">
        <v>14506</v>
      </c>
      <c r="C4286" s="342" t="s">
        <v>80</v>
      </c>
      <c r="D4286" s="342" t="s">
        <v>14507</v>
      </c>
      <c r="E4286" s="1185" t="s">
        <v>14508</v>
      </c>
      <c r="F4286" s="342" t="s">
        <v>5809</v>
      </c>
      <c r="G4286" s="645"/>
      <c r="H4286" s="645"/>
      <c r="I4286" s="355"/>
      <c r="L4286" s="292" t="s">
        <v>699</v>
      </c>
    </row>
    <row r="4287">
      <c r="A4287" s="999">
        <v>12.0</v>
      </c>
      <c r="B4287" s="1000" t="s">
        <v>14509</v>
      </c>
      <c r="C4287" s="342" t="s">
        <v>80</v>
      </c>
      <c r="D4287" s="342" t="s">
        <v>14510</v>
      </c>
      <c r="E4287" s="1185" t="s">
        <v>14511</v>
      </c>
      <c r="F4287" s="342" t="s">
        <v>5809</v>
      </c>
      <c r="G4287" s="645"/>
      <c r="H4287" s="645"/>
      <c r="I4287" s="355"/>
      <c r="L4287" s="292" t="s">
        <v>699</v>
      </c>
    </row>
    <row r="4288">
      <c r="A4288" s="999">
        <v>13.0</v>
      </c>
      <c r="B4288" s="1000" t="s">
        <v>14512</v>
      </c>
      <c r="C4288" s="342" t="s">
        <v>80</v>
      </c>
      <c r="D4288" s="342" t="s">
        <v>14513</v>
      </c>
      <c r="E4288" s="1185" t="s">
        <v>14514</v>
      </c>
      <c r="F4288" s="342" t="s">
        <v>5809</v>
      </c>
      <c r="G4288" s="645"/>
      <c r="H4288" s="645"/>
      <c r="I4288" s="355"/>
      <c r="L4288" s="292" t="s">
        <v>699</v>
      </c>
    </row>
    <row r="4289">
      <c r="A4289" s="999">
        <v>14.0</v>
      </c>
      <c r="B4289" s="1000" t="s">
        <v>14515</v>
      </c>
      <c r="C4289" s="342" t="s">
        <v>14516</v>
      </c>
      <c r="D4289" s="342" t="s">
        <v>14517</v>
      </c>
      <c r="E4289" s="999" t="s">
        <v>14518</v>
      </c>
      <c r="F4289" s="342" t="s">
        <v>14519</v>
      </c>
      <c r="G4289" s="645"/>
      <c r="H4289" s="645"/>
      <c r="I4289" s="355"/>
      <c r="L4289" s="292" t="s">
        <v>374</v>
      </c>
    </row>
    <row r="4290">
      <c r="A4290" s="999">
        <v>15.0</v>
      </c>
      <c r="B4290" s="1000" t="s">
        <v>14520</v>
      </c>
      <c r="C4290" s="342" t="s">
        <v>80</v>
      </c>
      <c r="D4290" s="342" t="s">
        <v>14521</v>
      </c>
      <c r="E4290" s="999" t="s">
        <v>14522</v>
      </c>
      <c r="F4290" s="342" t="s">
        <v>14523</v>
      </c>
      <c r="G4290" s="645"/>
      <c r="H4290" s="645"/>
      <c r="I4290" s="355"/>
      <c r="L4290" s="292" t="s">
        <v>51</v>
      </c>
    </row>
    <row r="4291">
      <c r="A4291" s="999">
        <v>16.0</v>
      </c>
      <c r="B4291" s="1000" t="s">
        <v>14524</v>
      </c>
      <c r="C4291" s="342" t="s">
        <v>80</v>
      </c>
      <c r="D4291" s="342" t="s">
        <v>14525</v>
      </c>
      <c r="E4291" s="999" t="s">
        <v>14526</v>
      </c>
      <c r="F4291" s="342" t="s">
        <v>14527</v>
      </c>
      <c r="G4291" s="645"/>
      <c r="H4291" s="645"/>
      <c r="I4291" s="355"/>
      <c r="L4291" s="292" t="s">
        <v>4195</v>
      </c>
      <c r="N4291" s="143" t="s">
        <v>1025</v>
      </c>
    </row>
    <row r="4292">
      <c r="A4292" s="645"/>
      <c r="B4292" s="1224"/>
      <c r="C4292" s="1225"/>
      <c r="D4292" s="1226"/>
      <c r="E4292" s="1227"/>
      <c r="F4292" s="1225"/>
      <c r="G4292" s="645"/>
      <c r="H4292" s="645"/>
      <c r="I4292" s="355"/>
      <c r="L4292" s="140"/>
    </row>
    <row r="4293">
      <c r="A4293" s="645"/>
      <c r="B4293" s="1224"/>
      <c r="C4293" s="1225"/>
      <c r="D4293" s="1226"/>
      <c r="E4293" s="1227"/>
      <c r="F4293" s="1225"/>
      <c r="G4293" s="645"/>
      <c r="H4293" s="645"/>
      <c r="I4293" s="355"/>
      <c r="L4293" s="140"/>
    </row>
    <row r="4294">
      <c r="A4294" s="645"/>
      <c r="B4294" s="1224"/>
      <c r="C4294" s="1225"/>
      <c r="D4294" s="1226"/>
      <c r="E4294" s="1227"/>
      <c r="F4294" s="1225"/>
      <c r="G4294" s="645"/>
      <c r="H4294" s="645"/>
      <c r="I4294" s="355"/>
      <c r="L4294" s="140"/>
    </row>
    <row r="4295">
      <c r="A4295" s="645"/>
      <c r="B4295" s="1224"/>
      <c r="C4295" s="1225"/>
      <c r="D4295" s="1226"/>
      <c r="E4295" s="1227"/>
      <c r="F4295" s="1225"/>
      <c r="G4295" s="645"/>
      <c r="H4295" s="645"/>
      <c r="I4295" s="355"/>
      <c r="L4295" s="140"/>
    </row>
    <row r="4296">
      <c r="A4296" s="645"/>
      <c r="B4296" s="1224"/>
      <c r="C4296" s="1225"/>
      <c r="D4296" s="1226"/>
      <c r="E4296" s="1227"/>
      <c r="F4296" s="1225"/>
      <c r="G4296" s="645"/>
      <c r="H4296" s="645"/>
      <c r="I4296" s="355"/>
      <c r="L4296" s="140"/>
    </row>
    <row r="4297">
      <c r="A4297" s="645"/>
      <c r="B4297" s="1224"/>
      <c r="C4297" s="1225"/>
      <c r="D4297" s="1226"/>
      <c r="E4297" s="1227"/>
      <c r="F4297" s="1225"/>
      <c r="G4297" s="645"/>
      <c r="H4297" s="645"/>
      <c r="I4297" s="355"/>
      <c r="L4297" s="140"/>
    </row>
    <row r="4298">
      <c r="A4298" s="645"/>
      <c r="B4298" s="1224"/>
      <c r="C4298" s="1225"/>
      <c r="D4298" s="1226"/>
      <c r="E4298" s="1227"/>
      <c r="F4298" s="1225"/>
      <c r="G4298" s="645"/>
      <c r="H4298" s="645"/>
      <c r="I4298" s="355"/>
      <c r="L4298" s="140"/>
    </row>
    <row r="4299">
      <c r="A4299" s="645"/>
      <c r="B4299" s="1224"/>
      <c r="C4299" s="1225"/>
      <c r="D4299" s="1226"/>
      <c r="E4299" s="1227"/>
      <c r="F4299" s="1225"/>
      <c r="G4299" s="645"/>
      <c r="H4299" s="645"/>
      <c r="I4299" s="355"/>
      <c r="L4299" s="140"/>
    </row>
    <row r="4300">
      <c r="A4300" s="645"/>
      <c r="B4300" s="1224"/>
      <c r="C4300" s="1225"/>
      <c r="D4300" s="1226"/>
      <c r="E4300" s="1227"/>
      <c r="F4300" s="1225"/>
      <c r="G4300" s="645"/>
      <c r="H4300" s="645"/>
      <c r="I4300" s="355"/>
      <c r="L4300" s="140"/>
    </row>
    <row r="4301">
      <c r="A4301" s="645"/>
      <c r="B4301" s="1224"/>
      <c r="C4301" s="1225"/>
      <c r="D4301" s="1226"/>
      <c r="E4301" s="1227"/>
      <c r="F4301" s="1225"/>
      <c r="G4301" s="645"/>
      <c r="H4301" s="645"/>
      <c r="I4301" s="355"/>
      <c r="L4301" s="140"/>
    </row>
    <row r="4302">
      <c r="A4302" s="645"/>
      <c r="B4302" s="1224"/>
      <c r="C4302" s="1225"/>
      <c r="D4302" s="1226"/>
      <c r="E4302" s="1227"/>
      <c r="F4302" s="1225"/>
      <c r="G4302" s="645"/>
      <c r="H4302" s="645"/>
      <c r="I4302" s="355"/>
      <c r="L4302" s="140"/>
    </row>
    <row r="4303">
      <c r="A4303" s="645"/>
      <c r="B4303" s="1224"/>
      <c r="C4303" s="1225"/>
      <c r="D4303" s="1226"/>
      <c r="E4303" s="1227"/>
      <c r="F4303" s="1225"/>
      <c r="G4303" s="645"/>
      <c r="H4303" s="645"/>
      <c r="I4303" s="355"/>
      <c r="L4303" s="140"/>
    </row>
    <row r="4304">
      <c r="A4304" s="645"/>
      <c r="B4304" s="1224"/>
      <c r="C4304" s="1225"/>
      <c r="D4304" s="1226"/>
      <c r="E4304" s="1227"/>
      <c r="F4304" s="1225"/>
      <c r="G4304" s="645"/>
      <c r="H4304" s="645"/>
      <c r="I4304" s="355"/>
      <c r="L4304" s="140"/>
    </row>
    <row r="4305">
      <c r="A4305" s="645"/>
      <c r="B4305" s="1224"/>
      <c r="C4305" s="1225"/>
      <c r="D4305" s="1226"/>
      <c r="E4305" s="1227"/>
      <c r="F4305" s="1225"/>
      <c r="G4305" s="645"/>
      <c r="H4305" s="645"/>
      <c r="I4305" s="355"/>
      <c r="L4305" s="140"/>
    </row>
    <row r="4306">
      <c r="A4306" s="645"/>
      <c r="B4306" s="1224"/>
      <c r="C4306" s="1225"/>
      <c r="D4306" s="1226"/>
      <c r="E4306" s="1227"/>
      <c r="F4306" s="1225"/>
      <c r="G4306" s="645"/>
      <c r="H4306" s="645"/>
      <c r="I4306" s="355"/>
      <c r="L4306" s="140"/>
    </row>
    <row r="4307">
      <c r="A4307" s="645"/>
      <c r="B4307" s="1224"/>
      <c r="C4307" s="1225"/>
      <c r="D4307" s="1226"/>
      <c r="E4307" s="1227"/>
      <c r="F4307" s="1225"/>
      <c r="G4307" s="645"/>
      <c r="H4307" s="645"/>
      <c r="I4307" s="355"/>
      <c r="L4307" s="140"/>
    </row>
    <row r="4308">
      <c r="A4308" s="645"/>
      <c r="B4308" s="1224"/>
      <c r="C4308" s="1225"/>
      <c r="D4308" s="1226"/>
      <c r="E4308" s="1227"/>
      <c r="F4308" s="1225"/>
      <c r="G4308" s="645"/>
      <c r="H4308" s="645"/>
      <c r="I4308" s="355"/>
      <c r="L4308" s="140"/>
    </row>
    <row r="4309">
      <c r="A4309" s="645"/>
      <c r="B4309" s="1224"/>
      <c r="C4309" s="1225"/>
      <c r="D4309" s="1226"/>
      <c r="E4309" s="1227"/>
      <c r="F4309" s="1225"/>
      <c r="G4309" s="645"/>
      <c r="H4309" s="645"/>
      <c r="I4309" s="355"/>
      <c r="L4309" s="140"/>
    </row>
    <row r="4310">
      <c r="A4310" s="645"/>
      <c r="B4310" s="1224"/>
      <c r="C4310" s="1225"/>
      <c r="D4310" s="1226"/>
      <c r="E4310" s="1227"/>
      <c r="F4310" s="1225"/>
      <c r="G4310" s="645"/>
      <c r="H4310" s="645"/>
      <c r="I4310" s="355"/>
      <c r="L4310" s="140"/>
    </row>
    <row r="4311">
      <c r="A4311" s="645"/>
      <c r="B4311" s="1224"/>
      <c r="C4311" s="1225"/>
      <c r="D4311" s="1226"/>
      <c r="E4311" s="1227"/>
      <c r="F4311" s="1225"/>
      <c r="G4311" s="645"/>
      <c r="H4311" s="645"/>
      <c r="I4311" s="355"/>
      <c r="L4311" s="140"/>
    </row>
    <row r="4312">
      <c r="A4312" s="645"/>
      <c r="B4312" s="1224"/>
      <c r="C4312" s="1225"/>
      <c r="D4312" s="1226"/>
      <c r="E4312" s="1227"/>
      <c r="F4312" s="1225"/>
      <c r="G4312" s="645"/>
      <c r="H4312" s="645"/>
      <c r="I4312" s="355"/>
      <c r="L4312" s="140"/>
    </row>
    <row r="4313">
      <c r="A4313" s="645"/>
      <c r="B4313" s="1224"/>
      <c r="C4313" s="1225"/>
      <c r="D4313" s="1226"/>
      <c r="E4313" s="1227"/>
      <c r="F4313" s="1225"/>
      <c r="G4313" s="645"/>
      <c r="H4313" s="645"/>
      <c r="I4313" s="355"/>
      <c r="L4313" s="140"/>
    </row>
    <row r="4314">
      <c r="A4314" s="645"/>
      <c r="B4314" s="1224"/>
      <c r="C4314" s="1225"/>
      <c r="D4314" s="1226"/>
      <c r="E4314" s="1227"/>
      <c r="F4314" s="1225"/>
      <c r="G4314" s="645"/>
      <c r="H4314" s="645"/>
      <c r="I4314" s="355"/>
      <c r="L4314" s="140"/>
    </row>
    <row r="4315">
      <c r="A4315" s="645"/>
      <c r="B4315" s="1224"/>
      <c r="C4315" s="1225"/>
      <c r="D4315" s="1226"/>
      <c r="E4315" s="1227"/>
      <c r="F4315" s="1225"/>
      <c r="G4315" s="645"/>
      <c r="H4315" s="645"/>
      <c r="I4315" s="355"/>
      <c r="L4315" s="140"/>
    </row>
    <row r="4316">
      <c r="A4316" s="645"/>
      <c r="B4316" s="1224"/>
      <c r="C4316" s="1225"/>
      <c r="D4316" s="1226"/>
      <c r="E4316" s="1227"/>
      <c r="F4316" s="1225"/>
      <c r="G4316" s="645"/>
      <c r="H4316" s="645"/>
      <c r="I4316" s="355"/>
      <c r="L4316" s="140"/>
    </row>
    <row r="4317">
      <c r="A4317" s="645"/>
      <c r="B4317" s="1224"/>
      <c r="C4317" s="1225"/>
      <c r="D4317" s="1226"/>
      <c r="E4317" s="1227"/>
      <c r="F4317" s="1225"/>
      <c r="G4317" s="645"/>
      <c r="H4317" s="645"/>
      <c r="I4317" s="355"/>
      <c r="L4317" s="140"/>
    </row>
    <row r="4318">
      <c r="A4318" s="645"/>
      <c r="B4318" s="1224"/>
      <c r="C4318" s="1225"/>
      <c r="D4318" s="1226"/>
      <c r="E4318" s="1227"/>
      <c r="F4318" s="1225"/>
      <c r="G4318" s="645"/>
      <c r="H4318" s="645"/>
      <c r="I4318" s="355"/>
      <c r="L4318" s="140"/>
    </row>
    <row r="4319">
      <c r="A4319" s="645"/>
      <c r="B4319" s="1224"/>
      <c r="C4319" s="1225"/>
      <c r="D4319" s="1226"/>
      <c r="E4319" s="1227"/>
      <c r="F4319" s="1225"/>
      <c r="G4319" s="645"/>
      <c r="H4319" s="645"/>
      <c r="I4319" s="355"/>
      <c r="L4319" s="140"/>
    </row>
    <row r="4320">
      <c r="A4320" s="645"/>
      <c r="B4320" s="1224"/>
      <c r="C4320" s="1225"/>
      <c r="D4320" s="1226"/>
      <c r="E4320" s="1227"/>
      <c r="F4320" s="1225"/>
      <c r="G4320" s="645"/>
      <c r="H4320" s="645"/>
      <c r="I4320" s="355"/>
      <c r="L4320" s="140"/>
    </row>
    <row r="4321">
      <c r="A4321" s="645"/>
      <c r="B4321" s="1224"/>
      <c r="C4321" s="1225"/>
      <c r="D4321" s="1226"/>
      <c r="E4321" s="1227"/>
      <c r="F4321" s="1225"/>
      <c r="G4321" s="645"/>
      <c r="H4321" s="645"/>
      <c r="I4321" s="355"/>
      <c r="L4321" s="140"/>
    </row>
    <row r="4322">
      <c r="A4322" s="645"/>
      <c r="B4322" s="1224"/>
      <c r="C4322" s="1225"/>
      <c r="D4322" s="1226"/>
      <c r="E4322" s="1227"/>
      <c r="F4322" s="1225"/>
      <c r="G4322" s="645"/>
      <c r="H4322" s="645"/>
      <c r="I4322" s="355"/>
      <c r="L4322" s="140"/>
    </row>
    <row r="4323">
      <c r="A4323" s="645"/>
      <c r="B4323" s="1224"/>
      <c r="C4323" s="1225"/>
      <c r="D4323" s="1226"/>
      <c r="E4323" s="1227"/>
      <c r="F4323" s="1225"/>
      <c r="G4323" s="645"/>
      <c r="H4323" s="645"/>
      <c r="I4323" s="355"/>
      <c r="L4323" s="140"/>
    </row>
    <row r="4324">
      <c r="A4324" s="645"/>
      <c r="B4324" s="1224"/>
      <c r="C4324" s="1225"/>
      <c r="D4324" s="1226"/>
      <c r="E4324" s="1227"/>
      <c r="F4324" s="1225"/>
      <c r="G4324" s="645"/>
      <c r="H4324" s="645"/>
      <c r="I4324" s="355"/>
      <c r="L4324" s="140"/>
    </row>
    <row r="4325">
      <c r="A4325" s="645"/>
      <c r="B4325" s="1224"/>
      <c r="C4325" s="1225"/>
      <c r="D4325" s="1226"/>
      <c r="E4325" s="1227"/>
      <c r="F4325" s="1225"/>
      <c r="G4325" s="645"/>
      <c r="H4325" s="645"/>
      <c r="I4325" s="355"/>
      <c r="L4325" s="140"/>
    </row>
    <row r="4326">
      <c r="A4326" s="645"/>
      <c r="B4326" s="1224"/>
      <c r="C4326" s="1225"/>
      <c r="D4326" s="1226"/>
      <c r="E4326" s="1227"/>
      <c r="F4326" s="1225"/>
      <c r="G4326" s="645"/>
      <c r="H4326" s="645"/>
      <c r="I4326" s="355"/>
      <c r="L4326" s="140"/>
    </row>
    <row r="4327">
      <c r="A4327" s="645"/>
      <c r="B4327" s="1224"/>
      <c r="C4327" s="1225"/>
      <c r="D4327" s="1226"/>
      <c r="E4327" s="1227"/>
      <c r="F4327" s="1225"/>
      <c r="G4327" s="645"/>
      <c r="H4327" s="645"/>
      <c r="I4327" s="355"/>
      <c r="L4327" s="140"/>
    </row>
    <row r="4328">
      <c r="A4328" s="645"/>
      <c r="B4328" s="1224"/>
      <c r="C4328" s="1225"/>
      <c r="D4328" s="1226"/>
      <c r="E4328" s="1227"/>
      <c r="F4328" s="1225"/>
      <c r="G4328" s="645"/>
      <c r="H4328" s="645"/>
      <c r="I4328" s="355"/>
      <c r="L4328" s="140"/>
    </row>
    <row r="4329">
      <c r="A4329" s="645"/>
      <c r="B4329" s="1224"/>
      <c r="C4329" s="1225"/>
      <c r="D4329" s="1226"/>
      <c r="E4329" s="1227"/>
      <c r="F4329" s="1225"/>
      <c r="G4329" s="645"/>
      <c r="H4329" s="645"/>
      <c r="I4329" s="355"/>
      <c r="L4329" s="140"/>
    </row>
    <row r="4330">
      <c r="A4330" s="645"/>
      <c r="B4330" s="1224"/>
      <c r="C4330" s="1225"/>
      <c r="D4330" s="1226"/>
      <c r="E4330" s="1227"/>
      <c r="F4330" s="1225"/>
      <c r="G4330" s="645"/>
      <c r="H4330" s="645"/>
      <c r="I4330" s="355"/>
      <c r="L4330" s="140"/>
    </row>
    <row r="4331">
      <c r="A4331" s="645"/>
      <c r="B4331" s="1224"/>
      <c r="C4331" s="1225"/>
      <c r="D4331" s="1226"/>
      <c r="E4331" s="1227"/>
      <c r="F4331" s="1225"/>
      <c r="G4331" s="645"/>
      <c r="H4331" s="645"/>
      <c r="I4331" s="355"/>
      <c r="L4331" s="140"/>
    </row>
    <row r="4332">
      <c r="A4332" s="645"/>
      <c r="B4332" s="1224"/>
      <c r="C4332" s="1225"/>
      <c r="D4332" s="1226"/>
      <c r="E4332" s="1227"/>
      <c r="F4332" s="1225"/>
      <c r="G4332" s="645"/>
      <c r="H4332" s="645"/>
      <c r="I4332" s="355"/>
      <c r="L4332" s="140"/>
    </row>
    <row r="4333">
      <c r="A4333" s="645"/>
      <c r="B4333" s="1224"/>
      <c r="C4333" s="1225"/>
      <c r="D4333" s="1226"/>
      <c r="E4333" s="1227"/>
      <c r="F4333" s="1225"/>
      <c r="G4333" s="645"/>
      <c r="H4333" s="645"/>
      <c r="I4333" s="355"/>
      <c r="L4333" s="140"/>
    </row>
    <row r="4334">
      <c r="A4334" s="645"/>
      <c r="B4334" s="1224"/>
      <c r="C4334" s="1225"/>
      <c r="D4334" s="1226"/>
      <c r="E4334" s="1227"/>
      <c r="F4334" s="1225"/>
      <c r="G4334" s="645"/>
      <c r="H4334" s="645"/>
      <c r="I4334" s="355"/>
      <c r="L4334" s="140"/>
    </row>
    <row r="4335">
      <c r="A4335" s="645"/>
      <c r="B4335" s="1224"/>
      <c r="C4335" s="1225"/>
      <c r="D4335" s="1226"/>
      <c r="E4335" s="1227"/>
      <c r="F4335" s="1225"/>
      <c r="G4335" s="645"/>
      <c r="H4335" s="645"/>
      <c r="I4335" s="355"/>
      <c r="L4335" s="140"/>
    </row>
    <row r="4336">
      <c r="A4336" s="645"/>
      <c r="B4336" s="1224"/>
      <c r="C4336" s="1225"/>
      <c r="D4336" s="1226"/>
      <c r="E4336" s="1227"/>
      <c r="F4336" s="1225"/>
      <c r="G4336" s="645"/>
      <c r="H4336" s="645"/>
      <c r="I4336" s="355"/>
      <c r="L4336" s="140"/>
    </row>
    <row r="4337">
      <c r="A4337" s="645"/>
      <c r="B4337" s="1224"/>
      <c r="C4337" s="1225"/>
      <c r="D4337" s="1226"/>
      <c r="E4337" s="1227"/>
      <c r="F4337" s="1225"/>
      <c r="G4337" s="645"/>
      <c r="H4337" s="645"/>
      <c r="I4337" s="355"/>
      <c r="L4337" s="140"/>
    </row>
    <row r="4338">
      <c r="A4338" s="645"/>
      <c r="B4338" s="1224"/>
      <c r="C4338" s="1225"/>
      <c r="D4338" s="1226"/>
      <c r="E4338" s="1227"/>
      <c r="F4338" s="1225"/>
      <c r="G4338" s="645"/>
      <c r="H4338" s="645"/>
      <c r="I4338" s="355"/>
      <c r="L4338" s="140"/>
    </row>
    <row r="4339">
      <c r="A4339" s="645"/>
      <c r="B4339" s="1224"/>
      <c r="C4339" s="1225"/>
      <c r="D4339" s="1226"/>
      <c r="E4339" s="1227"/>
      <c r="F4339" s="1225"/>
      <c r="G4339" s="645"/>
      <c r="H4339" s="645"/>
      <c r="I4339" s="355"/>
      <c r="L4339" s="140"/>
    </row>
    <row r="4340">
      <c r="A4340" s="645"/>
      <c r="B4340" s="1224"/>
      <c r="C4340" s="1225"/>
      <c r="D4340" s="1226"/>
      <c r="E4340" s="1227"/>
      <c r="F4340" s="1225"/>
      <c r="G4340" s="645"/>
      <c r="H4340" s="645"/>
      <c r="I4340" s="355"/>
      <c r="L4340" s="140"/>
    </row>
    <row r="4341">
      <c r="A4341" s="645"/>
      <c r="B4341" s="1224"/>
      <c r="C4341" s="1225"/>
      <c r="D4341" s="1226"/>
      <c r="E4341" s="1227"/>
      <c r="F4341" s="1225"/>
      <c r="G4341" s="645"/>
      <c r="H4341" s="645"/>
      <c r="I4341" s="355"/>
      <c r="L4341" s="140"/>
    </row>
    <row r="4342">
      <c r="A4342" s="645"/>
      <c r="B4342" s="1224"/>
      <c r="C4342" s="1225"/>
      <c r="D4342" s="1226"/>
      <c r="E4342" s="1227"/>
      <c r="F4342" s="1225"/>
      <c r="G4342" s="645"/>
      <c r="H4342" s="645"/>
      <c r="I4342" s="355"/>
      <c r="L4342" s="140"/>
    </row>
    <row r="4343">
      <c r="A4343" s="645"/>
      <c r="B4343" s="1224"/>
      <c r="C4343" s="1225"/>
      <c r="D4343" s="1226"/>
      <c r="E4343" s="1227"/>
      <c r="F4343" s="1225"/>
      <c r="G4343" s="645"/>
      <c r="H4343" s="645"/>
      <c r="I4343" s="355"/>
      <c r="L4343" s="140"/>
    </row>
    <row r="4344">
      <c r="A4344" s="645"/>
      <c r="B4344" s="1224"/>
      <c r="C4344" s="1225"/>
      <c r="D4344" s="1226"/>
      <c r="E4344" s="1227"/>
      <c r="F4344" s="1225"/>
      <c r="G4344" s="645"/>
      <c r="H4344" s="645"/>
      <c r="I4344" s="355"/>
      <c r="L4344" s="140"/>
    </row>
    <row r="4345">
      <c r="A4345" s="645"/>
      <c r="B4345" s="1224"/>
      <c r="C4345" s="1225"/>
      <c r="D4345" s="1226"/>
      <c r="E4345" s="1227"/>
      <c r="F4345" s="1225"/>
      <c r="G4345" s="645"/>
      <c r="H4345" s="645"/>
      <c r="I4345" s="355"/>
      <c r="L4345" s="140"/>
    </row>
    <row r="4346">
      <c r="A4346" s="645"/>
      <c r="B4346" s="1224"/>
      <c r="C4346" s="1225"/>
      <c r="D4346" s="1226"/>
      <c r="E4346" s="1227"/>
      <c r="F4346" s="1225"/>
      <c r="G4346" s="645"/>
      <c r="H4346" s="645"/>
      <c r="I4346" s="355"/>
      <c r="L4346" s="140"/>
    </row>
    <row r="4347">
      <c r="A4347" s="645"/>
      <c r="B4347" s="1224"/>
      <c r="C4347" s="1225"/>
      <c r="D4347" s="1226"/>
      <c r="E4347" s="1227"/>
      <c r="F4347" s="1225"/>
      <c r="G4347" s="645"/>
      <c r="H4347" s="645"/>
      <c r="I4347" s="355"/>
      <c r="L4347" s="140"/>
    </row>
    <row r="4348">
      <c r="A4348" s="645"/>
      <c r="B4348" s="1224"/>
      <c r="C4348" s="1225"/>
      <c r="D4348" s="1226"/>
      <c r="E4348" s="1227"/>
      <c r="F4348" s="1225"/>
      <c r="G4348" s="645"/>
      <c r="H4348" s="645"/>
      <c r="I4348" s="355"/>
      <c r="L4348" s="140"/>
    </row>
    <row r="4349">
      <c r="A4349" s="645"/>
      <c r="B4349" s="1224"/>
      <c r="C4349" s="1225"/>
      <c r="D4349" s="1226"/>
      <c r="E4349" s="1227"/>
      <c r="F4349" s="1225"/>
      <c r="G4349" s="645"/>
      <c r="H4349" s="645"/>
      <c r="I4349" s="355"/>
      <c r="L4349" s="140"/>
    </row>
    <row r="4350">
      <c r="A4350" s="645"/>
      <c r="B4350" s="1224"/>
      <c r="C4350" s="1225"/>
      <c r="D4350" s="1226"/>
      <c r="E4350" s="1227"/>
      <c r="F4350" s="1225"/>
      <c r="G4350" s="645"/>
      <c r="H4350" s="645"/>
      <c r="I4350" s="355"/>
      <c r="L4350" s="140"/>
    </row>
    <row r="4351">
      <c r="A4351" s="645"/>
      <c r="B4351" s="1224"/>
      <c r="C4351" s="1225"/>
      <c r="D4351" s="1226"/>
      <c r="E4351" s="1227"/>
      <c r="F4351" s="1225"/>
      <c r="G4351" s="645"/>
      <c r="H4351" s="645"/>
      <c r="I4351" s="355"/>
      <c r="L4351" s="140"/>
    </row>
    <row r="4352">
      <c r="A4352" s="645"/>
      <c r="B4352" s="1224"/>
      <c r="C4352" s="1225"/>
      <c r="D4352" s="1226"/>
      <c r="E4352" s="1227"/>
      <c r="F4352" s="1225"/>
      <c r="G4352" s="645"/>
      <c r="H4352" s="645"/>
      <c r="I4352" s="355"/>
      <c r="L4352" s="140"/>
    </row>
    <row r="4353">
      <c r="A4353" s="645"/>
      <c r="B4353" s="1224"/>
      <c r="C4353" s="1225"/>
      <c r="D4353" s="1226"/>
      <c r="E4353" s="1227"/>
      <c r="F4353" s="1225"/>
      <c r="G4353" s="645"/>
      <c r="H4353" s="645"/>
      <c r="I4353" s="355"/>
      <c r="L4353" s="140"/>
    </row>
    <row r="4354">
      <c r="A4354" s="645"/>
      <c r="B4354" s="1224"/>
      <c r="C4354" s="1225"/>
      <c r="D4354" s="1226"/>
      <c r="E4354" s="1227"/>
      <c r="F4354" s="1225"/>
      <c r="G4354" s="645"/>
      <c r="H4354" s="645"/>
      <c r="I4354" s="355"/>
      <c r="L4354" s="140"/>
    </row>
    <row r="4355">
      <c r="A4355" s="645"/>
      <c r="B4355" s="1224"/>
      <c r="C4355" s="1225"/>
      <c r="D4355" s="1226"/>
      <c r="E4355" s="1227"/>
      <c r="F4355" s="1225"/>
      <c r="G4355" s="645"/>
      <c r="H4355" s="645"/>
      <c r="I4355" s="355"/>
      <c r="L4355" s="140"/>
    </row>
    <row r="4356">
      <c r="A4356" s="645"/>
      <c r="B4356" s="1224"/>
      <c r="C4356" s="1225"/>
      <c r="D4356" s="1226"/>
      <c r="E4356" s="1227"/>
      <c r="F4356" s="1225"/>
      <c r="G4356" s="645"/>
      <c r="H4356" s="645"/>
      <c r="I4356" s="355"/>
      <c r="L4356" s="140"/>
    </row>
    <row r="4357">
      <c r="A4357" s="645"/>
      <c r="B4357" s="1224"/>
      <c r="C4357" s="1225"/>
      <c r="D4357" s="1226"/>
      <c r="E4357" s="1227"/>
      <c r="F4357" s="1225"/>
      <c r="G4357" s="645"/>
      <c r="H4357" s="645"/>
      <c r="I4357" s="355"/>
      <c r="L4357" s="140"/>
    </row>
    <row r="4358">
      <c r="A4358" s="645"/>
      <c r="B4358" s="1224"/>
      <c r="C4358" s="1225"/>
      <c r="D4358" s="1226"/>
      <c r="E4358" s="1227"/>
      <c r="F4358" s="1225"/>
      <c r="G4358" s="645"/>
      <c r="H4358" s="645"/>
      <c r="I4358" s="355"/>
      <c r="L4358" s="140"/>
    </row>
    <row r="4359">
      <c r="A4359" s="645"/>
      <c r="B4359" s="1224"/>
      <c r="C4359" s="1225"/>
      <c r="D4359" s="1226"/>
      <c r="E4359" s="1227"/>
      <c r="F4359" s="1225"/>
      <c r="G4359" s="645"/>
      <c r="H4359" s="645"/>
      <c r="I4359" s="355"/>
      <c r="L4359" s="140"/>
    </row>
    <row r="4360">
      <c r="A4360" s="645"/>
      <c r="B4360" s="1224"/>
      <c r="C4360" s="1225"/>
      <c r="D4360" s="1226"/>
      <c r="E4360" s="1227"/>
      <c r="F4360" s="1225"/>
      <c r="G4360" s="645"/>
      <c r="H4360" s="645"/>
      <c r="I4360" s="355"/>
      <c r="L4360" s="140"/>
    </row>
    <row r="4361">
      <c r="A4361" s="645"/>
      <c r="B4361" s="1224"/>
      <c r="C4361" s="1225"/>
      <c r="D4361" s="1226"/>
      <c r="E4361" s="1227"/>
      <c r="F4361" s="1225"/>
      <c r="G4361" s="645"/>
      <c r="H4361" s="645"/>
      <c r="I4361" s="355"/>
      <c r="L4361" s="140"/>
    </row>
    <row r="4362">
      <c r="A4362" s="645"/>
      <c r="B4362" s="1224"/>
      <c r="C4362" s="1225"/>
      <c r="D4362" s="1226"/>
      <c r="E4362" s="1227"/>
      <c r="F4362" s="1225"/>
      <c r="G4362" s="645"/>
      <c r="H4362" s="645"/>
      <c r="I4362" s="355"/>
      <c r="L4362" s="140"/>
    </row>
    <row r="4363">
      <c r="A4363" s="645"/>
      <c r="B4363" s="1224"/>
      <c r="C4363" s="1225"/>
      <c r="D4363" s="1226"/>
      <c r="E4363" s="1227"/>
      <c r="F4363" s="1225"/>
      <c r="G4363" s="645"/>
      <c r="H4363" s="645"/>
      <c r="I4363" s="355"/>
      <c r="L4363" s="140"/>
    </row>
    <row r="4364">
      <c r="A4364" s="645"/>
      <c r="B4364" s="1224"/>
      <c r="C4364" s="1225"/>
      <c r="D4364" s="1226"/>
      <c r="E4364" s="1227"/>
      <c r="F4364" s="1225"/>
      <c r="G4364" s="645"/>
      <c r="H4364" s="645"/>
      <c r="I4364" s="355"/>
      <c r="L4364" s="140"/>
    </row>
    <row r="4365">
      <c r="A4365" s="645"/>
      <c r="B4365" s="1224"/>
      <c r="C4365" s="1225"/>
      <c r="D4365" s="1226"/>
      <c r="E4365" s="1227"/>
      <c r="F4365" s="1225"/>
      <c r="G4365" s="645"/>
      <c r="H4365" s="645"/>
      <c r="I4365" s="355"/>
      <c r="L4365" s="140"/>
    </row>
    <row r="4366">
      <c r="A4366" s="645"/>
      <c r="B4366" s="1224"/>
      <c r="C4366" s="1225"/>
      <c r="D4366" s="1226"/>
      <c r="E4366" s="1227"/>
      <c r="F4366" s="1225"/>
      <c r="G4366" s="645"/>
      <c r="H4366" s="645"/>
      <c r="I4366" s="355"/>
      <c r="L4366" s="140"/>
    </row>
    <row r="4367">
      <c r="A4367" s="645"/>
      <c r="B4367" s="1224"/>
      <c r="C4367" s="1225"/>
      <c r="D4367" s="1226"/>
      <c r="E4367" s="1227"/>
      <c r="F4367" s="1225"/>
      <c r="G4367" s="645"/>
      <c r="H4367" s="645"/>
      <c r="I4367" s="355"/>
      <c r="L4367" s="140"/>
    </row>
    <row r="4368">
      <c r="A4368" s="645"/>
      <c r="B4368" s="1224"/>
      <c r="C4368" s="1225"/>
      <c r="D4368" s="1226"/>
      <c r="E4368" s="1227"/>
      <c r="F4368" s="1225"/>
      <c r="G4368" s="645"/>
      <c r="H4368" s="645"/>
      <c r="I4368" s="355"/>
      <c r="L4368" s="140"/>
    </row>
    <row r="4369">
      <c r="A4369" s="645"/>
      <c r="B4369" s="1224"/>
      <c r="C4369" s="1225"/>
      <c r="D4369" s="1226"/>
      <c r="E4369" s="1227"/>
      <c r="F4369" s="1225"/>
      <c r="G4369" s="645"/>
      <c r="H4369" s="645"/>
      <c r="I4369" s="355"/>
      <c r="L4369" s="140"/>
    </row>
    <row r="4370">
      <c r="A4370" s="645"/>
      <c r="B4370" s="1224"/>
      <c r="C4370" s="1225"/>
      <c r="D4370" s="1226"/>
      <c r="E4370" s="1227"/>
      <c r="F4370" s="1225"/>
      <c r="G4370" s="645"/>
      <c r="H4370" s="645"/>
      <c r="I4370" s="355"/>
      <c r="L4370" s="140"/>
    </row>
    <row r="4371">
      <c r="A4371" s="645"/>
      <c r="B4371" s="1224"/>
      <c r="C4371" s="1225"/>
      <c r="D4371" s="1226"/>
      <c r="E4371" s="1227"/>
      <c r="F4371" s="1225"/>
      <c r="G4371" s="645"/>
      <c r="H4371" s="645"/>
      <c r="I4371" s="355"/>
      <c r="L4371" s="140"/>
    </row>
    <row r="4372">
      <c r="A4372" s="645"/>
      <c r="B4372" s="1224"/>
      <c r="C4372" s="1225"/>
      <c r="D4372" s="1226"/>
      <c r="E4372" s="1227"/>
      <c r="F4372" s="1225"/>
      <c r="G4372" s="645"/>
      <c r="H4372" s="645"/>
      <c r="I4372" s="355"/>
      <c r="L4372" s="140"/>
    </row>
    <row r="4373">
      <c r="A4373" s="645"/>
      <c r="B4373" s="1224"/>
      <c r="C4373" s="1225"/>
      <c r="D4373" s="1226"/>
      <c r="E4373" s="1227"/>
      <c r="F4373" s="1225"/>
      <c r="G4373" s="645"/>
      <c r="H4373" s="645"/>
      <c r="I4373" s="355"/>
      <c r="L4373" s="140"/>
    </row>
    <row r="4374">
      <c r="A4374" s="645"/>
      <c r="B4374" s="1224"/>
      <c r="C4374" s="1225"/>
      <c r="D4374" s="1226"/>
      <c r="E4374" s="1227"/>
      <c r="F4374" s="1225"/>
      <c r="G4374" s="645"/>
      <c r="H4374" s="645"/>
      <c r="I4374" s="355"/>
      <c r="L4374" s="140"/>
    </row>
    <row r="4375">
      <c r="A4375" s="645"/>
      <c r="B4375" s="1224"/>
      <c r="C4375" s="1225"/>
      <c r="D4375" s="1226"/>
      <c r="E4375" s="1227"/>
      <c r="F4375" s="1225"/>
      <c r="G4375" s="645"/>
      <c r="H4375" s="645"/>
      <c r="I4375" s="355"/>
      <c r="L4375" s="140"/>
    </row>
    <row r="4376">
      <c r="A4376" s="645"/>
      <c r="B4376" s="1224"/>
      <c r="C4376" s="1225"/>
      <c r="D4376" s="1226"/>
      <c r="E4376" s="1227"/>
      <c r="F4376" s="1225"/>
      <c r="G4376" s="645"/>
      <c r="H4376" s="645"/>
      <c r="I4376" s="355"/>
      <c r="L4376" s="140"/>
    </row>
    <row r="4377">
      <c r="A4377" s="645"/>
      <c r="B4377" s="1224"/>
      <c r="C4377" s="1225"/>
      <c r="D4377" s="1226"/>
      <c r="E4377" s="1227"/>
      <c r="F4377" s="1225"/>
      <c r="G4377" s="645"/>
      <c r="H4377" s="645"/>
      <c r="I4377" s="355"/>
      <c r="L4377" s="140"/>
    </row>
    <row r="4378">
      <c r="A4378" s="645"/>
      <c r="B4378" s="1224"/>
      <c r="C4378" s="1225"/>
      <c r="D4378" s="1226"/>
      <c r="E4378" s="1227"/>
      <c r="F4378" s="1225"/>
      <c r="G4378" s="645"/>
      <c r="H4378" s="645"/>
      <c r="I4378" s="355"/>
      <c r="L4378" s="140"/>
    </row>
    <row r="4379">
      <c r="A4379" s="645"/>
      <c r="B4379" s="1224"/>
      <c r="C4379" s="1225"/>
      <c r="D4379" s="1226"/>
      <c r="E4379" s="1227"/>
      <c r="F4379" s="1225"/>
      <c r="G4379" s="645"/>
      <c r="H4379" s="645"/>
      <c r="I4379" s="355"/>
      <c r="L4379" s="140"/>
    </row>
    <row r="4380">
      <c r="A4380" s="645"/>
      <c r="B4380" s="1224"/>
      <c r="C4380" s="1225"/>
      <c r="D4380" s="1226"/>
      <c r="E4380" s="1227"/>
      <c r="F4380" s="1225"/>
      <c r="G4380" s="645"/>
      <c r="H4380" s="645"/>
      <c r="I4380" s="355"/>
      <c r="L4380" s="140"/>
    </row>
    <row r="4381">
      <c r="A4381" s="645"/>
      <c r="B4381" s="1224"/>
      <c r="C4381" s="1225"/>
      <c r="D4381" s="1226"/>
      <c r="E4381" s="1227"/>
      <c r="F4381" s="1225"/>
      <c r="G4381" s="645"/>
      <c r="H4381" s="645"/>
      <c r="I4381" s="355"/>
      <c r="L4381" s="140"/>
    </row>
    <row r="4382">
      <c r="A4382" s="645"/>
      <c r="B4382" s="1224"/>
      <c r="C4382" s="1225"/>
      <c r="D4382" s="1226"/>
      <c r="E4382" s="1227"/>
      <c r="F4382" s="1225"/>
      <c r="G4382" s="645"/>
      <c r="H4382" s="645"/>
      <c r="I4382" s="355"/>
      <c r="L4382" s="140"/>
    </row>
    <row r="4383">
      <c r="A4383" s="645"/>
      <c r="B4383" s="1224"/>
      <c r="C4383" s="1225"/>
      <c r="D4383" s="1226"/>
      <c r="E4383" s="1227"/>
      <c r="F4383" s="1225"/>
      <c r="G4383" s="645"/>
      <c r="H4383" s="645"/>
      <c r="I4383" s="355"/>
      <c r="L4383" s="140"/>
    </row>
    <row r="4384">
      <c r="A4384" s="645"/>
      <c r="B4384" s="1224"/>
      <c r="C4384" s="1225"/>
      <c r="D4384" s="1226"/>
      <c r="E4384" s="1227"/>
      <c r="F4384" s="1225"/>
      <c r="G4384" s="645"/>
      <c r="H4384" s="645"/>
      <c r="I4384" s="355"/>
      <c r="L4384" s="140"/>
    </row>
    <row r="4385">
      <c r="A4385" s="645"/>
      <c r="B4385" s="1224"/>
      <c r="C4385" s="1225"/>
      <c r="D4385" s="1226"/>
      <c r="E4385" s="1227"/>
      <c r="F4385" s="1225"/>
      <c r="G4385" s="645"/>
      <c r="H4385" s="645"/>
      <c r="I4385" s="355"/>
      <c r="L4385" s="140"/>
    </row>
    <row r="4386">
      <c r="A4386" s="645"/>
      <c r="B4386" s="1224"/>
      <c r="C4386" s="1225"/>
      <c r="D4386" s="1226"/>
      <c r="E4386" s="1227"/>
      <c r="F4386" s="1225"/>
      <c r="G4386" s="645"/>
      <c r="H4386" s="645"/>
      <c r="I4386" s="355"/>
      <c r="L4386" s="140"/>
    </row>
    <row r="4387">
      <c r="A4387" s="645"/>
      <c r="B4387" s="1224"/>
      <c r="C4387" s="1225"/>
      <c r="D4387" s="1226"/>
      <c r="E4387" s="1227"/>
      <c r="F4387" s="1225"/>
      <c r="G4387" s="645"/>
      <c r="H4387" s="645"/>
      <c r="I4387" s="355"/>
      <c r="L4387" s="140"/>
    </row>
    <row r="4388">
      <c r="A4388" s="645"/>
      <c r="B4388" s="1224"/>
      <c r="C4388" s="1225"/>
      <c r="D4388" s="1226"/>
      <c r="E4388" s="1227"/>
      <c r="F4388" s="1225"/>
      <c r="G4388" s="645"/>
      <c r="H4388" s="645"/>
      <c r="I4388" s="355"/>
      <c r="L4388" s="140"/>
    </row>
    <row r="4389">
      <c r="A4389" s="645"/>
      <c r="B4389" s="1224"/>
      <c r="C4389" s="1225"/>
      <c r="D4389" s="1226"/>
      <c r="E4389" s="1227"/>
      <c r="F4389" s="1225"/>
      <c r="G4389" s="645"/>
      <c r="H4389" s="645"/>
      <c r="I4389" s="355"/>
      <c r="L4389" s="140"/>
    </row>
    <row r="4390">
      <c r="A4390" s="645"/>
      <c r="B4390" s="1224"/>
      <c r="C4390" s="1225"/>
      <c r="D4390" s="1226"/>
      <c r="E4390" s="1227"/>
      <c r="F4390" s="1225"/>
      <c r="G4390" s="645"/>
      <c r="H4390" s="645"/>
      <c r="I4390" s="355"/>
      <c r="L4390" s="140"/>
    </row>
    <row r="4391">
      <c r="A4391" s="645"/>
      <c r="B4391" s="1224"/>
      <c r="C4391" s="1225"/>
      <c r="D4391" s="1226"/>
      <c r="E4391" s="1227"/>
      <c r="F4391" s="1225"/>
      <c r="G4391" s="645"/>
      <c r="H4391" s="645"/>
      <c r="I4391" s="355"/>
      <c r="L4391" s="140"/>
    </row>
    <row r="4392">
      <c r="A4392" s="645"/>
      <c r="B4392" s="1224"/>
      <c r="C4392" s="1225"/>
      <c r="D4392" s="1226"/>
      <c r="E4392" s="1227"/>
      <c r="F4392" s="1225"/>
      <c r="G4392" s="645"/>
      <c r="H4392" s="645"/>
      <c r="I4392" s="355"/>
      <c r="L4392" s="140"/>
    </row>
    <row r="4393">
      <c r="A4393" s="645"/>
      <c r="B4393" s="1224"/>
      <c r="C4393" s="1225"/>
      <c r="D4393" s="1226"/>
      <c r="E4393" s="1227"/>
      <c r="F4393" s="1225"/>
      <c r="G4393" s="645"/>
      <c r="H4393" s="645"/>
      <c r="I4393" s="355"/>
      <c r="L4393" s="140"/>
    </row>
    <row r="4394">
      <c r="A4394" s="645"/>
      <c r="B4394" s="1224"/>
      <c r="C4394" s="1225"/>
      <c r="D4394" s="1226"/>
      <c r="E4394" s="1227"/>
      <c r="F4394" s="1225"/>
      <c r="G4394" s="645"/>
      <c r="H4394" s="645"/>
      <c r="I4394" s="355"/>
      <c r="L4394" s="140"/>
    </row>
    <row r="4395">
      <c r="A4395" s="645"/>
      <c r="B4395" s="1224"/>
      <c r="C4395" s="1225"/>
      <c r="D4395" s="1226"/>
      <c r="E4395" s="1227"/>
      <c r="F4395" s="1225"/>
      <c r="G4395" s="645"/>
      <c r="H4395" s="645"/>
      <c r="I4395" s="355"/>
      <c r="L4395" s="140"/>
    </row>
    <row r="4396">
      <c r="A4396" s="645"/>
      <c r="B4396" s="1224"/>
      <c r="C4396" s="1225"/>
      <c r="D4396" s="1226"/>
      <c r="E4396" s="1227"/>
      <c r="F4396" s="1225"/>
      <c r="G4396" s="645"/>
      <c r="H4396" s="645"/>
      <c r="I4396" s="355"/>
      <c r="L4396" s="140"/>
    </row>
    <row r="4397">
      <c r="A4397" s="645"/>
      <c r="B4397" s="1224"/>
      <c r="C4397" s="1225"/>
      <c r="D4397" s="1226"/>
      <c r="E4397" s="1227"/>
      <c r="F4397" s="1225"/>
      <c r="G4397" s="645"/>
      <c r="H4397" s="645"/>
      <c r="I4397" s="355"/>
      <c r="L4397" s="140"/>
    </row>
    <row r="4398">
      <c r="A4398" s="645"/>
      <c r="B4398" s="1224"/>
      <c r="C4398" s="1225"/>
      <c r="D4398" s="1226"/>
      <c r="E4398" s="1227"/>
      <c r="F4398" s="1225"/>
      <c r="G4398" s="645"/>
      <c r="H4398" s="645"/>
      <c r="I4398" s="355"/>
      <c r="L4398" s="140"/>
    </row>
    <row r="4399">
      <c r="A4399" s="645"/>
      <c r="B4399" s="1224"/>
      <c r="C4399" s="1225"/>
      <c r="D4399" s="1226"/>
      <c r="E4399" s="1227"/>
      <c r="F4399" s="1225"/>
      <c r="G4399" s="645"/>
      <c r="H4399" s="645"/>
      <c r="I4399" s="355"/>
      <c r="L4399" s="140"/>
    </row>
    <row r="4400">
      <c r="A4400" s="645"/>
      <c r="B4400" s="1224"/>
      <c r="C4400" s="1225"/>
      <c r="D4400" s="1226"/>
      <c r="E4400" s="1227"/>
      <c r="F4400" s="1225"/>
      <c r="G4400" s="645"/>
      <c r="H4400" s="645"/>
      <c r="I4400" s="355"/>
      <c r="L4400" s="140"/>
    </row>
    <row r="4401">
      <c r="A4401" s="645"/>
      <c r="B4401" s="1224"/>
      <c r="C4401" s="1225"/>
      <c r="D4401" s="1226"/>
      <c r="E4401" s="1227"/>
      <c r="F4401" s="1225"/>
      <c r="G4401" s="645"/>
      <c r="H4401" s="645"/>
      <c r="I4401" s="355"/>
      <c r="L4401" s="140"/>
    </row>
    <row r="4402">
      <c r="A4402" s="645"/>
      <c r="B4402" s="1224"/>
      <c r="C4402" s="1225"/>
      <c r="D4402" s="1226"/>
      <c r="E4402" s="1227"/>
      <c r="F4402" s="1225"/>
      <c r="G4402" s="645"/>
      <c r="H4402" s="645"/>
      <c r="I4402" s="355"/>
      <c r="L4402" s="140"/>
    </row>
    <row r="4403">
      <c r="A4403" s="645"/>
      <c r="B4403" s="1224"/>
      <c r="C4403" s="1225"/>
      <c r="D4403" s="1226"/>
      <c r="E4403" s="1227"/>
      <c r="F4403" s="1225"/>
      <c r="G4403" s="645"/>
      <c r="H4403" s="645"/>
      <c r="I4403" s="355"/>
      <c r="L4403" s="140"/>
    </row>
    <row r="4404">
      <c r="A4404" s="645"/>
      <c r="B4404" s="1224"/>
      <c r="C4404" s="1225"/>
      <c r="D4404" s="1226"/>
      <c r="E4404" s="1227"/>
      <c r="F4404" s="1225"/>
      <c r="G4404" s="645"/>
      <c r="H4404" s="645"/>
      <c r="I4404" s="355"/>
      <c r="L4404" s="140"/>
    </row>
    <row r="4405">
      <c r="A4405" s="645"/>
      <c r="B4405" s="1224"/>
      <c r="C4405" s="1225"/>
      <c r="D4405" s="1226"/>
      <c r="E4405" s="1227"/>
      <c r="F4405" s="1225"/>
      <c r="G4405" s="645"/>
      <c r="H4405" s="645"/>
      <c r="I4405" s="355"/>
      <c r="L4405" s="140"/>
    </row>
    <row r="4406">
      <c r="A4406" s="645"/>
      <c r="B4406" s="1224"/>
      <c r="C4406" s="1225"/>
      <c r="D4406" s="1226"/>
      <c r="E4406" s="1227"/>
      <c r="F4406" s="1225"/>
      <c r="G4406" s="645"/>
      <c r="H4406" s="645"/>
      <c r="I4406" s="355"/>
      <c r="L4406" s="140"/>
    </row>
    <row r="4407">
      <c r="A4407" s="645"/>
      <c r="B4407" s="1224"/>
      <c r="C4407" s="1225"/>
      <c r="D4407" s="1226"/>
      <c r="E4407" s="1227"/>
      <c r="F4407" s="1225"/>
      <c r="G4407" s="645"/>
      <c r="H4407" s="645"/>
      <c r="I4407" s="355"/>
      <c r="L4407" s="140"/>
    </row>
    <row r="4408">
      <c r="A4408" s="645"/>
      <c r="B4408" s="1224"/>
      <c r="C4408" s="1225"/>
      <c r="D4408" s="1226"/>
      <c r="E4408" s="1227"/>
      <c r="F4408" s="1225"/>
      <c r="G4408" s="645"/>
      <c r="H4408" s="645"/>
      <c r="I4408" s="355"/>
      <c r="L4408" s="140"/>
    </row>
    <row r="4409">
      <c r="A4409" s="645"/>
      <c r="B4409" s="1224"/>
      <c r="C4409" s="1225"/>
      <c r="D4409" s="1226"/>
      <c r="E4409" s="1227"/>
      <c r="F4409" s="1225"/>
      <c r="G4409" s="645"/>
      <c r="H4409" s="645"/>
      <c r="I4409" s="355"/>
      <c r="L4409" s="140"/>
    </row>
    <row r="4410">
      <c r="A4410" s="645"/>
      <c r="B4410" s="1224"/>
      <c r="C4410" s="1225"/>
      <c r="D4410" s="1226"/>
      <c r="E4410" s="1227"/>
      <c r="F4410" s="1225"/>
      <c r="G4410" s="645"/>
      <c r="H4410" s="645"/>
      <c r="I4410" s="355"/>
      <c r="L4410" s="140"/>
    </row>
    <row r="4411">
      <c r="A4411" s="645"/>
      <c r="B4411" s="1224"/>
      <c r="C4411" s="1225"/>
      <c r="D4411" s="1226"/>
      <c r="E4411" s="1227"/>
      <c r="F4411" s="1225"/>
      <c r="G4411" s="645"/>
      <c r="H4411" s="645"/>
      <c r="I4411" s="355"/>
      <c r="L4411" s="140"/>
    </row>
    <row r="4412">
      <c r="A4412" s="645"/>
      <c r="B4412" s="1224"/>
      <c r="C4412" s="1225"/>
      <c r="D4412" s="1226"/>
      <c r="E4412" s="1227"/>
      <c r="F4412" s="1225"/>
      <c r="G4412" s="645"/>
      <c r="H4412" s="645"/>
      <c r="I4412" s="355"/>
      <c r="L4412" s="140"/>
    </row>
    <row r="4413">
      <c r="A4413" s="645"/>
      <c r="B4413" s="1224"/>
      <c r="C4413" s="1225"/>
      <c r="D4413" s="1226"/>
      <c r="E4413" s="1227"/>
      <c r="F4413" s="1225"/>
      <c r="G4413" s="645"/>
      <c r="H4413" s="645"/>
      <c r="I4413" s="355"/>
      <c r="L4413" s="140"/>
    </row>
    <row r="4414">
      <c r="A4414" s="645"/>
      <c r="B4414" s="1224"/>
      <c r="C4414" s="1225"/>
      <c r="D4414" s="1226"/>
      <c r="E4414" s="1227"/>
      <c r="F4414" s="1225"/>
      <c r="G4414" s="645"/>
      <c r="H4414" s="645"/>
      <c r="I4414" s="355"/>
      <c r="L4414" s="140"/>
    </row>
    <row r="4415">
      <c r="A4415" s="645"/>
      <c r="B4415" s="1224"/>
      <c r="C4415" s="1225"/>
      <c r="D4415" s="1226"/>
      <c r="E4415" s="1227"/>
      <c r="F4415" s="1225"/>
      <c r="G4415" s="645"/>
      <c r="H4415" s="645"/>
      <c r="I4415" s="355"/>
      <c r="L4415" s="140"/>
    </row>
    <row r="4416">
      <c r="A4416" s="645"/>
      <c r="B4416" s="1224"/>
      <c r="C4416" s="1225"/>
      <c r="D4416" s="1226"/>
      <c r="E4416" s="1227"/>
      <c r="F4416" s="1225"/>
      <c r="G4416" s="645"/>
      <c r="H4416" s="645"/>
      <c r="I4416" s="355"/>
      <c r="L4416" s="140"/>
    </row>
    <row r="4417">
      <c r="A4417" s="645"/>
      <c r="B4417" s="1224"/>
      <c r="C4417" s="1225"/>
      <c r="D4417" s="1226"/>
      <c r="E4417" s="1227"/>
      <c r="F4417" s="1225"/>
      <c r="G4417" s="645"/>
      <c r="H4417" s="645"/>
      <c r="I4417" s="355"/>
      <c r="L4417" s="140"/>
    </row>
    <row r="4418">
      <c r="A4418" s="645"/>
      <c r="B4418" s="1224"/>
      <c r="C4418" s="1225"/>
      <c r="D4418" s="1226"/>
      <c r="E4418" s="1227"/>
      <c r="F4418" s="1225"/>
      <c r="G4418" s="645"/>
      <c r="H4418" s="645"/>
      <c r="I4418" s="355"/>
      <c r="L4418" s="140"/>
    </row>
    <row r="4419">
      <c r="A4419" s="645"/>
      <c r="B4419" s="1224"/>
      <c r="C4419" s="1225"/>
      <c r="D4419" s="1226"/>
      <c r="E4419" s="1227"/>
      <c r="F4419" s="1225"/>
      <c r="G4419" s="645"/>
      <c r="H4419" s="645"/>
      <c r="I4419" s="355"/>
      <c r="L4419" s="140"/>
    </row>
    <row r="4420">
      <c r="A4420" s="645"/>
      <c r="B4420" s="1224"/>
      <c r="C4420" s="1225"/>
      <c r="D4420" s="1226"/>
      <c r="E4420" s="1227"/>
      <c r="F4420" s="1225"/>
      <c r="G4420" s="645"/>
      <c r="H4420" s="645"/>
      <c r="I4420" s="355"/>
      <c r="L4420" s="140"/>
    </row>
    <row r="4421">
      <c r="A4421" s="645"/>
      <c r="B4421" s="1224"/>
      <c r="C4421" s="1225"/>
      <c r="D4421" s="1226"/>
      <c r="E4421" s="1227"/>
      <c r="F4421" s="1225"/>
      <c r="G4421" s="645"/>
      <c r="H4421" s="645"/>
      <c r="I4421" s="355"/>
      <c r="L4421" s="140"/>
    </row>
    <row r="4422">
      <c r="A4422" s="645"/>
      <c r="B4422" s="1224"/>
      <c r="C4422" s="1225"/>
      <c r="D4422" s="1226"/>
      <c r="E4422" s="1227"/>
      <c r="F4422" s="1225"/>
      <c r="G4422" s="645"/>
      <c r="H4422" s="645"/>
      <c r="I4422" s="355"/>
      <c r="L4422" s="140"/>
    </row>
    <row r="4423">
      <c r="A4423" s="645"/>
      <c r="B4423" s="1224"/>
      <c r="C4423" s="1225"/>
      <c r="D4423" s="1226"/>
      <c r="E4423" s="1227"/>
      <c r="F4423" s="1225"/>
      <c r="G4423" s="645"/>
      <c r="H4423" s="645"/>
      <c r="I4423" s="355"/>
      <c r="L4423" s="140"/>
    </row>
    <row r="4424">
      <c r="A4424" s="645"/>
      <c r="B4424" s="1224"/>
      <c r="C4424" s="1225"/>
      <c r="D4424" s="1226"/>
      <c r="E4424" s="1227"/>
      <c r="F4424" s="1225"/>
      <c r="G4424" s="645"/>
      <c r="H4424" s="645"/>
      <c r="I4424" s="355"/>
      <c r="L4424" s="140"/>
    </row>
    <row r="4425">
      <c r="A4425" s="645"/>
      <c r="B4425" s="1224"/>
      <c r="C4425" s="1225"/>
      <c r="D4425" s="1226"/>
      <c r="E4425" s="1227"/>
      <c r="F4425" s="1225"/>
      <c r="G4425" s="645"/>
      <c r="H4425" s="645"/>
      <c r="I4425" s="355"/>
      <c r="L4425" s="140"/>
    </row>
    <row r="4426">
      <c r="A4426" s="645"/>
      <c r="B4426" s="1224"/>
      <c r="C4426" s="1225"/>
      <c r="D4426" s="1226"/>
      <c r="E4426" s="1227"/>
      <c r="F4426" s="1225"/>
      <c r="G4426" s="645"/>
      <c r="H4426" s="645"/>
      <c r="I4426" s="355"/>
      <c r="L4426" s="140"/>
    </row>
    <row r="4427">
      <c r="A4427" s="645"/>
      <c r="B4427" s="1224"/>
      <c r="C4427" s="1225"/>
      <c r="D4427" s="1226"/>
      <c r="E4427" s="1227"/>
      <c r="F4427" s="1225"/>
      <c r="G4427" s="645"/>
      <c r="H4427" s="645"/>
      <c r="I4427" s="355"/>
      <c r="L4427" s="140"/>
    </row>
    <row r="4428">
      <c r="A4428" s="645"/>
      <c r="B4428" s="1224"/>
      <c r="C4428" s="1225"/>
      <c r="D4428" s="1226"/>
      <c r="E4428" s="1227"/>
      <c r="F4428" s="1225"/>
      <c r="G4428" s="645"/>
      <c r="H4428" s="645"/>
      <c r="I4428" s="355"/>
      <c r="L4428" s="140"/>
    </row>
    <row r="4429">
      <c r="A4429" s="645"/>
      <c r="B4429" s="1224"/>
      <c r="C4429" s="1225"/>
      <c r="D4429" s="1226"/>
      <c r="E4429" s="1227"/>
      <c r="F4429" s="1225"/>
      <c r="G4429" s="645"/>
      <c r="H4429" s="645"/>
      <c r="I4429" s="355"/>
      <c r="L4429" s="140"/>
    </row>
    <row r="4430">
      <c r="A4430" s="645"/>
      <c r="B4430" s="1224"/>
      <c r="C4430" s="1225"/>
      <c r="D4430" s="1226"/>
      <c r="E4430" s="1227"/>
      <c r="F4430" s="1225"/>
      <c r="G4430" s="645"/>
      <c r="H4430" s="645"/>
      <c r="I4430" s="355"/>
      <c r="L4430" s="140"/>
    </row>
    <row r="4431">
      <c r="A4431" s="645"/>
      <c r="B4431" s="1224"/>
      <c r="C4431" s="1225"/>
      <c r="D4431" s="1226"/>
      <c r="E4431" s="1227"/>
      <c r="F4431" s="1225"/>
      <c r="G4431" s="645"/>
      <c r="H4431" s="645"/>
      <c r="I4431" s="355"/>
      <c r="L4431" s="140"/>
    </row>
    <row r="4432">
      <c r="A4432" s="645"/>
      <c r="B4432" s="1224"/>
      <c r="C4432" s="1225"/>
      <c r="D4432" s="1226"/>
      <c r="E4432" s="1227"/>
      <c r="F4432" s="1225"/>
      <c r="G4432" s="645"/>
      <c r="H4432" s="645"/>
      <c r="I4432" s="355"/>
      <c r="L4432" s="140"/>
    </row>
    <row r="4433">
      <c r="A4433" s="645"/>
      <c r="B4433" s="1224"/>
      <c r="C4433" s="1225"/>
      <c r="D4433" s="1226"/>
      <c r="E4433" s="1227"/>
      <c r="F4433" s="1225"/>
      <c r="G4433" s="645"/>
      <c r="H4433" s="645"/>
      <c r="I4433" s="355"/>
      <c r="L4433" s="140"/>
    </row>
    <row r="4434">
      <c r="A4434" s="645"/>
      <c r="B4434" s="1224"/>
      <c r="C4434" s="1225"/>
      <c r="D4434" s="1226"/>
      <c r="E4434" s="1227"/>
      <c r="F4434" s="1225"/>
      <c r="G4434" s="645"/>
      <c r="H4434" s="645"/>
      <c r="I4434" s="355"/>
      <c r="L4434" s="140"/>
    </row>
    <row r="4435">
      <c r="A4435" s="645"/>
      <c r="B4435" s="1224"/>
      <c r="C4435" s="1225"/>
      <c r="D4435" s="1226"/>
      <c r="E4435" s="1227"/>
      <c r="F4435" s="1225"/>
      <c r="G4435" s="645"/>
      <c r="H4435" s="645"/>
      <c r="I4435" s="355"/>
      <c r="L4435" s="140"/>
    </row>
    <row r="4436">
      <c r="A4436" s="645"/>
      <c r="B4436" s="1224"/>
      <c r="C4436" s="1225"/>
      <c r="D4436" s="1226"/>
      <c r="E4436" s="1227"/>
      <c r="F4436" s="1225"/>
      <c r="G4436" s="645"/>
      <c r="H4436" s="645"/>
      <c r="I4436" s="355"/>
      <c r="L4436" s="140"/>
    </row>
    <row r="4437">
      <c r="A4437" s="645"/>
      <c r="B4437" s="1224"/>
      <c r="C4437" s="1225"/>
      <c r="D4437" s="1226"/>
      <c r="E4437" s="1227"/>
      <c r="F4437" s="1225"/>
      <c r="G4437" s="645"/>
      <c r="H4437" s="645"/>
      <c r="I4437" s="355"/>
      <c r="L4437" s="140"/>
    </row>
    <row r="4438">
      <c r="A4438" s="645"/>
      <c r="B4438" s="1224"/>
      <c r="C4438" s="1225"/>
      <c r="D4438" s="1226"/>
      <c r="E4438" s="1227"/>
      <c r="F4438" s="1225"/>
      <c r="G4438" s="645"/>
      <c r="H4438" s="645"/>
      <c r="I4438" s="355"/>
      <c r="L4438" s="140"/>
    </row>
    <row r="4439">
      <c r="A4439" s="645"/>
      <c r="B4439" s="1224"/>
      <c r="C4439" s="1225"/>
      <c r="D4439" s="1226"/>
      <c r="E4439" s="1227"/>
      <c r="F4439" s="1225"/>
      <c r="G4439" s="645"/>
      <c r="H4439" s="645"/>
      <c r="I4439" s="355"/>
      <c r="L4439" s="140"/>
    </row>
    <row r="4440">
      <c r="A4440" s="645"/>
      <c r="B4440" s="1224"/>
      <c r="C4440" s="1225"/>
      <c r="D4440" s="1226"/>
      <c r="E4440" s="1227"/>
      <c r="F4440" s="1225"/>
      <c r="G4440" s="645"/>
      <c r="H4440" s="645"/>
      <c r="I4440" s="355"/>
      <c r="L4440" s="140"/>
    </row>
    <row r="4441">
      <c r="A4441" s="645"/>
      <c r="B4441" s="1224"/>
      <c r="C4441" s="1225"/>
      <c r="D4441" s="1226"/>
      <c r="E4441" s="1227"/>
      <c r="F4441" s="1225"/>
      <c r="G4441" s="645"/>
      <c r="H4441" s="645"/>
      <c r="I4441" s="355"/>
      <c r="L4441" s="140"/>
    </row>
    <row r="4442">
      <c r="A4442" s="645"/>
      <c r="B4442" s="1224"/>
      <c r="C4442" s="1225"/>
      <c r="D4442" s="1226"/>
      <c r="E4442" s="1227"/>
      <c r="F4442" s="1225"/>
      <c r="G4442" s="645"/>
      <c r="H4442" s="645"/>
      <c r="I4442" s="355"/>
      <c r="L4442" s="140"/>
    </row>
    <row r="4443">
      <c r="A4443" s="645"/>
      <c r="B4443" s="1224"/>
      <c r="C4443" s="1225"/>
      <c r="D4443" s="1226"/>
      <c r="E4443" s="1227"/>
      <c r="F4443" s="1225"/>
      <c r="G4443" s="645"/>
      <c r="H4443" s="645"/>
      <c r="I4443" s="355"/>
      <c r="L4443" s="140"/>
    </row>
    <row r="4444">
      <c r="A4444" s="645"/>
      <c r="B4444" s="1224"/>
      <c r="C4444" s="1225"/>
      <c r="D4444" s="1226"/>
      <c r="E4444" s="1227"/>
      <c r="F4444" s="1225"/>
      <c r="G4444" s="645"/>
      <c r="H4444" s="645"/>
      <c r="I4444" s="355"/>
      <c r="L4444" s="140"/>
    </row>
    <row r="4445">
      <c r="A4445" s="645"/>
      <c r="B4445" s="1224"/>
      <c r="C4445" s="1225"/>
      <c r="D4445" s="1226"/>
      <c r="E4445" s="1227"/>
      <c r="F4445" s="1225"/>
      <c r="G4445" s="645"/>
      <c r="H4445" s="645"/>
      <c r="I4445" s="355"/>
      <c r="L4445" s="140"/>
    </row>
    <row r="4446">
      <c r="A4446" s="645"/>
      <c r="B4446" s="1224"/>
      <c r="C4446" s="1225"/>
      <c r="D4446" s="1226"/>
      <c r="E4446" s="1227"/>
      <c r="F4446" s="1225"/>
      <c r="G4446" s="645"/>
      <c r="H4446" s="645"/>
      <c r="I4446" s="355"/>
      <c r="L4446" s="140"/>
    </row>
    <row r="4447">
      <c r="A4447" s="645"/>
      <c r="B4447" s="1224"/>
      <c r="C4447" s="1225"/>
      <c r="D4447" s="1226"/>
      <c r="E4447" s="1227"/>
      <c r="F4447" s="1225"/>
      <c r="G4447" s="645"/>
      <c r="H4447" s="645"/>
      <c r="I4447" s="355"/>
      <c r="L4447" s="140"/>
    </row>
    <row r="4448">
      <c r="A4448" s="645"/>
      <c r="B4448" s="1224"/>
      <c r="C4448" s="1225"/>
      <c r="D4448" s="1226"/>
      <c r="E4448" s="1227"/>
      <c r="F4448" s="1225"/>
      <c r="G4448" s="645"/>
      <c r="H4448" s="645"/>
      <c r="I4448" s="355"/>
      <c r="L4448" s="140"/>
    </row>
    <row r="4449">
      <c r="A4449" s="645"/>
      <c r="B4449" s="1224"/>
      <c r="C4449" s="1225"/>
      <c r="D4449" s="1226"/>
      <c r="E4449" s="1227"/>
      <c r="F4449" s="1225"/>
      <c r="G4449" s="645"/>
      <c r="H4449" s="645"/>
      <c r="I4449" s="355"/>
      <c r="L4449" s="140"/>
    </row>
    <row r="4450">
      <c r="A4450" s="645"/>
      <c r="B4450" s="1224"/>
      <c r="C4450" s="1225"/>
      <c r="D4450" s="1226"/>
      <c r="E4450" s="1227"/>
      <c r="F4450" s="1225"/>
      <c r="G4450" s="645"/>
      <c r="H4450" s="645"/>
      <c r="I4450" s="355"/>
      <c r="L4450" s="140"/>
    </row>
    <row r="4451">
      <c r="A4451" s="645"/>
      <c r="B4451" s="1224"/>
      <c r="C4451" s="1225"/>
      <c r="D4451" s="1226"/>
      <c r="E4451" s="1227"/>
      <c r="F4451" s="1225"/>
      <c r="G4451" s="645"/>
      <c r="H4451" s="645"/>
      <c r="I4451" s="355"/>
      <c r="L4451" s="140"/>
    </row>
    <row r="4452">
      <c r="A4452" s="645"/>
      <c r="B4452" s="1224"/>
      <c r="C4452" s="1225"/>
      <c r="D4452" s="1226"/>
      <c r="E4452" s="1227"/>
      <c r="F4452" s="1225"/>
      <c r="G4452" s="645"/>
      <c r="H4452" s="645"/>
      <c r="I4452" s="355"/>
      <c r="L4452" s="140"/>
    </row>
    <row r="4453">
      <c r="A4453" s="645"/>
      <c r="B4453" s="1224"/>
      <c r="C4453" s="1225"/>
      <c r="D4453" s="1226"/>
      <c r="E4453" s="1227"/>
      <c r="F4453" s="1225"/>
      <c r="G4453" s="645"/>
      <c r="H4453" s="645"/>
      <c r="I4453" s="355"/>
      <c r="L4453" s="140"/>
    </row>
    <row r="4454">
      <c r="A4454" s="645"/>
      <c r="B4454" s="1224"/>
      <c r="C4454" s="1225"/>
      <c r="D4454" s="1226"/>
      <c r="E4454" s="1227"/>
      <c r="F4454" s="1225"/>
      <c r="G4454" s="645"/>
      <c r="H4454" s="645"/>
      <c r="I4454" s="355"/>
      <c r="L4454" s="140"/>
    </row>
    <row r="4455">
      <c r="A4455" s="645"/>
      <c r="B4455" s="1224"/>
      <c r="C4455" s="1225"/>
      <c r="D4455" s="1226"/>
      <c r="E4455" s="1227"/>
      <c r="F4455" s="1225"/>
      <c r="G4455" s="645"/>
      <c r="H4455" s="645"/>
      <c r="I4455" s="355"/>
      <c r="L4455" s="140"/>
    </row>
    <row r="4456">
      <c r="A4456" s="645"/>
      <c r="B4456" s="1224"/>
      <c r="C4456" s="1225"/>
      <c r="D4456" s="1226"/>
      <c r="E4456" s="1227"/>
      <c r="F4456" s="1225"/>
      <c r="G4456" s="645"/>
      <c r="H4456" s="645"/>
      <c r="I4456" s="355"/>
      <c r="L4456" s="140"/>
    </row>
    <row r="4457">
      <c r="A4457" s="645"/>
      <c r="B4457" s="1224"/>
      <c r="C4457" s="1225"/>
      <c r="D4457" s="1226"/>
      <c r="E4457" s="1227"/>
      <c r="F4457" s="1225"/>
      <c r="G4457" s="645"/>
      <c r="H4457" s="645"/>
      <c r="I4457" s="355"/>
      <c r="L4457" s="140"/>
    </row>
    <row r="4458">
      <c r="A4458" s="645"/>
      <c r="B4458" s="1224"/>
      <c r="C4458" s="1225"/>
      <c r="D4458" s="1226"/>
      <c r="E4458" s="1227"/>
      <c r="F4458" s="1225"/>
      <c r="G4458" s="645"/>
      <c r="H4458" s="645"/>
      <c r="I4458" s="355"/>
      <c r="L4458" s="140"/>
    </row>
    <row r="4459">
      <c r="A4459" s="645"/>
      <c r="B4459" s="1224"/>
      <c r="C4459" s="1225"/>
      <c r="D4459" s="1226"/>
      <c r="E4459" s="1227"/>
      <c r="F4459" s="1225"/>
      <c r="G4459" s="645"/>
      <c r="H4459" s="645"/>
      <c r="I4459" s="355"/>
      <c r="L4459" s="140"/>
    </row>
    <row r="4460">
      <c r="A4460" s="645"/>
      <c r="B4460" s="1224"/>
      <c r="C4460" s="1225"/>
      <c r="D4460" s="1226"/>
      <c r="E4460" s="1227"/>
      <c r="F4460" s="1225"/>
      <c r="G4460" s="645"/>
      <c r="H4460" s="645"/>
      <c r="I4460" s="355"/>
      <c r="L4460" s="140"/>
    </row>
    <row r="4461">
      <c r="A4461" s="645"/>
      <c r="B4461" s="1224"/>
      <c r="C4461" s="1225"/>
      <c r="D4461" s="1226"/>
      <c r="E4461" s="1227"/>
      <c r="F4461" s="1225"/>
      <c r="G4461" s="645"/>
      <c r="H4461" s="645"/>
      <c r="I4461" s="355"/>
      <c r="L4461" s="140"/>
    </row>
    <row r="4462">
      <c r="A4462" s="645"/>
      <c r="B4462" s="1224"/>
      <c r="C4462" s="1225"/>
      <c r="D4462" s="1226"/>
      <c r="E4462" s="1227"/>
      <c r="F4462" s="1225"/>
      <c r="G4462" s="645"/>
      <c r="H4462" s="645"/>
      <c r="I4462" s="355"/>
      <c r="L4462" s="140"/>
    </row>
    <row r="4463">
      <c r="A4463" s="645"/>
      <c r="B4463" s="1224"/>
      <c r="C4463" s="1225"/>
      <c r="D4463" s="1226"/>
      <c r="E4463" s="1227"/>
      <c r="F4463" s="1225"/>
      <c r="G4463" s="645"/>
      <c r="H4463" s="645"/>
      <c r="I4463" s="355"/>
      <c r="L4463" s="140"/>
    </row>
    <row r="4464">
      <c r="A4464" s="645"/>
      <c r="B4464" s="1224"/>
      <c r="C4464" s="1225"/>
      <c r="D4464" s="1226"/>
      <c r="E4464" s="1227"/>
      <c r="F4464" s="1225"/>
      <c r="G4464" s="645"/>
      <c r="H4464" s="645"/>
      <c r="I4464" s="355"/>
      <c r="L4464" s="140"/>
    </row>
    <row r="4465">
      <c r="A4465" s="645"/>
      <c r="B4465" s="1224"/>
      <c r="C4465" s="1225"/>
      <c r="D4465" s="1226"/>
      <c r="E4465" s="1227"/>
      <c r="F4465" s="1225"/>
      <c r="G4465" s="645"/>
      <c r="H4465" s="645"/>
      <c r="I4465" s="355"/>
      <c r="L4465" s="140"/>
    </row>
    <row r="4466">
      <c r="A4466" s="645"/>
      <c r="B4466" s="1224"/>
      <c r="C4466" s="1225"/>
      <c r="D4466" s="1226"/>
      <c r="E4466" s="1227"/>
      <c r="F4466" s="1225"/>
      <c r="G4466" s="645"/>
      <c r="H4466" s="645"/>
      <c r="I4466" s="355"/>
      <c r="L4466" s="140"/>
    </row>
    <row r="4467">
      <c r="A4467" s="645"/>
      <c r="B4467" s="1224"/>
      <c r="C4467" s="1225"/>
      <c r="D4467" s="1226"/>
      <c r="E4467" s="1227"/>
      <c r="F4467" s="1225"/>
      <c r="G4467" s="645"/>
      <c r="H4467" s="645"/>
      <c r="I4467" s="355"/>
      <c r="L4467" s="140"/>
    </row>
    <row r="4468">
      <c r="A4468" s="645"/>
      <c r="B4468" s="1224"/>
      <c r="C4468" s="1225"/>
      <c r="D4468" s="1226"/>
      <c r="E4468" s="1227"/>
      <c r="F4468" s="1225"/>
      <c r="G4468" s="645"/>
      <c r="H4468" s="645"/>
      <c r="I4468" s="355"/>
      <c r="L4468" s="140"/>
    </row>
    <row r="4469">
      <c r="A4469" s="645"/>
      <c r="B4469" s="1224"/>
      <c r="C4469" s="1225"/>
      <c r="D4469" s="1226"/>
      <c r="E4469" s="1227"/>
      <c r="F4469" s="1225"/>
      <c r="G4469" s="645"/>
      <c r="H4469" s="645"/>
      <c r="I4469" s="355"/>
      <c r="L4469" s="140"/>
    </row>
    <row r="4470">
      <c r="A4470" s="645"/>
      <c r="B4470" s="1224"/>
      <c r="C4470" s="1225"/>
      <c r="D4470" s="1226"/>
      <c r="E4470" s="1227"/>
      <c r="F4470" s="1225"/>
      <c r="G4470" s="645"/>
      <c r="H4470" s="645"/>
      <c r="I4470" s="355"/>
      <c r="L4470" s="140"/>
    </row>
    <row r="4471">
      <c r="A4471" s="645"/>
      <c r="B4471" s="1224"/>
      <c r="C4471" s="1225"/>
      <c r="D4471" s="1226"/>
      <c r="E4471" s="1227"/>
      <c r="F4471" s="1225"/>
      <c r="G4471" s="645"/>
      <c r="H4471" s="645"/>
      <c r="I4471" s="355"/>
      <c r="L4471" s="140"/>
    </row>
    <row r="4472">
      <c r="A4472" s="645"/>
      <c r="B4472" s="1224"/>
      <c r="C4472" s="1225"/>
      <c r="D4472" s="1226"/>
      <c r="E4472" s="1227"/>
      <c r="F4472" s="1225"/>
      <c r="G4472" s="645"/>
      <c r="H4472" s="645"/>
      <c r="I4472" s="355"/>
      <c r="L4472" s="140"/>
    </row>
    <row r="4473">
      <c r="A4473" s="645"/>
      <c r="B4473" s="1224"/>
      <c r="C4473" s="1225"/>
      <c r="D4473" s="1226"/>
      <c r="E4473" s="1227"/>
      <c r="F4473" s="1225"/>
      <c r="G4473" s="645"/>
      <c r="H4473" s="645"/>
      <c r="I4473" s="355"/>
      <c r="L4473" s="140"/>
    </row>
    <row r="4474">
      <c r="A4474" s="645"/>
      <c r="B4474" s="1224"/>
      <c r="C4474" s="1225"/>
      <c r="D4474" s="1226"/>
      <c r="E4474" s="1227"/>
      <c r="F4474" s="1228" t="s">
        <v>14528</v>
      </c>
      <c r="G4474" s="645"/>
      <c r="H4474" s="645"/>
      <c r="I4474" s="355"/>
      <c r="L4474" s="140"/>
    </row>
    <row r="4475">
      <c r="A4475" s="645"/>
      <c r="B4475" s="1224"/>
      <c r="C4475" s="1225"/>
      <c r="D4475" s="1226"/>
      <c r="E4475" s="1227"/>
      <c r="F4475" s="1225"/>
      <c r="G4475" s="645"/>
      <c r="H4475" s="645"/>
      <c r="I4475" s="355"/>
      <c r="L4475" s="140"/>
    </row>
    <row r="4476">
      <c r="A4476" s="645"/>
      <c r="B4476" s="1224"/>
      <c r="C4476" s="1225"/>
      <c r="D4476" s="1226"/>
      <c r="E4476" s="1227"/>
      <c r="F4476" s="1225"/>
      <c r="G4476" s="645"/>
      <c r="H4476" s="645"/>
      <c r="I4476" s="355"/>
      <c r="L4476" s="140"/>
    </row>
    <row r="4477">
      <c r="A4477" s="645"/>
      <c r="B4477" s="1224"/>
      <c r="C4477" s="1225"/>
      <c r="D4477" s="1226"/>
      <c r="E4477" s="1227"/>
      <c r="F4477" s="1225"/>
      <c r="G4477" s="645"/>
      <c r="H4477" s="645"/>
      <c r="I4477" s="355"/>
      <c r="L4477" s="140"/>
    </row>
    <row r="4478">
      <c r="A4478" s="645"/>
      <c r="B4478" s="1224"/>
      <c r="C4478" s="1225"/>
      <c r="D4478" s="1226"/>
      <c r="E4478" s="1227"/>
      <c r="F4478" s="1225"/>
      <c r="G4478" s="645"/>
      <c r="H4478" s="645"/>
      <c r="I4478" s="355"/>
      <c r="L4478" s="140"/>
    </row>
    <row r="4479">
      <c r="A4479" s="645"/>
      <c r="B4479" s="1224"/>
      <c r="C4479" s="1225"/>
      <c r="D4479" s="1226"/>
      <c r="E4479" s="1227"/>
      <c r="F4479" s="1225"/>
      <c r="G4479" s="645"/>
      <c r="H4479" s="645"/>
      <c r="I4479" s="355"/>
      <c r="L4479" s="140"/>
    </row>
    <row r="4480">
      <c r="A4480" s="645"/>
      <c r="B4480" s="1224"/>
      <c r="C4480" s="1225"/>
      <c r="D4480" s="1226"/>
      <c r="E4480" s="1227"/>
      <c r="F4480" s="1225"/>
      <c r="G4480" s="645"/>
      <c r="H4480" s="645"/>
      <c r="I4480" s="355"/>
      <c r="L4480" s="140"/>
    </row>
    <row r="4481">
      <c r="A4481" s="645"/>
      <c r="B4481" s="1224"/>
      <c r="C4481" s="1225"/>
      <c r="D4481" s="1226"/>
      <c r="E4481" s="1227"/>
      <c r="F4481" s="1225"/>
      <c r="G4481" s="645"/>
      <c r="H4481" s="645"/>
      <c r="I4481" s="355"/>
      <c r="L4481" s="140"/>
    </row>
    <row r="4482">
      <c r="A4482" s="645"/>
      <c r="B4482" s="1224"/>
      <c r="C4482" s="1225"/>
      <c r="D4482" s="1226"/>
      <c r="E4482" s="1227"/>
      <c r="F4482" s="1225"/>
      <c r="G4482" s="645"/>
      <c r="H4482" s="645"/>
      <c r="I4482" s="355"/>
      <c r="L4482" s="140"/>
    </row>
    <row r="4483">
      <c r="A4483" s="645"/>
      <c r="B4483" s="1224"/>
      <c r="C4483" s="1225"/>
      <c r="D4483" s="1226"/>
      <c r="E4483" s="1227"/>
      <c r="F4483" s="1225"/>
      <c r="G4483" s="645"/>
      <c r="H4483" s="645"/>
      <c r="I4483" s="355"/>
      <c r="L4483" s="140"/>
    </row>
    <row r="4484">
      <c r="A4484" s="645"/>
      <c r="B4484" s="1224"/>
      <c r="C4484" s="1225"/>
      <c r="D4484" s="1226"/>
      <c r="E4484" s="1227"/>
      <c r="F4484" s="1225"/>
      <c r="G4484" s="645"/>
      <c r="H4484" s="645"/>
      <c r="I4484" s="355"/>
      <c r="L4484" s="140"/>
    </row>
    <row r="4485">
      <c r="A4485" s="645"/>
      <c r="B4485" s="1224"/>
      <c r="C4485" s="1225"/>
      <c r="D4485" s="1226"/>
      <c r="E4485" s="1227"/>
      <c r="F4485" s="1225"/>
      <c r="G4485" s="645"/>
      <c r="H4485" s="645"/>
      <c r="I4485" s="355"/>
      <c r="L4485" s="140"/>
    </row>
    <row r="4486">
      <c r="A4486" s="645"/>
      <c r="B4486" s="1224"/>
      <c r="C4486" s="1225"/>
      <c r="D4486" s="1226"/>
      <c r="E4486" s="1227"/>
      <c r="F4486" s="1225"/>
      <c r="G4486" s="645"/>
      <c r="H4486" s="645"/>
      <c r="I4486" s="355"/>
      <c r="L4486" s="140"/>
    </row>
    <row r="4487">
      <c r="A4487" s="645"/>
      <c r="B4487" s="1224"/>
      <c r="C4487" s="1225"/>
      <c r="D4487" s="1226"/>
      <c r="E4487" s="1227"/>
      <c r="F4487" s="1225"/>
      <c r="G4487" s="645"/>
      <c r="H4487" s="645"/>
      <c r="I4487" s="355"/>
      <c r="L4487" s="140"/>
    </row>
    <row r="4488">
      <c r="A4488" s="645"/>
      <c r="B4488" s="1224"/>
      <c r="C4488" s="1225"/>
      <c r="D4488" s="1226"/>
      <c r="E4488" s="1227"/>
      <c r="F4488" s="1225"/>
      <c r="G4488" s="645"/>
      <c r="H4488" s="645"/>
      <c r="I4488" s="355"/>
      <c r="L4488" s="140"/>
    </row>
    <row r="4489">
      <c r="A4489" s="645"/>
      <c r="B4489" s="1224"/>
      <c r="C4489" s="1225"/>
      <c r="D4489" s="1226"/>
      <c r="E4489" s="1227"/>
      <c r="F4489" s="1225"/>
      <c r="G4489" s="645"/>
      <c r="H4489" s="645"/>
      <c r="I4489" s="355"/>
      <c r="L4489" s="140"/>
    </row>
    <row r="4490">
      <c r="A4490" s="645"/>
      <c r="B4490" s="1224"/>
      <c r="C4490" s="1225"/>
      <c r="D4490" s="1226"/>
      <c r="E4490" s="1227"/>
      <c r="F4490" s="1225"/>
      <c r="G4490" s="645"/>
      <c r="H4490" s="645"/>
      <c r="I4490" s="355"/>
      <c r="L4490" s="140"/>
    </row>
    <row r="4491">
      <c r="A4491" s="645"/>
      <c r="B4491" s="1224"/>
      <c r="C4491" s="1225"/>
      <c r="D4491" s="1226"/>
      <c r="E4491" s="1227"/>
      <c r="F4491" s="1225"/>
      <c r="G4491" s="645"/>
      <c r="H4491" s="645"/>
      <c r="I4491" s="355"/>
      <c r="L4491" s="140"/>
    </row>
    <row r="4492">
      <c r="A4492" s="645"/>
      <c r="B4492" s="1224"/>
      <c r="C4492" s="1225"/>
      <c r="D4492" s="1226"/>
      <c r="E4492" s="1227"/>
      <c r="F4492" s="1225"/>
      <c r="G4492" s="645"/>
      <c r="H4492" s="645"/>
      <c r="I4492" s="355"/>
      <c r="L4492" s="140"/>
    </row>
    <row r="4493">
      <c r="A4493" s="645"/>
      <c r="B4493" s="1224"/>
      <c r="C4493" s="1225"/>
      <c r="D4493" s="1226"/>
      <c r="E4493" s="1227"/>
      <c r="F4493" s="1225"/>
      <c r="G4493" s="645"/>
      <c r="H4493" s="645"/>
      <c r="I4493" s="355"/>
      <c r="L4493" s="140"/>
    </row>
    <row r="4494">
      <c r="A4494" s="645"/>
      <c r="B4494" s="1224"/>
      <c r="C4494" s="1225"/>
      <c r="D4494" s="1226"/>
      <c r="E4494" s="1227"/>
      <c r="F4494" s="1225"/>
      <c r="G4494" s="645"/>
      <c r="H4494" s="645"/>
      <c r="I4494" s="355"/>
      <c r="L4494" s="140"/>
    </row>
    <row r="4495">
      <c r="A4495" s="645"/>
      <c r="B4495" s="1224"/>
      <c r="C4495" s="1225"/>
      <c r="D4495" s="1226"/>
      <c r="E4495" s="1227"/>
      <c r="F4495" s="1225"/>
      <c r="G4495" s="645"/>
      <c r="H4495" s="645"/>
      <c r="I4495" s="355"/>
      <c r="L4495" s="140"/>
    </row>
    <row r="4496">
      <c r="A4496" s="645"/>
      <c r="B4496" s="1224"/>
      <c r="C4496" s="1225"/>
      <c r="D4496" s="1226"/>
      <c r="E4496" s="1227"/>
      <c r="F4496" s="1225"/>
      <c r="G4496" s="645"/>
      <c r="H4496" s="645"/>
      <c r="I4496" s="355"/>
      <c r="L4496" s="140"/>
    </row>
    <row r="4497">
      <c r="A4497" s="645"/>
      <c r="B4497" s="1224"/>
      <c r="C4497" s="1225"/>
      <c r="D4497" s="1226"/>
      <c r="E4497" s="1227"/>
      <c r="F4497" s="1225"/>
      <c r="G4497" s="645"/>
      <c r="H4497" s="645"/>
      <c r="I4497" s="355"/>
      <c r="L4497" s="140"/>
    </row>
    <row r="4498">
      <c r="A4498" s="645"/>
      <c r="B4498" s="1224"/>
      <c r="C4498" s="1225"/>
      <c r="D4498" s="1226"/>
      <c r="E4498" s="1227"/>
      <c r="F4498" s="1225"/>
      <c r="G4498" s="645"/>
      <c r="H4498" s="645"/>
      <c r="I4498" s="355"/>
      <c r="L4498" s="140"/>
    </row>
    <row r="4499">
      <c r="A4499" s="645"/>
      <c r="B4499" s="1224"/>
      <c r="C4499" s="1225"/>
      <c r="D4499" s="1226"/>
      <c r="E4499" s="1227"/>
      <c r="F4499" s="1225"/>
      <c r="G4499" s="645"/>
      <c r="H4499" s="645"/>
      <c r="I4499" s="355"/>
      <c r="L4499" s="140"/>
    </row>
    <row r="4500">
      <c r="A4500" s="645"/>
      <c r="B4500" s="1224"/>
      <c r="C4500" s="1225"/>
      <c r="D4500" s="1226"/>
      <c r="E4500" s="1227"/>
      <c r="F4500" s="1225"/>
      <c r="G4500" s="645"/>
      <c r="H4500" s="645"/>
      <c r="I4500" s="355"/>
      <c r="L4500" s="140"/>
    </row>
    <row r="4501">
      <c r="A4501" s="645"/>
      <c r="B4501" s="1224"/>
      <c r="C4501" s="1225"/>
      <c r="D4501" s="1226"/>
      <c r="E4501" s="1227"/>
      <c r="F4501" s="1225"/>
      <c r="G4501" s="645"/>
      <c r="H4501" s="645"/>
      <c r="I4501" s="355"/>
      <c r="L4501" s="140"/>
    </row>
    <row r="4502">
      <c r="A4502" s="645"/>
      <c r="B4502" s="1224"/>
      <c r="C4502" s="1225"/>
      <c r="D4502" s="1226"/>
      <c r="E4502" s="1227"/>
      <c r="F4502" s="1225"/>
      <c r="G4502" s="645"/>
      <c r="H4502" s="645"/>
      <c r="I4502" s="355"/>
      <c r="L4502" s="140"/>
    </row>
    <row r="4503">
      <c r="A4503" s="645"/>
      <c r="B4503" s="1224"/>
      <c r="C4503" s="1225"/>
      <c r="D4503" s="1226"/>
      <c r="E4503" s="1227"/>
      <c r="F4503" s="1225"/>
      <c r="G4503" s="645"/>
      <c r="H4503" s="645"/>
      <c r="I4503" s="355"/>
      <c r="L4503" s="140"/>
    </row>
    <row r="4504">
      <c r="A4504" s="645"/>
      <c r="B4504" s="1224"/>
      <c r="C4504" s="1225"/>
      <c r="D4504" s="1226"/>
      <c r="E4504" s="1227"/>
      <c r="F4504" s="1225"/>
      <c r="G4504" s="645"/>
      <c r="H4504" s="645"/>
      <c r="I4504" s="355"/>
      <c r="L4504" s="140"/>
    </row>
    <row r="4505">
      <c r="A4505" s="645"/>
      <c r="B4505" s="1224"/>
      <c r="C4505" s="1225"/>
      <c r="D4505" s="1226"/>
      <c r="E4505" s="1227"/>
      <c r="F4505" s="1225"/>
      <c r="G4505" s="645"/>
      <c r="H4505" s="645"/>
      <c r="I4505" s="355"/>
      <c r="L4505" s="140"/>
    </row>
    <row r="4506">
      <c r="A4506" s="645"/>
      <c r="B4506" s="1224"/>
      <c r="C4506" s="1225"/>
      <c r="D4506" s="1226"/>
      <c r="E4506" s="1227"/>
      <c r="F4506" s="1225"/>
      <c r="G4506" s="645"/>
      <c r="H4506" s="645"/>
      <c r="I4506" s="355"/>
      <c r="L4506" s="140"/>
    </row>
    <row r="4507">
      <c r="A4507" s="645"/>
      <c r="B4507" s="1224"/>
      <c r="C4507" s="1225"/>
      <c r="D4507" s="1226"/>
      <c r="E4507" s="1227"/>
      <c r="F4507" s="1225"/>
      <c r="G4507" s="645"/>
      <c r="H4507" s="645"/>
      <c r="I4507" s="355"/>
      <c r="L4507" s="140"/>
    </row>
    <row r="4508">
      <c r="A4508" s="645"/>
      <c r="B4508" s="1224"/>
      <c r="C4508" s="1225"/>
      <c r="D4508" s="1226"/>
      <c r="E4508" s="1227"/>
      <c r="F4508" s="1225"/>
      <c r="G4508" s="645"/>
      <c r="H4508" s="645"/>
      <c r="I4508" s="355"/>
      <c r="L4508" s="140"/>
    </row>
    <row r="4509">
      <c r="A4509" s="645"/>
      <c r="B4509" s="1224"/>
      <c r="C4509" s="1225"/>
      <c r="D4509" s="1226"/>
      <c r="E4509" s="1227"/>
      <c r="F4509" s="1225"/>
      <c r="G4509" s="645"/>
      <c r="H4509" s="645"/>
      <c r="I4509" s="355"/>
      <c r="L4509" s="140"/>
    </row>
    <row r="4510">
      <c r="A4510" s="645"/>
      <c r="B4510" s="1224"/>
      <c r="C4510" s="1225"/>
      <c r="D4510" s="1226"/>
      <c r="E4510" s="1227"/>
      <c r="F4510" s="1225"/>
      <c r="G4510" s="645"/>
      <c r="H4510" s="645"/>
      <c r="I4510" s="355"/>
      <c r="L4510" s="140"/>
    </row>
    <row r="4511">
      <c r="A4511" s="645"/>
      <c r="B4511" s="1224"/>
      <c r="C4511" s="1225"/>
      <c r="D4511" s="1226"/>
      <c r="E4511" s="1227"/>
      <c r="F4511" s="1225"/>
      <c r="G4511" s="645"/>
      <c r="H4511" s="645"/>
      <c r="I4511" s="355"/>
      <c r="L4511" s="140"/>
    </row>
    <row r="4512">
      <c r="A4512" s="645"/>
      <c r="B4512" s="1224"/>
      <c r="C4512" s="1225"/>
      <c r="D4512" s="1226"/>
      <c r="E4512" s="1227"/>
      <c r="F4512" s="1225"/>
      <c r="G4512" s="645"/>
      <c r="H4512" s="645"/>
      <c r="I4512" s="355"/>
      <c r="L4512" s="140"/>
    </row>
    <row r="4513">
      <c r="A4513" s="645"/>
      <c r="B4513" s="1224"/>
      <c r="C4513" s="1225"/>
      <c r="D4513" s="1226"/>
      <c r="E4513" s="1227"/>
      <c r="F4513" s="1225"/>
      <c r="G4513" s="645"/>
      <c r="H4513" s="645"/>
      <c r="I4513" s="355"/>
      <c r="L4513" s="140"/>
    </row>
    <row r="4514">
      <c r="A4514" s="645"/>
      <c r="B4514" s="1224"/>
      <c r="C4514" s="1225"/>
      <c r="D4514" s="1226"/>
      <c r="E4514" s="1227"/>
      <c r="F4514" s="1225"/>
      <c r="G4514" s="645"/>
      <c r="H4514" s="645"/>
      <c r="I4514" s="355"/>
      <c r="L4514" s="140"/>
    </row>
    <row r="4515">
      <c r="A4515" s="645"/>
      <c r="B4515" s="1224"/>
      <c r="C4515" s="1225"/>
      <c r="D4515" s="1226"/>
      <c r="E4515" s="1227"/>
      <c r="F4515" s="1225"/>
      <c r="G4515" s="645"/>
      <c r="H4515" s="645"/>
      <c r="I4515" s="355"/>
      <c r="L4515" s="140"/>
    </row>
    <row r="4516">
      <c r="A4516" s="645"/>
      <c r="B4516" s="1224"/>
      <c r="C4516" s="1225"/>
      <c r="D4516" s="1226"/>
      <c r="E4516" s="1227"/>
      <c r="F4516" s="1225"/>
      <c r="G4516" s="645"/>
      <c r="H4516" s="645"/>
      <c r="I4516" s="355"/>
      <c r="L4516" s="140"/>
    </row>
    <row r="4517">
      <c r="A4517" s="645"/>
      <c r="B4517" s="1224"/>
      <c r="C4517" s="1225"/>
      <c r="D4517" s="1226"/>
      <c r="E4517" s="1227"/>
      <c r="F4517" s="1225"/>
      <c r="G4517" s="645"/>
      <c r="H4517" s="645"/>
      <c r="I4517" s="355"/>
      <c r="L4517" s="140"/>
    </row>
    <row r="4518">
      <c r="A4518" s="645"/>
      <c r="B4518" s="1224"/>
      <c r="C4518" s="1225"/>
      <c r="D4518" s="1226"/>
      <c r="E4518" s="1227"/>
      <c r="F4518" s="1225"/>
      <c r="G4518" s="645"/>
      <c r="H4518" s="645"/>
      <c r="I4518" s="355"/>
      <c r="L4518" s="140"/>
    </row>
    <row r="4519">
      <c r="A4519" s="645"/>
      <c r="B4519" s="1224"/>
      <c r="C4519" s="1225"/>
      <c r="D4519" s="1226"/>
      <c r="E4519" s="1227"/>
      <c r="F4519" s="1225"/>
      <c r="G4519" s="645"/>
      <c r="H4519" s="645"/>
      <c r="I4519" s="355"/>
      <c r="L4519" s="140"/>
    </row>
    <row r="4520">
      <c r="A4520" s="645"/>
      <c r="B4520" s="1224"/>
      <c r="C4520" s="1225"/>
      <c r="D4520" s="1226"/>
      <c r="E4520" s="1227"/>
      <c r="F4520" s="1225"/>
      <c r="G4520" s="645"/>
      <c r="H4520" s="645"/>
      <c r="I4520" s="355"/>
      <c r="L4520" s="140"/>
    </row>
    <row r="4521">
      <c r="A4521" s="645"/>
      <c r="B4521" s="1224"/>
      <c r="C4521" s="1225"/>
      <c r="D4521" s="1226"/>
      <c r="E4521" s="1227"/>
      <c r="F4521" s="1225"/>
      <c r="G4521" s="645"/>
      <c r="H4521" s="645"/>
      <c r="I4521" s="355"/>
      <c r="L4521" s="140"/>
    </row>
    <row r="4522">
      <c r="A4522" s="645"/>
      <c r="B4522" s="1224"/>
      <c r="C4522" s="1225"/>
      <c r="D4522" s="1226"/>
      <c r="E4522" s="1227"/>
      <c r="F4522" s="1225"/>
      <c r="G4522" s="645"/>
      <c r="H4522" s="645"/>
      <c r="I4522" s="355"/>
      <c r="L4522" s="140"/>
    </row>
    <row r="4523">
      <c r="A4523" s="645"/>
      <c r="B4523" s="1224"/>
      <c r="C4523" s="1225"/>
      <c r="D4523" s="1226"/>
      <c r="E4523" s="1227"/>
      <c r="F4523" s="1225"/>
      <c r="G4523" s="645"/>
      <c r="H4523" s="645"/>
      <c r="I4523" s="355"/>
      <c r="L4523" s="140"/>
    </row>
    <row r="4524">
      <c r="A4524" s="645"/>
      <c r="B4524" s="1224"/>
      <c r="C4524" s="1225"/>
      <c r="D4524" s="1226"/>
      <c r="E4524" s="1227"/>
      <c r="F4524" s="1225"/>
      <c r="G4524" s="645"/>
      <c r="H4524" s="645"/>
      <c r="I4524" s="355"/>
      <c r="L4524" s="140"/>
    </row>
    <row r="4525">
      <c r="A4525" s="645"/>
      <c r="B4525" s="1224"/>
      <c r="C4525" s="1225"/>
      <c r="D4525" s="1226"/>
      <c r="E4525" s="1227"/>
      <c r="F4525" s="1225"/>
      <c r="G4525" s="645"/>
      <c r="H4525" s="645"/>
      <c r="I4525" s="355"/>
      <c r="L4525" s="140"/>
    </row>
    <row r="4526">
      <c r="A4526" s="645"/>
      <c r="B4526" s="1224"/>
      <c r="C4526" s="1225"/>
      <c r="D4526" s="1226"/>
      <c r="E4526" s="1227"/>
      <c r="F4526" s="1225"/>
      <c r="G4526" s="645"/>
      <c r="H4526" s="645"/>
      <c r="I4526" s="355"/>
      <c r="L4526" s="140"/>
    </row>
    <row r="4527">
      <c r="A4527" s="645"/>
      <c r="B4527" s="1224"/>
      <c r="C4527" s="1225"/>
      <c r="D4527" s="1226"/>
      <c r="E4527" s="1227"/>
      <c r="F4527" s="1225"/>
      <c r="G4527" s="645"/>
      <c r="H4527" s="645"/>
      <c r="I4527" s="355"/>
      <c r="L4527" s="140"/>
    </row>
    <row r="4528">
      <c r="A4528" s="645"/>
      <c r="B4528" s="1224"/>
      <c r="C4528" s="1225"/>
      <c r="D4528" s="1226"/>
      <c r="E4528" s="1227"/>
      <c r="F4528" s="1225"/>
      <c r="G4528" s="645"/>
      <c r="H4528" s="645"/>
      <c r="I4528" s="355"/>
      <c r="L4528" s="140"/>
    </row>
    <row r="4529">
      <c r="A4529" s="645"/>
      <c r="B4529" s="1224"/>
      <c r="C4529" s="1225"/>
      <c r="D4529" s="1226"/>
      <c r="E4529" s="1227"/>
      <c r="F4529" s="1225"/>
      <c r="G4529" s="645"/>
      <c r="H4529" s="645"/>
      <c r="I4529" s="355"/>
      <c r="L4529" s="140"/>
    </row>
    <row r="4530">
      <c r="A4530" s="645"/>
      <c r="B4530" s="1224"/>
      <c r="C4530" s="1225"/>
      <c r="D4530" s="1226"/>
      <c r="E4530" s="1227"/>
      <c r="F4530" s="1225"/>
      <c r="G4530" s="645"/>
      <c r="H4530" s="645"/>
      <c r="I4530" s="355"/>
      <c r="L4530" s="140"/>
    </row>
    <row r="4531">
      <c r="A4531" s="645"/>
      <c r="B4531" s="1224"/>
      <c r="C4531" s="1225"/>
      <c r="D4531" s="1226"/>
      <c r="E4531" s="1227"/>
      <c r="F4531" s="1225"/>
      <c r="G4531" s="645"/>
      <c r="H4531" s="645"/>
      <c r="I4531" s="355"/>
      <c r="L4531" s="140"/>
    </row>
    <row r="4532">
      <c r="A4532" s="645"/>
      <c r="B4532" s="1224"/>
      <c r="C4532" s="1225"/>
      <c r="D4532" s="1226"/>
      <c r="E4532" s="1227"/>
      <c r="F4532" s="1225"/>
      <c r="G4532" s="645"/>
      <c r="H4532" s="645"/>
      <c r="I4532" s="355"/>
      <c r="L4532" s="140"/>
    </row>
    <row r="4533">
      <c r="A4533" s="645"/>
      <c r="B4533" s="1224"/>
      <c r="C4533" s="1225"/>
      <c r="D4533" s="1226"/>
      <c r="E4533" s="1227"/>
      <c r="F4533" s="1225"/>
      <c r="G4533" s="645"/>
      <c r="H4533" s="645"/>
      <c r="I4533" s="355"/>
      <c r="L4533" s="140"/>
    </row>
    <row r="4534">
      <c r="A4534" s="645"/>
      <c r="B4534" s="1224"/>
      <c r="C4534" s="1225"/>
      <c r="D4534" s="1226"/>
      <c r="E4534" s="1227"/>
      <c r="F4534" s="1225"/>
      <c r="G4534" s="645"/>
      <c r="H4534" s="645"/>
      <c r="I4534" s="355"/>
      <c r="L4534" s="140"/>
    </row>
    <row r="4535">
      <c r="A4535" s="645"/>
      <c r="B4535" s="1224"/>
      <c r="C4535" s="1225"/>
      <c r="D4535" s="1226"/>
      <c r="E4535" s="1227"/>
      <c r="F4535" s="1225"/>
      <c r="G4535" s="645"/>
      <c r="H4535" s="645"/>
      <c r="I4535" s="355"/>
      <c r="L4535" s="140"/>
    </row>
    <row r="4536">
      <c r="A4536" s="645"/>
      <c r="B4536" s="1224"/>
      <c r="C4536" s="1225"/>
      <c r="D4536" s="1226"/>
      <c r="E4536" s="1227"/>
      <c r="F4536" s="1225"/>
      <c r="G4536" s="645"/>
      <c r="H4536" s="645"/>
      <c r="I4536" s="355"/>
      <c r="L4536" s="140"/>
    </row>
    <row r="4537">
      <c r="A4537" s="645"/>
      <c r="B4537" s="1224"/>
      <c r="C4537" s="1225"/>
      <c r="D4537" s="1226"/>
      <c r="E4537" s="1227"/>
      <c r="F4537" s="1225"/>
      <c r="G4537" s="645"/>
      <c r="H4537" s="645"/>
      <c r="I4537" s="355"/>
      <c r="L4537" s="140"/>
    </row>
    <row r="4538">
      <c r="A4538" s="645"/>
      <c r="B4538" s="1224"/>
      <c r="C4538" s="1225"/>
      <c r="D4538" s="1226"/>
      <c r="E4538" s="1227"/>
      <c r="F4538" s="1225"/>
      <c r="G4538" s="645"/>
      <c r="H4538" s="645"/>
      <c r="I4538" s="355"/>
      <c r="L4538" s="140"/>
    </row>
    <row r="4539">
      <c r="A4539" s="645"/>
      <c r="B4539" s="1224"/>
      <c r="C4539" s="1225"/>
      <c r="D4539" s="1226"/>
      <c r="E4539" s="1227"/>
      <c r="F4539" s="1225"/>
      <c r="G4539" s="645"/>
      <c r="H4539" s="645"/>
      <c r="I4539" s="355"/>
      <c r="L4539" s="140"/>
    </row>
    <row r="4540">
      <c r="A4540" s="645"/>
      <c r="B4540" s="1224"/>
      <c r="C4540" s="1225"/>
      <c r="D4540" s="1226"/>
      <c r="E4540" s="1227"/>
      <c r="F4540" s="1225"/>
      <c r="G4540" s="645"/>
      <c r="H4540" s="645"/>
      <c r="I4540" s="355"/>
      <c r="L4540" s="140"/>
    </row>
    <row r="4541">
      <c r="A4541" s="645"/>
      <c r="B4541" s="1224"/>
      <c r="C4541" s="1225"/>
      <c r="D4541" s="1226"/>
      <c r="E4541" s="1227"/>
      <c r="F4541" s="1225"/>
      <c r="G4541" s="645"/>
      <c r="H4541" s="645"/>
      <c r="I4541" s="355"/>
      <c r="L4541" s="140"/>
    </row>
    <row r="4542">
      <c r="A4542" s="645"/>
      <c r="B4542" s="1224"/>
      <c r="C4542" s="1225"/>
      <c r="D4542" s="1226"/>
      <c r="E4542" s="1227"/>
      <c r="F4542" s="1225"/>
      <c r="G4542" s="645"/>
      <c r="H4542" s="645"/>
      <c r="I4542" s="355"/>
      <c r="L4542" s="140"/>
    </row>
    <row r="4543">
      <c r="A4543" s="645"/>
      <c r="B4543" s="1224"/>
      <c r="C4543" s="1225"/>
      <c r="D4543" s="1226"/>
      <c r="E4543" s="1227"/>
      <c r="F4543" s="1225"/>
      <c r="G4543" s="645"/>
      <c r="H4543" s="645"/>
      <c r="I4543" s="355"/>
      <c r="L4543" s="140"/>
    </row>
    <row r="4544">
      <c r="A4544" s="645"/>
      <c r="B4544" s="1224"/>
      <c r="C4544" s="1225"/>
      <c r="D4544" s="1226"/>
      <c r="E4544" s="1227"/>
      <c r="F4544" s="1225"/>
      <c r="G4544" s="645"/>
      <c r="H4544" s="645"/>
      <c r="I4544" s="355"/>
      <c r="L4544" s="140"/>
    </row>
    <row r="4545">
      <c r="A4545" s="645"/>
      <c r="B4545" s="1224"/>
      <c r="C4545" s="1225"/>
      <c r="D4545" s="1226"/>
      <c r="E4545" s="1227"/>
      <c r="F4545" s="1225"/>
      <c r="G4545" s="645"/>
      <c r="H4545" s="645"/>
      <c r="I4545" s="355"/>
      <c r="L4545" s="140"/>
    </row>
    <row r="4546">
      <c r="A4546" s="645"/>
      <c r="B4546" s="1224"/>
      <c r="C4546" s="1225"/>
      <c r="D4546" s="1226"/>
      <c r="E4546" s="1227"/>
      <c r="F4546" s="1225"/>
      <c r="G4546" s="645"/>
      <c r="H4546" s="645"/>
      <c r="I4546" s="355"/>
      <c r="L4546" s="140"/>
    </row>
    <row r="4547">
      <c r="A4547" s="645"/>
      <c r="B4547" s="1224"/>
      <c r="C4547" s="1225"/>
      <c r="D4547" s="1226"/>
      <c r="E4547" s="1227"/>
      <c r="F4547" s="1225"/>
      <c r="G4547" s="645"/>
      <c r="H4547" s="645"/>
      <c r="I4547" s="355"/>
      <c r="L4547" s="140"/>
    </row>
    <row r="4548">
      <c r="A4548" s="645"/>
      <c r="B4548" s="1224"/>
      <c r="C4548" s="1225"/>
      <c r="D4548" s="1226"/>
      <c r="E4548" s="1227"/>
      <c r="F4548" s="1225"/>
      <c r="G4548" s="645"/>
      <c r="H4548" s="645"/>
      <c r="I4548" s="355"/>
      <c r="L4548" s="140"/>
    </row>
    <row r="4549">
      <c r="A4549" s="645"/>
      <c r="B4549" s="1224"/>
      <c r="C4549" s="1225"/>
      <c r="D4549" s="1226"/>
      <c r="E4549" s="1227"/>
      <c r="F4549" s="1225"/>
      <c r="G4549" s="645"/>
      <c r="H4549" s="645"/>
      <c r="I4549" s="355"/>
      <c r="L4549" s="140"/>
    </row>
    <row r="4550">
      <c r="A4550" s="645"/>
      <c r="B4550" s="1224"/>
      <c r="C4550" s="1225"/>
      <c r="D4550" s="1226"/>
      <c r="E4550" s="1227"/>
      <c r="F4550" s="1225"/>
      <c r="G4550" s="645"/>
      <c r="H4550" s="645"/>
      <c r="I4550" s="355"/>
      <c r="L4550" s="140"/>
    </row>
    <row r="4551">
      <c r="A4551" s="645"/>
      <c r="B4551" s="1224"/>
      <c r="C4551" s="1225"/>
      <c r="D4551" s="1226"/>
      <c r="E4551" s="1227"/>
      <c r="F4551" s="1225"/>
      <c r="G4551" s="645"/>
      <c r="H4551" s="645"/>
      <c r="I4551" s="355"/>
      <c r="L4551" s="140"/>
    </row>
    <row r="4552">
      <c r="A4552" s="645"/>
      <c r="B4552" s="1224"/>
      <c r="C4552" s="1225"/>
      <c r="D4552" s="1226"/>
      <c r="E4552" s="1227"/>
      <c r="F4552" s="1225"/>
      <c r="G4552" s="645"/>
      <c r="H4552" s="645"/>
      <c r="I4552" s="355"/>
      <c r="L4552" s="140"/>
    </row>
    <row r="4553">
      <c r="A4553" s="645"/>
      <c r="B4553" s="1224"/>
      <c r="C4553" s="1225"/>
      <c r="D4553" s="1226"/>
      <c r="E4553" s="1227"/>
      <c r="F4553" s="1225"/>
      <c r="G4553" s="645"/>
      <c r="H4553" s="645"/>
      <c r="I4553" s="355"/>
      <c r="L4553" s="140"/>
    </row>
    <row r="4554">
      <c r="A4554" s="645"/>
      <c r="B4554" s="1224"/>
      <c r="C4554" s="1225"/>
      <c r="D4554" s="1226"/>
      <c r="E4554" s="1227"/>
      <c r="F4554" s="1225"/>
      <c r="G4554" s="645"/>
      <c r="H4554" s="645"/>
      <c r="I4554" s="355"/>
      <c r="L4554" s="140"/>
    </row>
    <row r="4555">
      <c r="A4555" s="645"/>
      <c r="B4555" s="1224"/>
      <c r="C4555" s="1225"/>
      <c r="D4555" s="1226"/>
      <c r="E4555" s="1227"/>
      <c r="F4555" s="1225"/>
      <c r="G4555" s="645"/>
      <c r="H4555" s="645"/>
      <c r="I4555" s="355"/>
      <c r="L4555" s="140"/>
    </row>
    <row r="4556">
      <c r="A4556" s="645"/>
      <c r="B4556" s="1224"/>
      <c r="C4556" s="1225"/>
      <c r="D4556" s="1226"/>
      <c r="E4556" s="1227"/>
      <c r="F4556" s="1225"/>
      <c r="G4556" s="645"/>
      <c r="H4556" s="645"/>
      <c r="I4556" s="355"/>
      <c r="L4556" s="140"/>
    </row>
    <row r="4557">
      <c r="A4557" s="645"/>
      <c r="B4557" s="1224"/>
      <c r="C4557" s="1225"/>
      <c r="D4557" s="1226"/>
      <c r="E4557" s="1227"/>
      <c r="F4557" s="1225"/>
      <c r="G4557" s="645"/>
      <c r="H4557" s="645"/>
      <c r="I4557" s="355"/>
      <c r="L4557" s="140"/>
    </row>
    <row r="4558">
      <c r="A4558" s="645"/>
      <c r="B4558" s="1224"/>
      <c r="C4558" s="1225"/>
      <c r="D4558" s="1226"/>
      <c r="E4558" s="1227"/>
      <c r="F4558" s="1225"/>
      <c r="G4558" s="645"/>
      <c r="H4558" s="645"/>
      <c r="I4558" s="355"/>
      <c r="L4558" s="140"/>
    </row>
    <row r="4559">
      <c r="A4559" s="645"/>
      <c r="B4559" s="1224"/>
      <c r="C4559" s="1225"/>
      <c r="D4559" s="1226"/>
      <c r="E4559" s="1227"/>
      <c r="F4559" s="1225"/>
      <c r="G4559" s="645"/>
      <c r="H4559" s="645"/>
      <c r="I4559" s="355"/>
      <c r="L4559" s="140"/>
    </row>
    <row r="4560">
      <c r="A4560" s="645"/>
      <c r="B4560" s="1224"/>
      <c r="C4560" s="1225"/>
      <c r="D4560" s="1226"/>
      <c r="E4560" s="1227"/>
      <c r="F4560" s="1225"/>
      <c r="G4560" s="645"/>
      <c r="H4560" s="645"/>
      <c r="I4560" s="355"/>
      <c r="L4560" s="140"/>
    </row>
    <row r="4561">
      <c r="A4561" s="645"/>
      <c r="B4561" s="1224"/>
      <c r="C4561" s="1225"/>
      <c r="D4561" s="1226"/>
      <c r="E4561" s="1227"/>
      <c r="F4561" s="1225"/>
      <c r="G4561" s="645"/>
      <c r="H4561" s="645"/>
      <c r="I4561" s="355"/>
      <c r="L4561" s="140"/>
    </row>
    <row r="4562">
      <c r="A4562" s="645"/>
      <c r="B4562" s="1224"/>
      <c r="C4562" s="1225"/>
      <c r="D4562" s="1226"/>
      <c r="E4562" s="1227"/>
      <c r="F4562" s="1225"/>
      <c r="G4562" s="645"/>
      <c r="H4562" s="645"/>
      <c r="I4562" s="355"/>
      <c r="L4562" s="140"/>
    </row>
    <row r="4563">
      <c r="A4563" s="645"/>
      <c r="B4563" s="1224"/>
      <c r="C4563" s="1225"/>
      <c r="D4563" s="1226"/>
      <c r="E4563" s="1227"/>
      <c r="F4563" s="1225"/>
      <c r="G4563" s="645"/>
      <c r="H4563" s="645"/>
      <c r="I4563" s="355"/>
      <c r="L4563" s="140"/>
    </row>
    <row r="4564">
      <c r="A4564" s="645"/>
      <c r="B4564" s="1224"/>
      <c r="C4564" s="1225"/>
      <c r="D4564" s="1226"/>
      <c r="E4564" s="1227"/>
      <c r="F4564" s="1225"/>
      <c r="G4564" s="645"/>
      <c r="H4564" s="645"/>
      <c r="I4564" s="355"/>
      <c r="L4564" s="140"/>
    </row>
    <row r="4565">
      <c r="A4565" s="645"/>
      <c r="B4565" s="1224"/>
      <c r="C4565" s="1225"/>
      <c r="D4565" s="1226"/>
      <c r="E4565" s="1227"/>
      <c r="F4565" s="1225"/>
      <c r="G4565" s="645"/>
      <c r="H4565" s="645"/>
      <c r="I4565" s="355"/>
      <c r="L4565" s="140"/>
    </row>
    <row r="4566">
      <c r="A4566" s="645"/>
      <c r="B4566" s="1224"/>
      <c r="C4566" s="1225"/>
      <c r="D4566" s="1226"/>
      <c r="E4566" s="1227"/>
      <c r="F4566" s="1225"/>
      <c r="G4566" s="645"/>
      <c r="H4566" s="645"/>
      <c r="I4566" s="355"/>
      <c r="L4566" s="140"/>
    </row>
  </sheetData>
  <mergeCells count="124">
    <mergeCell ref="A1:H1"/>
    <mergeCell ref="A5:H5"/>
    <mergeCell ref="A10:H10"/>
    <mergeCell ref="A14:H14"/>
    <mergeCell ref="A20:H20"/>
    <mergeCell ref="A55:H55"/>
    <mergeCell ref="A90:H90"/>
    <mergeCell ref="A117:H117"/>
    <mergeCell ref="A140:H140"/>
    <mergeCell ref="A179:G179"/>
    <mergeCell ref="A206:O206"/>
    <mergeCell ref="A241:O241"/>
    <mergeCell ref="A261:O261"/>
    <mergeCell ref="A281:O281"/>
    <mergeCell ref="A357:O357"/>
    <mergeCell ref="A376:O376"/>
    <mergeCell ref="A420:O420"/>
    <mergeCell ref="A497:P497"/>
    <mergeCell ref="A547:P547"/>
    <mergeCell ref="A580:P580"/>
    <mergeCell ref="A634:P634"/>
    <mergeCell ref="A681:P681"/>
    <mergeCell ref="A707:P707"/>
    <mergeCell ref="A798:P798"/>
    <mergeCell ref="A816:P816"/>
    <mergeCell ref="A840:P840"/>
    <mergeCell ref="A892:P892"/>
    <mergeCell ref="A937:P937"/>
    <mergeCell ref="A983:P983"/>
    <mergeCell ref="B1024:Q1024"/>
    <mergeCell ref="A1066:P1066"/>
    <mergeCell ref="A1085:P1085"/>
    <mergeCell ref="A1125:P1125"/>
    <mergeCell ref="A1141:P1141"/>
    <mergeCell ref="A1167:P1167"/>
    <mergeCell ref="A1173:P1173"/>
    <mergeCell ref="A1225:P1225"/>
    <mergeCell ref="A1243:P1243"/>
    <mergeCell ref="A1269:P1269"/>
    <mergeCell ref="A1303:P1303"/>
    <mergeCell ref="A1321:P1321"/>
    <mergeCell ref="A1371:P1371"/>
    <mergeCell ref="A1396:P1396"/>
    <mergeCell ref="A1406:P1406"/>
    <mergeCell ref="A1424:P1424"/>
    <mergeCell ref="A1496:P1496"/>
    <mergeCell ref="A1521:P1521"/>
    <mergeCell ref="A1570:P1570"/>
    <mergeCell ref="A1620:P1620"/>
    <mergeCell ref="A3277:P3277"/>
    <mergeCell ref="A3335:P3335"/>
    <mergeCell ref="A3385:P3385"/>
    <mergeCell ref="A3411:P3411"/>
    <mergeCell ref="A3437:P3437"/>
    <mergeCell ref="A3479:P3479"/>
    <mergeCell ref="A3529:P3529"/>
    <mergeCell ref="A3571:P3571"/>
    <mergeCell ref="A3605:P3605"/>
    <mergeCell ref="A3647:P3647"/>
    <mergeCell ref="A3689:P3689"/>
    <mergeCell ref="A3707:P3707"/>
    <mergeCell ref="B3741:Q3741"/>
    <mergeCell ref="A3757:P3757"/>
    <mergeCell ref="A4158:G4158"/>
    <mergeCell ref="A4161:G4161"/>
    <mergeCell ref="A4206:F4206"/>
    <mergeCell ref="A4224:F4224"/>
    <mergeCell ref="A4274:F4274"/>
    <mergeCell ref="A3815:P3815"/>
    <mergeCell ref="A3881:P3881"/>
    <mergeCell ref="A3963:P3963"/>
    <mergeCell ref="A3989:P3989"/>
    <mergeCell ref="A4023:G4023"/>
    <mergeCell ref="A4027:G4027"/>
    <mergeCell ref="A4085:H4085"/>
    <mergeCell ref="A1662:P1662"/>
    <mergeCell ref="A1687:P1687"/>
    <mergeCell ref="A1713:P1713"/>
    <mergeCell ref="A1755:P1755"/>
    <mergeCell ref="A1781:P1781"/>
    <mergeCell ref="A1799:P1799"/>
    <mergeCell ref="A1841:P1841"/>
    <mergeCell ref="A1861:P1861"/>
    <mergeCell ref="A1895:P1895"/>
    <mergeCell ref="A1937:P1937"/>
    <mergeCell ref="O1965:O1967"/>
    <mergeCell ref="A1971:P1971"/>
    <mergeCell ref="A1994:P1994"/>
    <mergeCell ref="A2024:P2024"/>
    <mergeCell ref="A2048:P2048"/>
    <mergeCell ref="A2083:P2083"/>
    <mergeCell ref="A2125:P2125"/>
    <mergeCell ref="A2151:P2151"/>
    <mergeCell ref="A2209:P2209"/>
    <mergeCell ref="A2243:P2243"/>
    <mergeCell ref="A2277:P2277"/>
    <mergeCell ref="A2327:P2327"/>
    <mergeCell ref="A2369:P2369"/>
    <mergeCell ref="A2395:P2395"/>
    <mergeCell ref="A2443:P2443"/>
    <mergeCell ref="J2475:K2475"/>
    <mergeCell ref="A2477:P2477"/>
    <mergeCell ref="B2518:Q2518"/>
    <mergeCell ref="B2560:Q2560"/>
    <mergeCell ref="B2595:Q2595"/>
    <mergeCell ref="B2636:Q2636"/>
    <mergeCell ref="A2670:P2670"/>
    <mergeCell ref="A2728:P2728"/>
    <mergeCell ref="A2754:P2754"/>
    <mergeCell ref="A2787:P2787"/>
    <mergeCell ref="A2837:P2837"/>
    <mergeCell ref="A2879:P2879"/>
    <mergeCell ref="A2897:P2897"/>
    <mergeCell ref="N2927:N2928"/>
    <mergeCell ref="A2939:P2939"/>
    <mergeCell ref="A2957:P2957"/>
    <mergeCell ref="N2997:N2998"/>
    <mergeCell ref="A2999:P2999"/>
    <mergeCell ref="A3009:P3009"/>
    <mergeCell ref="A3035:P3035"/>
    <mergeCell ref="A3061:P3061"/>
    <mergeCell ref="A3111:P3111"/>
    <mergeCell ref="A3193:P3193"/>
    <mergeCell ref="A3235:P3235"/>
  </mergeCells>
  <hyperlinks>
    <hyperlink r:id="rId1" ref="A2"/>
    <hyperlink r:id="rId2" ref="A6"/>
    <hyperlink r:id="rId3" ref="A11"/>
    <hyperlink r:id="rId4" ref="A15"/>
    <hyperlink r:id="rId5" ref="A21"/>
    <hyperlink r:id="rId6" ref="A56"/>
    <hyperlink r:id="rId7" ref="A91"/>
    <hyperlink r:id="rId8" ref="A118"/>
    <hyperlink r:id="rId9" ref="A141"/>
    <hyperlink r:id="rId10" ref="A180"/>
    <hyperlink r:id="rId11" ref="A207"/>
    <hyperlink r:id="rId12" ref="A242"/>
    <hyperlink r:id="rId13" ref="A262"/>
    <hyperlink r:id="rId14" ref="A282"/>
    <hyperlink r:id="rId15" ref="A358"/>
    <hyperlink r:id="rId16" ref="A377"/>
    <hyperlink r:id="rId17" ref="A421"/>
    <hyperlink r:id="rId18" ref="A446"/>
    <hyperlink r:id="rId19" ref="A498"/>
    <hyperlink r:id="rId20" ref="A548"/>
    <hyperlink r:id="rId21" ref="A581"/>
    <hyperlink r:id="rId22" ref="A635"/>
    <hyperlink r:id="rId23" ref="A682"/>
    <hyperlink r:id="rId24" ref="A817"/>
    <hyperlink r:id="rId25" ref="A1972"/>
    <hyperlink r:id="rId26" ref="A4225"/>
    <hyperlink r:id="rId27" ref="F4474"/>
  </hyperlinks>
  <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3" t="str">
        <f>IFERROR(__xludf.DUMMYFUNCTION("{IMPORTRANGE(""1VtZVtwNEQ1lYZ8oSh9K6KBuaAtjNhASA7BRnHiq7nkE"",""JANUARY!G2:J"");IMPORTRANGE(""1VtZVtwNEQ1lYZ8oSh9K6KBuaAtjNhASA7BRnHiq7nkE"",""FEBRUARY!G2:J"");IMPORTRANGE(""1VtZVtwNEQ1lYZ8oSh9K6KBuaAtjNhASA7BRnHiq7nkE"",""MARCH!G2:J"");IMPORTRANGE(""1VtZ"&amp;"VtwNEQ1lYZ8oSh9K6KBuaAtjNhASA7BRnHiq7nkE"",""APRIL!G2:J"");IMPORTRANGE(""1VtZVtwNEQ1lYZ8oSh9K6KBuaAtjNhASA7BRnHiq7nkE"",""MAY!G2:J"");IMPORTRANGE(""1VtZVtwNEQ1lYZ8oSh9K6KBuaAtjNhASA7BRnHiq7nkE"",""JUNE!G2:J"");IMPORTRANGE(""1VtZVtwNEQ1lYZ8oSh9K6KBuaAtjNhA"&amp;"SA7BRnHiq7nkE"",""JULY!G2:J"")}"),"ANDERSON ID")</f>
        <v>ANDERSON ID</v>
      </c>
      <c r="B1" s="153" t="str">
        <f>IFERROR(__xludf.DUMMYFUNCTION("""COMPUTED_VALUE"""),"CATEGORY")</f>
        <v>CATEGORY</v>
      </c>
      <c r="C1" s="153" t="str">
        <f>IFERROR(__xludf.DUMMYFUNCTION("""COMPUTED_VALUE"""),"RAW DATA RECEIVED")</f>
        <v>RAW DATA RECEIVED</v>
      </c>
      <c r="D1" s="153" t="str">
        <f>IFERROR(__xludf.DUMMYFUNCTION("""COMPUTED_VALUE"""),"ANDERSON TAT")</f>
        <v>ANDERSON TAT</v>
      </c>
    </row>
    <row r="2">
      <c r="A2" s="153" t="str">
        <f>IFERROR(__xludf.DUMMYFUNCTION("""COMPUTED_VALUE"""),"AND25020063505")</f>
        <v>AND25020063505</v>
      </c>
      <c r="B2" s="153" t="str">
        <f>IFERROR(__xludf.DUMMYFUNCTION("""COMPUTED_VALUE"""),"WES+WMGS")</f>
        <v>WES+WMGS</v>
      </c>
      <c r="C2" s="154">
        <f>IFERROR(__xludf.DUMMYFUNCTION("""COMPUTED_VALUE"""),46031.0)</f>
        <v>46031</v>
      </c>
      <c r="D2" s="154">
        <f>IFERROR(__xludf.DUMMYFUNCTION("""COMPUTED_VALUE"""),46054.0)</f>
        <v>46054</v>
      </c>
    </row>
    <row r="3">
      <c r="A3" s="153" t="str">
        <f>IFERROR(__xludf.DUMMYFUNCTION("""COMPUTED_VALUE"""),"AND25020063507")</f>
        <v>AND25020063507</v>
      </c>
      <c r="B3" s="153" t="str">
        <f>IFERROR(__xludf.DUMMYFUNCTION("""COMPUTED_VALUE"""),"WES+WMGS")</f>
        <v>WES+WMGS</v>
      </c>
      <c r="C3" s="154">
        <f>IFERROR(__xludf.DUMMYFUNCTION("""COMPUTED_VALUE"""),46031.0)</f>
        <v>46031</v>
      </c>
      <c r="D3" s="154">
        <f>IFERROR(__xludf.DUMMYFUNCTION("""COMPUTED_VALUE"""),46054.0)</f>
        <v>46054</v>
      </c>
    </row>
    <row r="4">
      <c r="A4" s="153" t="str">
        <f>IFERROR(__xludf.DUMMYFUNCTION("""COMPUTED_VALUE"""),"AND25410032666")</f>
        <v>AND25410032666</v>
      </c>
      <c r="B4" s="153" t="str">
        <f>IFERROR(__xludf.DUMMYFUNCTION("""COMPUTED_VALUE"""),"WES+WMGS")</f>
        <v>WES+WMGS</v>
      </c>
      <c r="C4" s="154">
        <f>IFERROR(__xludf.DUMMYFUNCTION("""COMPUTED_VALUE"""),46031.0)</f>
        <v>46031</v>
      </c>
      <c r="D4" s="154">
        <f>IFERROR(__xludf.DUMMYFUNCTION("""COMPUTED_VALUE"""),46053.0)</f>
        <v>46053</v>
      </c>
    </row>
    <row r="5">
      <c r="A5" s="153" t="str">
        <f>IFERROR(__xludf.DUMMYFUNCTION("""COMPUTED_VALUE"""),"ADB0000018249")</f>
        <v>ADB0000018249</v>
      </c>
      <c r="B5" s="153" t="str">
        <f>IFERROR(__xludf.DUMMYFUNCTION("""COMPUTED_VALUE"""),"WES")</f>
        <v>WES</v>
      </c>
      <c r="C5" s="154">
        <f>IFERROR(__xludf.DUMMYFUNCTION("""COMPUTED_VALUE"""),46031.0)</f>
        <v>46031</v>
      </c>
      <c r="D5" s="154">
        <f>IFERROR(__xludf.DUMMYFUNCTION("""COMPUTED_VALUE"""),46054.0)</f>
        <v>46054</v>
      </c>
    </row>
    <row r="6">
      <c r="A6" s="153" t="str">
        <f>IFERROR(__xludf.DUMMYFUNCTION("""COMPUTED_VALUE"""),"ADB0000018250")</f>
        <v>ADB0000018250</v>
      </c>
      <c r="B6" s="153" t="str">
        <f>IFERROR(__xludf.DUMMYFUNCTION("""COMPUTED_VALUE"""),"WES")</f>
        <v>WES</v>
      </c>
      <c r="C6" s="154">
        <f>IFERROR(__xludf.DUMMYFUNCTION("""COMPUTED_VALUE"""),46031.0)</f>
        <v>46031</v>
      </c>
      <c r="D6" s="154">
        <f>IFERROR(__xludf.DUMMYFUNCTION("""COMPUTED_VALUE"""),46054.0)</f>
        <v>46054</v>
      </c>
    </row>
    <row r="7">
      <c r="A7" s="153" t="str">
        <f>IFERROR(__xludf.DUMMYFUNCTION("""COMPUTED_VALUE"""),"ADB0000018299")</f>
        <v>ADB0000018299</v>
      </c>
      <c r="B7" s="153" t="str">
        <f>IFERROR(__xludf.DUMMYFUNCTION("""COMPUTED_VALUE"""),"WES")</f>
        <v>WES</v>
      </c>
      <c r="C7" s="154">
        <f>IFERROR(__xludf.DUMMYFUNCTION("""COMPUTED_VALUE"""),46031.0)</f>
        <v>46031</v>
      </c>
      <c r="D7" s="154">
        <f>IFERROR(__xludf.DUMMYFUNCTION("""COMPUTED_VALUE"""),46054.0)</f>
        <v>46054</v>
      </c>
    </row>
    <row r="8">
      <c r="A8" s="153" t="str">
        <f>IFERROR(__xludf.DUMMYFUNCTION("""COMPUTED_VALUE"""),"DCC0000001985")</f>
        <v>DCC0000001985</v>
      </c>
      <c r="B8" s="153" t="str">
        <f>IFERROR(__xludf.DUMMYFUNCTION("""COMPUTED_VALUE"""),"WES")</f>
        <v>WES</v>
      </c>
      <c r="C8" s="154">
        <f>IFERROR(__xludf.DUMMYFUNCTION("""COMPUTED_VALUE"""),46031.0)</f>
        <v>46031</v>
      </c>
      <c r="D8" s="154">
        <f>IFERROR(__xludf.DUMMYFUNCTION("""COMPUTED_VALUE"""),46054.0)</f>
        <v>46054</v>
      </c>
    </row>
    <row r="9">
      <c r="A9" s="153" t="str">
        <f>IFERROR(__xludf.DUMMYFUNCTION("""COMPUTED_VALUE"""),"AND25630004223")</f>
        <v>AND25630004223</v>
      </c>
      <c r="B9" s="153" t="str">
        <f>IFERROR(__xludf.DUMMYFUNCTION("""COMPUTED_VALUE"""),"WES")</f>
        <v>WES</v>
      </c>
      <c r="C9" s="154">
        <f>IFERROR(__xludf.DUMMYFUNCTION("""COMPUTED_VALUE"""),46031.0)</f>
        <v>46031</v>
      </c>
      <c r="D9" s="154">
        <f>IFERROR(__xludf.DUMMYFUNCTION("""COMPUTED_VALUE"""),46045.0)</f>
        <v>46045</v>
      </c>
    </row>
    <row r="10">
      <c r="A10" s="153" t="str">
        <f>IFERROR(__xludf.DUMMYFUNCTION("""COMPUTED_VALUE"""),"AND25630004224")</f>
        <v>AND25630004224</v>
      </c>
      <c r="B10" s="153" t="str">
        <f>IFERROR(__xludf.DUMMYFUNCTION("""COMPUTED_VALUE"""),"WES")</f>
        <v>WES</v>
      </c>
      <c r="C10" s="154">
        <f>IFERROR(__xludf.DUMMYFUNCTION("""COMPUTED_VALUE"""),46031.0)</f>
        <v>46031</v>
      </c>
      <c r="D10" s="154">
        <f>IFERROR(__xludf.DUMMYFUNCTION("""COMPUTED_VALUE"""),46045.0)</f>
        <v>46045</v>
      </c>
    </row>
    <row r="11">
      <c r="A11" s="153" t="str">
        <f>IFERROR(__xludf.DUMMYFUNCTION("""COMPUTED_VALUE"""),"AND25630004225")</f>
        <v>AND25630004225</v>
      </c>
      <c r="B11" s="153" t="str">
        <f>IFERROR(__xludf.DUMMYFUNCTION("""COMPUTED_VALUE"""),"WES")</f>
        <v>WES</v>
      </c>
      <c r="C11" s="154">
        <f>IFERROR(__xludf.DUMMYFUNCTION("""COMPUTED_VALUE"""),46031.0)</f>
        <v>46031</v>
      </c>
      <c r="D11" s="154">
        <f>IFERROR(__xludf.DUMMYFUNCTION("""COMPUTED_VALUE"""),46045.0)</f>
        <v>46045</v>
      </c>
    </row>
    <row r="12">
      <c r="A12" s="153" t="str">
        <f>IFERROR(__xludf.DUMMYFUNCTION("""COMPUTED_VALUE"""),"AND25630004226")</f>
        <v>AND25630004226</v>
      </c>
      <c r="B12" s="153" t="str">
        <f>IFERROR(__xludf.DUMMYFUNCTION("""COMPUTED_VALUE"""),"WES")</f>
        <v>WES</v>
      </c>
      <c r="C12" s="154">
        <f>IFERROR(__xludf.DUMMYFUNCTION("""COMPUTED_VALUE"""),46031.0)</f>
        <v>46031</v>
      </c>
      <c r="D12" s="154">
        <f>IFERROR(__xludf.DUMMYFUNCTION("""COMPUTED_VALUE"""),46045.0)</f>
        <v>46045</v>
      </c>
    </row>
    <row r="13">
      <c r="A13" s="153" t="str">
        <f>IFERROR(__xludf.DUMMYFUNCTION("""COMPUTED_VALUE"""),"AND25630004227")</f>
        <v>AND25630004227</v>
      </c>
      <c r="B13" s="153" t="str">
        <f>IFERROR(__xludf.DUMMYFUNCTION("""COMPUTED_VALUE"""),"WES")</f>
        <v>WES</v>
      </c>
      <c r="C13" s="154">
        <f>IFERROR(__xludf.DUMMYFUNCTION("""COMPUTED_VALUE"""),46031.0)</f>
        <v>46031</v>
      </c>
      <c r="D13" s="154">
        <f>IFERROR(__xludf.DUMMYFUNCTION("""COMPUTED_VALUE"""),46045.0)</f>
        <v>46045</v>
      </c>
    </row>
    <row r="14">
      <c r="A14" s="153" t="str">
        <f>IFERROR(__xludf.DUMMYFUNCTION("""COMPUTED_VALUE"""),"AND25630004228")</f>
        <v>AND25630004228</v>
      </c>
      <c r="B14" s="153" t="str">
        <f>IFERROR(__xludf.DUMMYFUNCTION("""COMPUTED_VALUE"""),"WES")</f>
        <v>WES</v>
      </c>
      <c r="C14" s="154">
        <f>IFERROR(__xludf.DUMMYFUNCTION("""COMPUTED_VALUE"""),46031.0)</f>
        <v>46031</v>
      </c>
      <c r="D14" s="154">
        <f>IFERROR(__xludf.DUMMYFUNCTION("""COMPUTED_VALUE"""),46045.0)</f>
        <v>46045</v>
      </c>
    </row>
    <row r="15">
      <c r="A15" s="153" t="str">
        <f>IFERROR(__xludf.DUMMYFUNCTION("""COMPUTED_VALUE"""),"AND25630004229")</f>
        <v>AND25630004229</v>
      </c>
      <c r="B15" s="153" t="str">
        <f>IFERROR(__xludf.DUMMYFUNCTION("""COMPUTED_VALUE"""),"WES")</f>
        <v>WES</v>
      </c>
      <c r="C15" s="154">
        <f>IFERROR(__xludf.DUMMYFUNCTION("""COMPUTED_VALUE"""),46031.0)</f>
        <v>46031</v>
      </c>
      <c r="D15" s="154">
        <f>IFERROR(__xludf.DUMMYFUNCTION("""COMPUTED_VALUE"""),46045.0)</f>
        <v>46045</v>
      </c>
    </row>
    <row r="16">
      <c r="A16" s="153" t="str">
        <f>IFERROR(__xludf.DUMMYFUNCTION("""COMPUTED_VALUE"""),"AND25630004230")</f>
        <v>AND25630004230</v>
      </c>
      <c r="B16" s="153" t="str">
        <f>IFERROR(__xludf.DUMMYFUNCTION("""COMPUTED_VALUE"""),"WES")</f>
        <v>WES</v>
      </c>
      <c r="C16" s="154">
        <f>IFERROR(__xludf.DUMMYFUNCTION("""COMPUTED_VALUE"""),46031.0)</f>
        <v>46031</v>
      </c>
      <c r="D16" s="154">
        <f>IFERROR(__xludf.DUMMYFUNCTION("""COMPUTED_VALUE"""),46045.0)</f>
        <v>46045</v>
      </c>
    </row>
    <row r="17">
      <c r="A17" s="153" t="str">
        <f>IFERROR(__xludf.DUMMYFUNCTION("""COMPUTED_VALUE"""),"AND25630004231")</f>
        <v>AND25630004231</v>
      </c>
      <c r="B17" s="153" t="str">
        <f>IFERROR(__xludf.DUMMYFUNCTION("""COMPUTED_VALUE"""),"WES")</f>
        <v>WES</v>
      </c>
      <c r="C17" s="154">
        <f>IFERROR(__xludf.DUMMYFUNCTION("""COMPUTED_VALUE"""),46031.0)</f>
        <v>46031</v>
      </c>
      <c r="D17" s="154">
        <f>IFERROR(__xludf.DUMMYFUNCTION("""COMPUTED_VALUE"""),46045.0)</f>
        <v>46045</v>
      </c>
    </row>
    <row r="18">
      <c r="A18" s="153" t="str">
        <f>IFERROR(__xludf.DUMMYFUNCTION("""COMPUTED_VALUE"""),"AND25630004216")</f>
        <v>AND25630004216</v>
      </c>
      <c r="B18" s="153" t="str">
        <f>IFERROR(__xludf.DUMMYFUNCTION("""COMPUTED_VALUE"""),"WES+WMGS")</f>
        <v>WES+WMGS</v>
      </c>
      <c r="C18" s="154">
        <f>IFERROR(__xludf.DUMMYFUNCTION("""COMPUTED_VALUE"""),46031.0)</f>
        <v>46031</v>
      </c>
      <c r="D18" s="154">
        <f>IFERROR(__xludf.DUMMYFUNCTION("""COMPUTED_VALUE"""),46045.0)</f>
        <v>46045</v>
      </c>
    </row>
    <row r="19">
      <c r="A19" s="153" t="str">
        <f>IFERROR(__xludf.DUMMYFUNCTION("""COMPUTED_VALUE"""),"AND25630004212")</f>
        <v>AND25630004212</v>
      </c>
      <c r="B19" s="153" t="str">
        <f>IFERROR(__xludf.DUMMYFUNCTION("""COMPUTED_VALUE"""),"WES")</f>
        <v>WES</v>
      </c>
      <c r="C19" s="154">
        <f>IFERROR(__xludf.DUMMYFUNCTION("""COMPUTED_VALUE"""),46031.0)</f>
        <v>46031</v>
      </c>
      <c r="D19" s="154">
        <f>IFERROR(__xludf.DUMMYFUNCTION("""COMPUTED_VALUE"""),46046.0)</f>
        <v>46046</v>
      </c>
    </row>
    <row r="20">
      <c r="A20" s="153" t="str">
        <f>IFERROR(__xludf.DUMMYFUNCTION("""COMPUTED_VALUE"""),"AND25630004213")</f>
        <v>AND25630004213</v>
      </c>
      <c r="B20" s="153" t="str">
        <f>IFERROR(__xludf.DUMMYFUNCTION("""COMPUTED_VALUE"""),"WES")</f>
        <v>WES</v>
      </c>
      <c r="C20" s="154">
        <f>IFERROR(__xludf.DUMMYFUNCTION("""COMPUTED_VALUE"""),46031.0)</f>
        <v>46031</v>
      </c>
      <c r="D20" s="154">
        <f>IFERROR(__xludf.DUMMYFUNCTION("""COMPUTED_VALUE"""),46046.0)</f>
        <v>46046</v>
      </c>
    </row>
    <row r="21">
      <c r="A21" s="153" t="str">
        <f>IFERROR(__xludf.DUMMYFUNCTION("""COMPUTED_VALUE"""),"AND25630004214")</f>
        <v>AND25630004214</v>
      </c>
      <c r="B21" s="153" t="str">
        <f>IFERROR(__xludf.DUMMYFUNCTION("""COMPUTED_VALUE"""),"WES")</f>
        <v>WES</v>
      </c>
      <c r="C21" s="154">
        <f>IFERROR(__xludf.DUMMYFUNCTION("""COMPUTED_VALUE"""),46031.0)</f>
        <v>46031</v>
      </c>
      <c r="D21" s="154">
        <f>IFERROR(__xludf.DUMMYFUNCTION("""COMPUTED_VALUE"""),46046.0)</f>
        <v>46046</v>
      </c>
    </row>
    <row r="22">
      <c r="A22" s="153" t="str">
        <f>IFERROR(__xludf.DUMMYFUNCTION("""COMPUTED_VALUE"""),"AND25630004215")</f>
        <v>AND25630004215</v>
      </c>
      <c r="B22" s="153" t="str">
        <f>IFERROR(__xludf.DUMMYFUNCTION("""COMPUTED_VALUE"""),"WES")</f>
        <v>WES</v>
      </c>
      <c r="C22" s="154">
        <f>IFERROR(__xludf.DUMMYFUNCTION("""COMPUTED_VALUE"""),46031.0)</f>
        <v>46031</v>
      </c>
      <c r="D22" s="154">
        <f>IFERROR(__xludf.DUMMYFUNCTION("""COMPUTED_VALUE"""),46046.0)</f>
        <v>46046</v>
      </c>
    </row>
    <row r="23">
      <c r="A23" s="153" t="str">
        <f>IFERROR(__xludf.DUMMYFUNCTION("""COMPUTED_VALUE"""),"AND25630004217")</f>
        <v>AND25630004217</v>
      </c>
      <c r="B23" s="153" t="str">
        <f>IFERROR(__xludf.DUMMYFUNCTION("""COMPUTED_VALUE"""),"WES")</f>
        <v>WES</v>
      </c>
      <c r="C23" s="154">
        <f>IFERROR(__xludf.DUMMYFUNCTION("""COMPUTED_VALUE"""),46031.0)</f>
        <v>46031</v>
      </c>
      <c r="D23" s="154">
        <f>IFERROR(__xludf.DUMMYFUNCTION("""COMPUTED_VALUE"""),46046.0)</f>
        <v>46046</v>
      </c>
    </row>
    <row r="24">
      <c r="A24" s="153" t="str">
        <f>IFERROR(__xludf.DUMMYFUNCTION("""COMPUTED_VALUE"""),"ADB0000018649")</f>
        <v>ADB0000018649</v>
      </c>
      <c r="B24" s="153" t="str">
        <f>IFERROR(__xludf.DUMMYFUNCTION("""COMPUTED_VALUE"""),"WES")</f>
        <v>WES</v>
      </c>
      <c r="C24" s="154">
        <f>IFERROR(__xludf.DUMMYFUNCTION("""COMPUTED_VALUE"""),46031.0)</f>
        <v>46031</v>
      </c>
      <c r="D24" s="154">
        <f>IFERROR(__xludf.DUMMYFUNCTION("""COMPUTED_VALUE"""),46056.0)</f>
        <v>46056</v>
      </c>
    </row>
    <row r="25">
      <c r="A25" s="153" t="str">
        <f>IFERROR(__xludf.DUMMYFUNCTION("""COMPUTED_VALUE"""),"ADH0000007463")</f>
        <v>ADH0000007463</v>
      </c>
      <c r="B25" s="153" t="str">
        <f>IFERROR(__xludf.DUMMYFUNCTION("""COMPUTED_VALUE"""),"WES")</f>
        <v>WES</v>
      </c>
      <c r="C25" s="154">
        <f>IFERROR(__xludf.DUMMYFUNCTION("""COMPUTED_VALUE"""),46031.0)</f>
        <v>46031</v>
      </c>
      <c r="D25" s="154">
        <f>IFERROR(__xludf.DUMMYFUNCTION("""COMPUTED_VALUE"""),46053.0)</f>
        <v>46053</v>
      </c>
    </row>
    <row r="26">
      <c r="A26" s="153" t="str">
        <f>IFERROR(__xludf.DUMMYFUNCTION("""COMPUTED_VALUE"""),"ADB0000018103")</f>
        <v>ADB0000018103</v>
      </c>
      <c r="B26" s="153" t="str">
        <f>IFERROR(__xludf.DUMMYFUNCTION("""COMPUTED_VALUE"""),"SINGLE GENE – FULL GENE SEQUENCING BY NGS")</f>
        <v>SINGLE GENE – FULL GENE SEQUENCING BY NGS</v>
      </c>
      <c r="C26" s="154">
        <f>IFERROR(__xludf.DUMMYFUNCTION("""COMPUTED_VALUE"""),46031.0)</f>
        <v>46031</v>
      </c>
      <c r="D26" s="154">
        <f>IFERROR(__xludf.DUMMYFUNCTION("""COMPUTED_VALUE"""),46054.0)</f>
        <v>46054</v>
      </c>
    </row>
    <row r="27">
      <c r="A27" s="153" t="str">
        <f>IFERROR(__xludf.DUMMYFUNCTION("""COMPUTED_VALUE"""),"ADB0000018232")</f>
        <v>ADB0000018232</v>
      </c>
      <c r="B27" s="153" t="str">
        <f>IFERROR(__xludf.DUMMYFUNCTION("""COMPUTED_VALUE"""),"FEMALE INFERTILITY NGS PANEL")</f>
        <v>FEMALE INFERTILITY NGS PANEL</v>
      </c>
      <c r="C27" s="154">
        <f>IFERROR(__xludf.DUMMYFUNCTION("""COMPUTED_VALUE"""),46031.0)</f>
        <v>46031</v>
      </c>
      <c r="D27" s="154">
        <f>IFERROR(__xludf.DUMMYFUNCTION("""COMPUTED_VALUE"""),46055.0)</f>
        <v>46055</v>
      </c>
    </row>
    <row r="28">
      <c r="A28" s="153" t="str">
        <f>IFERROR(__xludf.DUMMYFUNCTION("""COMPUTED_VALUE"""),"ADB0000018205")</f>
        <v>ADB0000018205</v>
      </c>
      <c r="B28" s="153" t="str">
        <f>IFERROR(__xludf.DUMMYFUNCTION("""COMPUTED_VALUE"""),"FEMALE INFERTILITY NGS PANEL")</f>
        <v>FEMALE INFERTILITY NGS PANEL</v>
      </c>
      <c r="C28" s="154">
        <f>IFERROR(__xludf.DUMMYFUNCTION("""COMPUTED_VALUE"""),46031.0)</f>
        <v>46031</v>
      </c>
      <c r="D28" s="154">
        <f>IFERROR(__xludf.DUMMYFUNCTION("""COMPUTED_VALUE"""),46055.0)</f>
        <v>46055</v>
      </c>
    </row>
    <row r="29">
      <c r="A29" s="153" t="str">
        <f>IFERROR(__xludf.DUMMYFUNCTION("""COMPUTED_VALUE"""),"DCC0000002044")</f>
        <v>DCC0000002044</v>
      </c>
      <c r="B29" s="153" t="str">
        <f>IFERROR(__xludf.DUMMYFUNCTION("""COMPUTED_VALUE"""),"WES")</f>
        <v>WES</v>
      </c>
      <c r="C29" s="154">
        <f>IFERROR(__xludf.DUMMYFUNCTION("""COMPUTED_VALUE"""),46031.0)</f>
        <v>46031</v>
      </c>
      <c r="D29" s="154">
        <f>IFERROR(__xludf.DUMMYFUNCTION("""COMPUTED_VALUE"""),30.0)</f>
        <v>30</v>
      </c>
    </row>
    <row r="30">
      <c r="A30" s="153" t="str">
        <f>IFERROR(__xludf.DUMMYFUNCTION("""COMPUTED_VALUE"""),"AND25720033575")</f>
        <v>AND25720033575</v>
      </c>
      <c r="B30" s="153" t="str">
        <f>IFERROR(__xludf.DUMMYFUNCTION("""COMPUTED_VALUE"""),"WES")</f>
        <v>WES</v>
      </c>
      <c r="C30" s="154">
        <f>IFERROR(__xludf.DUMMYFUNCTION("""COMPUTED_VALUE"""),46031.0)</f>
        <v>46031</v>
      </c>
      <c r="D30" s="154">
        <f>IFERROR(__xludf.DUMMYFUNCTION("""COMPUTED_VALUE"""),46056.0)</f>
        <v>46056</v>
      </c>
    </row>
    <row r="31">
      <c r="A31" s="153" t="str">
        <f>IFERROR(__xludf.DUMMYFUNCTION("""COMPUTED_VALUE"""),"AND25720033393")</f>
        <v>AND25720033393</v>
      </c>
      <c r="B31" s="153" t="str">
        <f>IFERROR(__xludf.DUMMYFUNCTION("""COMPUTED_VALUE"""),"FEMALE INFERTILITY NGS PANEL")</f>
        <v>FEMALE INFERTILITY NGS PANEL</v>
      </c>
      <c r="C31" s="154">
        <f>IFERROR(__xludf.DUMMYFUNCTION("""COMPUTED_VALUE"""),46031.0)</f>
        <v>46031</v>
      </c>
      <c r="D31" s="154">
        <f>IFERROR(__xludf.DUMMYFUNCTION("""COMPUTED_VALUE"""),30.0)</f>
        <v>30</v>
      </c>
    </row>
    <row r="32">
      <c r="A32" s="153" t="str">
        <f>IFERROR(__xludf.DUMMYFUNCTION("""COMPUTED_VALUE"""),"AND25020063950")</f>
        <v>AND25020063950</v>
      </c>
      <c r="B32" s="153" t="str">
        <f>IFERROR(__xludf.DUMMYFUNCTION("""COMPUTED_VALUE"""),"WES+WMGS")</f>
        <v>WES+WMGS</v>
      </c>
      <c r="C32" s="154">
        <f>IFERROR(__xludf.DUMMYFUNCTION("""COMPUTED_VALUE"""),46034.0)</f>
        <v>46034</v>
      </c>
      <c r="D32" s="154">
        <f>IFERROR(__xludf.DUMMYFUNCTION("""COMPUTED_VALUE"""),46057.0)</f>
        <v>46057</v>
      </c>
    </row>
    <row r="33">
      <c r="A33" s="153" t="str">
        <f>IFERROR(__xludf.DUMMYFUNCTION("""COMPUTED_VALUE"""),"AND25020063725")</f>
        <v>AND25020063725</v>
      </c>
      <c r="B33" s="153" t="str">
        <f>IFERROR(__xludf.DUMMYFUNCTION("""COMPUTED_VALUE"""),"WES+WMGS")</f>
        <v>WES+WMGS</v>
      </c>
      <c r="C33" s="154">
        <f>IFERROR(__xludf.DUMMYFUNCTION("""COMPUTED_VALUE"""),46034.0)</f>
        <v>46034</v>
      </c>
      <c r="D33" s="154">
        <f>IFERROR(__xludf.DUMMYFUNCTION("""COMPUTED_VALUE"""),46055.0)</f>
        <v>46055</v>
      </c>
    </row>
    <row r="34">
      <c r="A34" s="153" t="str">
        <f>IFERROR(__xludf.DUMMYFUNCTION("""COMPUTED_VALUE"""),"DCC0000002016")</f>
        <v>DCC0000002016</v>
      </c>
      <c r="B34" s="153" t="str">
        <f>IFERROR(__xludf.DUMMYFUNCTION("""COMPUTED_VALUE"""),"WES+WMGS")</f>
        <v>WES+WMGS</v>
      </c>
      <c r="C34" s="154">
        <f>IFERROR(__xludf.DUMMYFUNCTION("""COMPUTED_VALUE"""),46034.0)</f>
        <v>46034</v>
      </c>
      <c r="D34" s="154">
        <f>IFERROR(__xludf.DUMMYFUNCTION("""COMPUTED_VALUE"""),46055.0)</f>
        <v>46055</v>
      </c>
    </row>
    <row r="35">
      <c r="A35" s="153" t="str">
        <f>IFERROR(__xludf.DUMMYFUNCTION("""COMPUTED_VALUE"""),"AND25020063606")</f>
        <v>AND25020063606</v>
      </c>
      <c r="B35" s="153" t="str">
        <f>IFERROR(__xludf.DUMMYFUNCTION("""COMPUTED_VALUE"""),"WES+WMGS")</f>
        <v>WES+WMGS</v>
      </c>
      <c r="C35" s="154">
        <f>IFERROR(__xludf.DUMMYFUNCTION("""COMPUTED_VALUE"""),46034.0)</f>
        <v>46034</v>
      </c>
      <c r="D35" s="154">
        <f>IFERROR(__xludf.DUMMYFUNCTION("""COMPUTED_VALUE"""),46055.0)</f>
        <v>46055</v>
      </c>
    </row>
    <row r="36">
      <c r="A36" s="153" t="str">
        <f>IFERROR(__xludf.DUMMYFUNCTION("""COMPUTED_VALUE"""),"ADH0000007784")</f>
        <v>ADH0000007784</v>
      </c>
      <c r="B36" s="153" t="str">
        <f>IFERROR(__xludf.DUMMYFUNCTION("""COMPUTED_VALUE"""),"WES")</f>
        <v>WES</v>
      </c>
      <c r="C36" s="154">
        <f>IFERROR(__xludf.DUMMYFUNCTION("""COMPUTED_VALUE"""),46034.0)</f>
        <v>46034</v>
      </c>
      <c r="D36" s="154">
        <f>IFERROR(__xludf.DUMMYFUNCTION("""COMPUTED_VALUE"""),46055.0)</f>
        <v>46055</v>
      </c>
    </row>
    <row r="37">
      <c r="A37" s="153" t="str">
        <f>IFERROR(__xludf.DUMMYFUNCTION("""COMPUTED_VALUE"""),"ADH0000008175")</f>
        <v>ADH0000008175</v>
      </c>
      <c r="B37" s="153" t="str">
        <f>IFERROR(__xludf.DUMMYFUNCTION("""COMPUTED_VALUE"""),"WES")</f>
        <v>WES</v>
      </c>
      <c r="C37" s="154">
        <f>IFERROR(__xludf.DUMMYFUNCTION("""COMPUTED_VALUE"""),46034.0)</f>
        <v>46034</v>
      </c>
      <c r="D37" s="154">
        <f>IFERROR(__xludf.DUMMYFUNCTION("""COMPUTED_VALUE"""),46057.0)</f>
        <v>46057</v>
      </c>
    </row>
    <row r="38">
      <c r="A38" s="153" t="str">
        <f>IFERROR(__xludf.DUMMYFUNCTION("""COMPUTED_VALUE"""),"ADH0000008176")</f>
        <v>ADH0000008176</v>
      </c>
      <c r="B38" s="153" t="str">
        <f>IFERROR(__xludf.DUMMYFUNCTION("""COMPUTED_VALUE"""),"WES")</f>
        <v>WES</v>
      </c>
      <c r="C38" s="154">
        <f>IFERROR(__xludf.DUMMYFUNCTION("""COMPUTED_VALUE"""),46034.0)</f>
        <v>46034</v>
      </c>
      <c r="D38" s="154">
        <f>IFERROR(__xludf.DUMMYFUNCTION("""COMPUTED_VALUE"""),46057.0)</f>
        <v>46057</v>
      </c>
    </row>
    <row r="39">
      <c r="A39" s="153" t="str">
        <f>IFERROR(__xludf.DUMMYFUNCTION("""COMPUTED_VALUE"""),"ADH0000008177")</f>
        <v>ADH0000008177</v>
      </c>
      <c r="B39" s="153" t="str">
        <f>IFERROR(__xludf.DUMMYFUNCTION("""COMPUTED_VALUE"""),"WES")</f>
        <v>WES</v>
      </c>
      <c r="C39" s="154">
        <f>IFERROR(__xludf.DUMMYFUNCTION("""COMPUTED_VALUE"""),46034.0)</f>
        <v>46034</v>
      </c>
      <c r="D39" s="154">
        <f>IFERROR(__xludf.DUMMYFUNCTION("""COMPUTED_VALUE"""),46057.0)</f>
        <v>46057</v>
      </c>
    </row>
    <row r="40">
      <c r="A40" s="153" t="str">
        <f>IFERROR(__xludf.DUMMYFUNCTION("""COMPUTED_VALUE"""),"ADB0000018581")</f>
        <v>ADB0000018581</v>
      </c>
      <c r="B40" s="153" t="str">
        <f>IFERROR(__xludf.DUMMYFUNCTION("""COMPUTED_VALUE"""),"FEMALE INFERTILITY NGS PANEL")</f>
        <v>FEMALE INFERTILITY NGS PANEL</v>
      </c>
      <c r="C40" s="154">
        <f>IFERROR(__xludf.DUMMYFUNCTION("""COMPUTED_VALUE"""),46034.0)</f>
        <v>46034</v>
      </c>
      <c r="D40" s="154">
        <f>IFERROR(__xludf.DUMMYFUNCTION("""COMPUTED_VALUE"""),46058.0)</f>
        <v>46058</v>
      </c>
    </row>
    <row r="41">
      <c r="A41" s="153" t="str">
        <f>IFERROR(__xludf.DUMMYFUNCTION("""COMPUTED_VALUE"""),"AND25030018706")</f>
        <v>AND25030018706</v>
      </c>
      <c r="B41" s="153" t="str">
        <f>IFERROR(__xludf.DUMMYFUNCTION("""COMPUTED_VALUE"""),"WES")</f>
        <v>WES</v>
      </c>
      <c r="C41" s="154">
        <f>IFERROR(__xludf.DUMMYFUNCTION("""COMPUTED_VALUE"""),46034.0)</f>
        <v>46034</v>
      </c>
      <c r="D41" s="154">
        <f>IFERROR(__xludf.DUMMYFUNCTION("""COMPUTED_VALUE"""),46058.0)</f>
        <v>46058</v>
      </c>
    </row>
    <row r="42">
      <c r="A42" s="153" t="str">
        <f>IFERROR(__xludf.DUMMYFUNCTION("""COMPUTED_VALUE"""),"AND25020064002")</f>
        <v>AND25020064002</v>
      </c>
      <c r="B42" s="153" t="str">
        <f>IFERROR(__xludf.DUMMYFUNCTION("""COMPUTED_VALUE"""),"WES")</f>
        <v>WES</v>
      </c>
      <c r="C42" s="154">
        <f>IFERROR(__xludf.DUMMYFUNCTION("""COMPUTED_VALUE"""),46034.0)</f>
        <v>46034</v>
      </c>
      <c r="D42" s="154">
        <f>IFERROR(__xludf.DUMMYFUNCTION("""COMPUTED_VALUE"""),46058.0)</f>
        <v>46058</v>
      </c>
    </row>
    <row r="43">
      <c r="A43" s="153" t="str">
        <f>IFERROR(__xludf.DUMMYFUNCTION("""COMPUTED_VALUE"""),"AND25020064003")</f>
        <v>AND25020064003</v>
      </c>
      <c r="B43" s="153" t="str">
        <f>IFERROR(__xludf.DUMMYFUNCTION("""COMPUTED_VALUE"""),"WES")</f>
        <v>WES</v>
      </c>
      <c r="C43" s="154">
        <f>IFERROR(__xludf.DUMMYFUNCTION("""COMPUTED_VALUE"""),46034.0)</f>
        <v>46034</v>
      </c>
      <c r="D43" s="154">
        <f>IFERROR(__xludf.DUMMYFUNCTION("""COMPUTED_VALUE"""),46058.0)</f>
        <v>46058</v>
      </c>
    </row>
    <row r="44">
      <c r="A44" s="153" t="str">
        <f>IFERROR(__xludf.DUMMYFUNCTION("""COMPUTED_VALUE"""),"AND25630004326")</f>
        <v>AND25630004326</v>
      </c>
      <c r="B44" s="153" t="str">
        <f>IFERROR(__xludf.DUMMYFUNCTION("""COMPUTED_VALUE"""),"WES")</f>
        <v>WES</v>
      </c>
      <c r="C44" s="154">
        <f>IFERROR(__xludf.DUMMYFUNCTION("""COMPUTED_VALUE"""),46034.0)</f>
        <v>46034</v>
      </c>
      <c r="D44" s="154">
        <f>IFERROR(__xludf.DUMMYFUNCTION("""COMPUTED_VALUE"""),46048.0)</f>
        <v>46048</v>
      </c>
    </row>
    <row r="45">
      <c r="A45" s="153" t="str">
        <f>IFERROR(__xludf.DUMMYFUNCTION("""COMPUTED_VALUE"""),"AND25630004327")</f>
        <v>AND25630004327</v>
      </c>
      <c r="B45" s="153" t="str">
        <f>IFERROR(__xludf.DUMMYFUNCTION("""COMPUTED_VALUE"""),"WES")</f>
        <v>WES</v>
      </c>
      <c r="C45" s="154">
        <f>IFERROR(__xludf.DUMMYFUNCTION("""COMPUTED_VALUE"""),46034.0)</f>
        <v>46034</v>
      </c>
      <c r="D45" s="154">
        <f>IFERROR(__xludf.DUMMYFUNCTION("""COMPUTED_VALUE"""),46048.0)</f>
        <v>46048</v>
      </c>
    </row>
    <row r="46">
      <c r="A46" s="153" t="str">
        <f>IFERROR(__xludf.DUMMYFUNCTION("""COMPUTED_VALUE"""),"AND25AJ0012406")</f>
        <v>AND25AJ0012406</v>
      </c>
      <c r="B46" s="153" t="str">
        <f>IFERROR(__xludf.DUMMYFUNCTION("""COMPUTED_VALUE"""),"WES")</f>
        <v>WES</v>
      </c>
      <c r="C46" s="154">
        <f>IFERROR(__xludf.DUMMYFUNCTION("""COMPUTED_VALUE"""),46034.0)</f>
        <v>46034</v>
      </c>
      <c r="D46" s="154">
        <f>IFERROR(__xludf.DUMMYFUNCTION("""COMPUTED_VALUE"""),46059.0)</f>
        <v>46059</v>
      </c>
    </row>
    <row r="47">
      <c r="A47" s="153" t="str">
        <f>IFERROR(__xludf.DUMMYFUNCTION("""COMPUTED_VALUE"""),"AND25420006225")</f>
        <v>AND25420006225</v>
      </c>
      <c r="B47" s="153" t="str">
        <f>IFERROR(__xludf.DUMMYFUNCTION("""COMPUTED_VALUE"""),"Point Mutation testing")</f>
        <v>Point Mutation testing</v>
      </c>
      <c r="C47" s="154">
        <f>IFERROR(__xludf.DUMMYFUNCTION("""COMPUTED_VALUE"""),46034.0)</f>
        <v>46034</v>
      </c>
      <c r="D47" s="154">
        <f>IFERROR(__xludf.DUMMYFUNCTION("""COMPUTED_VALUE"""),46040.0)</f>
        <v>46040</v>
      </c>
    </row>
    <row r="48">
      <c r="A48" s="153" t="str">
        <f>IFERROR(__xludf.DUMMYFUNCTION("""COMPUTED_VALUE"""),"AND25630004257")</f>
        <v>AND25630004257</v>
      </c>
      <c r="B48" s="153" t="str">
        <f>IFERROR(__xludf.DUMMYFUNCTION("""COMPUTED_VALUE"""),"WES")</f>
        <v>WES</v>
      </c>
      <c r="C48" s="154">
        <f>IFERROR(__xludf.DUMMYFUNCTION("""COMPUTED_VALUE"""),46038.0)</f>
        <v>46038</v>
      </c>
      <c r="D48" s="154">
        <f>IFERROR(__xludf.DUMMYFUNCTION("""COMPUTED_VALUE"""),46058.0)</f>
        <v>46058</v>
      </c>
    </row>
    <row r="49">
      <c r="A49" s="153" t="str">
        <f>IFERROR(__xludf.DUMMYFUNCTION("""COMPUTED_VALUE"""),"AND25630004270")</f>
        <v>AND25630004270</v>
      </c>
      <c r="B49" s="153" t="str">
        <f>IFERROR(__xludf.DUMMYFUNCTION("""COMPUTED_VALUE"""),"WES+WMGS")</f>
        <v>WES+WMGS</v>
      </c>
      <c r="C49" s="154">
        <f>IFERROR(__xludf.DUMMYFUNCTION("""COMPUTED_VALUE"""),46038.0)</f>
        <v>46038</v>
      </c>
      <c r="D49" s="154">
        <f>IFERROR(__xludf.DUMMYFUNCTION("""COMPUTED_VALUE"""),46058.0)</f>
        <v>46058</v>
      </c>
    </row>
    <row r="50">
      <c r="A50" s="153" t="str">
        <f>IFERROR(__xludf.DUMMYFUNCTION("""COMPUTED_VALUE"""),"AMB0000004553")</f>
        <v>AMB0000004553</v>
      </c>
      <c r="B50" s="153" t="str">
        <f>IFERROR(__xludf.DUMMYFUNCTION("""COMPUTED_VALUE"""),"WES")</f>
        <v>WES</v>
      </c>
      <c r="C50" s="154">
        <f>IFERROR(__xludf.DUMMYFUNCTION("""COMPUTED_VALUE"""),46038.0)</f>
        <v>46038</v>
      </c>
      <c r="D50" s="154">
        <f>IFERROR(__xludf.DUMMYFUNCTION("""COMPUTED_VALUE"""),46058.0)</f>
        <v>46058</v>
      </c>
    </row>
    <row r="51">
      <c r="A51" s="153" t="str">
        <f>IFERROR(__xludf.DUMMYFUNCTION("""COMPUTED_VALUE"""),"AND25020064579")</f>
        <v>AND25020064579</v>
      </c>
      <c r="B51" s="153" t="str">
        <f>IFERROR(__xludf.DUMMYFUNCTION("""COMPUTED_VALUE"""),"WES+WMGS")</f>
        <v>WES+WMGS</v>
      </c>
      <c r="C51" s="154">
        <f>IFERROR(__xludf.DUMMYFUNCTION("""COMPUTED_VALUE"""),46038.0)</f>
        <v>46038</v>
      </c>
      <c r="D51" s="154">
        <f>IFERROR(__xludf.DUMMYFUNCTION("""COMPUTED_VALUE"""),46058.0)</f>
        <v>46058</v>
      </c>
    </row>
    <row r="52">
      <c r="A52" s="153" t="str">
        <f>IFERROR(__xludf.DUMMYFUNCTION("""COMPUTED_VALUE"""),"AND251H0004681")</f>
        <v>AND251H0004681</v>
      </c>
      <c r="B52" s="153" t="str">
        <f>IFERROR(__xludf.DUMMYFUNCTION("""COMPUTED_VALUE"""),"CES")</f>
        <v>CES</v>
      </c>
      <c r="C52" s="154">
        <f>IFERROR(__xludf.DUMMYFUNCTION("""COMPUTED_VALUE"""),46038.0)</f>
        <v>46038</v>
      </c>
      <c r="D52" s="154">
        <f>IFERROR(__xludf.DUMMYFUNCTION("""COMPUTED_VALUE"""),46060.0)</f>
        <v>46060</v>
      </c>
    </row>
    <row r="53">
      <c r="A53" s="153" t="str">
        <f>IFERROR(__xludf.DUMMYFUNCTION("""COMPUTED_VALUE"""),"AND25400036660")</f>
        <v>AND25400036660</v>
      </c>
      <c r="B53" s="153" t="str">
        <f>IFERROR(__xludf.DUMMYFUNCTION("""COMPUTED_VALUE"""),"CES")</f>
        <v>CES</v>
      </c>
      <c r="C53" s="154">
        <f>IFERROR(__xludf.DUMMYFUNCTION("""COMPUTED_VALUE"""),46038.0)</f>
        <v>46038</v>
      </c>
      <c r="D53" s="154">
        <f>IFERROR(__xludf.DUMMYFUNCTION("""COMPUTED_VALUE"""),46060.0)</f>
        <v>46060</v>
      </c>
    </row>
    <row r="54">
      <c r="A54" s="153" t="str">
        <f>IFERROR(__xludf.DUMMYFUNCTION("""COMPUTED_VALUE"""),"ADH0000008547")</f>
        <v>ADH0000008547</v>
      </c>
      <c r="B54" s="153" t="str">
        <f>IFERROR(__xludf.DUMMYFUNCTION("""COMPUTED_VALUE"""),"WES")</f>
        <v>WES</v>
      </c>
      <c r="C54" s="154">
        <f>IFERROR(__xludf.DUMMYFUNCTION("""COMPUTED_VALUE"""),46038.0)</f>
        <v>46038</v>
      </c>
      <c r="D54" s="154">
        <f>IFERROR(__xludf.DUMMYFUNCTION("""COMPUTED_VALUE"""),46060.0)</f>
        <v>46060</v>
      </c>
    </row>
    <row r="55">
      <c r="A55" s="153" t="str">
        <f>IFERROR(__xludf.DUMMYFUNCTION("""COMPUTED_VALUE"""),"ADH0000008548")</f>
        <v>ADH0000008548</v>
      </c>
      <c r="B55" s="153" t="str">
        <f>IFERROR(__xludf.DUMMYFUNCTION("""COMPUTED_VALUE"""),"WES")</f>
        <v>WES</v>
      </c>
      <c r="C55" s="154">
        <f>IFERROR(__xludf.DUMMYFUNCTION("""COMPUTED_VALUE"""),46038.0)</f>
        <v>46038</v>
      </c>
      <c r="D55" s="154">
        <f>IFERROR(__xludf.DUMMYFUNCTION("""COMPUTED_VALUE"""),46060.0)</f>
        <v>46060</v>
      </c>
    </row>
    <row r="56">
      <c r="A56" s="153" t="str">
        <f>IFERROR(__xludf.DUMMYFUNCTION("""COMPUTED_VALUE"""),"AND251H0004672")</f>
        <v>AND251H0004672</v>
      </c>
      <c r="B56" s="153" t="str">
        <f>IFERROR(__xludf.DUMMYFUNCTION("""COMPUTED_VALUE"""),"WES")</f>
        <v>WES</v>
      </c>
      <c r="C56" s="154">
        <f>IFERROR(__xludf.DUMMYFUNCTION("""COMPUTED_VALUE"""),46038.0)</f>
        <v>46038</v>
      </c>
      <c r="D56" s="154">
        <f>IFERROR(__xludf.DUMMYFUNCTION("""COMPUTED_VALUE"""),46060.0)</f>
        <v>46060</v>
      </c>
    </row>
    <row r="57">
      <c r="A57" s="153" t="str">
        <f>IFERROR(__xludf.DUMMYFUNCTION("""COMPUTED_VALUE"""),"AND251H0004673")</f>
        <v>AND251H0004673</v>
      </c>
      <c r="B57" s="153" t="str">
        <f>IFERROR(__xludf.DUMMYFUNCTION("""COMPUTED_VALUE"""),"WES")</f>
        <v>WES</v>
      </c>
      <c r="C57" s="154">
        <f>IFERROR(__xludf.DUMMYFUNCTION("""COMPUTED_VALUE"""),46038.0)</f>
        <v>46038</v>
      </c>
      <c r="D57" s="154">
        <f>IFERROR(__xludf.DUMMYFUNCTION("""COMPUTED_VALUE"""),46060.0)</f>
        <v>46060</v>
      </c>
    </row>
    <row r="58">
      <c r="A58" s="153" t="str">
        <f>IFERROR(__xludf.DUMMYFUNCTION("""COMPUTED_VALUE"""),"AND25810032814")</f>
        <v>AND25810032814</v>
      </c>
      <c r="B58" s="153" t="str">
        <f>IFERROR(__xludf.DUMMYFUNCTION("""COMPUTED_VALUE"""),"WES")</f>
        <v>WES</v>
      </c>
      <c r="C58" s="154">
        <f>IFERROR(__xludf.DUMMYFUNCTION("""COMPUTED_VALUE"""),46038.0)</f>
        <v>46038</v>
      </c>
      <c r="D58" s="154">
        <f>IFERROR(__xludf.DUMMYFUNCTION("""COMPUTED_VALUE"""),46061.0)</f>
        <v>46061</v>
      </c>
    </row>
    <row r="59">
      <c r="A59" s="153" t="str">
        <f>IFERROR(__xludf.DUMMYFUNCTION("""COMPUTED_VALUE"""),"AND25290014248")</f>
        <v>AND25290014248</v>
      </c>
      <c r="B59" s="153" t="str">
        <f>IFERROR(__xludf.DUMMYFUNCTION("""COMPUTED_VALUE"""),"WES")</f>
        <v>WES</v>
      </c>
      <c r="C59" s="154">
        <f>IFERROR(__xludf.DUMMYFUNCTION("""COMPUTED_VALUE"""),46038.0)</f>
        <v>46038</v>
      </c>
      <c r="D59" s="154">
        <f>IFERROR(__xludf.DUMMYFUNCTION("""COMPUTED_VALUE"""),46060.0)</f>
        <v>46060</v>
      </c>
    </row>
    <row r="60">
      <c r="A60" s="153" t="str">
        <f>IFERROR(__xludf.DUMMYFUNCTION("""COMPUTED_VALUE"""),"AND25630004335")</f>
        <v>AND25630004335</v>
      </c>
      <c r="B60" s="153" t="str">
        <f>IFERROR(__xludf.DUMMYFUNCTION("""COMPUTED_VALUE"""),"WES+WMGS")</f>
        <v>WES+WMGS</v>
      </c>
      <c r="C60" s="154">
        <f>IFERROR(__xludf.DUMMYFUNCTION("""COMPUTED_VALUE"""),46038.0)</f>
        <v>46038</v>
      </c>
      <c r="D60" s="154">
        <f>IFERROR(__xludf.DUMMYFUNCTION("""COMPUTED_VALUE"""),46060.0)</f>
        <v>46060</v>
      </c>
    </row>
    <row r="61">
      <c r="A61" s="153" t="str">
        <f>IFERROR(__xludf.DUMMYFUNCTION("""COMPUTED_VALUE"""),"AND25630004336")</f>
        <v>AND25630004336</v>
      </c>
      <c r="B61" s="153" t="str">
        <f>IFERROR(__xludf.DUMMYFUNCTION("""COMPUTED_VALUE"""),"WES+WMGS")</f>
        <v>WES+WMGS</v>
      </c>
      <c r="C61" s="154">
        <f>IFERROR(__xludf.DUMMYFUNCTION("""COMPUTED_VALUE"""),46038.0)</f>
        <v>46038</v>
      </c>
      <c r="D61" s="154">
        <f>IFERROR(__xludf.DUMMYFUNCTION("""COMPUTED_VALUE"""),46060.0)</f>
        <v>46060</v>
      </c>
    </row>
    <row r="62">
      <c r="A62" s="153" t="str">
        <f>IFERROR(__xludf.DUMMYFUNCTION("""COMPUTED_VALUE"""),"AND25630004337")</f>
        <v>AND25630004337</v>
      </c>
      <c r="B62" s="153" t="str">
        <f>IFERROR(__xludf.DUMMYFUNCTION("""COMPUTED_VALUE"""),"WES+WMGS")</f>
        <v>WES+WMGS</v>
      </c>
      <c r="C62" s="154">
        <f>IFERROR(__xludf.DUMMYFUNCTION("""COMPUTED_VALUE"""),46038.0)</f>
        <v>46038</v>
      </c>
      <c r="D62" s="154">
        <f>IFERROR(__xludf.DUMMYFUNCTION("""COMPUTED_VALUE"""),46060.0)</f>
        <v>46060</v>
      </c>
    </row>
    <row r="63">
      <c r="A63" s="153" t="str">
        <f>IFERROR(__xludf.DUMMYFUNCTION("""COMPUTED_VALUE"""),"AND25AJ0012951")</f>
        <v>AND25AJ0012951</v>
      </c>
      <c r="B63" s="153" t="str">
        <f>IFERROR(__xludf.DUMMYFUNCTION("""COMPUTED_VALUE"""),"CES")</f>
        <v>CES</v>
      </c>
      <c r="C63" s="154">
        <f>IFERROR(__xludf.DUMMYFUNCTION("""COMPUTED_VALUE"""),46038.0)</f>
        <v>46038</v>
      </c>
      <c r="D63" s="154">
        <f>IFERROR(__xludf.DUMMYFUNCTION("""COMPUTED_VALUE"""),46061.0)</f>
        <v>46061</v>
      </c>
    </row>
    <row r="64">
      <c r="A64" s="153" t="str">
        <f>IFERROR(__xludf.DUMMYFUNCTION("""COMPUTED_VALUE"""),"AND25630004344")</f>
        <v>AND25630004344</v>
      </c>
      <c r="B64" s="153" t="str">
        <f>IFERROR(__xludf.DUMMYFUNCTION("""COMPUTED_VALUE"""),"WES")</f>
        <v>WES</v>
      </c>
      <c r="C64" s="154">
        <f>IFERROR(__xludf.DUMMYFUNCTION("""COMPUTED_VALUE"""),46038.0)</f>
        <v>46038</v>
      </c>
      <c r="D64" s="154">
        <f>IFERROR(__xludf.DUMMYFUNCTION("""COMPUTED_VALUE"""),46061.0)</f>
        <v>46061</v>
      </c>
    </row>
    <row r="65">
      <c r="A65" s="153" t="str">
        <f>IFERROR(__xludf.DUMMYFUNCTION("""COMPUTED_VALUE"""),"AND25630004341")</f>
        <v>AND25630004341</v>
      </c>
      <c r="B65" s="153" t="str">
        <f>IFERROR(__xludf.DUMMYFUNCTION("""COMPUTED_VALUE"""),"WES")</f>
        <v>WES</v>
      </c>
      <c r="C65" s="154">
        <f>IFERROR(__xludf.DUMMYFUNCTION("""COMPUTED_VALUE"""),46038.0)</f>
        <v>46038</v>
      </c>
      <c r="D65" s="154">
        <f>IFERROR(__xludf.DUMMYFUNCTION("""COMPUTED_VALUE"""),46051.0)</f>
        <v>46051</v>
      </c>
    </row>
    <row r="66">
      <c r="A66" s="153" t="str">
        <f>IFERROR(__xludf.DUMMYFUNCTION("""COMPUTED_VALUE"""),"AND25630004340")</f>
        <v>AND25630004340</v>
      </c>
      <c r="B66" s="153" t="str">
        <f>IFERROR(__xludf.DUMMYFUNCTION("""COMPUTED_VALUE"""),"WES")</f>
        <v>WES</v>
      </c>
      <c r="C66" s="154">
        <f>IFERROR(__xludf.DUMMYFUNCTION("""COMPUTED_VALUE"""),46038.0)</f>
        <v>46038</v>
      </c>
      <c r="D66" s="154">
        <f>IFERROR(__xludf.DUMMYFUNCTION("""COMPUTED_VALUE"""),46051.0)</f>
        <v>46051</v>
      </c>
    </row>
    <row r="67">
      <c r="A67" s="153" t="str">
        <f>IFERROR(__xludf.DUMMYFUNCTION("""COMPUTED_VALUE"""),"AND25630004342")</f>
        <v>AND25630004342</v>
      </c>
      <c r="B67" s="153" t="str">
        <f>IFERROR(__xludf.DUMMYFUNCTION("""COMPUTED_VALUE"""),"WES")</f>
        <v>WES</v>
      </c>
      <c r="C67" s="154">
        <f>IFERROR(__xludf.DUMMYFUNCTION("""COMPUTED_VALUE"""),46038.0)</f>
        <v>46038</v>
      </c>
      <c r="D67" s="154">
        <f>IFERROR(__xludf.DUMMYFUNCTION("""COMPUTED_VALUE"""),46051.0)</f>
        <v>46051</v>
      </c>
    </row>
    <row r="68">
      <c r="A68" s="153" t="str">
        <f>IFERROR(__xludf.DUMMYFUNCTION("""COMPUTED_VALUE"""),"AND25420006383")</f>
        <v>AND25420006383</v>
      </c>
      <c r="B68" s="153" t="str">
        <f>IFERROR(__xludf.DUMMYFUNCTION("""COMPUTED_VALUE"""),"ADVAT Focus carrier screening - NGS")</f>
        <v>ADVAT Focus carrier screening - NGS</v>
      </c>
      <c r="C68" s="154">
        <f>IFERROR(__xludf.DUMMYFUNCTION("""COMPUTED_VALUE"""),46038.0)</f>
        <v>46038</v>
      </c>
      <c r="D68" s="154">
        <f>IFERROR(__xludf.DUMMYFUNCTION("""COMPUTED_VALUE"""),46061.0)</f>
        <v>46061</v>
      </c>
    </row>
    <row r="69">
      <c r="A69" s="153" t="str">
        <f>IFERROR(__xludf.DUMMYFUNCTION("""COMPUTED_VALUE"""),"AND25420006384")</f>
        <v>AND25420006384</v>
      </c>
      <c r="B69" s="153" t="str">
        <f>IFERROR(__xludf.DUMMYFUNCTION("""COMPUTED_VALUE"""),"ADVAT Focus carrier screening - NGS")</f>
        <v>ADVAT Focus carrier screening - NGS</v>
      </c>
      <c r="C69" s="154">
        <f>IFERROR(__xludf.DUMMYFUNCTION("""COMPUTED_VALUE"""),46038.0)</f>
        <v>46038</v>
      </c>
      <c r="D69" s="154">
        <f>IFERROR(__xludf.DUMMYFUNCTION("""COMPUTED_VALUE"""),46061.0)</f>
        <v>46061</v>
      </c>
    </row>
    <row r="70">
      <c r="A70" s="153" t="str">
        <f>IFERROR(__xludf.DUMMYFUNCTION("""COMPUTED_VALUE"""),"DCC0000002098")</f>
        <v>DCC0000002098</v>
      </c>
      <c r="B70" s="153" t="str">
        <f>IFERROR(__xludf.DUMMYFUNCTION("""COMPUTED_VALUE"""),"WES")</f>
        <v>WES</v>
      </c>
      <c r="C70" s="154">
        <f>IFERROR(__xludf.DUMMYFUNCTION("""COMPUTED_VALUE"""),46038.0)</f>
        <v>46038</v>
      </c>
      <c r="D70" s="154">
        <f>IFERROR(__xludf.DUMMYFUNCTION("""COMPUTED_VALUE"""),46060.0)</f>
        <v>46060</v>
      </c>
    </row>
    <row r="71">
      <c r="A71" s="153" t="str">
        <f>IFERROR(__xludf.DUMMYFUNCTION("""COMPUTED_VALUE"""),"AND25630004354")</f>
        <v>AND25630004354</v>
      </c>
      <c r="B71" s="153" t="str">
        <f>IFERROR(__xludf.DUMMYFUNCTION("""COMPUTED_VALUE"""),"WES")</f>
        <v>WES</v>
      </c>
      <c r="C71" s="154">
        <f>IFERROR(__xludf.DUMMYFUNCTION("""COMPUTED_VALUE"""),46038.0)</f>
        <v>46038</v>
      </c>
      <c r="D71" s="154">
        <f>IFERROR(__xludf.DUMMYFUNCTION("""COMPUTED_VALUE"""),46052.0)</f>
        <v>46052</v>
      </c>
    </row>
    <row r="72">
      <c r="A72" s="153" t="str">
        <f>IFERROR(__xludf.DUMMYFUNCTION("""COMPUTED_VALUE"""),"AND25630004355")</f>
        <v>AND25630004355</v>
      </c>
      <c r="B72" s="153" t="str">
        <f>IFERROR(__xludf.DUMMYFUNCTION("""COMPUTED_VALUE"""),"WES")</f>
        <v>WES</v>
      </c>
      <c r="C72" s="154">
        <f>IFERROR(__xludf.DUMMYFUNCTION("""COMPUTED_VALUE"""),46038.0)</f>
        <v>46038</v>
      </c>
      <c r="D72" s="154">
        <f>IFERROR(__xludf.DUMMYFUNCTION("""COMPUTED_VALUE"""),46052.0)</f>
        <v>46052</v>
      </c>
    </row>
    <row r="73">
      <c r="A73" s="153" t="str">
        <f>IFERROR(__xludf.DUMMYFUNCTION("""COMPUTED_VALUE"""),"AND25630004356")</f>
        <v>AND25630004356</v>
      </c>
      <c r="B73" s="153" t="str">
        <f>IFERROR(__xludf.DUMMYFUNCTION("""COMPUTED_VALUE"""),"WES")</f>
        <v>WES</v>
      </c>
      <c r="C73" s="154">
        <f>IFERROR(__xludf.DUMMYFUNCTION("""COMPUTED_VALUE"""),46038.0)</f>
        <v>46038</v>
      </c>
      <c r="D73" s="154">
        <f>IFERROR(__xludf.DUMMYFUNCTION("""COMPUTED_VALUE"""),46052.0)</f>
        <v>46052</v>
      </c>
    </row>
    <row r="74">
      <c r="A74" s="153" t="str">
        <f>IFERROR(__xludf.DUMMYFUNCTION("""COMPUTED_VALUE"""),"AND25630004357")</f>
        <v>AND25630004357</v>
      </c>
      <c r="B74" s="153" t="str">
        <f>IFERROR(__xludf.DUMMYFUNCTION("""COMPUTED_VALUE"""),"WES")</f>
        <v>WES</v>
      </c>
      <c r="C74" s="154">
        <f>IFERROR(__xludf.DUMMYFUNCTION("""COMPUTED_VALUE"""),46038.0)</f>
        <v>46038</v>
      </c>
      <c r="D74" s="154">
        <f>IFERROR(__xludf.DUMMYFUNCTION("""COMPUTED_VALUE"""),46052.0)</f>
        <v>46052</v>
      </c>
    </row>
    <row r="75">
      <c r="A75" s="153" t="str">
        <f>IFERROR(__xludf.DUMMYFUNCTION("""COMPUTED_VALUE"""),"AND25630004358")</f>
        <v>AND25630004358</v>
      </c>
      <c r="B75" s="153" t="str">
        <f>IFERROR(__xludf.DUMMYFUNCTION("""COMPUTED_VALUE"""),"WES")</f>
        <v>WES</v>
      </c>
      <c r="C75" s="154">
        <f>IFERROR(__xludf.DUMMYFUNCTION("""COMPUTED_VALUE"""),46038.0)</f>
        <v>46038</v>
      </c>
      <c r="D75" s="154">
        <f>IFERROR(__xludf.DUMMYFUNCTION("""COMPUTED_VALUE"""),46052.0)</f>
        <v>46052</v>
      </c>
    </row>
    <row r="76">
      <c r="A76" s="153" t="str">
        <f>IFERROR(__xludf.DUMMYFUNCTION("""COMPUTED_VALUE"""),"AND25630004359")</f>
        <v>AND25630004359</v>
      </c>
      <c r="B76" s="153" t="str">
        <f>IFERROR(__xludf.DUMMYFUNCTION("""COMPUTED_VALUE"""),"WES")</f>
        <v>WES</v>
      </c>
      <c r="C76" s="154">
        <f>IFERROR(__xludf.DUMMYFUNCTION("""COMPUTED_VALUE"""),46038.0)</f>
        <v>46038</v>
      </c>
      <c r="D76" s="154">
        <f>IFERROR(__xludf.DUMMYFUNCTION("""COMPUTED_VALUE"""),46052.0)</f>
        <v>46052</v>
      </c>
    </row>
    <row r="77">
      <c r="A77" s="153" t="str">
        <f>IFERROR(__xludf.DUMMYFUNCTION("""COMPUTED_VALUE"""),"AND25630004360")</f>
        <v>AND25630004360</v>
      </c>
      <c r="B77" s="153" t="str">
        <f>IFERROR(__xludf.DUMMYFUNCTION("""COMPUTED_VALUE"""),"WES")</f>
        <v>WES</v>
      </c>
      <c r="C77" s="154">
        <f>IFERROR(__xludf.DUMMYFUNCTION("""COMPUTED_VALUE"""),46038.0)</f>
        <v>46038</v>
      </c>
      <c r="D77" s="154">
        <f>IFERROR(__xludf.DUMMYFUNCTION("""COMPUTED_VALUE"""),46052.0)</f>
        <v>46052</v>
      </c>
    </row>
    <row r="78">
      <c r="A78" s="153" t="str">
        <f>IFERROR(__xludf.DUMMYFUNCTION("""COMPUTED_VALUE"""),"AND25630004361")</f>
        <v>AND25630004361</v>
      </c>
      <c r="B78" s="153" t="str">
        <f>IFERROR(__xludf.DUMMYFUNCTION("""COMPUTED_VALUE"""),"WES")</f>
        <v>WES</v>
      </c>
      <c r="C78" s="154">
        <f>IFERROR(__xludf.DUMMYFUNCTION("""COMPUTED_VALUE"""),46038.0)</f>
        <v>46038</v>
      </c>
      <c r="D78" s="154">
        <f>IFERROR(__xludf.DUMMYFUNCTION("""COMPUTED_VALUE"""),46052.0)</f>
        <v>46052</v>
      </c>
    </row>
    <row r="79">
      <c r="A79" s="153" t="str">
        <f>IFERROR(__xludf.DUMMYFUNCTION("""COMPUTED_VALUE"""),"AND25630004362")</f>
        <v>AND25630004362</v>
      </c>
      <c r="B79" s="153" t="str">
        <f>IFERROR(__xludf.DUMMYFUNCTION("""COMPUTED_VALUE"""),"WES")</f>
        <v>WES</v>
      </c>
      <c r="C79" s="154">
        <f>IFERROR(__xludf.DUMMYFUNCTION("""COMPUTED_VALUE"""),46038.0)</f>
        <v>46038</v>
      </c>
      <c r="D79" s="154">
        <f>IFERROR(__xludf.DUMMYFUNCTION("""COMPUTED_VALUE"""),46052.0)</f>
        <v>46052</v>
      </c>
    </row>
    <row r="80">
      <c r="A80" s="153" t="str">
        <f>IFERROR(__xludf.DUMMYFUNCTION("""COMPUTED_VALUE"""),"AND25630004428")</f>
        <v>AND25630004428</v>
      </c>
      <c r="B80" s="153" t="str">
        <f>IFERROR(__xludf.DUMMYFUNCTION("""COMPUTED_VALUE"""),"WES")</f>
        <v>WES</v>
      </c>
      <c r="C80" s="154">
        <f>IFERROR(__xludf.DUMMYFUNCTION("""COMPUTED_VALUE"""),46041.0)</f>
        <v>46041</v>
      </c>
      <c r="D80" s="154">
        <f>IFERROR(__xludf.DUMMYFUNCTION("""COMPUTED_VALUE"""),46055.0)</f>
        <v>46055</v>
      </c>
    </row>
    <row r="81">
      <c r="A81" s="153" t="str">
        <f>IFERROR(__xludf.DUMMYFUNCTION("""COMPUTED_VALUE"""),"AND25630004419")</f>
        <v>AND25630004419</v>
      </c>
      <c r="B81" s="153" t="str">
        <f>IFERROR(__xludf.DUMMYFUNCTION("""COMPUTED_VALUE"""),"WES")</f>
        <v>WES</v>
      </c>
      <c r="C81" s="154">
        <f>IFERROR(__xludf.DUMMYFUNCTION("""COMPUTED_VALUE"""),46041.0)</f>
        <v>46041</v>
      </c>
      <c r="D81" s="154">
        <f>IFERROR(__xludf.DUMMYFUNCTION("""COMPUTED_VALUE"""),46055.0)</f>
        <v>46055</v>
      </c>
    </row>
    <row r="82">
      <c r="A82" s="153" t="str">
        <f>IFERROR(__xludf.DUMMYFUNCTION("""COMPUTED_VALUE"""),"AND25630004420")</f>
        <v>AND25630004420</v>
      </c>
      <c r="B82" s="153" t="str">
        <f>IFERROR(__xludf.DUMMYFUNCTION("""COMPUTED_VALUE"""),"WES")</f>
        <v>WES</v>
      </c>
      <c r="C82" s="154">
        <f>IFERROR(__xludf.DUMMYFUNCTION("""COMPUTED_VALUE"""),46041.0)</f>
        <v>46041</v>
      </c>
      <c r="D82" s="154">
        <f>IFERROR(__xludf.DUMMYFUNCTION("""COMPUTED_VALUE"""),46055.0)</f>
        <v>46055</v>
      </c>
    </row>
    <row r="83">
      <c r="A83" s="153" t="str">
        <f>IFERROR(__xludf.DUMMYFUNCTION("""COMPUTED_VALUE"""),"AND25630004421")</f>
        <v>AND25630004421</v>
      </c>
      <c r="B83" s="153" t="str">
        <f>IFERROR(__xludf.DUMMYFUNCTION("""COMPUTED_VALUE"""),"WES")</f>
        <v>WES</v>
      </c>
      <c r="C83" s="154">
        <f>IFERROR(__xludf.DUMMYFUNCTION("""COMPUTED_VALUE"""),46041.0)</f>
        <v>46041</v>
      </c>
      <c r="D83" s="154">
        <f>IFERROR(__xludf.DUMMYFUNCTION("""COMPUTED_VALUE"""),46055.0)</f>
        <v>46055</v>
      </c>
    </row>
    <row r="84">
      <c r="A84" s="153" t="str">
        <f>IFERROR(__xludf.DUMMYFUNCTION("""COMPUTED_VALUE"""),"AND25630004422")</f>
        <v>AND25630004422</v>
      </c>
      <c r="B84" s="153" t="str">
        <f>IFERROR(__xludf.DUMMYFUNCTION("""COMPUTED_VALUE"""),"WES")</f>
        <v>WES</v>
      </c>
      <c r="C84" s="154">
        <f>IFERROR(__xludf.DUMMYFUNCTION("""COMPUTED_VALUE"""),46041.0)</f>
        <v>46041</v>
      </c>
      <c r="D84" s="154">
        <f>IFERROR(__xludf.DUMMYFUNCTION("""COMPUTED_VALUE"""),46055.0)</f>
        <v>46055</v>
      </c>
    </row>
    <row r="85">
      <c r="A85" s="153" t="str">
        <f>IFERROR(__xludf.DUMMYFUNCTION("""COMPUTED_VALUE"""),"AND25630004423")</f>
        <v>AND25630004423</v>
      </c>
      <c r="B85" s="153" t="str">
        <f>IFERROR(__xludf.DUMMYFUNCTION("""COMPUTED_VALUE"""),"WES")</f>
        <v>WES</v>
      </c>
      <c r="C85" s="154">
        <f>IFERROR(__xludf.DUMMYFUNCTION("""COMPUTED_VALUE"""),46041.0)</f>
        <v>46041</v>
      </c>
      <c r="D85" s="154">
        <f>IFERROR(__xludf.DUMMYFUNCTION("""COMPUTED_VALUE"""),46055.0)</f>
        <v>46055</v>
      </c>
    </row>
    <row r="86">
      <c r="A86" s="153" t="str">
        <f>IFERROR(__xludf.DUMMYFUNCTION("""COMPUTED_VALUE"""),"AND25630004424")</f>
        <v>AND25630004424</v>
      </c>
      <c r="B86" s="153" t="str">
        <f>IFERROR(__xludf.DUMMYFUNCTION("""COMPUTED_VALUE"""),"WES")</f>
        <v>WES</v>
      </c>
      <c r="C86" s="154">
        <f>IFERROR(__xludf.DUMMYFUNCTION("""COMPUTED_VALUE"""),46041.0)</f>
        <v>46041</v>
      </c>
      <c r="D86" s="154">
        <f>IFERROR(__xludf.DUMMYFUNCTION("""COMPUTED_VALUE"""),46055.0)</f>
        <v>46055</v>
      </c>
    </row>
    <row r="87">
      <c r="A87" s="153" t="str">
        <f>IFERROR(__xludf.DUMMYFUNCTION("""COMPUTED_VALUE"""),"AND25630004425")</f>
        <v>AND25630004425</v>
      </c>
      <c r="B87" s="153" t="str">
        <f>IFERROR(__xludf.DUMMYFUNCTION("""COMPUTED_VALUE"""),"WES")</f>
        <v>WES</v>
      </c>
      <c r="C87" s="154">
        <f>IFERROR(__xludf.DUMMYFUNCTION("""COMPUTED_VALUE"""),46041.0)</f>
        <v>46041</v>
      </c>
      <c r="D87" s="154">
        <f>IFERROR(__xludf.DUMMYFUNCTION("""COMPUTED_VALUE"""),46055.0)</f>
        <v>46055</v>
      </c>
    </row>
    <row r="88">
      <c r="A88" s="153" t="str">
        <f>IFERROR(__xludf.DUMMYFUNCTION("""COMPUTED_VALUE"""),"AND25630004426")</f>
        <v>AND25630004426</v>
      </c>
      <c r="B88" s="153" t="str">
        <f>IFERROR(__xludf.DUMMYFUNCTION("""COMPUTED_VALUE"""),"WES")</f>
        <v>WES</v>
      </c>
      <c r="C88" s="154">
        <f>IFERROR(__xludf.DUMMYFUNCTION("""COMPUTED_VALUE"""),46041.0)</f>
        <v>46041</v>
      </c>
      <c r="D88" s="154">
        <f>IFERROR(__xludf.DUMMYFUNCTION("""COMPUTED_VALUE"""),46055.0)</f>
        <v>46055</v>
      </c>
    </row>
    <row r="89">
      <c r="A89" s="153" t="str">
        <f>IFERROR(__xludf.DUMMYFUNCTION("""COMPUTED_VALUE"""),"AND25630004427")</f>
        <v>AND25630004427</v>
      </c>
      <c r="B89" s="153" t="str">
        <f>IFERROR(__xludf.DUMMYFUNCTION("""COMPUTED_VALUE"""),"WES")</f>
        <v>WES</v>
      </c>
      <c r="C89" s="154">
        <f>IFERROR(__xludf.DUMMYFUNCTION("""COMPUTED_VALUE"""),46041.0)</f>
        <v>46041</v>
      </c>
      <c r="D89" s="154">
        <f>IFERROR(__xludf.DUMMYFUNCTION("""COMPUTED_VALUE"""),46055.0)</f>
        <v>46055</v>
      </c>
    </row>
    <row r="90">
      <c r="A90" s="153" t="str">
        <f>IFERROR(__xludf.DUMMYFUNCTION("""COMPUTED_VALUE"""),"AND25630004411")</f>
        <v>AND25630004411</v>
      </c>
      <c r="B90" s="153" t="str">
        <f>IFERROR(__xludf.DUMMYFUNCTION("""COMPUTED_VALUE"""),"WES")</f>
        <v>WES</v>
      </c>
      <c r="C90" s="154">
        <f>IFERROR(__xludf.DUMMYFUNCTION("""COMPUTED_VALUE"""),46041.0)</f>
        <v>46041</v>
      </c>
      <c r="D90" s="154">
        <f>IFERROR(__xludf.DUMMYFUNCTION("""COMPUTED_VALUE"""),46056.0)</f>
        <v>46056</v>
      </c>
    </row>
    <row r="91">
      <c r="A91" s="153" t="str">
        <f>IFERROR(__xludf.DUMMYFUNCTION("""COMPUTED_VALUE"""),"AND25630004412")</f>
        <v>AND25630004412</v>
      </c>
      <c r="B91" s="153" t="str">
        <f>IFERROR(__xludf.DUMMYFUNCTION("""COMPUTED_VALUE"""),"WES")</f>
        <v>WES</v>
      </c>
      <c r="C91" s="154">
        <f>IFERROR(__xludf.DUMMYFUNCTION("""COMPUTED_VALUE"""),46041.0)</f>
        <v>46041</v>
      </c>
      <c r="D91" s="154">
        <f>IFERROR(__xludf.DUMMYFUNCTION("""COMPUTED_VALUE"""),46056.0)</f>
        <v>46056</v>
      </c>
    </row>
    <row r="92">
      <c r="A92" s="153" t="str">
        <f>IFERROR(__xludf.DUMMYFUNCTION("""COMPUTED_VALUE"""),"AND25630004413")</f>
        <v>AND25630004413</v>
      </c>
      <c r="B92" s="153" t="str">
        <f>IFERROR(__xludf.DUMMYFUNCTION("""COMPUTED_VALUE"""),"WES")</f>
        <v>WES</v>
      </c>
      <c r="C92" s="154">
        <f>IFERROR(__xludf.DUMMYFUNCTION("""COMPUTED_VALUE"""),46041.0)</f>
        <v>46041</v>
      </c>
      <c r="D92" s="154">
        <f>IFERROR(__xludf.DUMMYFUNCTION("""COMPUTED_VALUE"""),46056.0)</f>
        <v>46056</v>
      </c>
    </row>
    <row r="93">
      <c r="A93" s="153" t="str">
        <f>IFERROR(__xludf.DUMMYFUNCTION("""COMPUTED_VALUE"""),"AND25630004414")</f>
        <v>AND25630004414</v>
      </c>
      <c r="B93" s="153" t="str">
        <f>IFERROR(__xludf.DUMMYFUNCTION("""COMPUTED_VALUE"""),"WES")</f>
        <v>WES</v>
      </c>
      <c r="C93" s="154">
        <f>IFERROR(__xludf.DUMMYFUNCTION("""COMPUTED_VALUE"""),46041.0)</f>
        <v>46041</v>
      </c>
      <c r="D93" s="154">
        <f>IFERROR(__xludf.DUMMYFUNCTION("""COMPUTED_VALUE"""),46056.0)</f>
        <v>46056</v>
      </c>
    </row>
    <row r="94">
      <c r="A94" s="153" t="str">
        <f>IFERROR(__xludf.DUMMYFUNCTION("""COMPUTED_VALUE"""),"AND25630004415")</f>
        <v>AND25630004415</v>
      </c>
      <c r="B94" s="153" t="str">
        <f>IFERROR(__xludf.DUMMYFUNCTION("""COMPUTED_VALUE"""),"WES")</f>
        <v>WES</v>
      </c>
      <c r="C94" s="154">
        <f>IFERROR(__xludf.DUMMYFUNCTION("""COMPUTED_VALUE"""),46041.0)</f>
        <v>46041</v>
      </c>
      <c r="D94" s="154">
        <f>IFERROR(__xludf.DUMMYFUNCTION("""COMPUTED_VALUE"""),46056.0)</f>
        <v>46056</v>
      </c>
    </row>
    <row r="95">
      <c r="A95" s="153" t="str">
        <f>IFERROR(__xludf.DUMMYFUNCTION("""COMPUTED_VALUE"""),"AND25630004416")</f>
        <v>AND25630004416</v>
      </c>
      <c r="B95" s="153" t="str">
        <f>IFERROR(__xludf.DUMMYFUNCTION("""COMPUTED_VALUE"""),"WES")</f>
        <v>WES</v>
      </c>
      <c r="C95" s="154">
        <f>IFERROR(__xludf.DUMMYFUNCTION("""COMPUTED_VALUE"""),46041.0)</f>
        <v>46041</v>
      </c>
      <c r="D95" s="154">
        <f>IFERROR(__xludf.DUMMYFUNCTION("""COMPUTED_VALUE"""),46056.0)</f>
        <v>46056</v>
      </c>
    </row>
    <row r="96">
      <c r="A96" s="153" t="str">
        <f>IFERROR(__xludf.DUMMYFUNCTION("""COMPUTED_VALUE"""),"AND25020029925")</f>
        <v>AND25020029925</v>
      </c>
      <c r="B96" s="153" t="str">
        <f>IFERROR(__xludf.DUMMYFUNCTION("""COMPUTED_VALUE"""),"WES")</f>
        <v>WES</v>
      </c>
      <c r="C96" s="154">
        <f>IFERROR(__xludf.DUMMYFUNCTION("""COMPUTED_VALUE"""),46041.0)</f>
        <v>46041</v>
      </c>
      <c r="D96" s="154">
        <f>IFERROR(__xludf.DUMMYFUNCTION("""COMPUTED_VALUE"""),46062.0)</f>
        <v>46062</v>
      </c>
    </row>
    <row r="97">
      <c r="A97" s="153" t="str">
        <f>IFERROR(__xludf.DUMMYFUNCTION("""COMPUTED_VALUE"""),"AND25420006433")</f>
        <v>AND25420006433</v>
      </c>
      <c r="B97" s="153" t="str">
        <f>IFERROR(__xludf.DUMMYFUNCTION("""COMPUTED_VALUE"""),"ADVAT Focus carrier screening - NGS")</f>
        <v>ADVAT Focus carrier screening - NGS</v>
      </c>
      <c r="C97" s="154">
        <f>IFERROR(__xludf.DUMMYFUNCTION("""COMPUTED_VALUE"""),46041.0)</f>
        <v>46041</v>
      </c>
      <c r="D97" s="154">
        <f>IFERROR(__xludf.DUMMYFUNCTION("""COMPUTED_VALUE"""),46062.0)</f>
        <v>46062</v>
      </c>
    </row>
    <row r="98">
      <c r="A98" s="153" t="str">
        <f>IFERROR(__xludf.DUMMYFUNCTION("""COMPUTED_VALUE"""),"AND25030019024")</f>
        <v>AND25030019024</v>
      </c>
      <c r="B98" s="153" t="str">
        <f>IFERROR(__xludf.DUMMYFUNCTION("""COMPUTED_VALUE"""),"WES")</f>
        <v>WES</v>
      </c>
      <c r="C98" s="154">
        <f>IFERROR(__xludf.DUMMYFUNCTION("""COMPUTED_VALUE"""),46041.0)</f>
        <v>46041</v>
      </c>
      <c r="D98" s="154">
        <f>IFERROR(__xludf.DUMMYFUNCTION("""COMPUTED_VALUE"""),46063.0)</f>
        <v>46063</v>
      </c>
    </row>
    <row r="99">
      <c r="A99" s="153" t="str">
        <f>IFERROR(__xludf.DUMMYFUNCTION("""COMPUTED_VALUE"""),"AND25380237288")</f>
        <v>AND25380237288</v>
      </c>
      <c r="B99" s="153" t="str">
        <f>IFERROR(__xludf.DUMMYFUNCTION("""COMPUTED_VALUE"""),"WES")</f>
        <v>WES</v>
      </c>
      <c r="C99" s="154">
        <f>IFERROR(__xludf.DUMMYFUNCTION("""COMPUTED_VALUE"""),46041.0)</f>
        <v>46041</v>
      </c>
      <c r="D99" s="154">
        <f>IFERROR(__xludf.DUMMYFUNCTION("""COMPUTED_VALUE"""),46062.0)</f>
        <v>46062</v>
      </c>
    </row>
    <row r="100">
      <c r="A100" s="153" t="str">
        <f>IFERROR(__xludf.DUMMYFUNCTION("""COMPUTED_VALUE"""),"AND25380237289")</f>
        <v>AND25380237289</v>
      </c>
      <c r="B100" s="153" t="str">
        <f>IFERROR(__xludf.DUMMYFUNCTION("""COMPUTED_VALUE"""),"WES")</f>
        <v>WES</v>
      </c>
      <c r="C100" s="154">
        <f>IFERROR(__xludf.DUMMYFUNCTION("""COMPUTED_VALUE"""),46041.0)</f>
        <v>46041</v>
      </c>
      <c r="D100" s="154">
        <f>IFERROR(__xludf.DUMMYFUNCTION("""COMPUTED_VALUE"""),46062.0)</f>
        <v>46062</v>
      </c>
    </row>
    <row r="101">
      <c r="A101" s="153" t="str">
        <f>IFERROR(__xludf.DUMMYFUNCTION("""COMPUTED_VALUE"""),"AND25420006461")</f>
        <v>AND25420006461</v>
      </c>
      <c r="B101" s="153" t="str">
        <f>IFERROR(__xludf.DUMMYFUNCTION("""COMPUTED_VALUE"""),"ADVAT Focus carrier screening - NGS")</f>
        <v>ADVAT Focus carrier screening - NGS</v>
      </c>
      <c r="C101" s="154">
        <f>IFERROR(__xludf.DUMMYFUNCTION("""COMPUTED_VALUE"""),46041.0)</f>
        <v>46041</v>
      </c>
      <c r="D101" s="154">
        <f>IFERROR(__xludf.DUMMYFUNCTION("""COMPUTED_VALUE"""),46063.0)</f>
        <v>46063</v>
      </c>
    </row>
    <row r="102">
      <c r="A102" s="153" t="str">
        <f>IFERROR(__xludf.DUMMYFUNCTION("""COMPUTED_VALUE"""),"AND25420006462")</f>
        <v>AND25420006462</v>
      </c>
      <c r="B102" s="153" t="str">
        <f>IFERROR(__xludf.DUMMYFUNCTION("""COMPUTED_VALUE"""),"ADVAT Focus carrier screening - NGS")</f>
        <v>ADVAT Focus carrier screening - NGS</v>
      </c>
      <c r="C102" s="154">
        <f>IFERROR(__xludf.DUMMYFUNCTION("""COMPUTED_VALUE"""),46041.0)</f>
        <v>46041</v>
      </c>
      <c r="D102" s="154">
        <f>IFERROR(__xludf.DUMMYFUNCTION("""COMPUTED_VALUE"""),46063.0)</f>
        <v>46063</v>
      </c>
    </row>
    <row r="103">
      <c r="A103" s="153" t="str">
        <f>IFERROR(__xludf.DUMMYFUNCTION("""COMPUTED_VALUE"""),"AND251H0004746")</f>
        <v>AND251H0004746</v>
      </c>
      <c r="B103" s="153" t="str">
        <f>IFERROR(__xludf.DUMMYFUNCTION("""COMPUTED_VALUE"""),"CES")</f>
        <v>CES</v>
      </c>
      <c r="C103" s="154">
        <f>IFERROR(__xludf.DUMMYFUNCTION("""COMPUTED_VALUE"""),46041.0)</f>
        <v>46041</v>
      </c>
      <c r="D103" s="154">
        <f>IFERROR(__xludf.DUMMYFUNCTION("""COMPUTED_VALUE"""),46062.0)</f>
        <v>46062</v>
      </c>
    </row>
    <row r="104">
      <c r="A104" s="153" t="str">
        <f>IFERROR(__xludf.DUMMYFUNCTION("""COMPUTED_VALUE"""),"AND25630004363")</f>
        <v>AND25630004363</v>
      </c>
      <c r="B104" s="153" t="str">
        <f>IFERROR(__xludf.DUMMYFUNCTION("""COMPUTED_VALUE"""),"WES+WMGS")</f>
        <v>WES+WMGS</v>
      </c>
      <c r="C104" s="154">
        <f>IFERROR(__xludf.DUMMYFUNCTION("""COMPUTED_VALUE"""),46041.0)</f>
        <v>46041</v>
      </c>
      <c r="D104" s="154">
        <f>IFERROR(__xludf.DUMMYFUNCTION("""COMPUTED_VALUE"""),46062.0)</f>
        <v>46062</v>
      </c>
    </row>
    <row r="105">
      <c r="A105" s="153" t="str">
        <f>IFERROR(__xludf.DUMMYFUNCTION("""COMPUTED_VALUE"""),"DCC0000002158")</f>
        <v>DCC0000002158</v>
      </c>
      <c r="B105" s="153" t="str">
        <f>IFERROR(__xludf.DUMMYFUNCTION("""COMPUTED_VALUE"""),"COMPREHENSIVE CARRIER SCREENING")</f>
        <v>COMPREHENSIVE CARRIER SCREENING</v>
      </c>
      <c r="C105" s="154">
        <f>IFERROR(__xludf.DUMMYFUNCTION("""COMPUTED_VALUE"""),46041.0)</f>
        <v>46041</v>
      </c>
      <c r="D105" s="154">
        <f>IFERROR(__xludf.DUMMYFUNCTION("""COMPUTED_VALUE"""),46063.0)</f>
        <v>46063</v>
      </c>
    </row>
    <row r="106">
      <c r="A106" s="153" t="str">
        <f>IFERROR(__xludf.DUMMYFUNCTION("""COMPUTED_VALUE"""),"AND25020064993")</f>
        <v>AND25020064993</v>
      </c>
      <c r="B106" s="153" t="str">
        <f>IFERROR(__xludf.DUMMYFUNCTION("""COMPUTED_VALUE"""),"WES+WMGS")</f>
        <v>WES+WMGS</v>
      </c>
      <c r="C106" s="154">
        <f>IFERROR(__xludf.DUMMYFUNCTION("""COMPUTED_VALUE"""),46041.0)</f>
        <v>46041</v>
      </c>
      <c r="D106" s="154">
        <f>IFERROR(__xludf.DUMMYFUNCTION("""COMPUTED_VALUE"""),46063.0)</f>
        <v>46063</v>
      </c>
    </row>
    <row r="107">
      <c r="A107" s="153" t="str">
        <f>IFERROR(__xludf.DUMMYFUNCTION("""COMPUTED_VALUE"""),"ADB0000019616")</f>
        <v>ADB0000019616</v>
      </c>
      <c r="B107" s="153" t="str">
        <f>IFERROR(__xludf.DUMMYFUNCTION("""COMPUTED_VALUE"""),"ADVAT FOCUSSED CARRIER SCREENING")</f>
        <v>ADVAT FOCUSSED CARRIER SCREENING</v>
      </c>
      <c r="C107" s="154">
        <f>IFERROR(__xludf.DUMMYFUNCTION("""COMPUTED_VALUE"""),46041.0)</f>
        <v>46041</v>
      </c>
      <c r="D107" s="154">
        <f>IFERROR(__xludf.DUMMYFUNCTION("""COMPUTED_VALUE"""),46064.0)</f>
        <v>46064</v>
      </c>
    </row>
    <row r="108">
      <c r="A108" s="153" t="str">
        <f>IFERROR(__xludf.DUMMYFUNCTION("""COMPUTED_VALUE"""),"DCC0000002159")</f>
        <v>DCC0000002159</v>
      </c>
      <c r="B108" s="153" t="str">
        <f>IFERROR(__xludf.DUMMYFUNCTION("""COMPUTED_VALUE"""),"WES")</f>
        <v>WES</v>
      </c>
      <c r="C108" s="154">
        <f>IFERROR(__xludf.DUMMYFUNCTION("""COMPUTED_VALUE"""),46041.0)</f>
        <v>46041</v>
      </c>
      <c r="D108" s="154">
        <f>IFERROR(__xludf.DUMMYFUNCTION("""COMPUTED_VALUE"""),46056.0)</f>
        <v>46056</v>
      </c>
    </row>
    <row r="109">
      <c r="A109" s="153" t="str">
        <f>IFERROR(__xludf.DUMMYFUNCTION("""COMPUTED_VALUE"""),"ADB0000018899")</f>
        <v>ADB0000018899</v>
      </c>
      <c r="B109" s="153" t="str">
        <f>IFERROR(__xludf.DUMMYFUNCTION("""COMPUTED_VALUE"""),"WES")</f>
        <v>WES</v>
      </c>
      <c r="C109" s="154">
        <f>IFERROR(__xludf.DUMMYFUNCTION("""COMPUTED_VALUE"""),46041.0)</f>
        <v>46041</v>
      </c>
      <c r="D109" s="154">
        <f>IFERROR(__xludf.DUMMYFUNCTION("""COMPUTED_VALUE"""),46059.0)</f>
        <v>46059</v>
      </c>
    </row>
    <row r="110">
      <c r="A110" s="153" t="str">
        <f>IFERROR(__xludf.DUMMYFUNCTION("""COMPUTED_VALUE"""),"AND25020064881")</f>
        <v>AND25020064881</v>
      </c>
      <c r="B110" s="153" t="str">
        <f>IFERROR(__xludf.DUMMYFUNCTION("""COMPUTED_VALUE"""),"WES+WMGS")</f>
        <v>WES+WMGS</v>
      </c>
      <c r="C110" s="154">
        <f>IFERROR(__xludf.DUMMYFUNCTION("""COMPUTED_VALUE"""),46041.0)</f>
        <v>46041</v>
      </c>
      <c r="D110" s="154">
        <f>IFERROR(__xludf.DUMMYFUNCTION("""COMPUTED_VALUE"""),46062.0)</f>
        <v>46062</v>
      </c>
    </row>
    <row r="111">
      <c r="A111" s="153" t="str">
        <f>IFERROR(__xludf.DUMMYFUNCTION("""COMPUTED_VALUE"""),"AND25360066887")</f>
        <v>AND25360066887</v>
      </c>
      <c r="B111" s="153" t="str">
        <f>IFERROR(__xludf.DUMMYFUNCTION("""COMPUTED_VALUE"""),"WES")</f>
        <v>WES</v>
      </c>
      <c r="C111" s="154">
        <f>IFERROR(__xludf.DUMMYFUNCTION("""COMPUTED_VALUE"""),46041.0)</f>
        <v>46041</v>
      </c>
      <c r="D111" s="154">
        <f>IFERROR(__xludf.DUMMYFUNCTION("""COMPUTED_VALUE"""),46062.0)</f>
        <v>46062</v>
      </c>
    </row>
    <row r="112">
      <c r="A112" s="153" t="str">
        <f>IFERROR(__xludf.DUMMYFUNCTION("""COMPUTED_VALUE"""),"AMB0000004695")</f>
        <v>AMB0000004695</v>
      </c>
      <c r="B112" s="153" t="str">
        <f>IFERROR(__xludf.DUMMYFUNCTION("""COMPUTED_VALUE"""),"WES")</f>
        <v>WES</v>
      </c>
      <c r="C112" s="154">
        <f>IFERROR(__xludf.DUMMYFUNCTION("""COMPUTED_VALUE"""),46041.0)</f>
        <v>46041</v>
      </c>
      <c r="D112" s="154">
        <f>IFERROR(__xludf.DUMMYFUNCTION("""COMPUTED_VALUE"""),46065.0)</f>
        <v>46065</v>
      </c>
    </row>
    <row r="113">
      <c r="A113" s="153" t="str">
        <f>IFERROR(__xludf.DUMMYFUNCTION("""COMPUTED_VALUE"""),"AMB0000004696")</f>
        <v>AMB0000004696</v>
      </c>
      <c r="B113" s="153" t="str">
        <f>IFERROR(__xludf.DUMMYFUNCTION("""COMPUTED_VALUE"""),"WES")</f>
        <v>WES</v>
      </c>
      <c r="C113" s="154">
        <f>IFERROR(__xludf.DUMMYFUNCTION("""COMPUTED_VALUE"""),46041.0)</f>
        <v>46041</v>
      </c>
      <c r="D113" s="154">
        <f>IFERROR(__xludf.DUMMYFUNCTION("""COMPUTED_VALUE"""),46065.0)</f>
        <v>46065</v>
      </c>
    </row>
    <row r="114">
      <c r="A114" s="153" t="str">
        <f>IFERROR(__xludf.DUMMYFUNCTION("""COMPUTED_VALUE"""),"ADB0000019843")</f>
        <v>ADB0000019843</v>
      </c>
      <c r="B114" s="153" t="str">
        <f>IFERROR(__xludf.DUMMYFUNCTION("""COMPUTED_VALUE"""),"WES")</f>
        <v>WES</v>
      </c>
      <c r="C114" s="154">
        <f>IFERROR(__xludf.DUMMYFUNCTION("""COMPUTED_VALUE"""),46041.0)</f>
        <v>46041</v>
      </c>
      <c r="D114" s="154">
        <f>IFERROR(__xludf.DUMMYFUNCTION("""COMPUTED_VALUE"""),46065.0)</f>
        <v>46065</v>
      </c>
    </row>
    <row r="115">
      <c r="A115" s="153" t="str">
        <f>IFERROR(__xludf.DUMMYFUNCTION("""COMPUTED_VALUE"""),"ADH0000009138")</f>
        <v>ADH0000009138</v>
      </c>
      <c r="B115" s="153" t="str">
        <f>IFERROR(__xludf.DUMMYFUNCTION("""COMPUTED_VALUE"""),"WES")</f>
        <v>WES</v>
      </c>
      <c r="C115" s="154">
        <f>IFERROR(__xludf.DUMMYFUNCTION("""COMPUTED_VALUE"""),46041.0)</f>
        <v>46041</v>
      </c>
      <c r="D115" s="154">
        <f>IFERROR(__xludf.DUMMYFUNCTION("""COMPUTED_VALUE"""),46065.0)</f>
        <v>46065</v>
      </c>
    </row>
    <row r="116">
      <c r="A116" s="153" t="str">
        <f>IFERROR(__xludf.DUMMYFUNCTION("""COMPUTED_VALUE"""),"AND25380240160")</f>
        <v>AND25380240160</v>
      </c>
      <c r="B116" s="153" t="str">
        <f>IFERROR(__xludf.DUMMYFUNCTION("""COMPUTED_VALUE"""),"CES")</f>
        <v>CES</v>
      </c>
      <c r="C116" s="154">
        <f>IFERROR(__xludf.DUMMYFUNCTION("""COMPUTED_VALUE"""),46041.0)</f>
        <v>46041</v>
      </c>
      <c r="D116" s="154">
        <f>IFERROR(__xludf.DUMMYFUNCTION("""COMPUTED_VALUE"""),46065.0)</f>
        <v>46065</v>
      </c>
    </row>
    <row r="117">
      <c r="A117" s="153" t="str">
        <f>IFERROR(__xludf.DUMMYFUNCTION("""COMPUTED_VALUE"""),"AND25630004398")</f>
        <v>AND25630004398</v>
      </c>
      <c r="B117" s="153" t="str">
        <f>IFERROR(__xludf.DUMMYFUNCTION("""COMPUTED_VALUE"""),"WES+WMGS")</f>
        <v>WES+WMGS</v>
      </c>
      <c r="C117" s="154">
        <f>IFERROR(__xludf.DUMMYFUNCTION("""COMPUTED_VALUE"""),46041.0)</f>
        <v>46041</v>
      </c>
      <c r="D117" s="154">
        <f>IFERROR(__xludf.DUMMYFUNCTION("""COMPUTED_VALUE"""),46065.0)</f>
        <v>46065</v>
      </c>
    </row>
    <row r="118">
      <c r="A118" s="153" t="str">
        <f>IFERROR(__xludf.DUMMYFUNCTION("""COMPUTED_VALUE"""),"AND25630004399")</f>
        <v>AND25630004399</v>
      </c>
      <c r="B118" s="153" t="str">
        <f>IFERROR(__xludf.DUMMYFUNCTION("""COMPUTED_VALUE"""),"WES+WMGS")</f>
        <v>WES+WMGS</v>
      </c>
      <c r="C118" s="154">
        <f>IFERROR(__xludf.DUMMYFUNCTION("""COMPUTED_VALUE"""),46041.0)</f>
        <v>46041</v>
      </c>
      <c r="D118" s="154">
        <f>IFERROR(__xludf.DUMMYFUNCTION("""COMPUTED_VALUE"""),46065.0)</f>
        <v>46065</v>
      </c>
    </row>
    <row r="119">
      <c r="A119" s="153" t="str">
        <f>IFERROR(__xludf.DUMMYFUNCTION("""COMPUTED_VALUE"""),"AND25630004401")</f>
        <v>AND25630004401</v>
      </c>
      <c r="B119" s="153" t="str">
        <f>IFERROR(__xludf.DUMMYFUNCTION("""COMPUTED_VALUE"""),"CES")</f>
        <v>CES</v>
      </c>
      <c r="C119" s="154">
        <f>IFERROR(__xludf.DUMMYFUNCTION("""COMPUTED_VALUE"""),46041.0)</f>
        <v>46041</v>
      </c>
      <c r="D119" s="154">
        <f>IFERROR(__xludf.DUMMYFUNCTION("""COMPUTED_VALUE"""),46065.0)</f>
        <v>46065</v>
      </c>
    </row>
    <row r="120">
      <c r="A120" s="153" t="str">
        <f>IFERROR(__xludf.DUMMYFUNCTION("""COMPUTED_VALUE"""),"AND25420006533")</f>
        <v>AND25420006533</v>
      </c>
      <c r="B120" s="153" t="str">
        <f>IFERROR(__xludf.DUMMYFUNCTION("""COMPUTED_VALUE"""),"ADVAT Focus carrier screening - NGS")</f>
        <v>ADVAT Focus carrier screening - NGS</v>
      </c>
      <c r="C120" s="154">
        <f>IFERROR(__xludf.DUMMYFUNCTION("""COMPUTED_VALUE"""),46045.0)</f>
        <v>46045</v>
      </c>
      <c r="D120" s="154">
        <f>IFERROR(__xludf.DUMMYFUNCTION("""COMPUTED_VALUE"""),46066.0)</f>
        <v>46066</v>
      </c>
    </row>
    <row r="121">
      <c r="A121" s="153" t="str">
        <f>IFERROR(__xludf.DUMMYFUNCTION("""COMPUTED_VALUE"""),"AND25020058894")</f>
        <v>AND25020058894</v>
      </c>
      <c r="B121" s="153" t="str">
        <f>IFERROR(__xludf.DUMMYFUNCTION("""COMPUTED_VALUE"""),"WES+WMGS")</f>
        <v>WES+WMGS</v>
      </c>
      <c r="C121" s="154">
        <f>IFERROR(__xludf.DUMMYFUNCTION("""COMPUTED_VALUE"""),46045.0)</f>
        <v>46045</v>
      </c>
      <c r="D121" s="154">
        <f>IFERROR(__xludf.DUMMYFUNCTION("""COMPUTED_VALUE"""),46066.0)</f>
        <v>46066</v>
      </c>
    </row>
    <row r="122">
      <c r="A122" s="153" t="str">
        <f>IFERROR(__xludf.DUMMYFUNCTION("""COMPUTED_VALUE"""),"AND25020065521")</f>
        <v>AND25020065521</v>
      </c>
      <c r="B122" s="153" t="str">
        <f>IFERROR(__xludf.DUMMYFUNCTION("""COMPUTED_VALUE"""),"WES+WMGS")</f>
        <v>WES+WMGS</v>
      </c>
      <c r="C122" s="154">
        <f>IFERROR(__xludf.DUMMYFUNCTION("""COMPUTED_VALUE"""),46045.0)</f>
        <v>46045</v>
      </c>
      <c r="D122" s="154">
        <f>IFERROR(__xludf.DUMMYFUNCTION("""COMPUTED_VALUE"""),46066.0)</f>
        <v>46066</v>
      </c>
    </row>
    <row r="123">
      <c r="A123" s="153" t="str">
        <f>IFERROR(__xludf.DUMMYFUNCTION("""COMPUTED_VALUE"""),"AND25020065520")</f>
        <v>AND25020065520</v>
      </c>
      <c r="B123" s="153" t="str">
        <f>IFERROR(__xludf.DUMMYFUNCTION("""COMPUTED_VALUE"""),"WES+WMGS")</f>
        <v>WES+WMGS</v>
      </c>
      <c r="C123" s="154">
        <f>IFERROR(__xludf.DUMMYFUNCTION("""COMPUTED_VALUE"""),46045.0)</f>
        <v>46045</v>
      </c>
      <c r="D123" s="154">
        <f>IFERROR(__xludf.DUMMYFUNCTION("""COMPUTED_VALUE"""),46066.0)</f>
        <v>46066</v>
      </c>
    </row>
    <row r="124">
      <c r="A124" s="153" t="str">
        <f>IFERROR(__xludf.DUMMYFUNCTION("""COMPUTED_VALUE"""),"AND25020058603")</f>
        <v>AND25020058603</v>
      </c>
      <c r="B124" s="153" t="str">
        <f>IFERROR(__xludf.DUMMYFUNCTION("""COMPUTED_VALUE"""),"WES+WMGS")</f>
        <v>WES+WMGS</v>
      </c>
      <c r="C124" s="154">
        <f>IFERROR(__xludf.DUMMYFUNCTION("""COMPUTED_VALUE"""),46045.0)</f>
        <v>46045</v>
      </c>
      <c r="D124" s="154">
        <f>IFERROR(__xludf.DUMMYFUNCTION("""COMPUTED_VALUE"""),46066.0)</f>
        <v>46066</v>
      </c>
    </row>
    <row r="125">
      <c r="A125" s="153" t="str">
        <f>IFERROR(__xludf.DUMMYFUNCTION("""COMPUTED_VALUE"""),"AND251H0004732")</f>
        <v>AND251H0004732</v>
      </c>
      <c r="B125" s="153" t="str">
        <f>IFERROR(__xludf.DUMMYFUNCTION("""COMPUTED_VALUE"""),"CES")</f>
        <v>CES</v>
      </c>
      <c r="C125" s="154">
        <f>IFERROR(__xludf.DUMMYFUNCTION("""COMPUTED_VALUE"""),46045.0)</f>
        <v>46045</v>
      </c>
      <c r="D125" s="154">
        <f>IFERROR(__xludf.DUMMYFUNCTION("""COMPUTED_VALUE"""),46062.0)</f>
        <v>46062</v>
      </c>
    </row>
    <row r="126">
      <c r="A126" s="153" t="str">
        <f>IFERROR(__xludf.DUMMYFUNCTION("""COMPUTED_VALUE"""),"ADH0000009092")</f>
        <v>ADH0000009092</v>
      </c>
      <c r="B126" s="153" t="str">
        <f>IFERROR(__xludf.DUMMYFUNCTION("""COMPUTED_VALUE"""),"WES")</f>
        <v>WES</v>
      </c>
      <c r="C126" s="154">
        <f>IFERROR(__xludf.DUMMYFUNCTION("""COMPUTED_VALUE"""),46045.0)</f>
        <v>46045</v>
      </c>
      <c r="D126" s="154">
        <f>IFERROR(__xludf.DUMMYFUNCTION("""COMPUTED_VALUE"""),46063.0)</f>
        <v>46063</v>
      </c>
    </row>
    <row r="127">
      <c r="A127" s="153" t="str">
        <f>IFERROR(__xludf.DUMMYFUNCTION("""COMPUTED_VALUE"""),"AND25020065163")</f>
        <v>AND25020065163</v>
      </c>
      <c r="B127" s="153" t="str">
        <f>IFERROR(__xludf.DUMMYFUNCTION("""COMPUTED_VALUE"""),"WES")</f>
        <v>WES</v>
      </c>
      <c r="C127" s="154">
        <f>IFERROR(__xludf.DUMMYFUNCTION("""COMPUTED_VALUE"""),46045.0)</f>
        <v>46045</v>
      </c>
      <c r="D127" s="154">
        <f>IFERROR(__xludf.DUMMYFUNCTION("""COMPUTED_VALUE"""),46064.0)</f>
        <v>46064</v>
      </c>
    </row>
    <row r="128">
      <c r="A128" s="153" t="str">
        <f>IFERROR(__xludf.DUMMYFUNCTION("""COMPUTED_VALUE"""),"AND25630004402")</f>
        <v>AND25630004402</v>
      </c>
      <c r="B128" s="153" t="str">
        <f>IFERROR(__xludf.DUMMYFUNCTION("""COMPUTED_VALUE"""),"WES+WMGS")</f>
        <v>WES+WMGS</v>
      </c>
      <c r="C128" s="154">
        <f>IFERROR(__xludf.DUMMYFUNCTION("""COMPUTED_VALUE"""),46045.0)</f>
        <v>46045</v>
      </c>
      <c r="D128" s="154">
        <f>IFERROR(__xludf.DUMMYFUNCTION("""COMPUTED_VALUE"""),46065.0)</f>
        <v>46065</v>
      </c>
    </row>
    <row r="129">
      <c r="A129" s="153" t="str">
        <f>IFERROR(__xludf.DUMMYFUNCTION("""COMPUTED_VALUE"""),"AND25720034845")</f>
        <v>AND25720034845</v>
      </c>
      <c r="B129" s="153" t="str">
        <f>IFERROR(__xludf.DUMMYFUNCTION("""COMPUTED_VALUE"""),"WES")</f>
        <v>WES</v>
      </c>
      <c r="C129" s="154">
        <f>IFERROR(__xludf.DUMMYFUNCTION("""COMPUTED_VALUE"""),46045.0)</f>
        <v>46045</v>
      </c>
      <c r="D129" s="154">
        <f>IFERROR(__xludf.DUMMYFUNCTION("""COMPUTED_VALUE"""),46065.0)</f>
        <v>46065</v>
      </c>
    </row>
    <row r="130">
      <c r="A130" s="153" t="str">
        <f>IFERROR(__xludf.DUMMYFUNCTION("""COMPUTED_VALUE"""),"AND25720034846")</f>
        <v>AND25720034846</v>
      </c>
      <c r="B130" s="153" t="str">
        <f>IFERROR(__xludf.DUMMYFUNCTION("""COMPUTED_VALUE"""),"WES")</f>
        <v>WES</v>
      </c>
      <c r="C130" s="154">
        <f>IFERROR(__xludf.DUMMYFUNCTION("""COMPUTED_VALUE"""),46045.0)</f>
        <v>46045</v>
      </c>
      <c r="D130" s="154">
        <f>IFERROR(__xludf.DUMMYFUNCTION("""COMPUTED_VALUE"""),46065.0)</f>
        <v>46065</v>
      </c>
    </row>
    <row r="131">
      <c r="A131" s="153" t="str">
        <f>IFERROR(__xludf.DUMMYFUNCTION("""COMPUTED_VALUE"""),"AND25420006501")</f>
        <v>AND25420006501</v>
      </c>
      <c r="B131" s="153" t="str">
        <f>IFERROR(__xludf.DUMMYFUNCTION("""COMPUTED_VALUE"""),"WES")</f>
        <v>WES</v>
      </c>
      <c r="C131" s="154">
        <f>IFERROR(__xludf.DUMMYFUNCTION("""COMPUTED_VALUE"""),46045.0)</f>
        <v>46045</v>
      </c>
      <c r="D131" s="154">
        <f>IFERROR(__xludf.DUMMYFUNCTION("""COMPUTED_VALUE"""),46065.0)</f>
        <v>46065</v>
      </c>
    </row>
    <row r="132">
      <c r="A132" s="153" t="str">
        <f>IFERROR(__xludf.DUMMYFUNCTION("""COMPUTED_VALUE"""),"AND25420006500")</f>
        <v>AND25420006500</v>
      </c>
      <c r="B132" s="153" t="str">
        <f>IFERROR(__xludf.DUMMYFUNCTION("""COMPUTED_VALUE"""),"WES")</f>
        <v>WES</v>
      </c>
      <c r="C132" s="154">
        <f>IFERROR(__xludf.DUMMYFUNCTION("""COMPUTED_VALUE"""),46045.0)</f>
        <v>46045</v>
      </c>
      <c r="D132" s="154">
        <f>IFERROR(__xludf.DUMMYFUNCTION("""COMPUTED_VALUE"""),46065.0)</f>
        <v>46065</v>
      </c>
    </row>
    <row r="133">
      <c r="A133" s="153" t="str">
        <f>IFERROR(__xludf.DUMMYFUNCTION("""COMPUTED_VALUE"""),"ADH0000009274")</f>
        <v>ADH0000009274</v>
      </c>
      <c r="B133" s="153" t="str">
        <f>IFERROR(__xludf.DUMMYFUNCTION("""COMPUTED_VALUE"""),"WES")</f>
        <v>WES</v>
      </c>
      <c r="C133" s="154">
        <f>IFERROR(__xludf.DUMMYFUNCTION("""COMPUTED_VALUE"""),46045.0)</f>
        <v>46045</v>
      </c>
      <c r="D133" s="154">
        <f>IFERROR(__xludf.DUMMYFUNCTION("""COMPUTED_VALUE"""),46066.0)</f>
        <v>46066</v>
      </c>
    </row>
    <row r="134">
      <c r="A134" s="153" t="str">
        <f>IFERROR(__xludf.DUMMYFUNCTION("""COMPUTED_VALUE"""),"ADH0000009275")</f>
        <v>ADH0000009275</v>
      </c>
      <c r="B134" s="153" t="str">
        <f>IFERROR(__xludf.DUMMYFUNCTION("""COMPUTED_VALUE"""),"WES")</f>
        <v>WES</v>
      </c>
      <c r="C134" s="154">
        <f>IFERROR(__xludf.DUMMYFUNCTION("""COMPUTED_VALUE"""),46045.0)</f>
        <v>46045</v>
      </c>
      <c r="D134" s="154">
        <f>IFERROR(__xludf.DUMMYFUNCTION("""COMPUTED_VALUE"""),46066.0)</f>
        <v>46066</v>
      </c>
    </row>
    <row r="135">
      <c r="A135" s="153" t="str">
        <f>IFERROR(__xludf.DUMMYFUNCTION("""COMPUTED_VALUE"""),"AND25720035102")</f>
        <v>AND25720035102</v>
      </c>
      <c r="B135" s="153" t="str">
        <f>IFERROR(__xludf.DUMMYFUNCTION("""COMPUTED_VALUE"""),"WES")</f>
        <v>WES</v>
      </c>
      <c r="C135" s="154">
        <f>IFERROR(__xludf.DUMMYFUNCTION("""COMPUTED_VALUE"""),46045.0)</f>
        <v>46045</v>
      </c>
      <c r="D135" s="154">
        <f>IFERROR(__xludf.DUMMYFUNCTION("""COMPUTED_VALUE"""),46066.0)</f>
        <v>46066</v>
      </c>
    </row>
    <row r="136">
      <c r="A136" s="153" t="str">
        <f>IFERROR(__xludf.DUMMYFUNCTION("""COMPUTED_VALUE"""),"AMB0000004780")</f>
        <v>AMB0000004780</v>
      </c>
      <c r="B136" s="153" t="str">
        <f>IFERROR(__xludf.DUMMYFUNCTION("""COMPUTED_VALUE"""),"WES")</f>
        <v>WES</v>
      </c>
      <c r="C136" s="154">
        <f>IFERROR(__xludf.DUMMYFUNCTION("""COMPUTED_VALUE"""),46045.0)</f>
        <v>46045</v>
      </c>
      <c r="D136" s="154">
        <f>IFERROR(__xludf.DUMMYFUNCTION("""COMPUTED_VALUE"""),46066.0)</f>
        <v>46066</v>
      </c>
    </row>
    <row r="137">
      <c r="A137" s="153" t="str">
        <f>IFERROR(__xludf.DUMMYFUNCTION("""COMPUTED_VALUE"""),"AMB0000004781")</f>
        <v>AMB0000004781</v>
      </c>
      <c r="B137" s="153" t="str">
        <f>IFERROR(__xludf.DUMMYFUNCTION("""COMPUTED_VALUE"""),"WES")</f>
        <v>WES</v>
      </c>
      <c r="C137" s="154">
        <f>IFERROR(__xludf.DUMMYFUNCTION("""COMPUTED_VALUE"""),46045.0)</f>
        <v>46045</v>
      </c>
      <c r="D137" s="154">
        <f>IFERROR(__xludf.DUMMYFUNCTION("""COMPUTED_VALUE"""),46066.0)</f>
        <v>46066</v>
      </c>
    </row>
    <row r="138">
      <c r="A138" s="153" t="str">
        <f>IFERROR(__xludf.DUMMYFUNCTION("""COMPUTED_VALUE"""),"AND25380241536")</f>
        <v>AND25380241536</v>
      </c>
      <c r="B138" s="153" t="str">
        <f>IFERROR(__xludf.DUMMYFUNCTION("""COMPUTED_VALUE"""),"CES")</f>
        <v>CES</v>
      </c>
      <c r="C138" s="154">
        <f>IFERROR(__xludf.DUMMYFUNCTION("""COMPUTED_VALUE"""),46045.0)</f>
        <v>46045</v>
      </c>
      <c r="D138" s="154">
        <f>IFERROR(__xludf.DUMMYFUNCTION("""COMPUTED_VALUE"""),46066.0)</f>
        <v>46066</v>
      </c>
    </row>
    <row r="139">
      <c r="A139" s="153" t="str">
        <f>IFERROR(__xludf.DUMMYFUNCTION("""COMPUTED_VALUE"""),"ADB0000020046")</f>
        <v>ADB0000020046</v>
      </c>
      <c r="B139" s="153" t="str">
        <f>IFERROR(__xludf.DUMMYFUNCTION("""COMPUTED_VALUE"""),"WES")</f>
        <v>WES</v>
      </c>
      <c r="C139" s="154">
        <f>IFERROR(__xludf.DUMMYFUNCTION("""COMPUTED_VALUE"""),46045.0)</f>
        <v>46045</v>
      </c>
      <c r="D139" s="154">
        <f>IFERROR(__xludf.DUMMYFUNCTION("""COMPUTED_VALUE"""),46067.0)</f>
        <v>46067</v>
      </c>
    </row>
    <row r="140">
      <c r="A140" s="153" t="str">
        <f>IFERROR(__xludf.DUMMYFUNCTION("""COMPUTED_VALUE"""),"ADB0000020047")</f>
        <v>ADB0000020047</v>
      </c>
      <c r="B140" s="153" t="str">
        <f>IFERROR(__xludf.DUMMYFUNCTION("""COMPUTED_VALUE"""),"WES")</f>
        <v>WES</v>
      </c>
      <c r="C140" s="154">
        <f>IFERROR(__xludf.DUMMYFUNCTION("""COMPUTED_VALUE"""),46045.0)</f>
        <v>46045</v>
      </c>
      <c r="D140" s="154">
        <f>IFERROR(__xludf.DUMMYFUNCTION("""COMPUTED_VALUE"""),46067.0)</f>
        <v>46067</v>
      </c>
    </row>
    <row r="141">
      <c r="A141" s="153" t="str">
        <f>IFERROR(__xludf.DUMMYFUNCTION("""COMPUTED_VALUE"""),"AND25630004430")</f>
        <v>AND25630004430</v>
      </c>
      <c r="B141" s="153" t="str">
        <f>IFERROR(__xludf.DUMMYFUNCTION("""COMPUTED_VALUE"""),"WES+WMGS")</f>
        <v>WES+WMGS</v>
      </c>
      <c r="C141" s="154">
        <f>IFERROR(__xludf.DUMMYFUNCTION("""COMPUTED_VALUE"""),46045.0)</f>
        <v>46045</v>
      </c>
      <c r="D141" s="154">
        <f>IFERROR(__xludf.DUMMYFUNCTION("""COMPUTED_VALUE"""),46057.0)</f>
        <v>46057</v>
      </c>
    </row>
    <row r="142">
      <c r="A142" s="153" t="str">
        <f>IFERROR(__xludf.DUMMYFUNCTION("""COMPUTED_VALUE"""),"AND25630004431")</f>
        <v>AND25630004431</v>
      </c>
      <c r="B142" s="153" t="str">
        <f>IFERROR(__xludf.DUMMYFUNCTION("""COMPUTED_VALUE"""),"WES")</f>
        <v>WES</v>
      </c>
      <c r="C142" s="154">
        <f>IFERROR(__xludf.DUMMYFUNCTION("""COMPUTED_VALUE"""),46045.0)</f>
        <v>46045</v>
      </c>
      <c r="D142" s="154">
        <f>IFERROR(__xludf.DUMMYFUNCTION("""COMPUTED_VALUE"""),46057.0)</f>
        <v>46057</v>
      </c>
    </row>
    <row r="143">
      <c r="A143" s="153" t="str">
        <f>IFERROR(__xludf.DUMMYFUNCTION("""COMPUTED_VALUE"""),"AND25630004432")</f>
        <v>AND25630004432</v>
      </c>
      <c r="B143" s="153" t="str">
        <f>IFERROR(__xludf.DUMMYFUNCTION("""COMPUTED_VALUE"""),"WES")</f>
        <v>WES</v>
      </c>
      <c r="C143" s="154">
        <f>IFERROR(__xludf.DUMMYFUNCTION("""COMPUTED_VALUE"""),46045.0)</f>
        <v>46045</v>
      </c>
      <c r="D143" s="154">
        <f>IFERROR(__xludf.DUMMYFUNCTION("""COMPUTED_VALUE"""),46057.0)</f>
        <v>46057</v>
      </c>
    </row>
    <row r="144">
      <c r="A144" s="153"/>
      <c r="B144" s="153" t="str">
        <f>IFERROR(__xludf.DUMMYFUNCTION("""COMPUTED_VALUE"""),"WES+WMGS")</f>
        <v>WES+WMGS</v>
      </c>
      <c r="C144" s="154">
        <f>IFERROR(__xludf.DUMMYFUNCTION("""COMPUTED_VALUE"""),46045.0)</f>
        <v>46045</v>
      </c>
      <c r="D144" s="154">
        <f>IFERROR(__xludf.DUMMYFUNCTION("""COMPUTED_VALUE"""),46060.0)</f>
        <v>46060</v>
      </c>
    </row>
    <row r="145">
      <c r="A145" s="153" t="str">
        <f>IFERROR(__xludf.DUMMYFUNCTION("""COMPUTED_VALUE"""),"AND25630004480")</f>
        <v>AND25630004480</v>
      </c>
      <c r="B145" s="153" t="str">
        <f>IFERROR(__xludf.DUMMYFUNCTION("""COMPUTED_VALUE"""),"WES")</f>
        <v>WES</v>
      </c>
      <c r="C145" s="154">
        <f>IFERROR(__xludf.DUMMYFUNCTION("""COMPUTED_VALUE"""),46045.0)</f>
        <v>46045</v>
      </c>
      <c r="D145" s="154">
        <f>IFERROR(__xludf.DUMMYFUNCTION("""COMPUTED_VALUE"""),46060.0)</f>
        <v>46060</v>
      </c>
    </row>
    <row r="146">
      <c r="A146" s="153" t="str">
        <f>IFERROR(__xludf.DUMMYFUNCTION("""COMPUTED_VALUE"""),"AND25740066681")</f>
        <v>AND25740066681</v>
      </c>
      <c r="B146" s="153" t="str">
        <f>IFERROR(__xludf.DUMMYFUNCTION("""COMPUTED_VALUE"""),"WES")</f>
        <v>WES</v>
      </c>
      <c r="C146" s="154">
        <f>IFERROR(__xludf.DUMMYFUNCTION("""COMPUTED_VALUE"""),46045.0)</f>
        <v>46045</v>
      </c>
      <c r="D146" s="154">
        <f>IFERROR(__xludf.DUMMYFUNCTION("""COMPUTED_VALUE"""),46068.0)</f>
        <v>46068</v>
      </c>
    </row>
    <row r="147">
      <c r="A147" s="153"/>
      <c r="B147" s="153" t="str">
        <f>IFERROR(__xludf.DUMMYFUNCTION("""COMPUTED_VALUE"""),"PRE PGT WORKUP")</f>
        <v>PRE PGT WORKUP</v>
      </c>
      <c r="C147" s="154">
        <f>IFERROR(__xludf.DUMMYFUNCTION("""COMPUTED_VALUE"""),46045.0)</f>
        <v>46045</v>
      </c>
      <c r="D147" s="154">
        <f>IFERROR(__xludf.DUMMYFUNCTION("""COMPUTED_VALUE"""),45993.0)</f>
        <v>45993</v>
      </c>
    </row>
    <row r="148">
      <c r="A148" s="153"/>
      <c r="B148" s="153" t="str">
        <f>IFERROR(__xludf.DUMMYFUNCTION("""COMPUTED_VALUE"""),"PRE PGT WORKUP")</f>
        <v>PRE PGT WORKUP</v>
      </c>
      <c r="C148" s="154">
        <f>IFERROR(__xludf.DUMMYFUNCTION("""COMPUTED_VALUE"""),46045.0)</f>
        <v>46045</v>
      </c>
      <c r="D148" s="154">
        <f>IFERROR(__xludf.DUMMYFUNCTION("""COMPUTED_VALUE"""),45993.0)</f>
        <v>45993</v>
      </c>
    </row>
    <row r="149">
      <c r="A149" s="153"/>
      <c r="B149" s="153" t="str">
        <f>IFERROR(__xludf.DUMMYFUNCTION("""COMPUTED_VALUE"""),"PRE PGT WORKUP")</f>
        <v>PRE PGT WORKUP</v>
      </c>
      <c r="C149" s="154">
        <f>IFERROR(__xludf.DUMMYFUNCTION("""COMPUTED_VALUE"""),46045.0)</f>
        <v>46045</v>
      </c>
      <c r="D149" s="154">
        <f>IFERROR(__xludf.DUMMYFUNCTION("""COMPUTED_VALUE"""),45993.0)</f>
        <v>45993</v>
      </c>
    </row>
    <row r="150">
      <c r="A150" s="153" t="str">
        <f>IFERROR(__xludf.DUMMYFUNCTION("""COMPUTED_VALUE"""),"AND25150112550")</f>
        <v>AND25150112550</v>
      </c>
      <c r="B150" s="153" t="str">
        <f>IFERROR(__xludf.DUMMYFUNCTION("""COMPUTED_VALUE"""),"WES")</f>
        <v>WES</v>
      </c>
      <c r="C150" s="154">
        <f>IFERROR(__xludf.DUMMYFUNCTION("""COMPUTED_VALUE"""),46045.0)</f>
        <v>46045</v>
      </c>
      <c r="D150" s="154">
        <f>IFERROR(__xludf.DUMMYFUNCTION("""COMPUTED_VALUE"""),46068.0)</f>
        <v>46068</v>
      </c>
    </row>
    <row r="151">
      <c r="A151" s="153" t="str">
        <f>IFERROR(__xludf.DUMMYFUNCTION("""COMPUTED_VALUE"""),"AND25480043402")</f>
        <v>AND25480043402</v>
      </c>
      <c r="B151" s="153" t="str">
        <f>IFERROR(__xludf.DUMMYFUNCTION("""COMPUTED_VALUE"""),"WES")</f>
        <v>WES</v>
      </c>
      <c r="C151" s="154">
        <f>IFERROR(__xludf.DUMMYFUNCTION("""COMPUTED_VALUE"""),46045.0)</f>
        <v>46045</v>
      </c>
      <c r="D151" s="154">
        <f>IFERROR(__xludf.DUMMYFUNCTION("""COMPUTED_VALUE"""),46069.0)</f>
        <v>46069</v>
      </c>
    </row>
    <row r="152">
      <c r="A152" s="153" t="str">
        <f>IFERROR(__xludf.DUMMYFUNCTION("""COMPUTED_VALUE"""),"Not billed -CMC VELLORE SAMPLE")</f>
        <v>Not billed -CMC VELLORE SAMPLE</v>
      </c>
      <c r="B152" s="153" t="str">
        <f>IFERROR(__xludf.DUMMYFUNCTION("""COMPUTED_VALUE"""),"whole geome sequencing")</f>
        <v>whole geome sequencing</v>
      </c>
      <c r="C152" s="153"/>
      <c r="D152" s="153"/>
    </row>
    <row r="153">
      <c r="A153" s="153" t="str">
        <f>IFERROR(__xludf.DUMMYFUNCTION("""COMPUTED_VALUE"""),"AND25020066407")</f>
        <v>AND25020066407</v>
      </c>
      <c r="B153" s="153" t="str">
        <f>IFERROR(__xludf.DUMMYFUNCTION("""COMPUTED_VALUE"""),"WES+WMGS")</f>
        <v>WES+WMGS</v>
      </c>
      <c r="C153" s="154">
        <f>IFERROR(__xludf.DUMMYFUNCTION("""COMPUTED_VALUE"""),46048.0)</f>
        <v>46048</v>
      </c>
      <c r="D153" s="154">
        <f>IFERROR(__xludf.DUMMYFUNCTION("""COMPUTED_VALUE"""),46072.0)</f>
        <v>46072</v>
      </c>
    </row>
    <row r="154">
      <c r="A154" s="153" t="str">
        <f>IFERROR(__xludf.DUMMYFUNCTION("""COMPUTED_VALUE"""),"AND25150113170")</f>
        <v>AND25150113170</v>
      </c>
      <c r="B154" s="153" t="str">
        <f>IFERROR(__xludf.DUMMYFUNCTION("""COMPUTED_VALUE"""),"WES")</f>
        <v>WES</v>
      </c>
      <c r="C154" s="154">
        <f>IFERROR(__xludf.DUMMYFUNCTION("""COMPUTED_VALUE"""),46048.0)</f>
        <v>46048</v>
      </c>
      <c r="D154" s="154">
        <f>IFERROR(__xludf.DUMMYFUNCTION("""COMPUTED_VALUE"""),46070.0)</f>
        <v>46070</v>
      </c>
    </row>
    <row r="155">
      <c r="A155" s="153" t="str">
        <f>IFERROR(__xludf.DUMMYFUNCTION("""COMPUTED_VALUE"""),"AND25150113171")</f>
        <v>AND25150113171</v>
      </c>
      <c r="B155" s="153" t="str">
        <f>IFERROR(__xludf.DUMMYFUNCTION("""COMPUTED_VALUE"""),"WES")</f>
        <v>WES</v>
      </c>
      <c r="C155" s="154">
        <f>IFERROR(__xludf.DUMMYFUNCTION("""COMPUTED_VALUE"""),46048.0)</f>
        <v>46048</v>
      </c>
      <c r="D155" s="154">
        <f>IFERROR(__xludf.DUMMYFUNCTION("""COMPUTED_VALUE"""),46070.0)</f>
        <v>46070</v>
      </c>
    </row>
    <row r="156">
      <c r="A156" s="153" t="str">
        <f>IFERROR(__xludf.DUMMYFUNCTION("""COMPUTED_VALUE"""),"ATR0000007331")</f>
        <v>ATR0000007331</v>
      </c>
      <c r="B156" s="153" t="str">
        <f>IFERROR(__xludf.DUMMYFUNCTION("""COMPUTED_VALUE"""),"CES")</f>
        <v>CES</v>
      </c>
      <c r="C156" s="154">
        <f>IFERROR(__xludf.DUMMYFUNCTION("""COMPUTED_VALUE"""),46048.0)</f>
        <v>46048</v>
      </c>
      <c r="D156" s="154">
        <f>IFERROR(__xludf.DUMMYFUNCTION("""COMPUTED_VALUE"""),46070.0)</f>
        <v>46070</v>
      </c>
    </row>
    <row r="157">
      <c r="A157" s="153" t="str">
        <f>IFERROR(__xludf.DUMMYFUNCTION("""COMPUTED_VALUE"""),"AND25790020300")</f>
        <v>AND25790020300</v>
      </c>
      <c r="B157" s="153" t="str">
        <f>IFERROR(__xludf.DUMMYFUNCTION("""COMPUTED_VALUE"""),"WES")</f>
        <v>WES</v>
      </c>
      <c r="C157" s="154">
        <f>IFERROR(__xludf.DUMMYFUNCTION("""COMPUTED_VALUE"""),46048.0)</f>
        <v>46048</v>
      </c>
      <c r="D157" s="154">
        <f>IFERROR(__xludf.DUMMYFUNCTION("""COMPUTED_VALUE"""),46069.0)</f>
        <v>46069</v>
      </c>
    </row>
    <row r="158">
      <c r="A158" s="153" t="str">
        <f>IFERROR(__xludf.DUMMYFUNCTION("""COMPUTED_VALUE"""),"AND25380243942")</f>
        <v>AND25380243942</v>
      </c>
      <c r="B158" s="153" t="str">
        <f>IFERROR(__xludf.DUMMYFUNCTION("""COMPUTED_VALUE"""),"ADVAT Focus carrier screening - NGS")</f>
        <v>ADVAT Focus carrier screening - NGS</v>
      </c>
      <c r="C158" s="154">
        <f>IFERROR(__xludf.DUMMYFUNCTION("""COMPUTED_VALUE"""),46048.0)</f>
        <v>46048</v>
      </c>
      <c r="D158" s="154">
        <f>IFERROR(__xludf.DUMMYFUNCTION("""COMPUTED_VALUE"""),46071.0)</f>
        <v>46071</v>
      </c>
    </row>
    <row r="159">
      <c r="A159" s="153" t="str">
        <f>IFERROR(__xludf.DUMMYFUNCTION("""COMPUTED_VALUE"""),"AND25380243943")</f>
        <v>AND25380243943</v>
      </c>
      <c r="B159" s="153" t="str">
        <f>IFERROR(__xludf.DUMMYFUNCTION("""COMPUTED_VALUE"""),"ADVAT Focus carrier screening - NGS")</f>
        <v>ADVAT Focus carrier screening - NGS</v>
      </c>
      <c r="C159" s="154">
        <f>IFERROR(__xludf.DUMMYFUNCTION("""COMPUTED_VALUE"""),46048.0)</f>
        <v>46048</v>
      </c>
      <c r="D159" s="154">
        <f>IFERROR(__xludf.DUMMYFUNCTION("""COMPUTED_VALUE"""),46071.0)</f>
        <v>46071</v>
      </c>
    </row>
    <row r="160">
      <c r="A160" s="153" t="str">
        <f>IFERROR(__xludf.DUMMYFUNCTION("""COMPUTED_VALUE"""),"DCC0000002296")</f>
        <v>DCC0000002296</v>
      </c>
      <c r="B160" s="153" t="str">
        <f>IFERROR(__xludf.DUMMYFUNCTION("""COMPUTED_VALUE"""),"CES")</f>
        <v>CES</v>
      </c>
      <c r="C160" s="154">
        <f>IFERROR(__xludf.DUMMYFUNCTION("""COMPUTED_VALUE"""),46048.0)</f>
        <v>46048</v>
      </c>
      <c r="D160" s="154">
        <f>IFERROR(__xludf.DUMMYFUNCTION("""COMPUTED_VALUE"""),46056.0)</f>
        <v>46056</v>
      </c>
    </row>
    <row r="161">
      <c r="A161" s="153" t="str">
        <f>IFERROR(__xludf.DUMMYFUNCTION("""COMPUTED_VALUE"""),"AND25850004593")</f>
        <v>AND25850004593</v>
      </c>
      <c r="B161" s="153" t="str">
        <f>IFERROR(__xludf.DUMMYFUNCTION("""COMPUTED_VALUE"""),"WES")</f>
        <v>WES</v>
      </c>
      <c r="C161" s="154">
        <f>IFERROR(__xludf.DUMMYFUNCTION("""COMPUTED_VALUE"""),46048.0)</f>
        <v>46048</v>
      </c>
      <c r="D161" s="154">
        <f>IFERROR(__xludf.DUMMYFUNCTION("""COMPUTED_VALUE"""),46072.0)</f>
        <v>46072</v>
      </c>
    </row>
    <row r="162">
      <c r="A162" s="153" t="str">
        <f>IFERROR(__xludf.DUMMYFUNCTION("""COMPUTED_VALUE"""),"AND25AJ0013637")</f>
        <v>AND25AJ0013637</v>
      </c>
      <c r="B162" s="153" t="str">
        <f>IFERROR(__xludf.DUMMYFUNCTION("""COMPUTED_VALUE"""),"CES")</f>
        <v>CES</v>
      </c>
      <c r="C162" s="154">
        <f>IFERROR(__xludf.DUMMYFUNCTION("""COMPUTED_VALUE"""),46048.0)</f>
        <v>46048</v>
      </c>
      <c r="D162" s="154">
        <f>IFERROR(__xludf.DUMMYFUNCTION("""COMPUTED_VALUE"""),46072.0)</f>
        <v>46072</v>
      </c>
    </row>
    <row r="163">
      <c r="A163" s="153" t="str">
        <f>IFERROR(__xludf.DUMMYFUNCTION("""COMPUTED_VALUE"""),"AND25630004526")</f>
        <v>AND25630004526</v>
      </c>
      <c r="B163" s="153" t="str">
        <f>IFERROR(__xludf.DUMMYFUNCTION("""COMPUTED_VALUE"""),"WES")</f>
        <v>WES</v>
      </c>
      <c r="C163" s="154">
        <f>IFERROR(__xludf.DUMMYFUNCTION("""COMPUTED_VALUE"""),46048.0)</f>
        <v>46048</v>
      </c>
      <c r="D163" s="154">
        <f>IFERROR(__xludf.DUMMYFUNCTION("""COMPUTED_VALUE"""),46063.0)</f>
        <v>46063</v>
      </c>
    </row>
    <row r="164">
      <c r="A164" s="153" t="str">
        <f>IFERROR(__xludf.DUMMYFUNCTION("""COMPUTED_VALUE"""),"AND25630004519")</f>
        <v>AND25630004519</v>
      </c>
      <c r="B164" s="153" t="str">
        <f>IFERROR(__xludf.DUMMYFUNCTION("""COMPUTED_VALUE"""),"WES")</f>
        <v>WES</v>
      </c>
      <c r="C164" s="154">
        <f>IFERROR(__xludf.DUMMYFUNCTION("""COMPUTED_VALUE"""),46048.0)</f>
        <v>46048</v>
      </c>
      <c r="D164" s="154">
        <f>IFERROR(__xludf.DUMMYFUNCTION("""COMPUTED_VALUE"""),46063.0)</f>
        <v>46063</v>
      </c>
    </row>
    <row r="165">
      <c r="A165" s="153" t="str">
        <f>IFERROR(__xludf.DUMMYFUNCTION("""COMPUTED_VALUE"""),"AND25630004521")</f>
        <v>AND25630004521</v>
      </c>
      <c r="B165" s="153" t="str">
        <f>IFERROR(__xludf.DUMMYFUNCTION("""COMPUTED_VALUE"""),"WES")</f>
        <v>WES</v>
      </c>
      <c r="C165" s="154">
        <f>IFERROR(__xludf.DUMMYFUNCTION("""COMPUTED_VALUE"""),46048.0)</f>
        <v>46048</v>
      </c>
      <c r="D165" s="154">
        <f>IFERROR(__xludf.DUMMYFUNCTION("""COMPUTED_VALUE"""),46063.0)</f>
        <v>46063</v>
      </c>
    </row>
    <row r="166">
      <c r="A166" s="153" t="str">
        <f>IFERROR(__xludf.DUMMYFUNCTION("""COMPUTED_VALUE"""),"AND25630004522")</f>
        <v>AND25630004522</v>
      </c>
      <c r="B166" s="153" t="str">
        <f>IFERROR(__xludf.DUMMYFUNCTION("""COMPUTED_VALUE"""),"WES")</f>
        <v>WES</v>
      </c>
      <c r="C166" s="154">
        <f>IFERROR(__xludf.DUMMYFUNCTION("""COMPUTED_VALUE"""),46048.0)</f>
        <v>46048</v>
      </c>
      <c r="D166" s="154">
        <f>IFERROR(__xludf.DUMMYFUNCTION("""COMPUTED_VALUE"""),46063.0)</f>
        <v>46063</v>
      </c>
    </row>
    <row r="167">
      <c r="A167" s="153" t="str">
        <f>IFERROR(__xludf.DUMMYFUNCTION("""COMPUTED_VALUE"""),"AND25630004520")</f>
        <v>AND25630004520</v>
      </c>
      <c r="B167" s="153" t="str">
        <f>IFERROR(__xludf.DUMMYFUNCTION("""COMPUTED_VALUE"""),"WES")</f>
        <v>WES</v>
      </c>
      <c r="C167" s="154">
        <f>IFERROR(__xludf.DUMMYFUNCTION("""COMPUTED_VALUE"""),46048.0)</f>
        <v>46048</v>
      </c>
      <c r="D167" s="154">
        <f>IFERROR(__xludf.DUMMYFUNCTION("""COMPUTED_VALUE"""),46062.0)</f>
        <v>46062</v>
      </c>
    </row>
    <row r="168">
      <c r="A168" s="153" t="str">
        <f>IFERROR(__xludf.DUMMYFUNCTION("""COMPUTED_VALUE"""),"AND25630004523")</f>
        <v>AND25630004523</v>
      </c>
      <c r="B168" s="153" t="str">
        <f>IFERROR(__xludf.DUMMYFUNCTION("""COMPUTED_VALUE"""),"WES")</f>
        <v>WES</v>
      </c>
      <c r="C168" s="154">
        <f>IFERROR(__xludf.DUMMYFUNCTION("""COMPUTED_VALUE"""),46048.0)</f>
        <v>46048</v>
      </c>
      <c r="D168" s="154">
        <f>IFERROR(__xludf.DUMMYFUNCTION("""COMPUTED_VALUE"""),46063.0)</f>
        <v>46063</v>
      </c>
    </row>
    <row r="169">
      <c r="A169" s="153" t="str">
        <f>IFERROR(__xludf.DUMMYFUNCTION("""COMPUTED_VALUE"""),"AND25630004524")</f>
        <v>AND25630004524</v>
      </c>
      <c r="B169" s="153" t="str">
        <f>IFERROR(__xludf.DUMMYFUNCTION("""COMPUTED_VALUE"""),"WES")</f>
        <v>WES</v>
      </c>
      <c r="C169" s="154">
        <f>IFERROR(__xludf.DUMMYFUNCTION("""COMPUTED_VALUE"""),46048.0)</f>
        <v>46048</v>
      </c>
      <c r="D169" s="154">
        <f>IFERROR(__xludf.DUMMYFUNCTION("""COMPUTED_VALUE"""),46063.0)</f>
        <v>46063</v>
      </c>
    </row>
    <row r="170">
      <c r="A170" s="153" t="str">
        <f>IFERROR(__xludf.DUMMYFUNCTION("""COMPUTED_VALUE"""),"AND25630004525")</f>
        <v>AND25630004525</v>
      </c>
      <c r="B170" s="153" t="str">
        <f>IFERROR(__xludf.DUMMYFUNCTION("""COMPUTED_VALUE"""),"WES")</f>
        <v>WES</v>
      </c>
      <c r="C170" s="154">
        <f>IFERROR(__xludf.DUMMYFUNCTION("""COMPUTED_VALUE"""),46048.0)</f>
        <v>46048</v>
      </c>
      <c r="D170" s="154">
        <f>IFERROR(__xludf.DUMMYFUNCTION("""COMPUTED_VALUE"""),46063.0)</f>
        <v>46063</v>
      </c>
    </row>
    <row r="171">
      <c r="A171" s="153" t="str">
        <f>IFERROR(__xludf.DUMMYFUNCTION("""COMPUTED_VALUE"""),"AND25360069433")</f>
        <v>AND25360069433</v>
      </c>
      <c r="B171" s="153" t="str">
        <f>IFERROR(__xludf.DUMMYFUNCTION("""COMPUTED_VALUE"""),"WES+WMGS")</f>
        <v>WES+WMGS</v>
      </c>
      <c r="C171" s="154">
        <f>IFERROR(__xludf.DUMMYFUNCTION("""COMPUTED_VALUE"""),46048.0)</f>
        <v>46048</v>
      </c>
      <c r="D171" s="154">
        <f>IFERROR(__xludf.DUMMYFUNCTION("""COMPUTED_VALUE"""),46072.0)</f>
        <v>46072</v>
      </c>
    </row>
    <row r="172">
      <c r="A172" s="153" t="str">
        <f>IFERROR(__xludf.DUMMYFUNCTION("""COMPUTED_VALUE"""),"AND25370040376")</f>
        <v>AND25370040376</v>
      </c>
      <c r="B172" s="153" t="str">
        <f>IFERROR(__xludf.DUMMYFUNCTION("""COMPUTED_VALUE"""),"WES")</f>
        <v>WES</v>
      </c>
      <c r="C172" s="154">
        <f>IFERROR(__xludf.DUMMYFUNCTION("""COMPUTED_VALUE"""),46048.0)</f>
        <v>46048</v>
      </c>
      <c r="D172" s="154">
        <f>IFERROR(__xludf.DUMMYFUNCTION("""COMPUTED_VALUE"""),46072.0)</f>
        <v>46072</v>
      </c>
    </row>
    <row r="173">
      <c r="A173" s="153" t="str">
        <f>IFERROR(__xludf.DUMMYFUNCTION("""COMPUTED_VALUE"""),"AND25370040378")</f>
        <v>AND25370040378</v>
      </c>
      <c r="B173" s="153" t="str">
        <f>IFERROR(__xludf.DUMMYFUNCTION("""COMPUTED_VALUE"""),"WES")</f>
        <v>WES</v>
      </c>
      <c r="C173" s="154">
        <f>IFERROR(__xludf.DUMMYFUNCTION("""COMPUTED_VALUE"""),46048.0)</f>
        <v>46048</v>
      </c>
      <c r="D173" s="154">
        <f>IFERROR(__xludf.DUMMYFUNCTION("""COMPUTED_VALUE"""),46072.0)</f>
        <v>46072</v>
      </c>
    </row>
    <row r="174">
      <c r="A174" s="153" t="str">
        <f>IFERROR(__xludf.DUMMYFUNCTION("""COMPUTED_VALUE"""),"AND25630004513")</f>
        <v>AND25630004513</v>
      </c>
      <c r="B174" s="153" t="str">
        <f>IFERROR(__xludf.DUMMYFUNCTION("""COMPUTED_VALUE"""),"WES")</f>
        <v>WES</v>
      </c>
      <c r="C174" s="154">
        <f>IFERROR(__xludf.DUMMYFUNCTION("""COMPUTED_VALUE"""),46048.0)</f>
        <v>46048</v>
      </c>
      <c r="D174" s="154">
        <f>IFERROR(__xludf.DUMMYFUNCTION("""COMPUTED_VALUE"""),46063.0)</f>
        <v>46063</v>
      </c>
    </row>
    <row r="175">
      <c r="A175" s="153" t="str">
        <f>IFERROR(__xludf.DUMMYFUNCTION("""COMPUTED_VALUE"""),"AND25630004512")</f>
        <v>AND25630004512</v>
      </c>
      <c r="B175" s="153" t="str">
        <f>IFERROR(__xludf.DUMMYFUNCTION("""COMPUTED_VALUE"""),"WES")</f>
        <v>WES</v>
      </c>
      <c r="C175" s="154">
        <f>IFERROR(__xludf.DUMMYFUNCTION("""COMPUTED_VALUE"""),46048.0)</f>
        <v>46048</v>
      </c>
      <c r="D175" s="154">
        <f>IFERROR(__xludf.DUMMYFUNCTION("""COMPUTED_VALUE"""),46063.0)</f>
        <v>46063</v>
      </c>
    </row>
    <row r="176">
      <c r="A176" s="153" t="str">
        <f>IFERROR(__xludf.DUMMYFUNCTION("""COMPUTED_VALUE"""),"AND25630004514")</f>
        <v>AND25630004514</v>
      </c>
      <c r="B176" s="153" t="str">
        <f>IFERROR(__xludf.DUMMYFUNCTION("""COMPUTED_VALUE"""),"WES")</f>
        <v>WES</v>
      </c>
      <c r="C176" s="154">
        <f>IFERROR(__xludf.DUMMYFUNCTION("""COMPUTED_VALUE"""),46048.0)</f>
        <v>46048</v>
      </c>
      <c r="D176" s="154">
        <f>IFERROR(__xludf.DUMMYFUNCTION("""COMPUTED_VALUE"""),46058.0)</f>
        <v>46058</v>
      </c>
    </row>
    <row r="177">
      <c r="A177" s="153"/>
      <c r="B177" s="153" t="str">
        <f>IFERROR(__xludf.DUMMYFUNCTION("""COMPUTED_VALUE"""),"WHOLE GENOME SEQUENCING")</f>
        <v>WHOLE GENOME SEQUENCING</v>
      </c>
      <c r="C177" s="153"/>
      <c r="D177" s="154">
        <f>IFERROR(__xludf.DUMMYFUNCTION("""COMPUTED_VALUE"""),46064.0)</f>
        <v>46064</v>
      </c>
    </row>
    <row r="178">
      <c r="A178" s="153"/>
      <c r="B178" s="153" t="str">
        <f>IFERROR(__xludf.DUMMYFUNCTION("""COMPUTED_VALUE"""),"WHOLE GENOME SEQUENCING")</f>
        <v>WHOLE GENOME SEQUENCING</v>
      </c>
      <c r="C178" s="153"/>
      <c r="D178" s="154">
        <f>IFERROR(__xludf.DUMMYFUNCTION("""COMPUTED_VALUE"""),46064.0)</f>
        <v>46064</v>
      </c>
    </row>
    <row r="179">
      <c r="A179" s="153"/>
      <c r="B179" s="153" t="str">
        <f>IFERROR(__xludf.DUMMYFUNCTION("""COMPUTED_VALUE"""),"WHOLE GENOME SEQUENCING")</f>
        <v>WHOLE GENOME SEQUENCING</v>
      </c>
      <c r="C179" s="153"/>
      <c r="D179" s="154">
        <f>IFERROR(__xludf.DUMMYFUNCTION("""COMPUTED_VALUE"""),46064.0)</f>
        <v>46064</v>
      </c>
    </row>
    <row r="180">
      <c r="A180" s="153"/>
      <c r="B180" s="153" t="str">
        <f>IFERROR(__xludf.DUMMYFUNCTION("""COMPUTED_VALUE"""),"WHOLE GENOME SEQUENCING")</f>
        <v>WHOLE GENOME SEQUENCING</v>
      </c>
      <c r="C180" s="153"/>
      <c r="D180" s="154">
        <f>IFERROR(__xludf.DUMMYFUNCTION("""COMPUTED_VALUE"""),46064.0)</f>
        <v>46064</v>
      </c>
    </row>
    <row r="181">
      <c r="A181" s="153"/>
      <c r="B181" s="153" t="str">
        <f>IFERROR(__xludf.DUMMYFUNCTION("""COMPUTED_VALUE"""),"WHOLE GENOME SEQUENCING")</f>
        <v>WHOLE GENOME SEQUENCING</v>
      </c>
      <c r="C181" s="153"/>
      <c r="D181" s="154">
        <f>IFERROR(__xludf.DUMMYFUNCTION("""COMPUTED_VALUE"""),46064.0)</f>
        <v>46064</v>
      </c>
    </row>
    <row r="182">
      <c r="A182" s="153" t="str">
        <f>IFERROR(__xludf.DUMMYFUNCTION("""COMPUTED_VALUE"""),"AND25020066821")</f>
        <v>AND25020066821</v>
      </c>
      <c r="B182" s="153" t="str">
        <f>IFERROR(__xludf.DUMMYFUNCTION("""COMPUTED_VALUE"""),"WES+WMGS")</f>
        <v>WES+WMGS</v>
      </c>
      <c r="C182" s="154">
        <f>IFERROR(__xludf.DUMMYFUNCTION("""COMPUTED_VALUE"""),46052.0)</f>
        <v>46052</v>
      </c>
      <c r="D182" s="154">
        <f>IFERROR(__xludf.DUMMYFUNCTION("""COMPUTED_VALUE"""),46074.0)</f>
        <v>46074</v>
      </c>
    </row>
    <row r="183">
      <c r="A183" s="153" t="str">
        <f>IFERROR(__xludf.DUMMYFUNCTION("""COMPUTED_VALUE"""),"`AND25020066819")</f>
        <v>`AND25020066819</v>
      </c>
      <c r="B183" s="153" t="str">
        <f>IFERROR(__xludf.DUMMYFUNCTION("""COMPUTED_VALUE"""),"WES+WMGS")</f>
        <v>WES+WMGS</v>
      </c>
      <c r="C183" s="154">
        <f>IFERROR(__xludf.DUMMYFUNCTION("""COMPUTED_VALUE"""),46052.0)</f>
        <v>46052</v>
      </c>
      <c r="D183" s="154">
        <f>IFERROR(__xludf.DUMMYFUNCTION("""COMPUTED_VALUE"""),46074.0)</f>
        <v>46074</v>
      </c>
    </row>
    <row r="184">
      <c r="A184" s="153" t="str">
        <f>IFERROR(__xludf.DUMMYFUNCTION("""COMPUTED_VALUE"""),"AND25020066820")</f>
        <v>AND25020066820</v>
      </c>
      <c r="B184" s="153" t="str">
        <f>IFERROR(__xludf.DUMMYFUNCTION("""COMPUTED_VALUE"""),"WES+WMGS")</f>
        <v>WES+WMGS</v>
      </c>
      <c r="C184" s="154">
        <f>IFERROR(__xludf.DUMMYFUNCTION("""COMPUTED_VALUE"""),46052.0)</f>
        <v>46052</v>
      </c>
      <c r="D184" s="154">
        <f>IFERROR(__xludf.DUMMYFUNCTION("""COMPUTED_VALUE"""),46074.0)</f>
        <v>46074</v>
      </c>
    </row>
    <row r="185">
      <c r="A185" s="153" t="str">
        <f>IFERROR(__xludf.DUMMYFUNCTION("""COMPUTED_VALUE"""),"AND25020066972")</f>
        <v>AND25020066972</v>
      </c>
      <c r="B185" s="153" t="str">
        <f>IFERROR(__xludf.DUMMYFUNCTION("""COMPUTED_VALUE"""),"WES+WMGS")</f>
        <v>WES+WMGS</v>
      </c>
      <c r="C185" s="154">
        <f>IFERROR(__xludf.DUMMYFUNCTION("""COMPUTED_VALUE"""),46052.0)</f>
        <v>46052</v>
      </c>
      <c r="D185" s="154">
        <f>IFERROR(__xludf.DUMMYFUNCTION("""COMPUTED_VALUE"""),46075.0)</f>
        <v>46075</v>
      </c>
    </row>
    <row r="186">
      <c r="A186" s="153"/>
      <c r="B186" s="153"/>
      <c r="C186" s="154">
        <f>IFERROR(__xludf.DUMMYFUNCTION("""COMPUTED_VALUE"""),46052.0)</f>
        <v>46052</v>
      </c>
      <c r="D186" s="154">
        <f>IFERROR(__xludf.DUMMYFUNCTION("""COMPUTED_VALUE"""),30.0)</f>
        <v>30</v>
      </c>
    </row>
    <row r="187">
      <c r="A187" s="153" t="str">
        <f>IFERROR(__xludf.DUMMYFUNCTION("""COMPUTED_VALUE"""),"AND25720035991")</f>
        <v>AND25720035991</v>
      </c>
      <c r="B187" s="153" t="str">
        <f>IFERROR(__xludf.DUMMYFUNCTION("""COMPUTED_VALUE"""),"WES")</f>
        <v>WES</v>
      </c>
      <c r="C187" s="154">
        <f>IFERROR(__xludf.DUMMYFUNCTION("""COMPUTED_VALUE"""),46052.0)</f>
        <v>46052</v>
      </c>
      <c r="D187" s="154">
        <f>IFERROR(__xludf.DUMMYFUNCTION("""COMPUTED_VALUE"""),46073.0)</f>
        <v>46073</v>
      </c>
    </row>
    <row r="188">
      <c r="A188" s="153" t="str">
        <f>IFERROR(__xludf.DUMMYFUNCTION("""COMPUTED_VALUE"""),"ADH0000010263")</f>
        <v>ADH0000010263</v>
      </c>
      <c r="B188" s="153" t="str">
        <f>IFERROR(__xludf.DUMMYFUNCTION("""COMPUTED_VALUE"""),"WES")</f>
        <v>WES</v>
      </c>
      <c r="C188" s="154">
        <f>IFERROR(__xludf.DUMMYFUNCTION("""COMPUTED_VALUE"""),46052.0)</f>
        <v>46052</v>
      </c>
      <c r="D188" s="154">
        <f>IFERROR(__xludf.DUMMYFUNCTION("""COMPUTED_VALUE"""),46074.0)</f>
        <v>46074</v>
      </c>
    </row>
    <row r="189">
      <c r="A189" s="153" t="str">
        <f>IFERROR(__xludf.DUMMYFUNCTION("""COMPUTED_VALUE"""),"ADH0000010229")</f>
        <v>ADH0000010229</v>
      </c>
      <c r="B189" s="153" t="str">
        <f>IFERROR(__xludf.DUMMYFUNCTION("""COMPUTED_VALUE"""),"WES")</f>
        <v>WES</v>
      </c>
      <c r="C189" s="154">
        <f>IFERROR(__xludf.DUMMYFUNCTION("""COMPUTED_VALUE"""),46052.0)</f>
        <v>46052</v>
      </c>
      <c r="D189" s="154">
        <f>IFERROR(__xludf.DUMMYFUNCTION("""COMPUTED_VALUE"""),46074.0)</f>
        <v>46074</v>
      </c>
    </row>
    <row r="190">
      <c r="A190" s="153" t="str">
        <f>IFERROR(__xludf.DUMMYFUNCTION("""COMPUTED_VALUE"""),"AND25290014823")</f>
        <v>AND25290014823</v>
      </c>
      <c r="B190" s="153" t="str">
        <f>IFERROR(__xludf.DUMMYFUNCTION("""COMPUTED_VALUE"""),"WES")</f>
        <v>WES</v>
      </c>
      <c r="C190" s="154">
        <f>IFERROR(__xludf.DUMMYFUNCTION("""COMPUTED_VALUE"""),46052.0)</f>
        <v>46052</v>
      </c>
      <c r="D190" s="154">
        <f>IFERROR(__xludf.DUMMYFUNCTION("""COMPUTED_VALUE"""),46074.0)</f>
        <v>46074</v>
      </c>
    </row>
    <row r="191">
      <c r="A191" s="153" t="str">
        <f>IFERROR(__xludf.DUMMYFUNCTION("""COMPUTED_VALUE"""),"AND25290014824")</f>
        <v>AND25290014824</v>
      </c>
      <c r="B191" s="153" t="str">
        <f>IFERROR(__xludf.DUMMYFUNCTION("""COMPUTED_VALUE"""),"WES")</f>
        <v>WES</v>
      </c>
      <c r="C191" s="154">
        <f>IFERROR(__xludf.DUMMYFUNCTION("""COMPUTED_VALUE"""),46052.0)</f>
        <v>46052</v>
      </c>
      <c r="D191" s="154">
        <f>IFERROR(__xludf.DUMMYFUNCTION("""COMPUTED_VALUE"""),46074.0)</f>
        <v>46074</v>
      </c>
    </row>
    <row r="192">
      <c r="A192" s="153" t="str">
        <f>IFERROR(__xludf.DUMMYFUNCTION("""COMPUTED_VALUE"""),"DCC0000002370")</f>
        <v>DCC0000002370</v>
      </c>
      <c r="B192" s="153" t="str">
        <f>IFERROR(__xludf.DUMMYFUNCTION("""COMPUTED_VALUE"""),"WES")</f>
        <v>WES</v>
      </c>
      <c r="C192" s="154">
        <f>IFERROR(__xludf.DUMMYFUNCTION("""COMPUTED_VALUE"""),46052.0)</f>
        <v>46052</v>
      </c>
      <c r="D192" s="154">
        <f>IFERROR(__xludf.DUMMYFUNCTION("""COMPUTED_VALUE"""),46074.0)</f>
        <v>46074</v>
      </c>
    </row>
    <row r="193">
      <c r="A193" s="153" t="str">
        <f>IFERROR(__xludf.DUMMYFUNCTION("""COMPUTED_VALUE"""),"DCC0000002371")</f>
        <v>DCC0000002371</v>
      </c>
      <c r="B193" s="153" t="str">
        <f>IFERROR(__xludf.DUMMYFUNCTION("""COMPUTED_VALUE"""),"WES")</f>
        <v>WES</v>
      </c>
      <c r="C193" s="154">
        <f>IFERROR(__xludf.DUMMYFUNCTION("""COMPUTED_VALUE"""),46052.0)</f>
        <v>46052</v>
      </c>
      <c r="D193" s="154">
        <f>IFERROR(__xludf.DUMMYFUNCTION("""COMPUTED_VALUE"""),46074.0)</f>
        <v>46074</v>
      </c>
    </row>
    <row r="194">
      <c r="A194" s="153" t="str">
        <f>IFERROR(__xludf.DUMMYFUNCTION("""COMPUTED_VALUE"""),"AND25AJ0013971")</f>
        <v>AND25AJ0013971</v>
      </c>
      <c r="B194" s="153" t="str">
        <f>IFERROR(__xludf.DUMMYFUNCTION("""COMPUTED_VALUE"""),"WES+WMGS")</f>
        <v>WES+WMGS</v>
      </c>
      <c r="C194" s="154">
        <f>IFERROR(__xludf.DUMMYFUNCTION("""COMPUTED_VALUE"""),46052.0)</f>
        <v>46052</v>
      </c>
      <c r="D194" s="154">
        <f>IFERROR(__xludf.DUMMYFUNCTION("""COMPUTED_VALUE"""),46074.0)</f>
        <v>46074</v>
      </c>
    </row>
    <row r="195">
      <c r="A195" s="153" t="str">
        <f>IFERROR(__xludf.DUMMYFUNCTION("""COMPUTED_VALUE"""),"AND25630004551")</f>
        <v>AND25630004551</v>
      </c>
      <c r="B195" s="153" t="str">
        <f>IFERROR(__xludf.DUMMYFUNCTION("""COMPUTED_VALUE"""),"WES+WMGS")</f>
        <v>WES+WMGS</v>
      </c>
      <c r="C195" s="154">
        <f>IFERROR(__xludf.DUMMYFUNCTION("""COMPUTED_VALUE"""),46052.0)</f>
        <v>46052</v>
      </c>
      <c r="D195" s="154">
        <f>IFERROR(__xludf.DUMMYFUNCTION("""COMPUTED_VALUE"""),46075.0)</f>
        <v>46075</v>
      </c>
    </row>
    <row r="196">
      <c r="A196" s="153" t="str">
        <f>IFERROR(__xludf.DUMMYFUNCTION("""COMPUTED_VALUE"""),"ADB0000020927")</f>
        <v>ADB0000020927</v>
      </c>
      <c r="B196" s="153" t="str">
        <f>IFERROR(__xludf.DUMMYFUNCTION("""COMPUTED_VALUE"""),"WES")</f>
        <v>WES</v>
      </c>
      <c r="C196" s="154">
        <f>IFERROR(__xludf.DUMMYFUNCTION("""COMPUTED_VALUE"""),46052.0)</f>
        <v>46052</v>
      </c>
      <c r="D196" s="154">
        <f>IFERROR(__xludf.DUMMYFUNCTION("""COMPUTED_VALUE"""),46075.0)</f>
        <v>46075</v>
      </c>
    </row>
    <row r="197">
      <c r="A197" s="153" t="str">
        <f>IFERROR(__xludf.DUMMYFUNCTION("""COMPUTED_VALUE"""),"ADB0000020928")</f>
        <v>ADB0000020928</v>
      </c>
      <c r="B197" s="153" t="str">
        <f>IFERROR(__xludf.DUMMYFUNCTION("""COMPUTED_VALUE"""),"WES")</f>
        <v>WES</v>
      </c>
      <c r="C197" s="154">
        <f>IFERROR(__xludf.DUMMYFUNCTION("""COMPUTED_VALUE"""),46052.0)</f>
        <v>46052</v>
      </c>
      <c r="D197" s="154">
        <f>IFERROR(__xludf.DUMMYFUNCTION("""COMPUTED_VALUE"""),46075.0)</f>
        <v>46075</v>
      </c>
    </row>
    <row r="198">
      <c r="A198" s="153" t="str">
        <f>IFERROR(__xludf.DUMMYFUNCTION("""COMPUTED_VALUE"""),"AND25630004552")</f>
        <v>AND25630004552</v>
      </c>
      <c r="B198" s="153" t="str">
        <f>IFERROR(__xludf.DUMMYFUNCTION("""COMPUTED_VALUE"""),"WES+WMGS")</f>
        <v>WES+WMGS</v>
      </c>
      <c r="C198" s="154">
        <f>IFERROR(__xludf.DUMMYFUNCTION("""COMPUTED_VALUE"""),46052.0)</f>
        <v>46052</v>
      </c>
      <c r="D198" s="154">
        <f>IFERROR(__xludf.DUMMYFUNCTION("""COMPUTED_VALUE"""),46075.0)</f>
        <v>46075</v>
      </c>
    </row>
    <row r="199">
      <c r="A199" s="153" t="str">
        <f>IFERROR(__xludf.DUMMYFUNCTION("""COMPUTED_VALUE"""),"AND25630004560")</f>
        <v>AND25630004560</v>
      </c>
      <c r="B199" s="153" t="str">
        <f>IFERROR(__xludf.DUMMYFUNCTION("""COMPUTED_VALUE"""),"WES")</f>
        <v>WES</v>
      </c>
      <c r="C199" s="154">
        <f>IFERROR(__xludf.DUMMYFUNCTION("""COMPUTED_VALUE"""),46052.0)</f>
        <v>46052</v>
      </c>
      <c r="D199" s="154">
        <f>IFERROR(__xludf.DUMMYFUNCTION("""COMPUTED_VALUE"""),46065.0)</f>
        <v>46065</v>
      </c>
    </row>
    <row r="200">
      <c r="A200" s="153" t="str">
        <f>IFERROR(__xludf.DUMMYFUNCTION("""COMPUTED_VALUE"""),"AND25630004561")</f>
        <v>AND25630004561</v>
      </c>
      <c r="B200" s="153" t="str">
        <f>IFERROR(__xludf.DUMMYFUNCTION("""COMPUTED_VALUE"""),"WES")</f>
        <v>WES</v>
      </c>
      <c r="C200" s="154">
        <f>IFERROR(__xludf.DUMMYFUNCTION("""COMPUTED_VALUE"""),46052.0)</f>
        <v>46052</v>
      </c>
      <c r="D200" s="154">
        <f>IFERROR(__xludf.DUMMYFUNCTION("""COMPUTED_VALUE"""),46065.0)</f>
        <v>46065</v>
      </c>
    </row>
    <row r="201">
      <c r="A201" s="153" t="str">
        <f>IFERROR(__xludf.DUMMYFUNCTION("""COMPUTED_VALUE"""),"AND25630004562")</f>
        <v>AND25630004562</v>
      </c>
      <c r="B201" s="153" t="str">
        <f>IFERROR(__xludf.DUMMYFUNCTION("""COMPUTED_VALUE"""),"WES")</f>
        <v>WES</v>
      </c>
      <c r="C201" s="154">
        <f>IFERROR(__xludf.DUMMYFUNCTION("""COMPUTED_VALUE"""),46052.0)</f>
        <v>46052</v>
      </c>
      <c r="D201" s="154">
        <f>IFERROR(__xludf.DUMMYFUNCTION("""COMPUTED_VALUE"""),46065.0)</f>
        <v>46065</v>
      </c>
    </row>
    <row r="202">
      <c r="A202" s="153" t="str">
        <f>IFERROR(__xludf.DUMMYFUNCTION("""COMPUTED_VALUE"""),"AND25630004563")</f>
        <v>AND25630004563</v>
      </c>
      <c r="B202" s="153" t="str">
        <f>IFERROR(__xludf.DUMMYFUNCTION("""COMPUTED_VALUE"""),"WES")</f>
        <v>WES</v>
      </c>
      <c r="C202" s="154">
        <f>IFERROR(__xludf.DUMMYFUNCTION("""COMPUTED_VALUE"""),46052.0)</f>
        <v>46052</v>
      </c>
      <c r="D202" s="154">
        <f>IFERROR(__xludf.DUMMYFUNCTION("""COMPUTED_VALUE"""),46065.0)</f>
        <v>46065</v>
      </c>
    </row>
    <row r="203">
      <c r="A203" s="153" t="str">
        <f>IFERROR(__xludf.DUMMYFUNCTION("""COMPUTED_VALUE"""),"AND25630004564")</f>
        <v>AND25630004564</v>
      </c>
      <c r="B203" s="153" t="str">
        <f>IFERROR(__xludf.DUMMYFUNCTION("""COMPUTED_VALUE"""),"WES")</f>
        <v>WES</v>
      </c>
      <c r="C203" s="154">
        <f>IFERROR(__xludf.DUMMYFUNCTION("""COMPUTED_VALUE"""),46052.0)</f>
        <v>46052</v>
      </c>
      <c r="D203" s="154">
        <f>IFERROR(__xludf.DUMMYFUNCTION("""COMPUTED_VALUE"""),46065.0)</f>
        <v>46065</v>
      </c>
    </row>
    <row r="204">
      <c r="A204" s="153" t="str">
        <f>IFERROR(__xludf.DUMMYFUNCTION("""COMPUTED_VALUE"""),"AND25630004558")</f>
        <v>AND25630004558</v>
      </c>
      <c r="B204" s="153" t="str">
        <f>IFERROR(__xludf.DUMMYFUNCTION("""COMPUTED_VALUE"""),"WES+WMGS")</f>
        <v>WES+WMGS</v>
      </c>
      <c r="C204" s="154">
        <f>IFERROR(__xludf.DUMMYFUNCTION("""COMPUTED_VALUE"""),46052.0)</f>
        <v>46052</v>
      </c>
      <c r="D204" s="154">
        <f>IFERROR(__xludf.DUMMYFUNCTION("""COMPUTED_VALUE"""),46066.0)</f>
        <v>46066</v>
      </c>
    </row>
    <row r="205">
      <c r="A205" s="153" t="str">
        <f>IFERROR(__xludf.DUMMYFUNCTION("""COMPUTED_VALUE"""),"AND25630004559")</f>
        <v>AND25630004559</v>
      </c>
      <c r="B205" s="153" t="str">
        <f>IFERROR(__xludf.DUMMYFUNCTION("""COMPUTED_VALUE"""),"WES")</f>
        <v>WES</v>
      </c>
      <c r="C205" s="154">
        <f>IFERROR(__xludf.DUMMYFUNCTION("""COMPUTED_VALUE"""),46052.0)</f>
        <v>46052</v>
      </c>
      <c r="D205" s="154">
        <f>IFERROR(__xludf.DUMMYFUNCTION("""COMPUTED_VALUE"""),46066.0)</f>
        <v>46066</v>
      </c>
    </row>
    <row r="206">
      <c r="A206" s="153" t="str">
        <f>IFERROR(__xludf.DUMMYFUNCTION("""COMPUTED_VALUE"""),"AND25630004553")</f>
        <v>AND25630004553</v>
      </c>
      <c r="B206" s="153" t="str">
        <f>IFERROR(__xludf.DUMMYFUNCTION("""COMPUTED_VALUE"""),"WES+WMGS")</f>
        <v>WES+WMGS</v>
      </c>
      <c r="C206" s="154">
        <f>IFERROR(__xludf.DUMMYFUNCTION("""COMPUTED_VALUE"""),46055.0)</f>
        <v>46055</v>
      </c>
      <c r="D206" s="154">
        <f>IFERROR(__xludf.DUMMYFUNCTION("""COMPUTED_VALUE"""),46075.0)</f>
        <v>46075</v>
      </c>
    </row>
    <row r="207">
      <c r="A207" s="153" t="str">
        <f>IFERROR(__xludf.DUMMYFUNCTION("""COMPUTED_VALUE"""),"AND25420006657")</f>
        <v>AND25420006657</v>
      </c>
      <c r="B207" s="153" t="str">
        <f>IFERROR(__xludf.DUMMYFUNCTION("""COMPUTED_VALUE"""),"WES")</f>
        <v>WES</v>
      </c>
      <c r="C207" s="154">
        <f>IFERROR(__xludf.DUMMYFUNCTION("""COMPUTED_VALUE"""),46055.0)</f>
        <v>46055</v>
      </c>
      <c r="D207" s="154">
        <f>IFERROR(__xludf.DUMMYFUNCTION("""COMPUTED_VALUE"""),46075.0)</f>
        <v>46075</v>
      </c>
    </row>
    <row r="208">
      <c r="A208" s="153" t="str">
        <f>IFERROR(__xludf.DUMMYFUNCTION("""COMPUTED_VALUE"""),"AND25420006659")</f>
        <v>AND25420006659</v>
      </c>
      <c r="B208" s="153" t="str">
        <f>IFERROR(__xludf.DUMMYFUNCTION("""COMPUTED_VALUE"""),"WES")</f>
        <v>WES</v>
      </c>
      <c r="C208" s="154">
        <f>IFERROR(__xludf.DUMMYFUNCTION("""COMPUTED_VALUE"""),46055.0)</f>
        <v>46055</v>
      </c>
      <c r="D208" s="154">
        <f>IFERROR(__xludf.DUMMYFUNCTION("""COMPUTED_VALUE"""),46075.0)</f>
        <v>46075</v>
      </c>
    </row>
    <row r="209">
      <c r="A209" s="153" t="str">
        <f>IFERROR(__xludf.DUMMYFUNCTION("""COMPUTED_VALUE"""),"AND25020067182")</f>
        <v>AND25020067182</v>
      </c>
      <c r="B209" s="153" t="str">
        <f>IFERROR(__xludf.DUMMYFUNCTION("""COMPUTED_VALUE"""),"WES+WMGS")</f>
        <v>WES+WMGS</v>
      </c>
      <c r="C209" s="154">
        <f>IFERROR(__xludf.DUMMYFUNCTION("""COMPUTED_VALUE"""),46055.0)</f>
        <v>46055</v>
      </c>
      <c r="D209" s="154">
        <f>IFERROR(__xludf.DUMMYFUNCTION("""COMPUTED_VALUE"""),46076.0)</f>
        <v>46076</v>
      </c>
    </row>
    <row r="210">
      <c r="A210" s="153" t="str">
        <f>IFERROR(__xludf.DUMMYFUNCTION("""COMPUTED_VALUE"""),"AND25020067364")</f>
        <v>AND25020067364</v>
      </c>
      <c r="B210" s="153" t="str">
        <f>IFERROR(__xludf.DUMMYFUNCTION("""COMPUTED_VALUE"""),"CES+WMGS")</f>
        <v>CES+WMGS</v>
      </c>
      <c r="C210" s="154">
        <f>IFERROR(__xludf.DUMMYFUNCTION("""COMPUTED_VALUE"""),46055.0)</f>
        <v>46055</v>
      </c>
      <c r="D210" s="154">
        <f>IFERROR(__xludf.DUMMYFUNCTION("""COMPUTED_VALUE"""),46077.0)</f>
        <v>46077</v>
      </c>
    </row>
    <row r="211">
      <c r="A211" s="153" t="str">
        <f>IFERROR(__xludf.DUMMYFUNCTION("""COMPUTED_VALUE"""),"AND25380250762")</f>
        <v>AND25380250762</v>
      </c>
      <c r="B211" s="153" t="str">
        <f>IFERROR(__xludf.DUMMYFUNCTION("""COMPUTED_VALUE"""),"WES")</f>
        <v>WES</v>
      </c>
      <c r="C211" s="154">
        <f>IFERROR(__xludf.DUMMYFUNCTION("""COMPUTED_VALUE"""),46055.0)</f>
        <v>46055</v>
      </c>
      <c r="D211" s="154">
        <f>IFERROR(__xludf.DUMMYFUNCTION("""COMPUTED_VALUE"""),46077.0)</f>
        <v>46077</v>
      </c>
    </row>
    <row r="212">
      <c r="A212" s="153" t="str">
        <f>IFERROR(__xludf.DUMMYFUNCTION("""COMPUTED_VALUE"""),"AND25380250763")</f>
        <v>AND25380250763</v>
      </c>
      <c r="B212" s="153" t="str">
        <f>IFERROR(__xludf.DUMMYFUNCTION("""COMPUTED_VALUE"""),"WES")</f>
        <v>WES</v>
      </c>
      <c r="C212" s="154">
        <f>IFERROR(__xludf.DUMMYFUNCTION("""COMPUTED_VALUE"""),46055.0)</f>
        <v>46055</v>
      </c>
      <c r="D212" s="154">
        <f>IFERROR(__xludf.DUMMYFUNCTION("""COMPUTED_VALUE"""),46077.0)</f>
        <v>46077</v>
      </c>
    </row>
    <row r="213">
      <c r="A213" s="153" t="str">
        <f>IFERROR(__xludf.DUMMYFUNCTION("""COMPUTED_VALUE"""),"AND25420006697")</f>
        <v>AND25420006697</v>
      </c>
      <c r="B213" s="153" t="str">
        <f>IFERROR(__xludf.DUMMYFUNCTION("""COMPUTED_VALUE"""),"COMPREHENSIVE CARRIER SCREENING")</f>
        <v>COMPREHENSIVE CARRIER SCREENING</v>
      </c>
      <c r="C213" s="154">
        <f>IFERROR(__xludf.DUMMYFUNCTION("""COMPUTED_VALUE"""),46055.0)</f>
        <v>46055</v>
      </c>
      <c r="D213" s="154">
        <f>IFERROR(__xludf.DUMMYFUNCTION("""COMPUTED_VALUE"""),46076.0)</f>
        <v>46076</v>
      </c>
    </row>
    <row r="214">
      <c r="A214" s="153" t="str">
        <f>IFERROR(__xludf.DUMMYFUNCTION("""COMPUTED_VALUE"""),"AND25420006698")</f>
        <v>AND25420006698</v>
      </c>
      <c r="B214" s="153" t="str">
        <f>IFERROR(__xludf.DUMMYFUNCTION("""COMPUTED_VALUE"""),"COMPREHENSIVE CARRIER SCREENING")</f>
        <v>COMPREHENSIVE CARRIER SCREENING</v>
      </c>
      <c r="C214" s="154">
        <f>IFERROR(__xludf.DUMMYFUNCTION("""COMPUTED_VALUE"""),46055.0)</f>
        <v>46055</v>
      </c>
      <c r="D214" s="154">
        <f>IFERROR(__xludf.DUMMYFUNCTION("""COMPUTED_VALUE"""),46076.0)</f>
        <v>46076</v>
      </c>
    </row>
    <row r="215">
      <c r="A215" s="153" t="str">
        <f>IFERROR(__xludf.DUMMYFUNCTION("""COMPUTED_VALUE"""),"AND25420006701")</f>
        <v>AND25420006701</v>
      </c>
      <c r="B215" s="153" t="str">
        <f>IFERROR(__xludf.DUMMYFUNCTION("""COMPUTED_VALUE"""),"Female Infertility NGS panel")</f>
        <v>Female Infertility NGS panel</v>
      </c>
      <c r="C215" s="154">
        <f>IFERROR(__xludf.DUMMYFUNCTION("""COMPUTED_VALUE"""),46055.0)</f>
        <v>46055</v>
      </c>
      <c r="D215" s="154">
        <f>IFERROR(__xludf.DUMMYFUNCTION("""COMPUTED_VALUE"""),46062.0)</f>
        <v>46062</v>
      </c>
    </row>
    <row r="216">
      <c r="A216" s="153"/>
      <c r="B216" s="153" t="str">
        <f>IFERROR(__xludf.DUMMYFUNCTION("""COMPUTED_VALUE"""),"female infertility panel")</f>
        <v>female infertility panel</v>
      </c>
      <c r="C216" s="154">
        <f>IFERROR(__xludf.DUMMYFUNCTION("""COMPUTED_VALUE"""),46055.0)</f>
        <v>46055</v>
      </c>
      <c r="D216" s="154">
        <f>IFERROR(__xludf.DUMMYFUNCTION("""COMPUTED_VALUE"""),46062.0)</f>
        <v>46062</v>
      </c>
    </row>
    <row r="217">
      <c r="A217" s="153"/>
      <c r="B217" s="153" t="str">
        <f>IFERROR(__xludf.DUMMYFUNCTION("""COMPUTED_VALUE"""),"WES")</f>
        <v>WES</v>
      </c>
      <c r="C217" s="154">
        <f>IFERROR(__xludf.DUMMYFUNCTION("""COMPUTED_VALUE"""),46055.0)</f>
        <v>46055</v>
      </c>
      <c r="D217" s="154">
        <f>IFERROR(__xludf.DUMMYFUNCTION("""COMPUTED_VALUE"""),46076.0)</f>
        <v>46076</v>
      </c>
    </row>
    <row r="218">
      <c r="A218" s="153" t="str">
        <f>IFERROR(__xludf.DUMMYFUNCTION("""COMPUTED_VALUE"""),"AMB0000005171")</f>
        <v>AMB0000005171</v>
      </c>
      <c r="B218" s="153" t="str">
        <f>IFERROR(__xludf.DUMMYFUNCTION("""COMPUTED_VALUE"""),"WES")</f>
        <v>WES</v>
      </c>
      <c r="C218" s="154">
        <f>IFERROR(__xludf.DUMMYFUNCTION("""COMPUTED_VALUE"""),46055.0)</f>
        <v>46055</v>
      </c>
      <c r="D218" s="154">
        <f>IFERROR(__xludf.DUMMYFUNCTION("""COMPUTED_VALUE"""),46076.0)</f>
        <v>46076</v>
      </c>
    </row>
    <row r="219">
      <c r="A219" s="153" t="str">
        <f>IFERROR(__xludf.DUMMYFUNCTION("""COMPUTED_VALUE"""),"ADH0000010912")</f>
        <v>ADH0000010912</v>
      </c>
      <c r="B219" s="153" t="str">
        <f>IFERROR(__xludf.DUMMYFUNCTION("""COMPUTED_VALUE"""),"WES")</f>
        <v>WES</v>
      </c>
      <c r="C219" s="154">
        <f>IFERROR(__xludf.DUMMYFUNCTION("""COMPUTED_VALUE"""),46055.0)</f>
        <v>46055</v>
      </c>
      <c r="D219" s="154">
        <f>IFERROR(__xludf.DUMMYFUNCTION("""COMPUTED_VALUE"""),46076.0)</f>
        <v>46076</v>
      </c>
    </row>
    <row r="220">
      <c r="A220" s="153" t="str">
        <f>IFERROR(__xludf.DUMMYFUNCTION("""COMPUTED_VALUE"""),"ADH0000010965")</f>
        <v>ADH0000010965</v>
      </c>
      <c r="B220" s="153" t="str">
        <f>IFERROR(__xludf.DUMMYFUNCTION("""COMPUTED_VALUE"""),"WES")</f>
        <v>WES</v>
      </c>
      <c r="C220" s="154">
        <f>IFERROR(__xludf.DUMMYFUNCTION("""COMPUTED_VALUE"""),46055.0)</f>
        <v>46055</v>
      </c>
      <c r="D220" s="154">
        <f>IFERROR(__xludf.DUMMYFUNCTION("""COMPUTED_VALUE"""),46079.0)</f>
        <v>46079</v>
      </c>
    </row>
    <row r="221">
      <c r="A221" s="153" t="str">
        <f>IFERROR(__xludf.DUMMYFUNCTION("""COMPUTED_VALUE"""),"AND25420006718")</f>
        <v>AND25420006718</v>
      </c>
      <c r="B221" s="153" t="str">
        <f>IFERROR(__xludf.DUMMYFUNCTION("""COMPUTED_VALUE"""),"WES")</f>
        <v>WES</v>
      </c>
      <c r="C221" s="154">
        <f>IFERROR(__xludf.DUMMYFUNCTION("""COMPUTED_VALUE"""),46055.0)</f>
        <v>46055</v>
      </c>
      <c r="D221" s="154">
        <f>IFERROR(__xludf.DUMMYFUNCTION("""COMPUTED_VALUE"""),46078.0)</f>
        <v>46078</v>
      </c>
    </row>
    <row r="222">
      <c r="A222" s="153" t="str">
        <f>IFERROR(__xludf.DUMMYFUNCTION("""COMPUTED_VALUE"""),"AND25420006720")</f>
        <v>AND25420006720</v>
      </c>
      <c r="B222" s="153" t="str">
        <f>IFERROR(__xludf.DUMMYFUNCTION("""COMPUTED_VALUE"""),"WES")</f>
        <v>WES</v>
      </c>
      <c r="C222" s="153"/>
      <c r="D222" s="154">
        <f>IFERROR(__xludf.DUMMYFUNCTION("""COMPUTED_VALUE"""),46079.0)</f>
        <v>46079</v>
      </c>
    </row>
    <row r="223">
      <c r="A223" s="153" t="str">
        <f>IFERROR(__xludf.DUMMYFUNCTION("""COMPUTED_VALUE"""),"AND25420006721")</f>
        <v>AND25420006721</v>
      </c>
      <c r="B223" s="153" t="str">
        <f>IFERROR(__xludf.DUMMYFUNCTION("""COMPUTED_VALUE"""),"WES")</f>
        <v>WES</v>
      </c>
      <c r="C223" s="153"/>
      <c r="D223" s="154">
        <f>IFERROR(__xludf.DUMMYFUNCTION("""COMPUTED_VALUE"""),46079.0)</f>
        <v>46079</v>
      </c>
    </row>
    <row r="224">
      <c r="A224" s="153" t="str">
        <f>IFERROR(__xludf.DUMMYFUNCTION("""COMPUTED_VALUE"""),"AND25630004614")</f>
        <v>AND25630004614</v>
      </c>
      <c r="B224" s="153" t="str">
        <f>IFERROR(__xludf.DUMMYFUNCTION("""COMPUTED_VALUE"""),"WES+WMGS")</f>
        <v>WES+WMGS</v>
      </c>
      <c r="C224" s="154">
        <f>IFERROR(__xludf.DUMMYFUNCTION("""COMPUTED_VALUE"""),46055.0)</f>
        <v>46055</v>
      </c>
      <c r="D224" s="154">
        <f>IFERROR(__xludf.DUMMYFUNCTION("""COMPUTED_VALUE"""),46079.0)</f>
        <v>46079</v>
      </c>
    </row>
    <row r="225">
      <c r="A225" s="153" t="str">
        <f>IFERROR(__xludf.DUMMYFUNCTION("""COMPUTED_VALUE"""),"AND25630004615")</f>
        <v>AND25630004615</v>
      </c>
      <c r="B225" s="153" t="str">
        <f>IFERROR(__xludf.DUMMYFUNCTION("""COMPUTED_VALUE"""),"WES+WMGS")</f>
        <v>WES+WMGS</v>
      </c>
      <c r="C225" s="154">
        <f>IFERROR(__xludf.DUMMYFUNCTION("""COMPUTED_VALUE"""),46055.0)</f>
        <v>46055</v>
      </c>
      <c r="D225" s="154">
        <f>IFERROR(__xludf.DUMMYFUNCTION("""COMPUTED_VALUE"""),46079.0)</f>
        <v>46079</v>
      </c>
    </row>
    <row r="226">
      <c r="A226" s="153" t="str">
        <f>IFERROR(__xludf.DUMMYFUNCTION("""COMPUTED_VALUE"""),"ADB0000021737")</f>
        <v>ADB0000021737</v>
      </c>
      <c r="B226" s="153" t="str">
        <f>IFERROR(__xludf.DUMMYFUNCTION("""COMPUTED_VALUE"""),"FEMALE INFERTILITY NGS PANEL")</f>
        <v>FEMALE INFERTILITY NGS PANEL</v>
      </c>
      <c r="C226" s="154">
        <f>IFERROR(__xludf.DUMMYFUNCTION("""COMPUTED_VALUE"""),46055.0)</f>
        <v>46055</v>
      </c>
      <c r="D226" s="154">
        <f>IFERROR(__xludf.DUMMYFUNCTION("""COMPUTED_VALUE"""),46065.0)</f>
        <v>46065</v>
      </c>
    </row>
    <row r="227">
      <c r="A227" s="153" t="str">
        <f>IFERROR(__xludf.DUMMYFUNCTION("""COMPUTED_VALUE"""),"ADH0000011079")</f>
        <v>ADH0000011079</v>
      </c>
      <c r="B227" s="153" t="str">
        <f>IFERROR(__xludf.DUMMYFUNCTION("""COMPUTED_VALUE"""),"WES")</f>
        <v>WES</v>
      </c>
      <c r="C227" s="154">
        <f>IFERROR(__xludf.DUMMYFUNCTION("""COMPUTED_VALUE"""),46055.0)</f>
        <v>46055</v>
      </c>
      <c r="D227" s="154">
        <f>IFERROR(__xludf.DUMMYFUNCTION("""COMPUTED_VALUE"""),46080.0)</f>
        <v>46080</v>
      </c>
    </row>
    <row r="228">
      <c r="A228" s="153" t="str">
        <f>IFERROR(__xludf.DUMMYFUNCTION("""COMPUTED_VALUE"""),"ADH0000011080")</f>
        <v>ADH0000011080</v>
      </c>
      <c r="B228" s="153" t="str">
        <f>IFERROR(__xludf.DUMMYFUNCTION("""COMPUTED_VALUE"""),"WES")</f>
        <v>WES</v>
      </c>
      <c r="C228" s="154">
        <f>IFERROR(__xludf.DUMMYFUNCTION("""COMPUTED_VALUE"""),46055.0)</f>
        <v>46055</v>
      </c>
      <c r="D228" s="154">
        <f>IFERROR(__xludf.DUMMYFUNCTION("""COMPUTED_VALUE"""),46080.0)</f>
        <v>46080</v>
      </c>
    </row>
    <row r="229">
      <c r="A229" s="153" t="str">
        <f>IFERROR(__xludf.DUMMYFUNCTION("""COMPUTED_VALUE"""),"AND25720036937")</f>
        <v>AND25720036937</v>
      </c>
      <c r="B229" s="153" t="str">
        <f>IFERROR(__xludf.DUMMYFUNCTION("""COMPUTED_VALUE"""),"WES")</f>
        <v>WES</v>
      </c>
      <c r="C229" s="154">
        <f>IFERROR(__xludf.DUMMYFUNCTION("""COMPUTED_VALUE"""),46055.0)</f>
        <v>46055</v>
      </c>
      <c r="D229" s="154">
        <f>IFERROR(__xludf.DUMMYFUNCTION("""COMPUTED_VALUE"""),46080.0)</f>
        <v>46080</v>
      </c>
    </row>
    <row r="230">
      <c r="A230" s="153"/>
      <c r="B230" s="153"/>
      <c r="C230" s="153"/>
      <c r="D230" s="154">
        <f>IFERROR(__xludf.DUMMYFUNCTION("""COMPUTED_VALUE"""),46072.0)</f>
        <v>46072</v>
      </c>
    </row>
    <row r="231">
      <c r="A231" s="153"/>
      <c r="B231" s="153"/>
      <c r="C231" s="153"/>
      <c r="D231" s="154">
        <f>IFERROR(__xludf.DUMMYFUNCTION("""COMPUTED_VALUE"""),46072.0)</f>
        <v>46072</v>
      </c>
    </row>
    <row r="232">
      <c r="A232" s="153"/>
      <c r="B232" s="153"/>
      <c r="C232" s="153"/>
      <c r="D232" s="154">
        <f>IFERROR(__xludf.DUMMYFUNCTION("""COMPUTED_VALUE"""),46072.0)</f>
        <v>46072</v>
      </c>
    </row>
    <row r="233">
      <c r="A233" s="153" t="str">
        <f>IFERROR(__xludf.DUMMYFUNCTION("""COMPUTED_VALUE"""),"AND251S0004152")</f>
        <v>AND251S0004152</v>
      </c>
      <c r="B233" s="153" t="str">
        <f>IFERROR(__xludf.DUMMYFUNCTION("""COMPUTED_VALUE"""),"HEREDITARY PANCREATITIS PANEL")</f>
        <v>HEREDITARY PANCREATITIS PANEL</v>
      </c>
      <c r="C233" s="154">
        <f>IFERROR(__xludf.DUMMYFUNCTION("""COMPUTED_VALUE"""),46059.0)</f>
        <v>46059</v>
      </c>
      <c r="D233" s="154">
        <f>IFERROR(__xludf.DUMMYFUNCTION("""COMPUTED_VALUE"""),46080.0)</f>
        <v>46080</v>
      </c>
    </row>
    <row r="234">
      <c r="A234" s="153" t="str">
        <f>IFERROR(__xludf.DUMMYFUNCTION("""COMPUTED_VALUE"""),"AND25360071482")</f>
        <v>AND25360071482</v>
      </c>
      <c r="B234" s="153" t="str">
        <f>IFERROR(__xludf.DUMMYFUNCTION("""COMPUTED_VALUE"""),"WES")</f>
        <v>WES</v>
      </c>
      <c r="C234" s="154">
        <f>IFERROR(__xludf.DUMMYFUNCTION("""COMPUTED_VALUE"""),46059.0)</f>
        <v>46059</v>
      </c>
      <c r="D234" s="154">
        <f>IFERROR(__xludf.DUMMYFUNCTION("""COMPUTED_VALUE"""),46079.0)</f>
        <v>46079</v>
      </c>
    </row>
    <row r="235">
      <c r="A235" s="153" t="str">
        <f>IFERROR(__xludf.DUMMYFUNCTION("""COMPUTED_VALUE"""),"AND25810036566")</f>
        <v>AND25810036566</v>
      </c>
      <c r="B235" s="153" t="str">
        <f>IFERROR(__xludf.DUMMYFUNCTION("""COMPUTED_VALUE"""),"WES")</f>
        <v>WES</v>
      </c>
      <c r="C235" s="154">
        <f>IFERROR(__xludf.DUMMYFUNCTION("""COMPUTED_VALUE"""),46059.0)</f>
        <v>46059</v>
      </c>
      <c r="D235" s="154">
        <f>IFERROR(__xludf.DUMMYFUNCTION("""COMPUTED_VALUE"""),46081.0)</f>
        <v>46081</v>
      </c>
    </row>
    <row r="236">
      <c r="A236" s="153" t="str">
        <f>IFERROR(__xludf.DUMMYFUNCTION("""COMPUTED_VALUE"""),"ADN0000010376")</f>
        <v>ADN0000010376</v>
      </c>
      <c r="B236" s="153" t="str">
        <f>IFERROR(__xludf.DUMMYFUNCTION("""COMPUTED_VALUE"""),"WES")</f>
        <v>WES</v>
      </c>
      <c r="C236" s="154">
        <f>IFERROR(__xludf.DUMMYFUNCTION("""COMPUTED_VALUE"""),46059.0)</f>
        <v>46059</v>
      </c>
      <c r="D236" s="154">
        <f>IFERROR(__xludf.DUMMYFUNCTION("""COMPUTED_VALUE"""),46081.0)</f>
        <v>46081</v>
      </c>
    </row>
    <row r="237">
      <c r="A237" s="153" t="str">
        <f>IFERROR(__xludf.DUMMYFUNCTION("""COMPUTED_VALUE"""),"ADN0000010381")</f>
        <v>ADN0000010381</v>
      </c>
      <c r="B237" s="153" t="str">
        <f>IFERROR(__xludf.DUMMYFUNCTION("""COMPUTED_VALUE"""),"WES")</f>
        <v>WES</v>
      </c>
      <c r="C237" s="154">
        <f>IFERROR(__xludf.DUMMYFUNCTION("""COMPUTED_VALUE"""),46059.0)</f>
        <v>46059</v>
      </c>
      <c r="D237" s="154">
        <f>IFERROR(__xludf.DUMMYFUNCTION("""COMPUTED_VALUE"""),46081.0)</f>
        <v>46081</v>
      </c>
    </row>
    <row r="238">
      <c r="A238" s="153" t="str">
        <f>IFERROR(__xludf.DUMMYFUNCTION("""COMPUTED_VALUE"""),"AND25850007731")</f>
        <v>AND25850007731</v>
      </c>
      <c r="B238" s="153" t="str">
        <f>IFERROR(__xludf.DUMMYFUNCTION("""COMPUTED_VALUE"""),"WES")</f>
        <v>WES</v>
      </c>
      <c r="C238" s="154">
        <f>IFERROR(__xludf.DUMMYFUNCTION("""COMPUTED_VALUE"""),46059.0)</f>
        <v>46059</v>
      </c>
      <c r="D238" s="154">
        <f>IFERROR(__xludf.DUMMYFUNCTION("""COMPUTED_VALUE"""),46080.0)</f>
        <v>46080</v>
      </c>
    </row>
    <row r="239">
      <c r="A239" s="153" t="str">
        <f>IFERROR(__xludf.DUMMYFUNCTION("""COMPUTED_VALUE"""),"AND25150117029")</f>
        <v>AND25150117029</v>
      </c>
      <c r="B239" s="153" t="str">
        <f>IFERROR(__xludf.DUMMYFUNCTION("""COMPUTED_VALUE"""),"WES")</f>
        <v>WES</v>
      </c>
      <c r="C239" s="154">
        <f>IFERROR(__xludf.DUMMYFUNCTION("""COMPUTED_VALUE"""),46059.0)</f>
        <v>46059</v>
      </c>
      <c r="D239" s="154">
        <f>IFERROR(__xludf.DUMMYFUNCTION("""COMPUTED_VALUE"""),46065.0)</f>
        <v>46065</v>
      </c>
    </row>
    <row r="240">
      <c r="A240" s="153" t="str">
        <f>IFERROR(__xludf.DUMMYFUNCTION("""COMPUTED_VALUE"""),"AND25150117030")</f>
        <v>AND25150117030</v>
      </c>
      <c r="B240" s="153" t="str">
        <f>IFERROR(__xludf.DUMMYFUNCTION("""COMPUTED_VALUE"""),"WES")</f>
        <v>WES</v>
      </c>
      <c r="C240" s="154">
        <f>IFERROR(__xludf.DUMMYFUNCTION("""COMPUTED_VALUE"""),46059.0)</f>
        <v>46059</v>
      </c>
      <c r="D240" s="154">
        <f>IFERROR(__xludf.DUMMYFUNCTION("""COMPUTED_VALUE"""),46065.0)</f>
        <v>46065</v>
      </c>
    </row>
    <row r="241">
      <c r="A241" s="153" t="str">
        <f>IFERROR(__xludf.DUMMYFUNCTION("""COMPUTED_VALUE"""),"AND25380254545")</f>
        <v>AND25380254545</v>
      </c>
      <c r="B241" s="153" t="str">
        <f>IFERROR(__xludf.DUMMYFUNCTION("""COMPUTED_VALUE"""),"COMPREHENSIVE CARRIER SCREENING")</f>
        <v>COMPREHENSIVE CARRIER SCREENING</v>
      </c>
      <c r="C241" s="154">
        <f>IFERROR(__xludf.DUMMYFUNCTION("""COMPUTED_VALUE"""),46059.0)</f>
        <v>46059</v>
      </c>
      <c r="D241" s="154">
        <f>IFERROR(__xludf.DUMMYFUNCTION("""COMPUTED_VALUE"""),46080.0)</f>
        <v>46080</v>
      </c>
    </row>
    <row r="242">
      <c r="A242" s="153" t="str">
        <f>IFERROR(__xludf.DUMMYFUNCTION("""COMPUTED_VALUE"""),"AND25380254546")</f>
        <v>AND25380254546</v>
      </c>
      <c r="B242" s="153" t="str">
        <f>IFERROR(__xludf.DUMMYFUNCTION("""COMPUTED_VALUE"""),"COMPREHENSIVE CARRIER SCREENING")</f>
        <v>COMPREHENSIVE CARRIER SCREENING</v>
      </c>
      <c r="C242" s="154">
        <f>IFERROR(__xludf.DUMMYFUNCTION("""COMPUTED_VALUE"""),46059.0)</f>
        <v>46059</v>
      </c>
      <c r="D242" s="154">
        <f>IFERROR(__xludf.DUMMYFUNCTION("""COMPUTED_VALUE"""),46080.0)</f>
        <v>46080</v>
      </c>
    </row>
    <row r="243">
      <c r="A243" s="153" t="str">
        <f>IFERROR(__xludf.DUMMYFUNCTION("""COMPUTED_VALUE"""),"AND25380254888")</f>
        <v>AND25380254888</v>
      </c>
      <c r="B243" s="153" t="str">
        <f>IFERROR(__xludf.DUMMYFUNCTION("""COMPUTED_VALUE"""),"CES")</f>
        <v>CES</v>
      </c>
      <c r="C243" s="154">
        <f>IFERROR(__xludf.DUMMYFUNCTION("""COMPUTED_VALUE"""),46059.0)</f>
        <v>46059</v>
      </c>
      <c r="D243" s="154">
        <f>IFERROR(__xludf.DUMMYFUNCTION("""COMPUTED_VALUE"""),46081.0)</f>
        <v>46081</v>
      </c>
    </row>
    <row r="244">
      <c r="A244" s="153" t="str">
        <f>IFERROR(__xludf.DUMMYFUNCTION("""COMPUTED_VALUE"""),"AND25630004640")</f>
        <v>AND25630004640</v>
      </c>
      <c r="B244" s="153" t="str">
        <f>IFERROR(__xludf.DUMMYFUNCTION("""COMPUTED_VALUE"""),"WES+WMGS")</f>
        <v>WES+WMGS</v>
      </c>
      <c r="C244" s="154">
        <f>IFERROR(__xludf.DUMMYFUNCTION("""COMPUTED_VALUE"""),46059.0)</f>
        <v>46059</v>
      </c>
      <c r="D244" s="154">
        <f>IFERROR(__xludf.DUMMYFUNCTION("""COMPUTED_VALUE"""),46081.0)</f>
        <v>46081</v>
      </c>
    </row>
    <row r="245">
      <c r="A245" s="153" t="str">
        <f>IFERROR(__xludf.DUMMYFUNCTION("""COMPUTED_VALUE"""),"AND25990057938")</f>
        <v>AND25990057938</v>
      </c>
      <c r="B245" s="153" t="str">
        <f>IFERROR(__xludf.DUMMYFUNCTION("""COMPUTED_VALUE"""),"WES")</f>
        <v>WES</v>
      </c>
      <c r="C245" s="154">
        <f>IFERROR(__xludf.DUMMYFUNCTION("""COMPUTED_VALUE"""),46059.0)</f>
        <v>46059</v>
      </c>
      <c r="D245" s="154">
        <f>IFERROR(__xludf.DUMMYFUNCTION("""COMPUTED_VALUE"""),46081.0)</f>
        <v>46081</v>
      </c>
    </row>
    <row r="246">
      <c r="A246" s="153" t="str">
        <f>IFERROR(__xludf.DUMMYFUNCTION("""COMPUTED_VALUE"""),"AND25990057939")</f>
        <v>AND25990057939</v>
      </c>
      <c r="B246" s="153" t="str">
        <f>IFERROR(__xludf.DUMMYFUNCTION("""COMPUTED_VALUE"""),"WES")</f>
        <v>WES</v>
      </c>
      <c r="C246" s="154">
        <f>IFERROR(__xludf.DUMMYFUNCTION("""COMPUTED_VALUE"""),46059.0)</f>
        <v>46059</v>
      </c>
      <c r="D246" s="154">
        <f>IFERROR(__xludf.DUMMYFUNCTION("""COMPUTED_VALUE"""),46081.0)</f>
        <v>46081</v>
      </c>
    </row>
    <row r="247">
      <c r="A247" s="153" t="str">
        <f>IFERROR(__xludf.DUMMYFUNCTION("""COMPUTED_VALUE"""),"AND25680013155")</f>
        <v>AND25680013155</v>
      </c>
      <c r="B247" s="153" t="str">
        <f>IFERROR(__xludf.DUMMYFUNCTION("""COMPUTED_VALUE"""),"COUPLE CARRIER SCREENING BY CLINICAL EXOME SEQUENCING")</f>
        <v>COUPLE CARRIER SCREENING BY CLINICAL EXOME SEQUENCING</v>
      </c>
      <c r="C247" s="154">
        <f>IFERROR(__xludf.DUMMYFUNCTION("""COMPUTED_VALUE"""),46059.0)</f>
        <v>46059</v>
      </c>
      <c r="D247" s="154">
        <f>IFERROR(__xludf.DUMMYFUNCTION("""COMPUTED_VALUE"""),46081.0)</f>
        <v>46081</v>
      </c>
    </row>
    <row r="248">
      <c r="A248" s="153" t="str">
        <f>IFERROR(__xludf.DUMMYFUNCTION("""COMPUTED_VALUE"""),"AND25680013158")</f>
        <v>AND25680013158</v>
      </c>
      <c r="B248" s="153" t="str">
        <f>IFERROR(__xludf.DUMMYFUNCTION("""COMPUTED_VALUE"""),"COUPLE CARRIER SCREENING BY CLINICAL EXOME SEQUENCING")</f>
        <v>COUPLE CARRIER SCREENING BY CLINICAL EXOME SEQUENCING</v>
      </c>
      <c r="C248" s="154">
        <f>IFERROR(__xludf.DUMMYFUNCTION("""COMPUTED_VALUE"""),46059.0)</f>
        <v>46059</v>
      </c>
      <c r="D248" s="154">
        <f>IFERROR(__xludf.DUMMYFUNCTION("""COMPUTED_VALUE"""),46081.0)</f>
        <v>46081</v>
      </c>
    </row>
    <row r="249">
      <c r="A249" s="153" t="str">
        <f>IFERROR(__xludf.DUMMYFUNCTION("""COMPUTED_VALUE"""),"AMB0000005296")</f>
        <v>AMB0000005296</v>
      </c>
      <c r="B249" s="153" t="str">
        <f>IFERROR(__xludf.DUMMYFUNCTION("""COMPUTED_VALUE"""),"WES")</f>
        <v>WES</v>
      </c>
      <c r="C249" s="154">
        <f>IFERROR(__xludf.DUMMYFUNCTION("""COMPUTED_VALUE"""),46059.0)</f>
        <v>46059</v>
      </c>
      <c r="D249" s="154">
        <f>IFERROR(__xludf.DUMMYFUNCTION("""COMPUTED_VALUE"""),46081.0)</f>
        <v>46081</v>
      </c>
    </row>
    <row r="250">
      <c r="A250" s="153" t="str">
        <f>IFERROR(__xludf.DUMMYFUNCTION("""COMPUTED_VALUE"""),"AND251O0000119")</f>
        <v>AND251O0000119</v>
      </c>
      <c r="B250" s="153" t="str">
        <f>IFERROR(__xludf.DUMMYFUNCTION("""COMPUTED_VALUE"""),"WES")</f>
        <v>WES</v>
      </c>
      <c r="C250" s="154">
        <f>IFERROR(__xludf.DUMMYFUNCTION("""COMPUTED_VALUE"""),46059.0)</f>
        <v>46059</v>
      </c>
      <c r="D250" s="154">
        <f>IFERROR(__xludf.DUMMYFUNCTION("""COMPUTED_VALUE"""),46081.0)</f>
        <v>46081</v>
      </c>
    </row>
    <row r="251">
      <c r="A251" s="153" t="str">
        <f>IFERROR(__xludf.DUMMYFUNCTION("""COMPUTED_VALUE"""),"TSI0000011688")</f>
        <v>TSI0000011688</v>
      </c>
      <c r="B251" s="153" t="str">
        <f>IFERROR(__xludf.DUMMYFUNCTION("""COMPUTED_VALUE"""),"WES")</f>
        <v>WES</v>
      </c>
      <c r="C251" s="154">
        <f>IFERROR(__xludf.DUMMYFUNCTION("""COMPUTED_VALUE"""),46059.0)</f>
        <v>46059</v>
      </c>
      <c r="D251" s="154">
        <f>IFERROR(__xludf.DUMMYFUNCTION("""COMPUTED_VALUE"""),46082.0)</f>
        <v>46082</v>
      </c>
    </row>
    <row r="252">
      <c r="A252" s="153" t="str">
        <f>IFERROR(__xludf.DUMMYFUNCTION("""COMPUTED_VALUE"""),"AND25630004661")</f>
        <v>AND25630004661</v>
      </c>
      <c r="B252" s="153" t="str">
        <f>IFERROR(__xludf.DUMMYFUNCTION("""COMPUTED_VALUE"""),"WES")</f>
        <v>WES</v>
      </c>
      <c r="C252" s="154">
        <f>IFERROR(__xludf.DUMMYFUNCTION("""COMPUTED_VALUE"""),46059.0)</f>
        <v>46059</v>
      </c>
      <c r="D252" s="154">
        <f>IFERROR(__xludf.DUMMYFUNCTION("""COMPUTED_VALUE"""),46072.0)</f>
        <v>46072</v>
      </c>
    </row>
    <row r="253">
      <c r="A253" s="153" t="str">
        <f>IFERROR(__xludf.DUMMYFUNCTION("""COMPUTED_VALUE"""),"AND25630004662")</f>
        <v>AND25630004662</v>
      </c>
      <c r="B253" s="153" t="str">
        <f>IFERROR(__xludf.DUMMYFUNCTION("""COMPUTED_VALUE"""),"WES")</f>
        <v>WES</v>
      </c>
      <c r="C253" s="154">
        <f>IFERROR(__xludf.DUMMYFUNCTION("""COMPUTED_VALUE"""),46059.0)</f>
        <v>46059</v>
      </c>
      <c r="D253" s="154">
        <f>IFERROR(__xludf.DUMMYFUNCTION("""COMPUTED_VALUE"""),46072.0)</f>
        <v>46072</v>
      </c>
    </row>
    <row r="254">
      <c r="A254" s="153" t="str">
        <f>IFERROR(__xludf.DUMMYFUNCTION("""COMPUTED_VALUE"""),"AND25630004663")</f>
        <v>AND25630004663</v>
      </c>
      <c r="B254" s="153" t="str">
        <f>IFERROR(__xludf.DUMMYFUNCTION("""COMPUTED_VALUE"""),"WES")</f>
        <v>WES</v>
      </c>
      <c r="C254" s="154">
        <f>IFERROR(__xludf.DUMMYFUNCTION("""COMPUTED_VALUE"""),46059.0)</f>
        <v>46059</v>
      </c>
      <c r="D254" s="154">
        <f>IFERROR(__xludf.DUMMYFUNCTION("""COMPUTED_VALUE"""),46072.0)</f>
        <v>46072</v>
      </c>
    </row>
    <row r="255">
      <c r="A255" s="153" t="str">
        <f>IFERROR(__xludf.DUMMYFUNCTION("""COMPUTED_VALUE"""),"AND25630004664")</f>
        <v>AND25630004664</v>
      </c>
      <c r="B255" s="153" t="str">
        <f>IFERROR(__xludf.DUMMYFUNCTION("""COMPUTED_VALUE"""),"WES")</f>
        <v>WES</v>
      </c>
      <c r="C255" s="154">
        <f>IFERROR(__xludf.DUMMYFUNCTION("""COMPUTED_VALUE"""),46059.0)</f>
        <v>46059</v>
      </c>
      <c r="D255" s="154">
        <f>IFERROR(__xludf.DUMMYFUNCTION("""COMPUTED_VALUE"""),46072.0)</f>
        <v>46072</v>
      </c>
    </row>
    <row r="256">
      <c r="A256" s="153" t="str">
        <f>IFERROR(__xludf.DUMMYFUNCTION("""COMPUTED_VALUE"""),"AMB0000005311")</f>
        <v>AMB0000005311</v>
      </c>
      <c r="B256" s="153" t="str">
        <f>IFERROR(__xludf.DUMMYFUNCTION("""COMPUTED_VALUE"""),"WES")</f>
        <v>WES</v>
      </c>
      <c r="C256" s="154">
        <f>IFERROR(__xludf.DUMMYFUNCTION("""COMPUTED_VALUE"""),46059.0)</f>
        <v>46059</v>
      </c>
      <c r="D256" s="154">
        <f>IFERROR(__xludf.DUMMYFUNCTION("""COMPUTED_VALUE"""),46082.0)</f>
        <v>46082</v>
      </c>
    </row>
    <row r="257">
      <c r="A257" s="153" t="str">
        <f>IFERROR(__xludf.DUMMYFUNCTION("""COMPUTED_VALUE"""),"AND25370042029")</f>
        <v>AND25370042029</v>
      </c>
      <c r="B257" s="153" t="str">
        <f>IFERROR(__xludf.DUMMYFUNCTION("""COMPUTED_VALUE"""),"WES")</f>
        <v>WES</v>
      </c>
      <c r="C257" s="154">
        <f>IFERROR(__xludf.DUMMYFUNCTION("""COMPUTED_VALUE"""),46059.0)</f>
        <v>46059</v>
      </c>
      <c r="D257" s="154">
        <f>IFERROR(__xludf.DUMMYFUNCTION("""COMPUTED_VALUE"""),46082.0)</f>
        <v>46082</v>
      </c>
    </row>
    <row r="258">
      <c r="A258" s="153"/>
      <c r="B258" s="153" t="str">
        <f>IFERROR(__xludf.DUMMYFUNCTION("""COMPUTED_VALUE"""),"WES")</f>
        <v>WES</v>
      </c>
      <c r="C258" s="154">
        <f>IFERROR(__xludf.DUMMYFUNCTION("""COMPUTED_VALUE"""),46059.0)</f>
        <v>46059</v>
      </c>
      <c r="D258" s="154">
        <f>IFERROR(__xludf.DUMMYFUNCTION("""COMPUTED_VALUE"""),46073.0)</f>
        <v>46073</v>
      </c>
    </row>
    <row r="259">
      <c r="A259" s="153"/>
      <c r="B259" s="153" t="str">
        <f>IFERROR(__xludf.DUMMYFUNCTION("""COMPUTED_VALUE"""),"WES")</f>
        <v>WES</v>
      </c>
      <c r="C259" s="154">
        <f>IFERROR(__xludf.DUMMYFUNCTION("""COMPUTED_VALUE"""),46059.0)</f>
        <v>46059</v>
      </c>
      <c r="D259" s="154">
        <f>IFERROR(__xludf.DUMMYFUNCTION("""COMPUTED_VALUE"""),46073.0)</f>
        <v>46073</v>
      </c>
    </row>
    <row r="260">
      <c r="A260" s="153"/>
      <c r="B260" s="153" t="str">
        <f>IFERROR(__xludf.DUMMYFUNCTION("""COMPUTED_VALUE"""),"WES")</f>
        <v>WES</v>
      </c>
      <c r="C260" s="154">
        <f>IFERROR(__xludf.DUMMYFUNCTION("""COMPUTED_VALUE"""),46059.0)</f>
        <v>46059</v>
      </c>
      <c r="D260" s="154">
        <f>IFERROR(__xludf.DUMMYFUNCTION("""COMPUTED_VALUE"""),46073.0)</f>
        <v>46073</v>
      </c>
    </row>
    <row r="261">
      <c r="A261" s="153"/>
      <c r="B261" s="153" t="str">
        <f>IFERROR(__xludf.DUMMYFUNCTION("""COMPUTED_VALUE"""),"WES")</f>
        <v>WES</v>
      </c>
      <c r="C261" s="154">
        <f>IFERROR(__xludf.DUMMYFUNCTION("""COMPUTED_VALUE"""),46059.0)</f>
        <v>46059</v>
      </c>
      <c r="D261" s="154">
        <f>IFERROR(__xludf.DUMMYFUNCTION("""COMPUTED_VALUE"""),46073.0)</f>
        <v>46073</v>
      </c>
    </row>
    <row r="262">
      <c r="A262" s="153" t="str">
        <f>IFERROR(__xludf.DUMMYFUNCTION("""COMPUTED_VALUE"""),"AND25630004686")</f>
        <v>AND25630004686</v>
      </c>
      <c r="B262" s="153" t="str">
        <f>IFERROR(__xludf.DUMMYFUNCTION("""COMPUTED_VALUE"""),"WES+WMGS")</f>
        <v>WES+WMGS</v>
      </c>
      <c r="C262" s="154">
        <f>IFERROR(__xludf.DUMMYFUNCTION("""COMPUTED_VALUE"""),46059.0)</f>
        <v>46059</v>
      </c>
      <c r="D262" s="154">
        <f>IFERROR(__xludf.DUMMYFUNCTION("""COMPUTED_VALUE"""),46083.0)</f>
        <v>46083</v>
      </c>
    </row>
    <row r="263">
      <c r="A263" s="153" t="str">
        <f>IFERROR(__xludf.DUMMYFUNCTION("""COMPUTED_VALUE"""),"ADB0000022357")</f>
        <v>ADB0000022357</v>
      </c>
      <c r="B263" s="153" t="str">
        <f>IFERROR(__xludf.DUMMYFUNCTION("""COMPUTED_VALUE"""),"WES")</f>
        <v>WES</v>
      </c>
      <c r="C263" s="154">
        <f>IFERROR(__xludf.DUMMYFUNCTION("""COMPUTED_VALUE"""),46059.0)</f>
        <v>46059</v>
      </c>
      <c r="D263" s="154">
        <f>IFERROR(__xludf.DUMMYFUNCTION("""COMPUTED_VALUE"""),46083.0)</f>
        <v>46083</v>
      </c>
    </row>
    <row r="264">
      <c r="A264" s="153" t="str">
        <f>IFERROR(__xludf.DUMMYFUNCTION("""COMPUTED_VALUE"""),"TSI0000011689")</f>
        <v>TSI0000011689</v>
      </c>
      <c r="B264" s="153" t="str">
        <f>IFERROR(__xludf.DUMMYFUNCTION("""COMPUTED_VALUE"""),"WES")</f>
        <v>WES</v>
      </c>
      <c r="C264" s="154">
        <f>IFERROR(__xludf.DUMMYFUNCTION("""COMPUTED_VALUE"""),46059.0)</f>
        <v>46059</v>
      </c>
      <c r="D264" s="154">
        <f>IFERROR(__xludf.DUMMYFUNCTION("""COMPUTED_VALUE"""),46082.0)</f>
        <v>46082</v>
      </c>
    </row>
    <row r="265">
      <c r="A265" s="153" t="str">
        <f>IFERROR(__xludf.DUMMYFUNCTION("""COMPUTED_VALUE"""),"AND25020068278")</f>
        <v>AND25020068278</v>
      </c>
      <c r="B265" s="153" t="str">
        <f>IFERROR(__xludf.DUMMYFUNCTION("""COMPUTED_VALUE"""),"WES+WMGS")</f>
        <v>WES+WMGS</v>
      </c>
      <c r="C265" s="154">
        <f>IFERROR(__xludf.DUMMYFUNCTION("""COMPUTED_VALUE"""),46062.0)</f>
        <v>46062</v>
      </c>
      <c r="D265" s="154">
        <f>IFERROR(__xludf.DUMMYFUNCTION("""COMPUTED_VALUE"""),46082.0)</f>
        <v>46082</v>
      </c>
    </row>
    <row r="266">
      <c r="A266" s="153" t="str">
        <f>IFERROR(__xludf.DUMMYFUNCTION("""COMPUTED_VALUE"""),"AND25020068279")</f>
        <v>AND25020068279</v>
      </c>
      <c r="B266" s="153" t="str">
        <f>IFERROR(__xludf.DUMMYFUNCTION("""COMPUTED_VALUE"""),"WES+WMGS")</f>
        <v>WES+WMGS</v>
      </c>
      <c r="C266" s="154">
        <f>IFERROR(__xludf.DUMMYFUNCTION("""COMPUTED_VALUE"""),46062.0)</f>
        <v>46062</v>
      </c>
      <c r="D266" s="154">
        <f>IFERROR(__xludf.DUMMYFUNCTION("""COMPUTED_VALUE"""),46082.0)</f>
        <v>46082</v>
      </c>
    </row>
    <row r="267">
      <c r="A267" s="153" t="str">
        <f>IFERROR(__xludf.DUMMYFUNCTION("""COMPUTED_VALUE"""),"AND25020068277")</f>
        <v>AND25020068277</v>
      </c>
      <c r="B267" s="153" t="str">
        <f>IFERROR(__xludf.DUMMYFUNCTION("""COMPUTED_VALUE"""),"WES+WMGS")</f>
        <v>WES+WMGS</v>
      </c>
      <c r="C267" s="154">
        <f>IFERROR(__xludf.DUMMYFUNCTION("""COMPUTED_VALUE"""),46062.0)</f>
        <v>46062</v>
      </c>
      <c r="D267" s="154">
        <f>IFERROR(__xludf.DUMMYFUNCTION("""COMPUTED_VALUE"""),46083.0)</f>
        <v>46083</v>
      </c>
    </row>
    <row r="268">
      <c r="A268" s="153" t="str">
        <f>IFERROR(__xludf.DUMMYFUNCTION("""COMPUTED_VALUE"""),"AND25020068276")</f>
        <v>AND25020068276</v>
      </c>
      <c r="B268" s="153" t="str">
        <f>IFERROR(__xludf.DUMMYFUNCTION("""COMPUTED_VALUE"""),"WES+WMGS")</f>
        <v>WES+WMGS</v>
      </c>
      <c r="C268" s="154">
        <f>IFERROR(__xludf.DUMMYFUNCTION("""COMPUTED_VALUE"""),46062.0)</f>
        <v>46062</v>
      </c>
      <c r="D268" s="154">
        <f>IFERROR(__xludf.DUMMYFUNCTION("""COMPUTED_VALUE"""),46083.0)</f>
        <v>46083</v>
      </c>
    </row>
    <row r="269">
      <c r="A269" s="153" t="str">
        <f>IFERROR(__xludf.DUMMYFUNCTION("""COMPUTED_VALUE"""),"AND25020068281")</f>
        <v>AND25020068281</v>
      </c>
      <c r="B269" s="153" t="str">
        <f>IFERROR(__xludf.DUMMYFUNCTION("""COMPUTED_VALUE"""),"WES+WMGS")</f>
        <v>WES+WMGS</v>
      </c>
      <c r="C269" s="154">
        <f>IFERROR(__xludf.DUMMYFUNCTION("""COMPUTED_VALUE"""),46062.0)</f>
        <v>46062</v>
      </c>
      <c r="D269" s="154">
        <f>IFERROR(__xludf.DUMMYFUNCTION("""COMPUTED_VALUE"""),46082.0)</f>
        <v>46082</v>
      </c>
    </row>
    <row r="270">
      <c r="A270" s="153" t="str">
        <f>IFERROR(__xludf.DUMMYFUNCTION("""COMPUTED_VALUE"""),"AND25020068286")</f>
        <v>AND25020068286</v>
      </c>
      <c r="B270" s="153" t="str">
        <f>IFERROR(__xludf.DUMMYFUNCTION("""COMPUTED_VALUE"""),"WES+WMGS")</f>
        <v>WES+WMGS</v>
      </c>
      <c r="C270" s="154">
        <f>IFERROR(__xludf.DUMMYFUNCTION("""COMPUTED_VALUE"""),46062.0)</f>
        <v>46062</v>
      </c>
      <c r="D270" s="154">
        <f>IFERROR(__xludf.DUMMYFUNCTION("""COMPUTED_VALUE"""),46082.0)</f>
        <v>46082</v>
      </c>
    </row>
    <row r="271">
      <c r="A271" s="153" t="str">
        <f>IFERROR(__xludf.DUMMYFUNCTION("""COMPUTED_VALUE"""),"AND25540000946")</f>
        <v>AND25540000946</v>
      </c>
      <c r="B271" s="153" t="str">
        <f>IFERROR(__xludf.DUMMYFUNCTION("""COMPUTED_VALUE"""),"WES+WMGS")</f>
        <v>WES+WMGS</v>
      </c>
      <c r="C271" s="154">
        <f>IFERROR(__xludf.DUMMYFUNCTION("""COMPUTED_VALUE"""),46062.0)</f>
        <v>46062</v>
      </c>
      <c r="D271" s="154">
        <f>IFERROR(__xludf.DUMMYFUNCTION("""COMPUTED_VALUE"""),46082.0)</f>
        <v>46082</v>
      </c>
    </row>
    <row r="272">
      <c r="A272" s="153" t="str">
        <f>IFERROR(__xludf.DUMMYFUNCTION("""COMPUTED_VALUE"""),"AND25020068425")</f>
        <v>AND25020068425</v>
      </c>
      <c r="B272" s="153" t="str">
        <f>IFERROR(__xludf.DUMMYFUNCTION("""COMPUTED_VALUE"""),"WES+WMGS")</f>
        <v>WES+WMGS</v>
      </c>
      <c r="C272" s="154">
        <f>IFERROR(__xludf.DUMMYFUNCTION("""COMPUTED_VALUE"""),46062.0)</f>
        <v>46062</v>
      </c>
      <c r="D272" s="154">
        <f>IFERROR(__xludf.DUMMYFUNCTION("""COMPUTED_VALUE"""),46083.0)</f>
        <v>46083</v>
      </c>
    </row>
    <row r="273">
      <c r="A273" s="153"/>
      <c r="B273" s="153" t="str">
        <f>IFERROR(__xludf.DUMMYFUNCTION("""COMPUTED_VALUE"""),"WHOLE GENOME SEQUENCING")</f>
        <v>WHOLE GENOME SEQUENCING</v>
      </c>
      <c r="C273" s="154">
        <f>IFERROR(__xludf.DUMMYFUNCTION("""COMPUTED_VALUE"""),46062.0)</f>
        <v>46062</v>
      </c>
      <c r="D273" s="154">
        <f>IFERROR(__xludf.DUMMYFUNCTION("""COMPUTED_VALUE"""),46077.0)</f>
        <v>46077</v>
      </c>
    </row>
    <row r="274">
      <c r="A274" s="153" t="str">
        <f>IFERROR(__xludf.DUMMYFUNCTION("""COMPUTED_VALUE"""),"AND25020068458")</f>
        <v>AND25020068458</v>
      </c>
      <c r="B274" s="153" t="str">
        <f>IFERROR(__xludf.DUMMYFUNCTION("""COMPUTED_VALUE"""),"WES+WMGS")</f>
        <v>WES+WMGS</v>
      </c>
      <c r="C274" s="154">
        <f>IFERROR(__xludf.DUMMYFUNCTION("""COMPUTED_VALUE"""),46062.0)</f>
        <v>46062</v>
      </c>
      <c r="D274" s="154">
        <f>IFERROR(__xludf.DUMMYFUNCTION("""COMPUTED_VALUE"""),46083.0)</f>
        <v>46083</v>
      </c>
    </row>
    <row r="275">
      <c r="A275" s="153" t="str">
        <f>IFERROR(__xludf.DUMMYFUNCTION("""COMPUTED_VALUE"""),"ADB0000021922")</f>
        <v>ADB0000021922</v>
      </c>
      <c r="B275" s="153" t="str">
        <f>IFERROR(__xludf.DUMMYFUNCTION("""COMPUTED_VALUE"""),"WES")</f>
        <v>WES</v>
      </c>
      <c r="C275" s="154">
        <f>IFERROR(__xludf.DUMMYFUNCTION("""COMPUTED_VALUE"""),46062.0)</f>
        <v>46062</v>
      </c>
      <c r="D275" s="154">
        <f>IFERROR(__xludf.DUMMYFUNCTION("""COMPUTED_VALUE"""),46079.0)</f>
        <v>46079</v>
      </c>
    </row>
    <row r="276">
      <c r="A276" s="153" t="str">
        <f>IFERROR(__xludf.DUMMYFUNCTION("""COMPUTED_VALUE"""),"ADH0000011478")</f>
        <v>ADH0000011478</v>
      </c>
      <c r="B276" s="153" t="str">
        <f>IFERROR(__xludf.DUMMYFUNCTION("""COMPUTED_VALUE"""),"WES")</f>
        <v>WES</v>
      </c>
      <c r="C276" s="154">
        <f>IFERROR(__xludf.DUMMYFUNCTION("""COMPUTED_VALUE"""),46062.0)</f>
        <v>46062</v>
      </c>
      <c r="D276" s="154">
        <f>IFERROR(__xludf.DUMMYFUNCTION("""COMPUTED_VALUE"""),46083.0)</f>
        <v>46083</v>
      </c>
    </row>
    <row r="277">
      <c r="A277" s="153" t="str">
        <f>IFERROR(__xludf.DUMMYFUNCTION("""COMPUTED_VALUE"""),"ADH0000011483")</f>
        <v>ADH0000011483</v>
      </c>
      <c r="B277" s="153" t="str">
        <f>IFERROR(__xludf.DUMMYFUNCTION("""COMPUTED_VALUE"""),"WES")</f>
        <v>WES</v>
      </c>
      <c r="C277" s="154">
        <f>IFERROR(__xludf.DUMMYFUNCTION("""COMPUTED_VALUE"""),46062.0)</f>
        <v>46062</v>
      </c>
      <c r="D277" s="154">
        <f>IFERROR(__xludf.DUMMYFUNCTION("""COMPUTED_VALUE"""),46083.0)</f>
        <v>46083</v>
      </c>
    </row>
    <row r="278">
      <c r="A278" s="153" t="str">
        <f>IFERROR(__xludf.DUMMYFUNCTION("""COMPUTED_VALUE"""),"ADH0000011484")</f>
        <v>ADH0000011484</v>
      </c>
      <c r="B278" s="153" t="str">
        <f>IFERROR(__xludf.DUMMYFUNCTION("""COMPUTED_VALUE"""),"WES")</f>
        <v>WES</v>
      </c>
      <c r="C278" s="154">
        <f>IFERROR(__xludf.DUMMYFUNCTION("""COMPUTED_VALUE"""),46062.0)</f>
        <v>46062</v>
      </c>
      <c r="D278" s="154">
        <f>IFERROR(__xludf.DUMMYFUNCTION("""COMPUTED_VALUE"""),46083.0)</f>
        <v>46083</v>
      </c>
    </row>
    <row r="279">
      <c r="A279" s="153"/>
      <c r="B279" s="153"/>
      <c r="C279" s="153"/>
      <c r="D279" s="153"/>
    </row>
    <row r="280">
      <c r="A280" s="153"/>
      <c r="B280" s="153"/>
      <c r="C280" s="153"/>
      <c r="D280" s="153"/>
    </row>
    <row r="281">
      <c r="A281" s="153"/>
      <c r="B281" s="153"/>
      <c r="C281" s="153"/>
      <c r="D281" s="153"/>
    </row>
    <row r="282">
      <c r="A282" s="153"/>
      <c r="B282" s="153"/>
      <c r="C282" s="153"/>
      <c r="D282" s="153"/>
    </row>
    <row r="283">
      <c r="A283" s="153"/>
      <c r="B283" s="153"/>
      <c r="C283" s="153"/>
      <c r="D283" s="153"/>
    </row>
    <row r="284">
      <c r="A284" s="153"/>
      <c r="B284" s="153"/>
      <c r="C284" s="153"/>
      <c r="D284" s="153"/>
    </row>
    <row r="285">
      <c r="A285" s="153"/>
      <c r="B285" s="153"/>
      <c r="C285" s="153"/>
      <c r="D285" s="153"/>
    </row>
    <row r="286">
      <c r="A286" s="153"/>
      <c r="B286" s="153"/>
      <c r="C286" s="153"/>
      <c r="D286" s="153"/>
    </row>
    <row r="287">
      <c r="A287" s="153"/>
      <c r="B287" s="153"/>
      <c r="C287" s="153"/>
      <c r="D287" s="153"/>
    </row>
    <row r="288">
      <c r="A288" s="153"/>
      <c r="B288" s="153"/>
      <c r="C288" s="153"/>
      <c r="D288" s="153"/>
    </row>
    <row r="289">
      <c r="A289" s="153"/>
      <c r="B289" s="153"/>
      <c r="C289" s="153"/>
      <c r="D289" s="153"/>
    </row>
    <row r="290">
      <c r="A290" s="153"/>
      <c r="B290" s="153"/>
      <c r="C290" s="153"/>
      <c r="D290" s="153"/>
    </row>
    <row r="291">
      <c r="A291" s="153"/>
      <c r="B291" s="153"/>
      <c r="C291" s="153"/>
      <c r="D291" s="153"/>
    </row>
    <row r="292">
      <c r="A292" s="153"/>
      <c r="B292" s="153"/>
      <c r="C292" s="153"/>
      <c r="D292" s="153"/>
    </row>
    <row r="293">
      <c r="A293" s="153"/>
      <c r="B293" s="153"/>
      <c r="C293" s="153"/>
      <c r="D293" s="153"/>
    </row>
    <row r="294">
      <c r="A294" s="153"/>
      <c r="B294" s="153"/>
      <c r="C294" s="153"/>
      <c r="D294" s="153"/>
    </row>
    <row r="295">
      <c r="A295" s="153"/>
      <c r="B295" s="153"/>
      <c r="C295" s="153"/>
      <c r="D295" s="153"/>
    </row>
    <row r="296">
      <c r="A296" s="153"/>
      <c r="B296" s="153"/>
      <c r="C296" s="153"/>
      <c r="D296" s="153"/>
    </row>
    <row r="297">
      <c r="A297" s="153"/>
      <c r="B297" s="153"/>
      <c r="C297" s="153"/>
      <c r="D297" s="153"/>
    </row>
    <row r="298">
      <c r="A298" s="153"/>
      <c r="B298" s="153"/>
      <c r="C298" s="153"/>
      <c r="D298" s="153"/>
    </row>
    <row r="299">
      <c r="A299" s="153"/>
      <c r="B299" s="153"/>
      <c r="C299" s="153"/>
      <c r="D299" s="153"/>
    </row>
    <row r="300">
      <c r="A300" s="153"/>
      <c r="B300" s="153"/>
      <c r="C300" s="153"/>
      <c r="D300" s="153"/>
    </row>
    <row r="301">
      <c r="A301" s="153"/>
      <c r="B301" s="153"/>
      <c r="C301" s="153"/>
      <c r="D301" s="153"/>
    </row>
    <row r="302">
      <c r="A302" s="153"/>
      <c r="B302" s="153"/>
      <c r="C302" s="153"/>
      <c r="D302" s="153"/>
    </row>
    <row r="303">
      <c r="A303" s="153"/>
      <c r="B303" s="153"/>
      <c r="C303" s="153"/>
      <c r="D303" s="153"/>
    </row>
    <row r="304">
      <c r="A304" s="153"/>
      <c r="B304" s="153"/>
      <c r="C304" s="153"/>
      <c r="D304" s="153"/>
    </row>
    <row r="305">
      <c r="A305" s="153"/>
      <c r="B305" s="153"/>
      <c r="C305" s="153"/>
      <c r="D305" s="153"/>
    </row>
    <row r="306">
      <c r="A306" s="153"/>
      <c r="B306" s="153"/>
      <c r="C306" s="153"/>
      <c r="D306" s="153"/>
    </row>
    <row r="307">
      <c r="A307" s="153"/>
      <c r="B307" s="153"/>
      <c r="C307" s="153"/>
      <c r="D307" s="153"/>
    </row>
    <row r="308">
      <c r="A308" s="153"/>
      <c r="B308" s="153"/>
      <c r="C308" s="153"/>
      <c r="D308" s="153"/>
    </row>
    <row r="309">
      <c r="A309" s="153"/>
      <c r="B309" s="153"/>
      <c r="C309" s="153"/>
      <c r="D309" s="153"/>
    </row>
    <row r="310">
      <c r="A310" s="153"/>
      <c r="B310" s="153"/>
      <c r="C310" s="153"/>
      <c r="D310" s="153"/>
    </row>
    <row r="311">
      <c r="A311" s="153"/>
      <c r="B311" s="153"/>
      <c r="C311" s="153"/>
      <c r="D311" s="153"/>
    </row>
    <row r="312">
      <c r="A312" s="153"/>
      <c r="B312" s="153"/>
      <c r="C312" s="153"/>
      <c r="D312" s="153"/>
    </row>
    <row r="313">
      <c r="A313" s="153"/>
      <c r="B313" s="153"/>
      <c r="C313" s="153"/>
      <c r="D313" s="153"/>
    </row>
    <row r="314">
      <c r="A314" s="153"/>
      <c r="B314" s="153"/>
      <c r="C314" s="153"/>
      <c r="D314" s="153"/>
    </row>
    <row r="315">
      <c r="A315" s="153"/>
      <c r="B315" s="153"/>
      <c r="C315" s="153"/>
      <c r="D315" s="153"/>
    </row>
    <row r="316">
      <c r="A316" s="153"/>
      <c r="B316" s="153"/>
      <c r="C316" s="153"/>
      <c r="D316" s="153"/>
    </row>
    <row r="317">
      <c r="A317" s="153"/>
      <c r="B317" s="153"/>
      <c r="C317" s="153"/>
      <c r="D317" s="153"/>
    </row>
    <row r="318">
      <c r="A318" s="153"/>
      <c r="B318" s="153"/>
      <c r="C318" s="153"/>
      <c r="D318" s="153"/>
    </row>
    <row r="319">
      <c r="A319" s="153"/>
      <c r="B319" s="153"/>
      <c r="C319" s="153"/>
      <c r="D319" s="153"/>
    </row>
    <row r="320">
      <c r="A320" s="153"/>
      <c r="B320" s="153"/>
      <c r="C320" s="153"/>
      <c r="D320" s="153"/>
    </row>
    <row r="321">
      <c r="A321" s="153"/>
      <c r="B321" s="153"/>
      <c r="C321" s="153"/>
      <c r="D321" s="153"/>
    </row>
    <row r="322">
      <c r="A322" s="153"/>
      <c r="B322" s="153"/>
      <c r="C322" s="153"/>
      <c r="D322" s="153"/>
    </row>
    <row r="323">
      <c r="A323" s="153"/>
      <c r="B323" s="153"/>
      <c r="C323" s="153"/>
      <c r="D323" s="153"/>
    </row>
    <row r="324">
      <c r="A324" s="153"/>
      <c r="B324" s="153"/>
      <c r="C324" s="153"/>
      <c r="D324" s="153"/>
    </row>
    <row r="325">
      <c r="A325" s="153"/>
      <c r="B325" s="153"/>
      <c r="C325" s="153"/>
      <c r="D325" s="153"/>
    </row>
    <row r="326">
      <c r="A326" s="153"/>
      <c r="B326" s="153"/>
      <c r="C326" s="153"/>
      <c r="D326" s="153"/>
    </row>
    <row r="327">
      <c r="A327" s="153"/>
      <c r="B327" s="153"/>
      <c r="C327" s="153"/>
      <c r="D327" s="153"/>
    </row>
    <row r="328">
      <c r="A328" s="153"/>
      <c r="B328" s="153"/>
      <c r="C328" s="153"/>
      <c r="D328" s="153"/>
    </row>
    <row r="329">
      <c r="A329" s="153"/>
      <c r="B329" s="153"/>
      <c r="C329" s="153"/>
      <c r="D329" s="153"/>
    </row>
    <row r="330">
      <c r="A330" s="153"/>
      <c r="B330" s="153"/>
      <c r="C330" s="153"/>
      <c r="D330" s="153"/>
    </row>
    <row r="331">
      <c r="A331" s="153"/>
      <c r="B331" s="153"/>
      <c r="C331" s="153"/>
      <c r="D331" s="153"/>
    </row>
    <row r="332">
      <c r="A332" s="153"/>
      <c r="B332" s="153"/>
      <c r="C332" s="153"/>
      <c r="D332" s="153"/>
    </row>
    <row r="333">
      <c r="A333" s="153"/>
      <c r="B333" s="153"/>
      <c r="C333" s="153"/>
      <c r="D333" s="153"/>
    </row>
    <row r="334">
      <c r="A334" s="153"/>
      <c r="B334" s="153"/>
      <c r="C334" s="153"/>
      <c r="D334" s="153"/>
    </row>
    <row r="335">
      <c r="A335" s="153"/>
      <c r="B335" s="153"/>
      <c r="C335" s="153"/>
      <c r="D335" s="153"/>
    </row>
    <row r="336">
      <c r="A336" s="153"/>
      <c r="B336" s="153"/>
      <c r="C336" s="153"/>
      <c r="D336" s="153"/>
    </row>
    <row r="337">
      <c r="A337" s="153"/>
      <c r="B337" s="153"/>
      <c r="C337" s="153"/>
      <c r="D337" s="153"/>
    </row>
    <row r="338">
      <c r="A338" s="153"/>
      <c r="B338" s="153"/>
      <c r="C338" s="153"/>
      <c r="D338" s="153"/>
    </row>
    <row r="339">
      <c r="A339" s="153"/>
      <c r="B339" s="153"/>
      <c r="C339" s="153"/>
      <c r="D339" s="153"/>
    </row>
    <row r="340">
      <c r="A340" s="153"/>
      <c r="B340" s="153"/>
      <c r="C340" s="153"/>
      <c r="D340" s="153"/>
    </row>
    <row r="341">
      <c r="A341" s="153"/>
      <c r="B341" s="153"/>
      <c r="C341" s="153"/>
      <c r="D341" s="153"/>
    </row>
    <row r="342">
      <c r="A342" s="153"/>
      <c r="B342" s="153"/>
      <c r="C342" s="153"/>
      <c r="D342" s="153"/>
    </row>
    <row r="343">
      <c r="A343" s="153"/>
      <c r="B343" s="153"/>
      <c r="C343" s="153"/>
      <c r="D343" s="153"/>
    </row>
    <row r="344">
      <c r="A344" s="153"/>
      <c r="B344" s="153"/>
      <c r="C344" s="153"/>
      <c r="D344" s="153"/>
    </row>
    <row r="345">
      <c r="A345" s="153"/>
      <c r="B345" s="153"/>
      <c r="C345" s="153"/>
      <c r="D345" s="153"/>
    </row>
    <row r="346">
      <c r="A346" s="153"/>
      <c r="B346" s="153"/>
      <c r="C346" s="153"/>
      <c r="D346" s="153"/>
    </row>
    <row r="347">
      <c r="A347" s="153"/>
      <c r="B347" s="153"/>
      <c r="C347" s="153"/>
      <c r="D347" s="153"/>
    </row>
    <row r="348">
      <c r="A348" s="153"/>
      <c r="B348" s="153"/>
      <c r="C348" s="153"/>
      <c r="D348" s="153"/>
    </row>
    <row r="349">
      <c r="A349" s="153"/>
      <c r="B349" s="153"/>
      <c r="C349" s="153"/>
      <c r="D349" s="153"/>
    </row>
    <row r="350">
      <c r="A350" s="153"/>
      <c r="B350" s="153"/>
      <c r="C350" s="153"/>
      <c r="D350" s="153"/>
    </row>
    <row r="351">
      <c r="A351" s="153"/>
      <c r="B351" s="153"/>
      <c r="C351" s="153"/>
      <c r="D351" s="153"/>
    </row>
    <row r="352">
      <c r="A352" s="153"/>
      <c r="B352" s="153"/>
      <c r="C352" s="153"/>
      <c r="D352" s="153"/>
    </row>
    <row r="353">
      <c r="A353" s="153"/>
      <c r="B353" s="153"/>
      <c r="C353" s="153"/>
      <c r="D353" s="153"/>
    </row>
    <row r="354">
      <c r="A354" s="153"/>
      <c r="B354" s="153"/>
      <c r="C354" s="153"/>
      <c r="D354" s="153"/>
    </row>
    <row r="355">
      <c r="A355" s="153"/>
      <c r="B355" s="153"/>
      <c r="C355" s="153"/>
      <c r="D355" s="153"/>
    </row>
    <row r="356">
      <c r="A356" s="153"/>
      <c r="B356" s="153"/>
      <c r="C356" s="153"/>
      <c r="D356" s="153"/>
    </row>
    <row r="357">
      <c r="A357" s="153"/>
      <c r="B357" s="153"/>
      <c r="C357" s="153"/>
      <c r="D357" s="153"/>
    </row>
    <row r="358">
      <c r="A358" s="153"/>
      <c r="B358" s="153"/>
      <c r="C358" s="153"/>
      <c r="D358" s="153"/>
    </row>
    <row r="359">
      <c r="A359" s="153"/>
      <c r="B359" s="153"/>
      <c r="C359" s="153"/>
      <c r="D359" s="153"/>
    </row>
    <row r="360">
      <c r="A360" s="153"/>
      <c r="B360" s="153"/>
      <c r="C360" s="153"/>
      <c r="D360" s="153"/>
    </row>
    <row r="361">
      <c r="A361" s="153"/>
      <c r="B361" s="153"/>
      <c r="C361" s="153"/>
      <c r="D361" s="153"/>
    </row>
    <row r="362">
      <c r="A362" s="153"/>
      <c r="B362" s="153"/>
      <c r="C362" s="153"/>
      <c r="D362" s="153"/>
    </row>
    <row r="363">
      <c r="A363" s="153"/>
      <c r="B363" s="153"/>
      <c r="C363" s="153"/>
      <c r="D363" s="153"/>
    </row>
    <row r="364">
      <c r="A364" s="153"/>
      <c r="B364" s="153"/>
      <c r="C364" s="153"/>
      <c r="D364" s="153"/>
    </row>
    <row r="365">
      <c r="A365" s="153"/>
      <c r="B365" s="153"/>
      <c r="C365" s="153"/>
      <c r="D365" s="153"/>
    </row>
    <row r="366">
      <c r="A366" s="153"/>
      <c r="B366" s="153"/>
      <c r="C366" s="153"/>
      <c r="D366" s="153"/>
    </row>
    <row r="367">
      <c r="A367" s="153"/>
      <c r="B367" s="153"/>
      <c r="C367" s="153"/>
      <c r="D367" s="153"/>
    </row>
    <row r="368">
      <c r="A368" s="153"/>
      <c r="B368" s="153"/>
      <c r="C368" s="153"/>
      <c r="D368" s="153"/>
    </row>
    <row r="369">
      <c r="A369" s="153"/>
      <c r="B369" s="153"/>
      <c r="C369" s="153"/>
      <c r="D369" s="153"/>
    </row>
    <row r="370">
      <c r="A370" s="153"/>
      <c r="B370" s="153"/>
      <c r="C370" s="153"/>
      <c r="D370" s="153"/>
    </row>
    <row r="371">
      <c r="A371" s="153"/>
      <c r="B371" s="153"/>
      <c r="C371" s="153"/>
      <c r="D371" s="153"/>
    </row>
    <row r="372">
      <c r="A372" s="153"/>
      <c r="B372" s="153"/>
      <c r="C372" s="153"/>
      <c r="D372" s="153"/>
    </row>
    <row r="373">
      <c r="A373" s="153"/>
      <c r="B373" s="153"/>
      <c r="C373" s="153"/>
      <c r="D373" s="153"/>
    </row>
    <row r="374">
      <c r="A374" s="153"/>
      <c r="B374" s="153"/>
      <c r="C374" s="153"/>
      <c r="D374" s="153"/>
    </row>
    <row r="375">
      <c r="A375" s="153"/>
      <c r="B375" s="153"/>
      <c r="C375" s="153"/>
      <c r="D375" s="153"/>
    </row>
    <row r="376">
      <c r="A376" s="153"/>
      <c r="B376" s="153"/>
      <c r="C376" s="153"/>
      <c r="D376" s="153"/>
    </row>
    <row r="377">
      <c r="A377" s="153"/>
      <c r="B377" s="153"/>
      <c r="C377" s="153"/>
      <c r="D377" s="153"/>
    </row>
    <row r="378">
      <c r="A378" s="153"/>
      <c r="B378" s="153"/>
      <c r="C378" s="153"/>
      <c r="D378" s="153"/>
    </row>
    <row r="379">
      <c r="A379" s="153"/>
      <c r="B379" s="153"/>
      <c r="C379" s="153"/>
      <c r="D379" s="153"/>
    </row>
    <row r="380">
      <c r="A380" s="153"/>
      <c r="B380" s="153"/>
      <c r="C380" s="153"/>
      <c r="D380" s="153"/>
    </row>
    <row r="381">
      <c r="A381" s="153"/>
      <c r="B381" s="153"/>
      <c r="C381" s="153"/>
      <c r="D381" s="153"/>
    </row>
    <row r="382">
      <c r="A382" s="153"/>
      <c r="B382" s="153"/>
      <c r="C382" s="153"/>
      <c r="D382" s="153"/>
    </row>
    <row r="383">
      <c r="A383" s="153"/>
      <c r="B383" s="153"/>
      <c r="C383" s="153"/>
      <c r="D383" s="153"/>
    </row>
    <row r="384">
      <c r="A384" s="153"/>
      <c r="B384" s="153"/>
      <c r="C384" s="153"/>
      <c r="D384" s="153"/>
    </row>
    <row r="385">
      <c r="A385" s="153"/>
      <c r="B385" s="153"/>
      <c r="C385" s="153"/>
      <c r="D385" s="153"/>
    </row>
    <row r="386">
      <c r="A386" s="153"/>
      <c r="B386" s="153"/>
      <c r="C386" s="153"/>
      <c r="D386" s="153"/>
    </row>
    <row r="387">
      <c r="A387" s="153"/>
      <c r="B387" s="153"/>
      <c r="C387" s="153"/>
      <c r="D387" s="153"/>
    </row>
    <row r="388">
      <c r="A388" s="153"/>
      <c r="B388" s="153"/>
      <c r="C388" s="153"/>
      <c r="D388" s="153"/>
    </row>
    <row r="389">
      <c r="A389" s="153"/>
      <c r="B389" s="153"/>
      <c r="C389" s="153"/>
      <c r="D389" s="153"/>
    </row>
    <row r="390">
      <c r="A390" s="153"/>
      <c r="B390" s="153"/>
      <c r="C390" s="153"/>
      <c r="D390" s="153"/>
    </row>
    <row r="391">
      <c r="A391" s="153"/>
      <c r="B391" s="153"/>
      <c r="C391" s="153"/>
      <c r="D391" s="153"/>
    </row>
    <row r="392">
      <c r="A392" s="153"/>
      <c r="B392" s="153"/>
      <c r="C392" s="153"/>
      <c r="D392" s="153"/>
    </row>
    <row r="393">
      <c r="A393" s="153"/>
      <c r="B393" s="153"/>
      <c r="C393" s="153"/>
      <c r="D393" s="153"/>
    </row>
    <row r="394">
      <c r="A394" s="153"/>
      <c r="B394" s="153"/>
      <c r="C394" s="153"/>
      <c r="D394" s="153"/>
    </row>
    <row r="395">
      <c r="A395" s="153"/>
      <c r="B395" s="153"/>
      <c r="C395" s="153"/>
      <c r="D395" s="153"/>
    </row>
    <row r="396">
      <c r="A396" s="153"/>
      <c r="B396" s="153"/>
      <c r="C396" s="153"/>
      <c r="D396" s="153"/>
    </row>
    <row r="397">
      <c r="A397" s="153"/>
      <c r="B397" s="153"/>
      <c r="C397" s="153"/>
      <c r="D397" s="153"/>
    </row>
    <row r="398">
      <c r="A398" s="153"/>
      <c r="B398" s="153"/>
      <c r="C398" s="153"/>
      <c r="D398" s="153"/>
    </row>
    <row r="399">
      <c r="A399" s="153"/>
      <c r="B399" s="153"/>
      <c r="C399" s="153"/>
      <c r="D399" s="153"/>
    </row>
    <row r="400">
      <c r="A400" s="153"/>
      <c r="B400" s="153"/>
      <c r="C400" s="153"/>
      <c r="D400" s="153"/>
    </row>
    <row r="401">
      <c r="A401" s="153"/>
      <c r="B401" s="153"/>
      <c r="C401" s="153"/>
      <c r="D401" s="153"/>
    </row>
    <row r="402">
      <c r="A402" s="153"/>
      <c r="B402" s="153"/>
      <c r="C402" s="153"/>
      <c r="D402" s="153"/>
    </row>
    <row r="403">
      <c r="A403" s="153"/>
      <c r="B403" s="153"/>
      <c r="C403" s="153"/>
      <c r="D403" s="153"/>
    </row>
    <row r="404">
      <c r="A404" s="153"/>
      <c r="B404" s="153"/>
      <c r="C404" s="153"/>
      <c r="D404" s="153"/>
    </row>
    <row r="405">
      <c r="A405" s="153"/>
      <c r="B405" s="153"/>
      <c r="C405" s="153"/>
      <c r="D405" s="153"/>
    </row>
    <row r="406">
      <c r="A406" s="153"/>
      <c r="B406" s="153"/>
      <c r="C406" s="153"/>
      <c r="D406" s="153"/>
    </row>
    <row r="407">
      <c r="A407" s="153"/>
      <c r="B407" s="153"/>
      <c r="C407" s="153"/>
      <c r="D407" s="153"/>
    </row>
    <row r="408">
      <c r="A408" s="153"/>
      <c r="B408" s="153"/>
      <c r="C408" s="153"/>
      <c r="D408" s="153"/>
    </row>
    <row r="409">
      <c r="A409" s="153"/>
      <c r="B409" s="153"/>
      <c r="C409" s="153"/>
      <c r="D409" s="153"/>
    </row>
    <row r="410">
      <c r="A410" s="153"/>
      <c r="B410" s="153"/>
      <c r="C410" s="153"/>
      <c r="D410" s="153"/>
    </row>
    <row r="411">
      <c r="A411" s="153"/>
      <c r="B411" s="153"/>
      <c r="C411" s="153"/>
      <c r="D411" s="153"/>
    </row>
    <row r="412">
      <c r="A412" s="153"/>
      <c r="B412" s="153"/>
      <c r="C412" s="153"/>
      <c r="D412" s="153"/>
    </row>
    <row r="413">
      <c r="A413" s="153"/>
      <c r="B413" s="153"/>
      <c r="C413" s="153"/>
      <c r="D413" s="153"/>
    </row>
    <row r="414">
      <c r="A414" s="153"/>
      <c r="B414" s="153"/>
      <c r="C414" s="153"/>
      <c r="D414" s="153"/>
    </row>
    <row r="415">
      <c r="A415" s="153"/>
      <c r="B415" s="153"/>
      <c r="C415" s="153"/>
      <c r="D415" s="153"/>
    </row>
    <row r="416">
      <c r="A416" s="153"/>
      <c r="B416" s="153"/>
      <c r="C416" s="153"/>
      <c r="D416" s="153"/>
    </row>
    <row r="417">
      <c r="A417" s="153"/>
      <c r="B417" s="153"/>
      <c r="C417" s="153"/>
      <c r="D417" s="153"/>
    </row>
    <row r="418">
      <c r="A418" s="153"/>
      <c r="B418" s="153"/>
      <c r="C418" s="153"/>
      <c r="D418" s="153"/>
    </row>
    <row r="419">
      <c r="A419" s="153"/>
      <c r="B419" s="153"/>
      <c r="C419" s="153"/>
      <c r="D419" s="153"/>
    </row>
    <row r="420">
      <c r="A420" s="153"/>
      <c r="B420" s="153"/>
      <c r="C420" s="153"/>
      <c r="D420" s="153"/>
    </row>
    <row r="421">
      <c r="A421" s="153"/>
      <c r="B421" s="153"/>
      <c r="C421" s="153"/>
      <c r="D421" s="153"/>
    </row>
    <row r="422">
      <c r="A422" s="153"/>
      <c r="B422" s="153"/>
      <c r="C422" s="153"/>
      <c r="D422" s="153"/>
    </row>
    <row r="423">
      <c r="A423" s="153"/>
      <c r="B423" s="153"/>
      <c r="C423" s="153"/>
      <c r="D423" s="153"/>
    </row>
    <row r="424">
      <c r="A424" s="153"/>
      <c r="B424" s="153"/>
      <c r="C424" s="153"/>
      <c r="D424" s="153"/>
    </row>
    <row r="425">
      <c r="A425" s="153"/>
      <c r="B425" s="153"/>
      <c r="C425" s="153"/>
      <c r="D425" s="153"/>
    </row>
    <row r="426">
      <c r="A426" s="153"/>
      <c r="B426" s="153"/>
      <c r="C426" s="153"/>
      <c r="D426" s="153"/>
    </row>
    <row r="427">
      <c r="A427" s="153"/>
      <c r="B427" s="153"/>
      <c r="C427" s="153"/>
      <c r="D427" s="153"/>
    </row>
    <row r="428">
      <c r="A428" s="153"/>
      <c r="B428" s="153"/>
      <c r="C428" s="153"/>
      <c r="D428" s="153"/>
    </row>
    <row r="429">
      <c r="A429" s="153"/>
      <c r="B429" s="153"/>
      <c r="C429" s="153"/>
      <c r="D429" s="153"/>
    </row>
    <row r="430">
      <c r="A430" s="153"/>
      <c r="B430" s="153"/>
      <c r="C430" s="153"/>
      <c r="D430" s="153"/>
    </row>
    <row r="431">
      <c r="A431" s="153"/>
      <c r="B431" s="153"/>
      <c r="C431" s="153"/>
      <c r="D431" s="153"/>
    </row>
    <row r="432">
      <c r="A432" s="153"/>
      <c r="B432" s="153"/>
      <c r="C432" s="153"/>
      <c r="D432" s="153"/>
    </row>
    <row r="433">
      <c r="A433" s="153"/>
      <c r="B433" s="153"/>
      <c r="C433" s="153"/>
      <c r="D433" s="153"/>
    </row>
    <row r="434">
      <c r="A434" s="153"/>
      <c r="B434" s="153"/>
      <c r="C434" s="153"/>
      <c r="D434" s="153"/>
    </row>
    <row r="435">
      <c r="A435" s="153"/>
      <c r="B435" s="153"/>
      <c r="C435" s="153"/>
      <c r="D435" s="153"/>
    </row>
    <row r="436">
      <c r="A436" s="153"/>
      <c r="B436" s="153"/>
      <c r="C436" s="153"/>
      <c r="D436" s="153"/>
    </row>
    <row r="437">
      <c r="A437" s="153"/>
      <c r="B437" s="153"/>
      <c r="C437" s="153"/>
      <c r="D437" s="153"/>
    </row>
    <row r="438">
      <c r="A438" s="153"/>
      <c r="B438" s="153"/>
      <c r="C438" s="153"/>
      <c r="D438" s="153"/>
    </row>
    <row r="439">
      <c r="A439" s="153"/>
      <c r="B439" s="153"/>
      <c r="C439" s="153"/>
      <c r="D439" s="153"/>
    </row>
    <row r="440">
      <c r="A440" s="153"/>
      <c r="B440" s="153"/>
      <c r="C440" s="153"/>
      <c r="D440" s="153"/>
    </row>
    <row r="441">
      <c r="A441" s="153"/>
      <c r="B441" s="153"/>
      <c r="C441" s="153"/>
      <c r="D441" s="153"/>
    </row>
    <row r="442">
      <c r="A442" s="153"/>
      <c r="B442" s="153"/>
      <c r="C442" s="153"/>
      <c r="D442" s="153"/>
    </row>
    <row r="443">
      <c r="A443" s="153"/>
      <c r="B443" s="153"/>
      <c r="C443" s="153"/>
      <c r="D443" s="153"/>
    </row>
    <row r="444">
      <c r="A444" s="153"/>
      <c r="B444" s="153"/>
      <c r="C444" s="153"/>
      <c r="D444" s="153"/>
    </row>
    <row r="445">
      <c r="A445" s="153"/>
      <c r="B445" s="153"/>
      <c r="C445" s="153"/>
      <c r="D445" s="153"/>
    </row>
    <row r="446">
      <c r="A446" s="153"/>
      <c r="B446" s="153"/>
      <c r="C446" s="153"/>
      <c r="D446" s="153"/>
    </row>
    <row r="447">
      <c r="A447" s="153"/>
      <c r="B447" s="153"/>
      <c r="C447" s="153"/>
      <c r="D447" s="153"/>
    </row>
    <row r="448">
      <c r="A448" s="153"/>
      <c r="B448" s="153"/>
      <c r="C448" s="153"/>
      <c r="D448" s="153"/>
    </row>
    <row r="449">
      <c r="A449" s="153"/>
      <c r="B449" s="153"/>
      <c r="C449" s="153"/>
      <c r="D449" s="153"/>
    </row>
    <row r="450">
      <c r="A450" s="153"/>
      <c r="B450" s="153"/>
      <c r="C450" s="153"/>
      <c r="D450" s="153"/>
    </row>
    <row r="451">
      <c r="A451" s="153"/>
      <c r="B451" s="153"/>
      <c r="C451" s="153"/>
      <c r="D451" s="153"/>
    </row>
    <row r="452">
      <c r="A452" s="153"/>
      <c r="B452" s="153"/>
      <c r="C452" s="153"/>
      <c r="D452" s="153"/>
    </row>
    <row r="453">
      <c r="A453" s="153"/>
      <c r="B453" s="153"/>
      <c r="C453" s="153"/>
      <c r="D453" s="153"/>
    </row>
    <row r="454">
      <c r="A454" s="153"/>
      <c r="B454" s="153"/>
      <c r="C454" s="153"/>
      <c r="D454" s="153"/>
    </row>
    <row r="455">
      <c r="A455" s="153"/>
      <c r="B455" s="153"/>
      <c r="C455" s="153"/>
      <c r="D455" s="153"/>
    </row>
    <row r="456">
      <c r="A456" s="153"/>
      <c r="B456" s="153"/>
      <c r="C456" s="153"/>
      <c r="D456" s="153"/>
    </row>
    <row r="457">
      <c r="A457" s="153"/>
      <c r="B457" s="153"/>
      <c r="C457" s="153"/>
      <c r="D457" s="153"/>
    </row>
    <row r="458">
      <c r="A458" s="153"/>
      <c r="B458" s="153"/>
      <c r="C458" s="153"/>
      <c r="D458" s="153"/>
    </row>
    <row r="459">
      <c r="A459" s="153"/>
      <c r="B459" s="153"/>
      <c r="C459" s="153"/>
      <c r="D459" s="153"/>
    </row>
    <row r="460">
      <c r="A460" s="153"/>
      <c r="B460" s="153"/>
      <c r="C460" s="153"/>
      <c r="D460" s="153"/>
    </row>
    <row r="461">
      <c r="A461" s="153"/>
      <c r="B461" s="153"/>
      <c r="C461" s="153"/>
      <c r="D461" s="153"/>
    </row>
    <row r="462">
      <c r="A462" s="153"/>
      <c r="B462" s="153"/>
      <c r="C462" s="153"/>
      <c r="D462" s="153"/>
    </row>
    <row r="463">
      <c r="A463" s="153"/>
      <c r="B463" s="153"/>
      <c r="C463" s="153"/>
      <c r="D463" s="153"/>
    </row>
    <row r="464">
      <c r="A464" s="153"/>
      <c r="B464" s="153"/>
      <c r="C464" s="153"/>
      <c r="D464" s="153"/>
    </row>
    <row r="465">
      <c r="A465" s="153"/>
      <c r="B465" s="153"/>
      <c r="C465" s="153"/>
      <c r="D465" s="153"/>
    </row>
    <row r="466">
      <c r="A466" s="153"/>
      <c r="B466" s="153"/>
      <c r="C466" s="153"/>
      <c r="D466" s="153"/>
    </row>
    <row r="467">
      <c r="A467" s="153"/>
      <c r="B467" s="153"/>
      <c r="C467" s="153"/>
      <c r="D467" s="153"/>
    </row>
    <row r="468">
      <c r="A468" s="153"/>
      <c r="B468" s="153"/>
      <c r="C468" s="153"/>
      <c r="D468" s="153"/>
    </row>
    <row r="469">
      <c r="A469" s="153"/>
      <c r="B469" s="153"/>
      <c r="C469" s="153"/>
      <c r="D469" s="153"/>
    </row>
    <row r="470">
      <c r="A470" s="153"/>
      <c r="B470" s="153"/>
      <c r="C470" s="153"/>
      <c r="D470" s="153"/>
    </row>
    <row r="471">
      <c r="A471" s="153"/>
      <c r="B471" s="153"/>
      <c r="C471" s="153"/>
      <c r="D471" s="153"/>
    </row>
    <row r="472">
      <c r="A472" s="153"/>
      <c r="B472" s="153"/>
      <c r="C472" s="153"/>
      <c r="D472" s="153"/>
    </row>
    <row r="473">
      <c r="A473" s="153"/>
      <c r="B473" s="153"/>
      <c r="C473" s="153"/>
      <c r="D473" s="153"/>
    </row>
    <row r="474">
      <c r="A474" s="153"/>
      <c r="B474" s="153"/>
      <c r="C474" s="153"/>
      <c r="D474" s="153"/>
    </row>
    <row r="475">
      <c r="A475" s="153"/>
      <c r="B475" s="153"/>
      <c r="C475" s="153"/>
      <c r="D475" s="153"/>
    </row>
    <row r="476">
      <c r="A476" s="153"/>
      <c r="B476" s="153"/>
      <c r="C476" s="153"/>
      <c r="D476" s="153"/>
    </row>
    <row r="477">
      <c r="A477" s="153"/>
      <c r="B477" s="153"/>
      <c r="C477" s="153"/>
      <c r="D477" s="153"/>
    </row>
    <row r="478">
      <c r="A478" s="153"/>
      <c r="B478" s="153"/>
      <c r="C478" s="153"/>
      <c r="D478" s="153"/>
    </row>
    <row r="479">
      <c r="A479" s="153"/>
      <c r="B479" s="153"/>
      <c r="C479" s="153"/>
      <c r="D479" s="153"/>
    </row>
    <row r="480">
      <c r="A480" s="153"/>
      <c r="B480" s="153"/>
      <c r="C480" s="153"/>
      <c r="D480" s="153"/>
    </row>
    <row r="481">
      <c r="A481" s="153"/>
      <c r="B481" s="153"/>
      <c r="C481" s="153"/>
      <c r="D481" s="153"/>
    </row>
    <row r="482">
      <c r="A482" s="153"/>
      <c r="B482" s="153"/>
      <c r="C482" s="153"/>
      <c r="D482" s="153"/>
    </row>
    <row r="483">
      <c r="A483" s="153"/>
      <c r="B483" s="153"/>
      <c r="C483" s="153"/>
      <c r="D483" s="153"/>
    </row>
    <row r="484">
      <c r="A484" s="153"/>
      <c r="B484" s="153"/>
      <c r="C484" s="153"/>
      <c r="D484" s="153"/>
    </row>
    <row r="485">
      <c r="A485" s="153"/>
      <c r="B485" s="153"/>
      <c r="C485" s="153"/>
      <c r="D485" s="153"/>
    </row>
    <row r="486">
      <c r="A486" s="153"/>
      <c r="B486" s="153"/>
      <c r="C486" s="153"/>
      <c r="D486" s="153"/>
    </row>
    <row r="487">
      <c r="A487" s="153"/>
      <c r="B487" s="153"/>
      <c r="C487" s="153"/>
      <c r="D487" s="153"/>
    </row>
    <row r="488">
      <c r="A488" s="153"/>
      <c r="B488" s="153"/>
      <c r="C488" s="153"/>
      <c r="D488" s="153"/>
    </row>
    <row r="489">
      <c r="A489" s="153"/>
      <c r="B489" s="153"/>
      <c r="C489" s="153"/>
      <c r="D489" s="153"/>
    </row>
    <row r="490">
      <c r="A490" s="153"/>
      <c r="B490" s="153"/>
      <c r="C490" s="153"/>
      <c r="D490" s="153"/>
    </row>
    <row r="491">
      <c r="A491" s="153"/>
      <c r="B491" s="153"/>
      <c r="C491" s="153"/>
      <c r="D491" s="153"/>
    </row>
    <row r="492">
      <c r="A492" s="153"/>
      <c r="B492" s="153"/>
      <c r="C492" s="153"/>
      <c r="D492" s="153"/>
    </row>
    <row r="493">
      <c r="A493" s="153"/>
      <c r="B493" s="153"/>
      <c r="C493" s="153"/>
      <c r="D493" s="153"/>
    </row>
    <row r="494">
      <c r="A494" s="153"/>
      <c r="B494" s="153"/>
      <c r="C494" s="153"/>
      <c r="D494" s="153"/>
    </row>
    <row r="495">
      <c r="A495" s="153"/>
      <c r="B495" s="153"/>
      <c r="C495" s="153"/>
      <c r="D495" s="153"/>
    </row>
    <row r="496">
      <c r="A496" s="153"/>
      <c r="B496" s="153"/>
      <c r="C496" s="153"/>
      <c r="D496" s="153"/>
    </row>
    <row r="497">
      <c r="A497" s="153"/>
      <c r="B497" s="153"/>
      <c r="C497" s="153"/>
      <c r="D497" s="153"/>
    </row>
    <row r="498">
      <c r="A498" s="153"/>
      <c r="B498" s="153"/>
      <c r="C498" s="153"/>
      <c r="D498" s="153"/>
    </row>
    <row r="499">
      <c r="A499" s="153"/>
      <c r="B499" s="153"/>
      <c r="C499" s="153"/>
      <c r="D499" s="153"/>
    </row>
    <row r="500">
      <c r="A500" s="153"/>
      <c r="B500" s="153"/>
      <c r="C500" s="153"/>
      <c r="D500" s="153"/>
    </row>
    <row r="501">
      <c r="A501" s="153"/>
      <c r="B501" s="153"/>
      <c r="C501" s="153"/>
      <c r="D501" s="153"/>
    </row>
    <row r="502">
      <c r="A502" s="153"/>
      <c r="B502" s="153"/>
      <c r="C502" s="153"/>
      <c r="D502" s="153"/>
    </row>
    <row r="503">
      <c r="A503" s="153"/>
      <c r="B503" s="153"/>
      <c r="C503" s="153"/>
      <c r="D503" s="153"/>
    </row>
    <row r="504">
      <c r="A504" s="153"/>
      <c r="B504" s="153"/>
      <c r="C504" s="153"/>
      <c r="D504" s="153"/>
    </row>
    <row r="505">
      <c r="A505" s="153"/>
      <c r="B505" s="153"/>
      <c r="C505" s="153"/>
      <c r="D505" s="153"/>
    </row>
    <row r="506">
      <c r="A506" s="153"/>
      <c r="B506" s="153"/>
      <c r="C506" s="153"/>
      <c r="D506" s="153"/>
    </row>
    <row r="507">
      <c r="A507" s="153"/>
      <c r="B507" s="153"/>
      <c r="C507" s="153"/>
      <c r="D507" s="153"/>
    </row>
    <row r="508">
      <c r="A508" s="153"/>
      <c r="B508" s="153"/>
      <c r="C508" s="153"/>
      <c r="D508" s="153"/>
    </row>
    <row r="509">
      <c r="A509" s="153"/>
      <c r="B509" s="153"/>
      <c r="C509" s="153"/>
      <c r="D509" s="153"/>
    </row>
    <row r="510">
      <c r="A510" s="153"/>
      <c r="B510" s="153"/>
      <c r="C510" s="153"/>
      <c r="D510" s="153"/>
    </row>
    <row r="511">
      <c r="A511" s="153"/>
      <c r="B511" s="153"/>
      <c r="C511" s="153"/>
      <c r="D511" s="153"/>
    </row>
    <row r="512">
      <c r="A512" s="153"/>
      <c r="B512" s="153"/>
      <c r="C512" s="153"/>
      <c r="D512" s="153"/>
    </row>
    <row r="513">
      <c r="A513" s="153"/>
      <c r="B513" s="153"/>
      <c r="C513" s="153"/>
      <c r="D513" s="153"/>
    </row>
    <row r="514">
      <c r="A514" s="153"/>
      <c r="B514" s="153"/>
      <c r="C514" s="153"/>
      <c r="D514" s="153"/>
    </row>
    <row r="515">
      <c r="A515" s="153"/>
      <c r="B515" s="153"/>
      <c r="C515" s="153"/>
      <c r="D515" s="153"/>
    </row>
    <row r="516">
      <c r="A516" s="153"/>
      <c r="B516" s="153"/>
      <c r="C516" s="153"/>
      <c r="D516" s="153"/>
    </row>
    <row r="517">
      <c r="A517" s="153"/>
      <c r="B517" s="153"/>
      <c r="C517" s="153"/>
      <c r="D517" s="153"/>
    </row>
    <row r="518">
      <c r="A518" s="153"/>
      <c r="B518" s="153"/>
      <c r="C518" s="153"/>
      <c r="D518" s="153"/>
    </row>
    <row r="519">
      <c r="A519" s="153"/>
      <c r="B519" s="153"/>
      <c r="C519" s="153"/>
      <c r="D519" s="153"/>
    </row>
    <row r="520">
      <c r="A520" s="153"/>
      <c r="B520" s="153"/>
      <c r="C520" s="153"/>
      <c r="D520" s="153"/>
    </row>
    <row r="521">
      <c r="A521" s="153"/>
      <c r="B521" s="153"/>
      <c r="C521" s="153"/>
      <c r="D521" s="153"/>
    </row>
    <row r="522">
      <c r="A522" s="153"/>
      <c r="B522" s="153"/>
      <c r="C522" s="153"/>
      <c r="D522" s="153"/>
    </row>
    <row r="523">
      <c r="A523" s="153"/>
      <c r="B523" s="153"/>
      <c r="C523" s="153"/>
      <c r="D523" s="153"/>
    </row>
    <row r="524">
      <c r="A524" s="153"/>
      <c r="B524" s="153"/>
      <c r="C524" s="153"/>
      <c r="D524" s="153"/>
    </row>
    <row r="525">
      <c r="A525" s="153"/>
      <c r="B525" s="153"/>
      <c r="C525" s="153"/>
      <c r="D525" s="153"/>
    </row>
    <row r="526">
      <c r="A526" s="153"/>
      <c r="B526" s="153"/>
      <c r="C526" s="153"/>
      <c r="D526" s="153"/>
    </row>
    <row r="527">
      <c r="A527" s="153"/>
      <c r="B527" s="153"/>
      <c r="C527" s="153"/>
      <c r="D527" s="153"/>
    </row>
    <row r="528">
      <c r="A528" s="153"/>
      <c r="B528" s="153"/>
      <c r="C528" s="153"/>
      <c r="D528" s="153"/>
    </row>
    <row r="529">
      <c r="A529" s="153"/>
      <c r="B529" s="153"/>
      <c r="C529" s="153"/>
      <c r="D529" s="153"/>
    </row>
    <row r="530">
      <c r="A530" s="153"/>
      <c r="B530" s="153"/>
      <c r="C530" s="153"/>
      <c r="D530" s="153"/>
    </row>
    <row r="531">
      <c r="A531" s="153"/>
      <c r="B531" s="153"/>
      <c r="C531" s="153"/>
      <c r="D531" s="153"/>
    </row>
    <row r="532">
      <c r="A532" s="153"/>
      <c r="B532" s="153"/>
      <c r="C532" s="153"/>
      <c r="D532" s="153"/>
    </row>
    <row r="533">
      <c r="A533" s="153"/>
      <c r="B533" s="153"/>
      <c r="C533" s="153"/>
      <c r="D533" s="153"/>
    </row>
    <row r="534">
      <c r="A534" s="153"/>
      <c r="B534" s="153"/>
      <c r="C534" s="153"/>
      <c r="D534" s="153"/>
    </row>
    <row r="535">
      <c r="A535" s="153"/>
      <c r="B535" s="153"/>
      <c r="C535" s="153"/>
      <c r="D535" s="153"/>
    </row>
    <row r="536">
      <c r="A536" s="153"/>
      <c r="B536" s="153"/>
      <c r="C536" s="153"/>
      <c r="D536" s="153"/>
    </row>
    <row r="537">
      <c r="A537" s="153"/>
      <c r="B537" s="153"/>
      <c r="C537" s="153"/>
      <c r="D537" s="153"/>
    </row>
    <row r="538">
      <c r="A538" s="153"/>
      <c r="B538" s="153"/>
      <c r="C538" s="153"/>
      <c r="D538" s="153"/>
    </row>
    <row r="539">
      <c r="A539" s="153"/>
      <c r="B539" s="153"/>
      <c r="C539" s="153"/>
      <c r="D539" s="153"/>
    </row>
    <row r="540">
      <c r="A540" s="153"/>
      <c r="B540" s="153"/>
      <c r="C540" s="153"/>
      <c r="D540" s="153"/>
    </row>
    <row r="541">
      <c r="A541" s="153"/>
      <c r="B541" s="153"/>
      <c r="C541" s="153"/>
      <c r="D541" s="153"/>
    </row>
    <row r="542">
      <c r="A542" s="153"/>
      <c r="B542" s="153"/>
      <c r="C542" s="153"/>
      <c r="D542" s="153"/>
    </row>
    <row r="543">
      <c r="A543" s="153"/>
      <c r="B543" s="153"/>
      <c r="C543" s="153"/>
      <c r="D543" s="153"/>
    </row>
    <row r="544">
      <c r="A544" s="153"/>
      <c r="B544" s="153"/>
      <c r="C544" s="153"/>
      <c r="D544" s="153"/>
    </row>
    <row r="545">
      <c r="A545" s="153"/>
      <c r="B545" s="153"/>
      <c r="C545" s="153"/>
      <c r="D545" s="153"/>
    </row>
    <row r="546">
      <c r="A546" s="153"/>
      <c r="B546" s="153"/>
      <c r="C546" s="153"/>
      <c r="D546" s="153"/>
    </row>
    <row r="547">
      <c r="A547" s="153"/>
      <c r="B547" s="153"/>
      <c r="C547" s="153"/>
      <c r="D547" s="153"/>
    </row>
    <row r="548">
      <c r="A548" s="153"/>
      <c r="B548" s="153"/>
      <c r="C548" s="153"/>
      <c r="D548" s="153"/>
    </row>
    <row r="549">
      <c r="A549" s="153"/>
      <c r="B549" s="153"/>
      <c r="C549" s="153"/>
      <c r="D549" s="153"/>
    </row>
    <row r="550">
      <c r="A550" s="153"/>
      <c r="B550" s="153"/>
      <c r="C550" s="153"/>
      <c r="D550" s="153"/>
    </row>
    <row r="551">
      <c r="A551" s="153"/>
      <c r="B551" s="153"/>
      <c r="C551" s="153"/>
      <c r="D551" s="153"/>
    </row>
    <row r="552">
      <c r="A552" s="153"/>
      <c r="B552" s="153"/>
      <c r="C552" s="153"/>
      <c r="D552" s="153"/>
    </row>
    <row r="553">
      <c r="A553" s="153"/>
      <c r="B553" s="153"/>
      <c r="C553" s="153"/>
      <c r="D553" s="153"/>
    </row>
    <row r="554">
      <c r="A554" s="153"/>
      <c r="B554" s="153"/>
      <c r="C554" s="153"/>
      <c r="D554" s="153"/>
    </row>
    <row r="555">
      <c r="A555" s="153"/>
      <c r="B555" s="153"/>
      <c r="C555" s="153"/>
      <c r="D555" s="153"/>
    </row>
    <row r="556">
      <c r="A556" s="153"/>
      <c r="B556" s="153"/>
      <c r="C556" s="153"/>
      <c r="D556" s="153"/>
    </row>
    <row r="557">
      <c r="A557" s="153"/>
      <c r="B557" s="153"/>
      <c r="C557" s="153"/>
      <c r="D557" s="153"/>
    </row>
    <row r="558">
      <c r="A558" s="153"/>
      <c r="B558" s="153"/>
      <c r="C558" s="153"/>
      <c r="D558" s="153"/>
    </row>
    <row r="559">
      <c r="A559" s="153"/>
      <c r="B559" s="153"/>
      <c r="C559" s="153"/>
      <c r="D559" s="153"/>
    </row>
    <row r="560">
      <c r="A560" s="153"/>
      <c r="B560" s="153"/>
      <c r="C560" s="153"/>
      <c r="D560" s="153"/>
    </row>
    <row r="561">
      <c r="A561" s="153"/>
      <c r="B561" s="153"/>
      <c r="C561" s="153"/>
      <c r="D561" s="153"/>
    </row>
    <row r="562">
      <c r="A562" s="153"/>
      <c r="B562" s="153"/>
      <c r="C562" s="153"/>
      <c r="D562" s="153"/>
    </row>
    <row r="563">
      <c r="A563" s="153"/>
      <c r="B563" s="153"/>
      <c r="C563" s="153"/>
      <c r="D563" s="153"/>
    </row>
    <row r="564">
      <c r="A564" s="153"/>
      <c r="B564" s="153"/>
      <c r="C564" s="153"/>
      <c r="D564" s="153"/>
    </row>
    <row r="565">
      <c r="A565" s="153"/>
      <c r="B565" s="153"/>
      <c r="C565" s="153"/>
      <c r="D565" s="153"/>
    </row>
    <row r="566">
      <c r="A566" s="153"/>
      <c r="B566" s="153"/>
      <c r="C566" s="153"/>
      <c r="D566" s="153"/>
    </row>
    <row r="567">
      <c r="A567" s="153"/>
      <c r="B567" s="153"/>
      <c r="C567" s="153"/>
      <c r="D567" s="153"/>
    </row>
    <row r="568">
      <c r="A568" s="153"/>
      <c r="B568" s="153"/>
      <c r="C568" s="153"/>
      <c r="D568" s="153"/>
    </row>
    <row r="569">
      <c r="A569" s="153"/>
      <c r="B569" s="153"/>
      <c r="C569" s="153"/>
      <c r="D569" s="153"/>
    </row>
    <row r="570">
      <c r="A570" s="153"/>
      <c r="B570" s="153"/>
      <c r="C570" s="153"/>
      <c r="D570" s="153"/>
    </row>
    <row r="571">
      <c r="A571" s="153"/>
      <c r="B571" s="153"/>
      <c r="C571" s="153"/>
      <c r="D571" s="153"/>
    </row>
    <row r="572">
      <c r="A572" s="153"/>
      <c r="B572" s="153"/>
      <c r="C572" s="153"/>
      <c r="D572" s="153"/>
    </row>
    <row r="573">
      <c r="A573" s="153"/>
      <c r="B573" s="153"/>
      <c r="C573" s="153"/>
      <c r="D573" s="153"/>
    </row>
    <row r="574">
      <c r="A574" s="153"/>
      <c r="B574" s="153"/>
      <c r="C574" s="153"/>
      <c r="D574" s="153"/>
    </row>
    <row r="575">
      <c r="A575" s="153"/>
      <c r="B575" s="153"/>
      <c r="C575" s="153"/>
      <c r="D575" s="153"/>
    </row>
    <row r="576">
      <c r="A576" s="153"/>
      <c r="B576" s="153"/>
      <c r="C576" s="153"/>
      <c r="D576" s="153"/>
    </row>
    <row r="577">
      <c r="A577" s="153"/>
      <c r="B577" s="153"/>
      <c r="C577" s="153"/>
      <c r="D577" s="153"/>
    </row>
    <row r="578">
      <c r="A578" s="153"/>
      <c r="B578" s="153"/>
      <c r="C578" s="153"/>
      <c r="D578" s="153"/>
    </row>
    <row r="579">
      <c r="A579" s="153"/>
      <c r="B579" s="153"/>
      <c r="C579" s="153"/>
      <c r="D579" s="153"/>
    </row>
    <row r="580">
      <c r="A580" s="153"/>
      <c r="B580" s="153"/>
      <c r="C580" s="153"/>
      <c r="D580" s="153"/>
    </row>
    <row r="581">
      <c r="A581" s="153"/>
      <c r="B581" s="153"/>
      <c r="C581" s="153"/>
      <c r="D581" s="153"/>
    </row>
    <row r="582">
      <c r="A582" s="153"/>
      <c r="B582" s="153"/>
      <c r="C582" s="153"/>
      <c r="D582" s="153"/>
    </row>
    <row r="583">
      <c r="A583" s="153"/>
      <c r="B583" s="153"/>
      <c r="C583" s="153"/>
      <c r="D583" s="153"/>
    </row>
    <row r="584">
      <c r="A584" s="153"/>
      <c r="B584" s="153"/>
      <c r="C584" s="153"/>
      <c r="D584" s="153"/>
    </row>
    <row r="585">
      <c r="A585" s="153"/>
      <c r="B585" s="153"/>
      <c r="C585" s="153"/>
      <c r="D585" s="153"/>
    </row>
    <row r="586">
      <c r="A586" s="153"/>
      <c r="B586" s="153"/>
      <c r="C586" s="153"/>
      <c r="D586" s="153"/>
    </row>
    <row r="587">
      <c r="A587" s="153"/>
      <c r="B587" s="153"/>
      <c r="C587" s="153"/>
      <c r="D587" s="153"/>
    </row>
    <row r="588">
      <c r="A588" s="153"/>
      <c r="B588" s="153"/>
      <c r="C588" s="153"/>
      <c r="D588" s="153"/>
    </row>
    <row r="589">
      <c r="A589" s="153"/>
      <c r="B589" s="153"/>
      <c r="C589" s="153"/>
      <c r="D589" s="153"/>
    </row>
    <row r="590">
      <c r="A590" s="153"/>
      <c r="B590" s="153"/>
      <c r="C590" s="153"/>
      <c r="D590" s="153"/>
    </row>
    <row r="591">
      <c r="A591" s="153"/>
      <c r="B591" s="153"/>
      <c r="C591" s="153"/>
      <c r="D591" s="153"/>
    </row>
    <row r="592">
      <c r="A592" s="153"/>
      <c r="B592" s="153"/>
      <c r="C592" s="153"/>
      <c r="D592" s="153"/>
    </row>
    <row r="593">
      <c r="A593" s="153"/>
      <c r="B593" s="153"/>
      <c r="C593" s="153"/>
      <c r="D593" s="153"/>
    </row>
    <row r="594">
      <c r="A594" s="153"/>
      <c r="B594" s="153"/>
      <c r="C594" s="153"/>
      <c r="D594" s="153"/>
    </row>
    <row r="595">
      <c r="A595" s="153"/>
      <c r="B595" s="153"/>
      <c r="C595" s="153"/>
      <c r="D595" s="153"/>
    </row>
    <row r="596">
      <c r="A596" s="153"/>
      <c r="B596" s="153"/>
      <c r="C596" s="153"/>
      <c r="D596" s="153"/>
    </row>
    <row r="597">
      <c r="A597" s="153"/>
      <c r="B597" s="153"/>
      <c r="C597" s="153"/>
      <c r="D597" s="153"/>
    </row>
    <row r="598">
      <c r="A598" s="153"/>
      <c r="B598" s="153"/>
      <c r="C598" s="153"/>
      <c r="D598" s="153"/>
    </row>
    <row r="599">
      <c r="A599" s="153"/>
      <c r="B599" s="153"/>
      <c r="C599" s="153"/>
      <c r="D599" s="153"/>
    </row>
    <row r="600">
      <c r="A600" s="153"/>
      <c r="B600" s="153"/>
      <c r="C600" s="153"/>
      <c r="D600" s="153"/>
    </row>
    <row r="601">
      <c r="A601" s="153"/>
      <c r="B601" s="153"/>
      <c r="C601" s="153"/>
      <c r="D601" s="153"/>
    </row>
    <row r="602">
      <c r="A602" s="153"/>
      <c r="B602" s="153"/>
      <c r="C602" s="153"/>
      <c r="D602" s="153"/>
    </row>
    <row r="603">
      <c r="A603" s="153"/>
      <c r="B603" s="153"/>
      <c r="C603" s="153"/>
      <c r="D603" s="153"/>
    </row>
    <row r="604">
      <c r="A604" s="153"/>
      <c r="B604" s="153"/>
      <c r="C604" s="153"/>
      <c r="D604" s="153"/>
    </row>
    <row r="605">
      <c r="A605" s="153"/>
      <c r="B605" s="153"/>
      <c r="C605" s="153"/>
      <c r="D605" s="153"/>
    </row>
    <row r="606">
      <c r="A606" s="153"/>
      <c r="B606" s="153"/>
      <c r="C606" s="153"/>
      <c r="D606" s="153"/>
    </row>
    <row r="607">
      <c r="A607" s="153"/>
      <c r="B607" s="153"/>
      <c r="C607" s="153"/>
      <c r="D607" s="153"/>
    </row>
    <row r="608">
      <c r="A608" s="153"/>
      <c r="B608" s="153"/>
      <c r="C608" s="153"/>
      <c r="D608" s="153"/>
    </row>
    <row r="609">
      <c r="A609" s="153"/>
      <c r="B609" s="153"/>
      <c r="C609" s="153"/>
      <c r="D609" s="153"/>
    </row>
    <row r="610">
      <c r="A610" s="153"/>
      <c r="B610" s="153"/>
      <c r="C610" s="153"/>
      <c r="D610" s="153"/>
    </row>
    <row r="611">
      <c r="A611" s="153"/>
      <c r="B611" s="153"/>
      <c r="C611" s="153"/>
      <c r="D611" s="153"/>
    </row>
    <row r="612">
      <c r="A612" s="153"/>
      <c r="B612" s="153"/>
      <c r="C612" s="153"/>
      <c r="D612" s="153"/>
    </row>
    <row r="613">
      <c r="A613" s="153"/>
      <c r="B613" s="153"/>
      <c r="C613" s="153"/>
      <c r="D613" s="153"/>
    </row>
    <row r="614">
      <c r="A614" s="153"/>
      <c r="B614" s="153"/>
      <c r="C614" s="153"/>
      <c r="D614" s="153"/>
    </row>
    <row r="615">
      <c r="A615" s="153"/>
      <c r="B615" s="153"/>
      <c r="C615" s="153"/>
      <c r="D615" s="153"/>
    </row>
    <row r="616">
      <c r="A616" s="153"/>
      <c r="B616" s="153"/>
      <c r="C616" s="153"/>
      <c r="D616" s="153"/>
    </row>
    <row r="617">
      <c r="A617" s="153"/>
      <c r="B617" s="153"/>
      <c r="C617" s="153"/>
      <c r="D617" s="153"/>
    </row>
    <row r="618">
      <c r="A618" s="153"/>
      <c r="B618" s="153"/>
      <c r="C618" s="153"/>
      <c r="D618" s="153"/>
    </row>
    <row r="619">
      <c r="A619" s="153"/>
      <c r="B619" s="153"/>
      <c r="C619" s="153"/>
      <c r="D619" s="153"/>
    </row>
    <row r="620">
      <c r="A620" s="153"/>
      <c r="B620" s="153"/>
      <c r="C620" s="153"/>
      <c r="D620" s="153"/>
    </row>
    <row r="621">
      <c r="A621" s="153"/>
      <c r="B621" s="153"/>
      <c r="C621" s="153"/>
      <c r="D621" s="153"/>
    </row>
    <row r="622">
      <c r="A622" s="153"/>
      <c r="B622" s="153"/>
      <c r="C622" s="153"/>
      <c r="D622" s="153"/>
    </row>
    <row r="623">
      <c r="A623" s="153"/>
      <c r="B623" s="153"/>
      <c r="C623" s="153"/>
      <c r="D623" s="153"/>
    </row>
    <row r="624">
      <c r="A624" s="153"/>
      <c r="B624" s="153"/>
      <c r="C624" s="153"/>
      <c r="D624" s="153"/>
    </row>
    <row r="625">
      <c r="A625" s="153"/>
      <c r="B625" s="153"/>
      <c r="C625" s="153"/>
      <c r="D625" s="153"/>
    </row>
    <row r="626">
      <c r="A626" s="153"/>
      <c r="B626" s="153"/>
      <c r="C626" s="153"/>
      <c r="D626" s="153"/>
    </row>
    <row r="627">
      <c r="A627" s="153"/>
      <c r="B627" s="153"/>
      <c r="C627" s="153"/>
      <c r="D627" s="153"/>
    </row>
    <row r="628">
      <c r="A628" s="153"/>
      <c r="B628" s="153"/>
      <c r="C628" s="153"/>
      <c r="D628" s="153"/>
    </row>
    <row r="629">
      <c r="A629" s="153"/>
      <c r="B629" s="153"/>
      <c r="C629" s="153"/>
      <c r="D629" s="153"/>
    </row>
    <row r="630">
      <c r="A630" s="153"/>
      <c r="B630" s="153"/>
      <c r="C630" s="153"/>
      <c r="D630" s="153"/>
    </row>
    <row r="631">
      <c r="A631" s="153"/>
      <c r="B631" s="153"/>
      <c r="C631" s="153"/>
      <c r="D631" s="153"/>
    </row>
    <row r="632">
      <c r="A632" s="153"/>
      <c r="B632" s="153"/>
      <c r="C632" s="153"/>
      <c r="D632" s="153"/>
    </row>
    <row r="633">
      <c r="A633" s="153"/>
      <c r="B633" s="153"/>
      <c r="C633" s="153"/>
      <c r="D633" s="153"/>
    </row>
    <row r="634">
      <c r="A634" s="153"/>
      <c r="B634" s="153"/>
      <c r="C634" s="153"/>
      <c r="D634" s="153"/>
    </row>
    <row r="635">
      <c r="A635" s="153"/>
      <c r="B635" s="153"/>
      <c r="C635" s="153"/>
      <c r="D635" s="153"/>
    </row>
    <row r="636">
      <c r="A636" s="153"/>
      <c r="B636" s="153"/>
      <c r="C636" s="153"/>
      <c r="D636" s="153"/>
    </row>
    <row r="637">
      <c r="A637" s="153"/>
      <c r="B637" s="153"/>
      <c r="C637" s="153"/>
      <c r="D637" s="153"/>
    </row>
    <row r="638">
      <c r="A638" s="153"/>
      <c r="B638" s="153"/>
      <c r="C638" s="153"/>
      <c r="D638" s="153"/>
    </row>
    <row r="639">
      <c r="A639" s="153"/>
      <c r="B639" s="153"/>
      <c r="C639" s="153"/>
      <c r="D639" s="153"/>
    </row>
    <row r="640">
      <c r="A640" s="153"/>
      <c r="B640" s="153"/>
      <c r="C640" s="153"/>
      <c r="D640" s="153"/>
    </row>
    <row r="641">
      <c r="A641" s="153"/>
      <c r="B641" s="153"/>
      <c r="C641" s="153"/>
      <c r="D641" s="153"/>
    </row>
    <row r="642">
      <c r="A642" s="153"/>
      <c r="B642" s="153"/>
      <c r="C642" s="153"/>
      <c r="D642" s="153"/>
    </row>
    <row r="643">
      <c r="A643" s="153"/>
      <c r="B643" s="153"/>
      <c r="C643" s="153"/>
      <c r="D643" s="153"/>
    </row>
    <row r="644">
      <c r="A644" s="153"/>
      <c r="B644" s="153"/>
      <c r="C644" s="153"/>
      <c r="D644" s="153"/>
    </row>
    <row r="645">
      <c r="A645" s="153"/>
      <c r="B645" s="153"/>
      <c r="C645" s="153"/>
      <c r="D645" s="153"/>
    </row>
    <row r="646">
      <c r="A646" s="153"/>
      <c r="B646" s="153"/>
      <c r="C646" s="153"/>
      <c r="D646" s="153"/>
    </row>
    <row r="647">
      <c r="A647" s="153"/>
      <c r="B647" s="153"/>
      <c r="C647" s="153"/>
      <c r="D647" s="153"/>
    </row>
    <row r="648">
      <c r="A648" s="153"/>
      <c r="B648" s="153"/>
      <c r="C648" s="153"/>
      <c r="D648" s="153"/>
    </row>
    <row r="649">
      <c r="A649" s="153"/>
      <c r="B649" s="153"/>
      <c r="C649" s="153"/>
      <c r="D649" s="153"/>
    </row>
    <row r="650">
      <c r="A650" s="153"/>
      <c r="B650" s="153"/>
      <c r="C650" s="153"/>
      <c r="D650" s="153"/>
    </row>
    <row r="651">
      <c r="A651" s="153"/>
      <c r="B651" s="153"/>
      <c r="C651" s="153"/>
      <c r="D651" s="153"/>
    </row>
    <row r="652">
      <c r="A652" s="153"/>
      <c r="B652" s="153"/>
      <c r="C652" s="153"/>
      <c r="D652" s="153"/>
    </row>
    <row r="653">
      <c r="A653" s="153"/>
      <c r="B653" s="153"/>
      <c r="C653" s="153"/>
      <c r="D653" s="153"/>
    </row>
    <row r="654">
      <c r="A654" s="153"/>
      <c r="B654" s="153"/>
      <c r="C654" s="153"/>
      <c r="D654" s="153"/>
    </row>
    <row r="655">
      <c r="A655" s="153"/>
      <c r="B655" s="153"/>
      <c r="C655" s="153"/>
      <c r="D655" s="153"/>
    </row>
    <row r="656">
      <c r="A656" s="153"/>
      <c r="B656" s="153"/>
      <c r="C656" s="153"/>
      <c r="D656" s="153"/>
    </row>
    <row r="657">
      <c r="A657" s="153"/>
      <c r="B657" s="153"/>
      <c r="C657" s="153"/>
      <c r="D657" s="153"/>
    </row>
    <row r="658">
      <c r="A658" s="153"/>
      <c r="B658" s="153"/>
      <c r="C658" s="153"/>
      <c r="D658" s="153"/>
    </row>
    <row r="659">
      <c r="A659" s="153"/>
      <c r="B659" s="153"/>
      <c r="C659" s="153"/>
      <c r="D659" s="153"/>
    </row>
    <row r="660">
      <c r="A660" s="153"/>
      <c r="B660" s="153"/>
      <c r="C660" s="153"/>
      <c r="D660" s="153"/>
    </row>
    <row r="661">
      <c r="A661" s="153"/>
      <c r="B661" s="153"/>
      <c r="C661" s="153"/>
      <c r="D661" s="153"/>
    </row>
    <row r="662">
      <c r="A662" s="153"/>
      <c r="B662" s="153"/>
      <c r="C662" s="153"/>
      <c r="D662" s="153"/>
    </row>
    <row r="663">
      <c r="A663" s="153"/>
      <c r="B663" s="153"/>
      <c r="C663" s="153"/>
      <c r="D663" s="153"/>
    </row>
    <row r="664">
      <c r="A664" s="153"/>
      <c r="B664" s="153"/>
      <c r="C664" s="153"/>
      <c r="D664" s="153"/>
    </row>
    <row r="665">
      <c r="A665" s="153"/>
      <c r="B665" s="153"/>
      <c r="C665" s="153"/>
      <c r="D665" s="153"/>
    </row>
    <row r="666">
      <c r="A666" s="153"/>
      <c r="B666" s="153"/>
      <c r="C666" s="153"/>
      <c r="D666" s="153"/>
    </row>
    <row r="667">
      <c r="A667" s="153"/>
      <c r="B667" s="153"/>
      <c r="C667" s="153"/>
      <c r="D667" s="153"/>
    </row>
    <row r="668">
      <c r="A668" s="153"/>
      <c r="B668" s="153"/>
      <c r="C668" s="153"/>
      <c r="D668" s="153"/>
    </row>
    <row r="669">
      <c r="A669" s="153"/>
      <c r="B669" s="153"/>
      <c r="C669" s="153"/>
      <c r="D669" s="153"/>
    </row>
    <row r="670">
      <c r="A670" s="153"/>
      <c r="B670" s="153"/>
      <c r="C670" s="153"/>
      <c r="D670" s="153"/>
    </row>
    <row r="671">
      <c r="A671" s="153"/>
      <c r="B671" s="153"/>
      <c r="C671" s="153"/>
      <c r="D671" s="153"/>
    </row>
    <row r="672">
      <c r="A672" s="153"/>
      <c r="B672" s="153"/>
      <c r="C672" s="153"/>
      <c r="D672" s="153"/>
    </row>
    <row r="673">
      <c r="A673" s="153"/>
      <c r="B673" s="153"/>
      <c r="C673" s="153"/>
      <c r="D673" s="153"/>
    </row>
    <row r="674">
      <c r="A674" s="153"/>
      <c r="B674" s="153"/>
      <c r="C674" s="153"/>
      <c r="D674" s="153"/>
    </row>
    <row r="675">
      <c r="A675" s="153"/>
      <c r="B675" s="153"/>
      <c r="C675" s="153"/>
      <c r="D675" s="153"/>
    </row>
    <row r="676">
      <c r="A676" s="153"/>
      <c r="B676" s="153"/>
      <c r="C676" s="153"/>
      <c r="D676" s="153"/>
    </row>
    <row r="677">
      <c r="A677" s="153"/>
      <c r="B677" s="153"/>
      <c r="C677" s="153"/>
      <c r="D677" s="153"/>
    </row>
    <row r="678">
      <c r="A678" s="153"/>
      <c r="B678" s="153"/>
      <c r="C678" s="153"/>
      <c r="D678" s="153"/>
    </row>
    <row r="679">
      <c r="A679" s="153"/>
      <c r="B679" s="153"/>
      <c r="C679" s="153"/>
      <c r="D679" s="153"/>
    </row>
    <row r="680">
      <c r="A680" s="153"/>
      <c r="B680" s="153"/>
      <c r="C680" s="153"/>
      <c r="D680" s="153"/>
    </row>
    <row r="681">
      <c r="A681" s="153"/>
      <c r="B681" s="153"/>
      <c r="C681" s="153"/>
      <c r="D681" s="153"/>
    </row>
    <row r="682">
      <c r="A682" s="153"/>
      <c r="B682" s="153"/>
      <c r="C682" s="153"/>
      <c r="D682" s="153"/>
    </row>
    <row r="683">
      <c r="A683" s="153"/>
      <c r="B683" s="153"/>
      <c r="C683" s="153"/>
      <c r="D683" s="153"/>
    </row>
    <row r="684">
      <c r="A684" s="153"/>
      <c r="B684" s="153"/>
      <c r="C684" s="153"/>
      <c r="D684" s="153"/>
    </row>
    <row r="685">
      <c r="A685" s="153"/>
      <c r="B685" s="153"/>
      <c r="C685" s="153"/>
      <c r="D685" s="153"/>
    </row>
    <row r="686">
      <c r="A686" s="153"/>
      <c r="B686" s="153"/>
      <c r="C686" s="153"/>
      <c r="D686" s="153"/>
    </row>
    <row r="687">
      <c r="A687" s="153"/>
      <c r="B687" s="153"/>
      <c r="C687" s="153"/>
      <c r="D687" s="153"/>
    </row>
    <row r="688">
      <c r="A688" s="153"/>
      <c r="B688" s="153"/>
      <c r="C688" s="153"/>
      <c r="D688" s="153"/>
    </row>
    <row r="689">
      <c r="A689" s="153"/>
      <c r="B689" s="153"/>
      <c r="C689" s="153"/>
      <c r="D689" s="153"/>
    </row>
    <row r="690">
      <c r="A690" s="153"/>
      <c r="B690" s="153"/>
      <c r="C690" s="153"/>
      <c r="D690" s="153"/>
    </row>
    <row r="691">
      <c r="A691" s="153"/>
      <c r="B691" s="153"/>
      <c r="C691" s="153"/>
      <c r="D691" s="153"/>
    </row>
    <row r="692">
      <c r="A692" s="153"/>
      <c r="B692" s="153"/>
      <c r="C692" s="153"/>
      <c r="D692" s="153"/>
    </row>
    <row r="693">
      <c r="A693" s="153"/>
      <c r="B693" s="153"/>
      <c r="C693" s="153"/>
      <c r="D693" s="153"/>
    </row>
    <row r="694">
      <c r="A694" s="153"/>
      <c r="B694" s="153"/>
      <c r="C694" s="153"/>
      <c r="D694" s="153"/>
    </row>
    <row r="695">
      <c r="A695" s="153"/>
      <c r="B695" s="153"/>
      <c r="C695" s="153"/>
      <c r="D695" s="153"/>
    </row>
    <row r="696">
      <c r="A696" s="153"/>
      <c r="B696" s="153"/>
      <c r="C696" s="153"/>
      <c r="D696" s="153"/>
    </row>
    <row r="697">
      <c r="A697" s="153"/>
      <c r="B697" s="153"/>
      <c r="C697" s="153"/>
      <c r="D697" s="153"/>
    </row>
    <row r="698">
      <c r="A698" s="153"/>
      <c r="B698" s="153"/>
      <c r="C698" s="153"/>
      <c r="D698" s="153"/>
    </row>
    <row r="699">
      <c r="A699" s="153"/>
      <c r="B699" s="153"/>
      <c r="C699" s="153"/>
      <c r="D699" s="153"/>
    </row>
    <row r="700">
      <c r="A700" s="153"/>
      <c r="B700" s="153"/>
      <c r="C700" s="153"/>
      <c r="D700" s="153"/>
    </row>
    <row r="701">
      <c r="A701" s="153"/>
      <c r="B701" s="153"/>
      <c r="C701" s="153"/>
      <c r="D701" s="153"/>
    </row>
    <row r="702">
      <c r="A702" s="153"/>
      <c r="B702" s="153"/>
      <c r="C702" s="153"/>
      <c r="D702" s="153"/>
    </row>
    <row r="703">
      <c r="A703" s="153"/>
      <c r="B703" s="153"/>
      <c r="C703" s="153"/>
      <c r="D703" s="153"/>
    </row>
    <row r="704">
      <c r="A704" s="153"/>
      <c r="B704" s="153"/>
      <c r="C704" s="153"/>
      <c r="D704" s="153"/>
    </row>
    <row r="705">
      <c r="A705" s="153"/>
      <c r="B705" s="153"/>
      <c r="C705" s="153"/>
      <c r="D705" s="153"/>
    </row>
    <row r="706">
      <c r="A706" s="153"/>
      <c r="B706" s="153"/>
      <c r="C706" s="153"/>
      <c r="D706" s="153"/>
    </row>
    <row r="707">
      <c r="A707" s="153"/>
      <c r="B707" s="153"/>
      <c r="C707" s="153"/>
      <c r="D707" s="153"/>
    </row>
    <row r="708">
      <c r="A708" s="153"/>
      <c r="B708" s="153"/>
      <c r="C708" s="153"/>
      <c r="D708" s="153"/>
    </row>
    <row r="709">
      <c r="A709" s="153"/>
      <c r="B709" s="153"/>
      <c r="C709" s="153"/>
      <c r="D709" s="153"/>
    </row>
    <row r="710">
      <c r="A710" s="153"/>
      <c r="B710" s="153"/>
      <c r="C710" s="153"/>
      <c r="D710" s="153"/>
    </row>
    <row r="711">
      <c r="A711" s="153"/>
      <c r="B711" s="153"/>
      <c r="C711" s="153"/>
      <c r="D711" s="153"/>
    </row>
    <row r="712">
      <c r="A712" s="153"/>
      <c r="B712" s="153"/>
      <c r="C712" s="153"/>
      <c r="D712" s="153"/>
    </row>
    <row r="713">
      <c r="A713" s="153"/>
      <c r="B713" s="153"/>
      <c r="C713" s="153"/>
      <c r="D713" s="153"/>
    </row>
    <row r="714">
      <c r="A714" s="153"/>
      <c r="B714" s="153"/>
      <c r="C714" s="153"/>
      <c r="D714" s="153"/>
    </row>
    <row r="715">
      <c r="A715" s="153"/>
      <c r="B715" s="153"/>
      <c r="C715" s="153"/>
      <c r="D715" s="153"/>
    </row>
    <row r="716">
      <c r="A716" s="153"/>
      <c r="B716" s="153"/>
      <c r="C716" s="153"/>
      <c r="D716" s="153"/>
    </row>
    <row r="717">
      <c r="A717" s="153"/>
      <c r="B717" s="153"/>
      <c r="C717" s="153"/>
      <c r="D717" s="153"/>
    </row>
    <row r="718">
      <c r="A718" s="153"/>
      <c r="B718" s="153"/>
      <c r="C718" s="153"/>
      <c r="D718" s="153"/>
    </row>
    <row r="719">
      <c r="A719" s="153"/>
      <c r="B719" s="153"/>
      <c r="C719" s="153"/>
      <c r="D719" s="153"/>
    </row>
    <row r="720">
      <c r="A720" s="153"/>
      <c r="B720" s="153"/>
      <c r="C720" s="153"/>
      <c r="D720" s="153"/>
    </row>
    <row r="721">
      <c r="A721" s="153"/>
      <c r="B721" s="153"/>
      <c r="C721" s="153"/>
      <c r="D721" s="153"/>
    </row>
    <row r="722">
      <c r="A722" s="153"/>
      <c r="B722" s="153"/>
      <c r="C722" s="153"/>
      <c r="D722" s="153"/>
    </row>
    <row r="723">
      <c r="A723" s="153"/>
      <c r="B723" s="153"/>
      <c r="C723" s="153"/>
      <c r="D723" s="153"/>
    </row>
    <row r="724">
      <c r="A724" s="153"/>
      <c r="B724" s="153"/>
      <c r="C724" s="153"/>
      <c r="D724" s="153"/>
    </row>
    <row r="725">
      <c r="A725" s="153"/>
      <c r="B725" s="153"/>
      <c r="C725" s="153"/>
      <c r="D725" s="153"/>
    </row>
    <row r="726">
      <c r="A726" s="153"/>
      <c r="B726" s="153"/>
      <c r="C726" s="153"/>
      <c r="D726" s="153"/>
    </row>
    <row r="727">
      <c r="A727" s="153"/>
      <c r="B727" s="153"/>
      <c r="C727" s="153"/>
      <c r="D727" s="153"/>
    </row>
    <row r="728">
      <c r="A728" s="153"/>
      <c r="B728" s="153"/>
      <c r="C728" s="153"/>
      <c r="D728" s="153"/>
    </row>
    <row r="729">
      <c r="A729" s="153"/>
      <c r="B729" s="153"/>
      <c r="C729" s="153"/>
      <c r="D729" s="153"/>
    </row>
    <row r="730">
      <c r="A730" s="153"/>
      <c r="B730" s="153"/>
      <c r="C730" s="153"/>
      <c r="D730" s="153"/>
    </row>
    <row r="731">
      <c r="A731" s="153"/>
      <c r="B731" s="153"/>
      <c r="C731" s="153"/>
      <c r="D731" s="153"/>
    </row>
    <row r="732">
      <c r="A732" s="153"/>
      <c r="B732" s="153"/>
      <c r="C732" s="153"/>
      <c r="D732" s="153"/>
    </row>
    <row r="733">
      <c r="A733" s="153"/>
      <c r="B733" s="153"/>
      <c r="C733" s="153"/>
      <c r="D733" s="153"/>
    </row>
    <row r="734">
      <c r="A734" s="153"/>
      <c r="B734" s="153"/>
      <c r="C734" s="153"/>
      <c r="D734" s="153"/>
    </row>
    <row r="735">
      <c r="A735" s="153"/>
      <c r="B735" s="153"/>
      <c r="C735" s="153"/>
      <c r="D735" s="153"/>
    </row>
    <row r="736">
      <c r="A736" s="153"/>
      <c r="B736" s="153"/>
      <c r="C736" s="153"/>
      <c r="D736" s="153"/>
    </row>
    <row r="737">
      <c r="A737" s="153"/>
      <c r="B737" s="153"/>
      <c r="C737" s="153"/>
      <c r="D737" s="153"/>
    </row>
    <row r="738">
      <c r="A738" s="153"/>
      <c r="B738" s="153"/>
      <c r="C738" s="153"/>
      <c r="D738" s="153"/>
    </row>
    <row r="739">
      <c r="A739" s="153"/>
      <c r="B739" s="153"/>
      <c r="C739" s="153"/>
      <c r="D739" s="153"/>
    </row>
    <row r="740">
      <c r="A740" s="153"/>
      <c r="B740" s="153"/>
      <c r="C740" s="153"/>
      <c r="D740" s="153"/>
    </row>
    <row r="741">
      <c r="A741" s="153"/>
      <c r="B741" s="153"/>
      <c r="C741" s="153"/>
      <c r="D741" s="153"/>
    </row>
    <row r="742">
      <c r="A742" s="153"/>
      <c r="B742" s="153"/>
      <c r="C742" s="153"/>
      <c r="D742" s="153"/>
    </row>
    <row r="743">
      <c r="A743" s="153"/>
      <c r="B743" s="153"/>
      <c r="C743" s="153"/>
      <c r="D743" s="153"/>
    </row>
    <row r="744">
      <c r="A744" s="153"/>
      <c r="B744" s="153"/>
      <c r="C744" s="153"/>
      <c r="D744" s="153"/>
    </row>
    <row r="745">
      <c r="A745" s="153"/>
      <c r="B745" s="153"/>
      <c r="C745" s="153"/>
      <c r="D745" s="153"/>
    </row>
    <row r="746">
      <c r="A746" s="153"/>
      <c r="B746" s="153"/>
      <c r="C746" s="153"/>
      <c r="D746" s="153"/>
    </row>
    <row r="747">
      <c r="A747" s="153"/>
      <c r="B747" s="153"/>
      <c r="C747" s="153"/>
      <c r="D747" s="153"/>
    </row>
    <row r="748">
      <c r="A748" s="153"/>
      <c r="B748" s="153"/>
      <c r="C748" s="153"/>
      <c r="D748" s="153"/>
    </row>
    <row r="749">
      <c r="A749" s="153"/>
      <c r="B749" s="153"/>
      <c r="C749" s="153"/>
      <c r="D749" s="153"/>
    </row>
    <row r="750">
      <c r="A750" s="153"/>
      <c r="B750" s="153"/>
      <c r="C750" s="153"/>
      <c r="D750" s="153"/>
    </row>
    <row r="751">
      <c r="A751" s="153"/>
      <c r="B751" s="153"/>
      <c r="C751" s="153"/>
      <c r="D751" s="153"/>
    </row>
    <row r="752">
      <c r="A752" s="153"/>
      <c r="B752" s="153"/>
      <c r="C752" s="153"/>
      <c r="D752" s="153"/>
    </row>
    <row r="753">
      <c r="A753" s="153"/>
      <c r="B753" s="153"/>
      <c r="C753" s="153"/>
      <c r="D753" s="153"/>
    </row>
    <row r="754">
      <c r="A754" s="153"/>
      <c r="B754" s="153"/>
      <c r="C754" s="153"/>
      <c r="D754" s="153"/>
    </row>
    <row r="755">
      <c r="A755" s="153"/>
      <c r="B755" s="153"/>
      <c r="C755" s="153"/>
      <c r="D755" s="153"/>
    </row>
    <row r="756">
      <c r="A756" s="153"/>
      <c r="B756" s="153"/>
      <c r="C756" s="153"/>
      <c r="D756" s="153"/>
    </row>
    <row r="757">
      <c r="A757" s="153"/>
      <c r="B757" s="153"/>
      <c r="C757" s="153"/>
      <c r="D757" s="153"/>
    </row>
    <row r="758">
      <c r="A758" s="153"/>
      <c r="B758" s="153"/>
      <c r="C758" s="153"/>
      <c r="D758" s="153"/>
    </row>
    <row r="759">
      <c r="A759" s="153"/>
      <c r="B759" s="153"/>
      <c r="C759" s="153"/>
      <c r="D759" s="153"/>
    </row>
    <row r="760">
      <c r="A760" s="153"/>
      <c r="B760" s="153"/>
      <c r="C760" s="153"/>
      <c r="D760" s="153"/>
    </row>
    <row r="761">
      <c r="A761" s="153"/>
      <c r="B761" s="153"/>
      <c r="C761" s="153"/>
      <c r="D761" s="153"/>
    </row>
    <row r="762">
      <c r="A762" s="153"/>
      <c r="B762" s="153"/>
      <c r="C762" s="153"/>
      <c r="D762" s="153"/>
    </row>
    <row r="763">
      <c r="A763" s="153"/>
      <c r="B763" s="153"/>
      <c r="C763" s="153"/>
      <c r="D763" s="153"/>
    </row>
    <row r="764">
      <c r="A764" s="153"/>
      <c r="B764" s="153"/>
      <c r="C764" s="153"/>
      <c r="D764" s="153"/>
    </row>
    <row r="765">
      <c r="A765" s="153"/>
      <c r="B765" s="153"/>
      <c r="C765" s="153"/>
      <c r="D765" s="153"/>
    </row>
    <row r="766">
      <c r="A766" s="153"/>
      <c r="B766" s="153"/>
      <c r="C766" s="153"/>
      <c r="D766" s="153"/>
    </row>
    <row r="767">
      <c r="A767" s="153"/>
      <c r="B767" s="153"/>
      <c r="C767" s="153"/>
      <c r="D767" s="153"/>
    </row>
    <row r="768">
      <c r="A768" s="153"/>
      <c r="B768" s="153"/>
      <c r="C768" s="153"/>
      <c r="D768" s="153"/>
    </row>
    <row r="769">
      <c r="A769" s="153"/>
      <c r="B769" s="153"/>
      <c r="C769" s="153"/>
      <c r="D769" s="153"/>
    </row>
    <row r="770">
      <c r="A770" s="153"/>
      <c r="B770" s="153"/>
      <c r="C770" s="153"/>
      <c r="D770" s="153"/>
    </row>
    <row r="771">
      <c r="A771" s="153"/>
      <c r="B771" s="153"/>
      <c r="C771" s="153"/>
      <c r="D771" s="153"/>
    </row>
    <row r="772">
      <c r="A772" s="153"/>
      <c r="B772" s="153"/>
      <c r="C772" s="153"/>
      <c r="D772" s="153"/>
    </row>
    <row r="773">
      <c r="A773" s="153"/>
      <c r="B773" s="153"/>
      <c r="C773" s="153"/>
      <c r="D773" s="153"/>
    </row>
    <row r="774">
      <c r="A774" s="153"/>
      <c r="B774" s="153"/>
      <c r="C774" s="153"/>
      <c r="D774" s="153"/>
    </row>
    <row r="775">
      <c r="A775" s="153"/>
      <c r="B775" s="153"/>
      <c r="C775" s="153"/>
      <c r="D775" s="153"/>
    </row>
    <row r="776">
      <c r="A776" s="153"/>
      <c r="B776" s="153"/>
      <c r="C776" s="153"/>
      <c r="D776" s="153"/>
    </row>
    <row r="777">
      <c r="A777" s="153"/>
      <c r="B777" s="153"/>
      <c r="C777" s="153"/>
      <c r="D777" s="153"/>
    </row>
    <row r="778">
      <c r="A778" s="153"/>
      <c r="B778" s="153"/>
      <c r="C778" s="153"/>
      <c r="D778" s="153"/>
    </row>
    <row r="779">
      <c r="A779" s="153"/>
      <c r="B779" s="153"/>
      <c r="C779" s="153"/>
      <c r="D779" s="153"/>
    </row>
    <row r="780">
      <c r="A780" s="153"/>
      <c r="B780" s="153"/>
      <c r="C780" s="153"/>
      <c r="D780" s="153"/>
    </row>
    <row r="781">
      <c r="A781" s="153"/>
      <c r="B781" s="153"/>
      <c r="C781" s="153"/>
      <c r="D781" s="153"/>
    </row>
    <row r="782">
      <c r="A782" s="153"/>
      <c r="B782" s="153"/>
      <c r="C782" s="153"/>
      <c r="D782" s="153"/>
    </row>
    <row r="783">
      <c r="A783" s="153"/>
      <c r="B783" s="153"/>
      <c r="C783" s="153"/>
      <c r="D783" s="153"/>
    </row>
    <row r="784">
      <c r="A784" s="153"/>
      <c r="B784" s="153"/>
      <c r="C784" s="153"/>
      <c r="D784" s="153"/>
    </row>
    <row r="785">
      <c r="A785" s="153"/>
      <c r="B785" s="153"/>
      <c r="C785" s="153"/>
      <c r="D785" s="153"/>
    </row>
    <row r="786">
      <c r="A786" s="153"/>
      <c r="B786" s="153"/>
      <c r="C786" s="153"/>
      <c r="D786" s="153"/>
    </row>
    <row r="787">
      <c r="A787" s="153"/>
      <c r="B787" s="153"/>
      <c r="C787" s="153"/>
      <c r="D787" s="153"/>
    </row>
    <row r="788">
      <c r="A788" s="153"/>
      <c r="B788" s="153"/>
      <c r="C788" s="153"/>
      <c r="D788" s="153"/>
    </row>
    <row r="789">
      <c r="A789" s="153"/>
      <c r="B789" s="153"/>
      <c r="C789" s="153"/>
      <c r="D789" s="153"/>
    </row>
    <row r="790">
      <c r="A790" s="153"/>
      <c r="B790" s="153"/>
      <c r="C790" s="153"/>
      <c r="D790" s="153"/>
    </row>
    <row r="791">
      <c r="A791" s="153"/>
      <c r="B791" s="153"/>
      <c r="C791" s="153"/>
      <c r="D791" s="153"/>
    </row>
    <row r="792">
      <c r="A792" s="153"/>
      <c r="B792" s="153"/>
      <c r="C792" s="153"/>
      <c r="D792" s="153"/>
    </row>
    <row r="793">
      <c r="A793" s="153"/>
      <c r="B793" s="153"/>
      <c r="C793" s="153"/>
      <c r="D793" s="153"/>
    </row>
    <row r="794">
      <c r="A794" s="153"/>
      <c r="B794" s="153"/>
      <c r="C794" s="153"/>
      <c r="D794" s="153"/>
    </row>
    <row r="795">
      <c r="A795" s="153"/>
      <c r="B795" s="153"/>
      <c r="C795" s="153"/>
      <c r="D795" s="153"/>
    </row>
    <row r="796">
      <c r="A796" s="153"/>
      <c r="B796" s="153"/>
      <c r="C796" s="153"/>
      <c r="D796" s="153"/>
    </row>
    <row r="797">
      <c r="A797" s="153"/>
      <c r="B797" s="153"/>
      <c r="C797" s="153"/>
      <c r="D797" s="153"/>
    </row>
    <row r="798">
      <c r="A798" s="153"/>
      <c r="B798" s="153"/>
      <c r="C798" s="153"/>
      <c r="D798" s="153"/>
    </row>
    <row r="799">
      <c r="A799" s="153"/>
      <c r="B799" s="153"/>
      <c r="C799" s="153"/>
      <c r="D799" s="153"/>
    </row>
    <row r="800">
      <c r="A800" s="153"/>
      <c r="B800" s="153"/>
      <c r="C800" s="153"/>
      <c r="D800" s="153"/>
    </row>
    <row r="801">
      <c r="A801" s="153"/>
      <c r="B801" s="153"/>
      <c r="C801" s="153"/>
      <c r="D801" s="153"/>
    </row>
    <row r="802">
      <c r="A802" s="153"/>
      <c r="B802" s="153"/>
      <c r="C802" s="153"/>
      <c r="D802" s="153"/>
    </row>
    <row r="803">
      <c r="A803" s="153"/>
      <c r="B803" s="153"/>
      <c r="C803" s="153"/>
      <c r="D803" s="153"/>
    </row>
    <row r="804">
      <c r="A804" s="153"/>
      <c r="B804" s="153"/>
      <c r="C804" s="153"/>
      <c r="D804" s="153"/>
    </row>
    <row r="805">
      <c r="A805" s="153"/>
      <c r="B805" s="153"/>
      <c r="C805" s="153"/>
      <c r="D805" s="153"/>
    </row>
    <row r="806">
      <c r="A806" s="153"/>
      <c r="B806" s="153"/>
      <c r="C806" s="153"/>
      <c r="D806" s="153"/>
    </row>
    <row r="807">
      <c r="A807" s="153"/>
      <c r="B807" s="153"/>
      <c r="C807" s="153"/>
      <c r="D807" s="153"/>
    </row>
    <row r="808">
      <c r="A808" s="153"/>
      <c r="B808" s="153"/>
      <c r="C808" s="153"/>
      <c r="D808" s="153"/>
    </row>
    <row r="809">
      <c r="A809" s="153"/>
      <c r="B809" s="153"/>
      <c r="C809" s="153"/>
      <c r="D809" s="153"/>
    </row>
    <row r="810">
      <c r="A810" s="153"/>
      <c r="B810" s="153"/>
      <c r="C810" s="153"/>
      <c r="D810" s="153"/>
    </row>
    <row r="811">
      <c r="A811" s="153"/>
      <c r="B811" s="153"/>
      <c r="C811" s="153"/>
      <c r="D811" s="153"/>
    </row>
    <row r="812">
      <c r="A812" s="153"/>
      <c r="B812" s="153"/>
      <c r="C812" s="153"/>
      <c r="D812" s="153"/>
    </row>
    <row r="813">
      <c r="A813" s="153"/>
      <c r="B813" s="153"/>
      <c r="C813" s="153"/>
      <c r="D813" s="153"/>
    </row>
    <row r="814">
      <c r="A814" s="153"/>
      <c r="B814" s="153"/>
      <c r="C814" s="153"/>
      <c r="D814" s="153"/>
    </row>
    <row r="815">
      <c r="A815" s="153"/>
      <c r="B815" s="153"/>
      <c r="C815" s="153"/>
      <c r="D815" s="153"/>
    </row>
    <row r="816">
      <c r="A816" s="153"/>
      <c r="B816" s="153"/>
      <c r="C816" s="153"/>
      <c r="D816" s="153"/>
    </row>
    <row r="817">
      <c r="A817" s="153"/>
      <c r="B817" s="153"/>
      <c r="C817" s="153"/>
      <c r="D817" s="153"/>
    </row>
    <row r="818">
      <c r="A818" s="153"/>
      <c r="B818" s="153"/>
      <c r="C818" s="153"/>
      <c r="D818" s="153"/>
    </row>
    <row r="819">
      <c r="A819" s="153"/>
      <c r="B819" s="153"/>
      <c r="C819" s="153"/>
      <c r="D819" s="153"/>
    </row>
    <row r="820">
      <c r="A820" s="153"/>
      <c r="B820" s="153"/>
      <c r="C820" s="153"/>
      <c r="D820" s="153"/>
    </row>
    <row r="821">
      <c r="A821" s="153"/>
      <c r="B821" s="153"/>
      <c r="C821" s="153"/>
      <c r="D821" s="153"/>
    </row>
    <row r="822">
      <c r="A822" s="153"/>
      <c r="B822" s="153"/>
      <c r="C822" s="153"/>
      <c r="D822" s="153"/>
    </row>
    <row r="823">
      <c r="A823" s="153"/>
      <c r="B823" s="153"/>
      <c r="C823" s="153"/>
      <c r="D823" s="153"/>
    </row>
    <row r="824">
      <c r="A824" s="153"/>
      <c r="B824" s="153"/>
      <c r="C824" s="153"/>
      <c r="D824" s="153"/>
    </row>
    <row r="825">
      <c r="A825" s="153"/>
      <c r="B825" s="153"/>
      <c r="C825" s="153"/>
      <c r="D825" s="153"/>
    </row>
    <row r="826">
      <c r="A826" s="153"/>
      <c r="B826" s="153"/>
      <c r="C826" s="153"/>
      <c r="D826" s="153"/>
    </row>
    <row r="827">
      <c r="A827" s="153"/>
      <c r="B827" s="153"/>
      <c r="C827" s="153"/>
      <c r="D827" s="153"/>
    </row>
    <row r="828">
      <c r="A828" s="153"/>
      <c r="B828" s="153"/>
      <c r="C828" s="153"/>
      <c r="D828" s="153"/>
    </row>
    <row r="829">
      <c r="A829" s="153"/>
      <c r="B829" s="153"/>
      <c r="C829" s="153"/>
      <c r="D829" s="153"/>
    </row>
    <row r="830">
      <c r="A830" s="153"/>
      <c r="B830" s="153"/>
      <c r="C830" s="153"/>
      <c r="D830" s="153"/>
    </row>
    <row r="831">
      <c r="A831" s="153"/>
      <c r="B831" s="153"/>
      <c r="C831" s="153"/>
      <c r="D831" s="153"/>
    </row>
    <row r="832">
      <c r="A832" s="153"/>
      <c r="B832" s="153"/>
      <c r="C832" s="153"/>
      <c r="D832" s="153"/>
    </row>
    <row r="833">
      <c r="A833" s="153"/>
      <c r="B833" s="153"/>
      <c r="C833" s="153"/>
      <c r="D833" s="153"/>
    </row>
    <row r="834">
      <c r="A834" s="153"/>
      <c r="B834" s="153"/>
      <c r="C834" s="153"/>
      <c r="D834" s="153"/>
    </row>
    <row r="835">
      <c r="A835" s="153"/>
      <c r="B835" s="153"/>
      <c r="C835" s="153"/>
      <c r="D835" s="153"/>
    </row>
    <row r="836">
      <c r="A836" s="153"/>
      <c r="B836" s="153"/>
      <c r="C836" s="153"/>
      <c r="D836" s="153"/>
    </row>
    <row r="837">
      <c r="A837" s="153"/>
      <c r="B837" s="153"/>
      <c r="C837" s="153"/>
      <c r="D837" s="153"/>
    </row>
    <row r="838">
      <c r="A838" s="153"/>
      <c r="B838" s="153"/>
      <c r="C838" s="153"/>
      <c r="D838" s="153"/>
    </row>
    <row r="839">
      <c r="A839" s="153"/>
      <c r="B839" s="153"/>
      <c r="C839" s="153"/>
      <c r="D839" s="153"/>
    </row>
    <row r="840">
      <c r="A840" s="153"/>
      <c r="B840" s="153"/>
      <c r="C840" s="153"/>
      <c r="D840" s="153"/>
    </row>
    <row r="841">
      <c r="A841" s="153"/>
      <c r="B841" s="153"/>
      <c r="C841" s="153"/>
      <c r="D841" s="153"/>
    </row>
    <row r="842">
      <c r="A842" s="153"/>
      <c r="B842" s="153"/>
      <c r="C842" s="153"/>
      <c r="D842" s="153"/>
    </row>
    <row r="843">
      <c r="A843" s="153"/>
      <c r="B843" s="153"/>
      <c r="C843" s="153"/>
      <c r="D843" s="153"/>
    </row>
    <row r="844">
      <c r="A844" s="153"/>
      <c r="B844" s="153"/>
      <c r="C844" s="153"/>
      <c r="D844" s="153"/>
    </row>
    <row r="845">
      <c r="A845" s="153"/>
      <c r="B845" s="153"/>
      <c r="C845" s="153"/>
      <c r="D845" s="153"/>
    </row>
    <row r="846">
      <c r="A846" s="153"/>
      <c r="B846" s="153"/>
      <c r="C846" s="153"/>
      <c r="D846" s="153"/>
    </row>
    <row r="847">
      <c r="A847" s="153"/>
      <c r="B847" s="153"/>
      <c r="C847" s="153"/>
      <c r="D847" s="153"/>
    </row>
    <row r="848">
      <c r="A848" s="153"/>
      <c r="B848" s="153"/>
      <c r="C848" s="153"/>
      <c r="D848" s="153"/>
    </row>
    <row r="849">
      <c r="A849" s="153"/>
      <c r="B849" s="153"/>
      <c r="C849" s="153"/>
      <c r="D849" s="153"/>
    </row>
    <row r="850">
      <c r="A850" s="153"/>
      <c r="B850" s="153"/>
      <c r="C850" s="153"/>
      <c r="D850" s="153"/>
    </row>
    <row r="851">
      <c r="A851" s="153"/>
      <c r="B851" s="153"/>
      <c r="C851" s="153"/>
      <c r="D851" s="153"/>
    </row>
    <row r="852">
      <c r="A852" s="153"/>
      <c r="B852" s="153"/>
      <c r="C852" s="153"/>
      <c r="D852" s="153"/>
    </row>
    <row r="853">
      <c r="A853" s="153"/>
      <c r="B853" s="153"/>
      <c r="C853" s="153"/>
      <c r="D853" s="153"/>
    </row>
    <row r="854">
      <c r="A854" s="153"/>
      <c r="B854" s="153"/>
      <c r="C854" s="153"/>
      <c r="D854" s="153"/>
    </row>
    <row r="855">
      <c r="A855" s="153"/>
      <c r="B855" s="153"/>
      <c r="C855" s="153"/>
      <c r="D855" s="153"/>
    </row>
    <row r="856">
      <c r="A856" s="153"/>
      <c r="B856" s="153"/>
      <c r="C856" s="153"/>
      <c r="D856" s="153"/>
    </row>
    <row r="857">
      <c r="A857" s="153"/>
      <c r="B857" s="153"/>
      <c r="C857" s="153"/>
      <c r="D857" s="153"/>
    </row>
    <row r="858">
      <c r="A858" s="153"/>
      <c r="B858" s="153"/>
      <c r="C858" s="153"/>
      <c r="D858" s="153"/>
    </row>
    <row r="859">
      <c r="A859" s="153"/>
      <c r="B859" s="153"/>
      <c r="C859" s="153"/>
      <c r="D859" s="153"/>
    </row>
    <row r="860">
      <c r="A860" s="153"/>
      <c r="B860" s="153"/>
      <c r="C860" s="153"/>
      <c r="D860" s="153"/>
    </row>
    <row r="861">
      <c r="A861" s="153"/>
      <c r="B861" s="153"/>
      <c r="C861" s="153"/>
      <c r="D861" s="153"/>
    </row>
    <row r="862">
      <c r="A862" s="153"/>
      <c r="B862" s="153"/>
      <c r="C862" s="153"/>
      <c r="D862" s="153"/>
    </row>
    <row r="863">
      <c r="A863" s="153"/>
      <c r="B863" s="153"/>
      <c r="C863" s="153"/>
      <c r="D863" s="153"/>
    </row>
    <row r="864">
      <c r="A864" s="153"/>
      <c r="B864" s="153"/>
      <c r="C864" s="153"/>
      <c r="D864" s="153"/>
    </row>
    <row r="865">
      <c r="A865" s="153"/>
      <c r="B865" s="153"/>
      <c r="C865" s="153"/>
      <c r="D865" s="153"/>
    </row>
    <row r="866">
      <c r="A866" s="153"/>
      <c r="B866" s="153"/>
      <c r="C866" s="153"/>
      <c r="D866" s="153"/>
    </row>
    <row r="867">
      <c r="A867" s="153"/>
      <c r="B867" s="153"/>
      <c r="C867" s="153"/>
      <c r="D867" s="153"/>
    </row>
    <row r="868">
      <c r="A868" s="153"/>
      <c r="B868" s="153"/>
      <c r="C868" s="153"/>
      <c r="D868" s="153"/>
    </row>
    <row r="869">
      <c r="A869" s="153"/>
      <c r="B869" s="153"/>
      <c r="C869" s="153"/>
      <c r="D869" s="153"/>
    </row>
    <row r="870">
      <c r="A870" s="153"/>
      <c r="B870" s="153"/>
      <c r="C870" s="153"/>
      <c r="D870" s="153"/>
    </row>
    <row r="871">
      <c r="A871" s="153"/>
      <c r="B871" s="153"/>
      <c r="C871" s="153"/>
      <c r="D871" s="153"/>
    </row>
    <row r="872">
      <c r="A872" s="153"/>
      <c r="B872" s="153"/>
      <c r="C872" s="153"/>
      <c r="D872" s="153"/>
    </row>
    <row r="873">
      <c r="A873" s="153"/>
      <c r="B873" s="153"/>
      <c r="C873" s="153"/>
      <c r="D873" s="153"/>
    </row>
    <row r="874">
      <c r="A874" s="153"/>
      <c r="B874" s="153"/>
      <c r="C874" s="153"/>
      <c r="D874" s="153"/>
    </row>
    <row r="875">
      <c r="A875" s="153"/>
      <c r="B875" s="153"/>
      <c r="C875" s="153"/>
      <c r="D875" s="153"/>
    </row>
    <row r="876">
      <c r="A876" s="153"/>
      <c r="B876" s="153"/>
      <c r="C876" s="153"/>
      <c r="D876" s="153"/>
    </row>
    <row r="877">
      <c r="A877" s="153"/>
      <c r="B877" s="153"/>
      <c r="C877" s="153"/>
      <c r="D877" s="153"/>
    </row>
    <row r="878">
      <c r="A878" s="153"/>
      <c r="B878" s="153"/>
      <c r="C878" s="153"/>
      <c r="D878" s="153"/>
    </row>
    <row r="879">
      <c r="A879" s="153"/>
      <c r="B879" s="153"/>
      <c r="C879" s="153"/>
      <c r="D879" s="153"/>
    </row>
    <row r="880">
      <c r="A880" s="153"/>
      <c r="B880" s="153"/>
      <c r="C880" s="153"/>
      <c r="D880" s="153"/>
    </row>
    <row r="881">
      <c r="A881" s="153"/>
      <c r="B881" s="153"/>
      <c r="C881" s="153"/>
      <c r="D881" s="153"/>
    </row>
    <row r="882">
      <c r="A882" s="153"/>
      <c r="B882" s="153"/>
      <c r="C882" s="153"/>
      <c r="D882" s="153"/>
    </row>
    <row r="883">
      <c r="A883" s="153"/>
      <c r="B883" s="153"/>
      <c r="C883" s="153"/>
      <c r="D883" s="153"/>
    </row>
    <row r="884">
      <c r="A884" s="153"/>
      <c r="B884" s="153"/>
      <c r="C884" s="153"/>
      <c r="D884" s="153"/>
    </row>
    <row r="885">
      <c r="A885" s="153"/>
      <c r="B885" s="153"/>
      <c r="C885" s="153"/>
      <c r="D885" s="153"/>
    </row>
    <row r="886">
      <c r="A886" s="153"/>
      <c r="B886" s="153"/>
      <c r="C886" s="153"/>
      <c r="D886" s="153"/>
    </row>
    <row r="887">
      <c r="A887" s="153"/>
      <c r="B887" s="153"/>
      <c r="C887" s="153"/>
      <c r="D887" s="153"/>
    </row>
    <row r="888">
      <c r="A888" s="153"/>
      <c r="B888" s="153"/>
      <c r="C888" s="153"/>
      <c r="D888" s="153"/>
    </row>
    <row r="889">
      <c r="A889" s="153"/>
      <c r="B889" s="153"/>
      <c r="C889" s="153"/>
      <c r="D889" s="153"/>
    </row>
    <row r="890">
      <c r="A890" s="153"/>
      <c r="B890" s="153"/>
      <c r="C890" s="153"/>
      <c r="D890" s="153"/>
    </row>
    <row r="891">
      <c r="A891" s="153"/>
      <c r="B891" s="153"/>
      <c r="C891" s="153"/>
      <c r="D891" s="153"/>
    </row>
    <row r="892">
      <c r="A892" s="153"/>
      <c r="B892" s="153"/>
      <c r="C892" s="153"/>
      <c r="D892" s="153"/>
    </row>
    <row r="893">
      <c r="A893" s="153"/>
      <c r="B893" s="153"/>
      <c r="C893" s="153"/>
      <c r="D893" s="153"/>
    </row>
    <row r="894">
      <c r="A894" s="153"/>
      <c r="B894" s="153"/>
      <c r="C894" s="153"/>
      <c r="D894" s="153"/>
    </row>
    <row r="895">
      <c r="A895" s="153"/>
      <c r="B895" s="153"/>
      <c r="C895" s="153"/>
      <c r="D895" s="153"/>
    </row>
    <row r="896">
      <c r="A896" s="153"/>
      <c r="B896" s="153"/>
      <c r="C896" s="153"/>
      <c r="D896" s="153"/>
    </row>
    <row r="897">
      <c r="A897" s="153"/>
      <c r="B897" s="153"/>
      <c r="C897" s="153"/>
      <c r="D897" s="153"/>
    </row>
    <row r="898">
      <c r="A898" s="153"/>
      <c r="B898" s="153"/>
      <c r="C898" s="153"/>
      <c r="D898" s="153"/>
    </row>
    <row r="899">
      <c r="A899" s="153"/>
      <c r="B899" s="153"/>
      <c r="C899" s="153"/>
      <c r="D899" s="153"/>
    </row>
    <row r="900">
      <c r="A900" s="153"/>
      <c r="B900" s="153"/>
      <c r="C900" s="153"/>
      <c r="D900" s="153"/>
    </row>
    <row r="901">
      <c r="A901" s="153"/>
      <c r="B901" s="153"/>
      <c r="C901" s="153"/>
      <c r="D901" s="153"/>
    </row>
    <row r="902">
      <c r="A902" s="153"/>
      <c r="B902" s="153"/>
      <c r="C902" s="153"/>
      <c r="D902" s="153"/>
    </row>
    <row r="903">
      <c r="A903" s="153"/>
      <c r="B903" s="153"/>
      <c r="C903" s="153"/>
      <c r="D903" s="153"/>
    </row>
    <row r="904">
      <c r="A904" s="153"/>
      <c r="B904" s="153"/>
      <c r="C904" s="153"/>
      <c r="D904" s="153"/>
    </row>
    <row r="905">
      <c r="A905" s="153"/>
      <c r="B905" s="153"/>
      <c r="C905" s="153"/>
      <c r="D905" s="153"/>
    </row>
    <row r="906">
      <c r="A906" s="153"/>
      <c r="B906" s="153"/>
      <c r="C906" s="153"/>
      <c r="D906" s="153"/>
    </row>
    <row r="907">
      <c r="A907" s="153"/>
      <c r="B907" s="153"/>
      <c r="C907" s="153"/>
      <c r="D907" s="153"/>
    </row>
    <row r="908">
      <c r="A908" s="153"/>
      <c r="B908" s="153"/>
      <c r="C908" s="153"/>
      <c r="D908" s="153"/>
    </row>
    <row r="909">
      <c r="A909" s="153"/>
      <c r="B909" s="153"/>
      <c r="C909" s="153"/>
      <c r="D909" s="153"/>
    </row>
    <row r="910">
      <c r="A910" s="153"/>
      <c r="B910" s="153"/>
      <c r="C910" s="153"/>
      <c r="D910" s="153"/>
    </row>
    <row r="911">
      <c r="A911" s="153"/>
      <c r="B911" s="153"/>
      <c r="C911" s="153"/>
      <c r="D911" s="153"/>
    </row>
    <row r="912">
      <c r="A912" s="153"/>
      <c r="B912" s="153"/>
      <c r="C912" s="153"/>
      <c r="D912" s="153"/>
    </row>
    <row r="913">
      <c r="A913" s="153"/>
      <c r="B913" s="153"/>
      <c r="C913" s="153"/>
      <c r="D913" s="153"/>
    </row>
    <row r="914">
      <c r="A914" s="153"/>
      <c r="B914" s="153"/>
      <c r="C914" s="153"/>
      <c r="D914" s="153"/>
    </row>
    <row r="915">
      <c r="A915" s="153"/>
      <c r="B915" s="153"/>
      <c r="C915" s="153"/>
      <c r="D915" s="153"/>
    </row>
    <row r="916">
      <c r="A916" s="153"/>
      <c r="B916" s="153"/>
      <c r="C916" s="153"/>
      <c r="D916" s="153"/>
    </row>
    <row r="917">
      <c r="A917" s="153"/>
      <c r="B917" s="153"/>
      <c r="C917" s="153"/>
      <c r="D917" s="153"/>
    </row>
    <row r="918">
      <c r="A918" s="153"/>
      <c r="B918" s="153"/>
      <c r="C918" s="153"/>
      <c r="D918" s="153"/>
    </row>
    <row r="919">
      <c r="A919" s="153"/>
      <c r="B919" s="153"/>
      <c r="C919" s="153"/>
      <c r="D919" s="153"/>
    </row>
    <row r="920">
      <c r="A920" s="153"/>
      <c r="B920" s="153"/>
      <c r="C920" s="153"/>
      <c r="D920" s="153"/>
    </row>
    <row r="921">
      <c r="A921" s="153"/>
      <c r="B921" s="153"/>
      <c r="C921" s="153"/>
      <c r="D921" s="153"/>
    </row>
    <row r="922">
      <c r="A922" s="153"/>
      <c r="B922" s="153"/>
      <c r="C922" s="153"/>
      <c r="D922" s="153"/>
    </row>
    <row r="923">
      <c r="A923" s="153"/>
      <c r="B923" s="153"/>
      <c r="C923" s="153"/>
      <c r="D923" s="153"/>
    </row>
    <row r="924">
      <c r="A924" s="153"/>
      <c r="B924" s="153"/>
      <c r="C924" s="153"/>
      <c r="D924" s="153"/>
    </row>
    <row r="925">
      <c r="A925" s="153"/>
      <c r="B925" s="153"/>
      <c r="C925" s="153"/>
      <c r="D925" s="153"/>
    </row>
    <row r="926">
      <c r="A926" s="153"/>
      <c r="B926" s="153"/>
      <c r="C926" s="153"/>
      <c r="D926" s="153"/>
    </row>
    <row r="927">
      <c r="A927" s="153"/>
      <c r="B927" s="153"/>
      <c r="C927" s="153"/>
      <c r="D927" s="153"/>
    </row>
    <row r="928">
      <c r="A928" s="153"/>
      <c r="B928" s="153"/>
      <c r="C928" s="153"/>
      <c r="D928" s="153"/>
    </row>
    <row r="929">
      <c r="A929" s="153"/>
      <c r="B929" s="153"/>
      <c r="C929" s="153"/>
      <c r="D929" s="153"/>
    </row>
    <row r="930">
      <c r="A930" s="153"/>
      <c r="B930" s="153"/>
      <c r="C930" s="153"/>
      <c r="D930" s="153"/>
    </row>
    <row r="931">
      <c r="A931" s="153"/>
      <c r="B931" s="153"/>
      <c r="C931" s="153"/>
      <c r="D931" s="153"/>
    </row>
    <row r="932">
      <c r="A932" s="153"/>
      <c r="B932" s="153"/>
      <c r="C932" s="153"/>
      <c r="D932" s="153"/>
    </row>
    <row r="933">
      <c r="A933" s="153"/>
      <c r="B933" s="153"/>
      <c r="C933" s="153"/>
      <c r="D933" s="153"/>
    </row>
    <row r="934">
      <c r="A934" s="153"/>
      <c r="B934" s="153"/>
      <c r="C934" s="153"/>
      <c r="D934" s="153"/>
    </row>
    <row r="935">
      <c r="A935" s="153"/>
      <c r="B935" s="153"/>
      <c r="C935" s="153"/>
      <c r="D935" s="153"/>
    </row>
    <row r="936">
      <c r="A936" s="153"/>
      <c r="B936" s="153"/>
      <c r="C936" s="153"/>
      <c r="D936" s="153"/>
    </row>
    <row r="937">
      <c r="A937" s="153"/>
      <c r="B937" s="153"/>
      <c r="C937" s="153"/>
      <c r="D937" s="153"/>
    </row>
    <row r="938">
      <c r="A938" s="153"/>
      <c r="B938" s="153"/>
      <c r="C938" s="153"/>
      <c r="D938" s="153"/>
    </row>
    <row r="939">
      <c r="A939" s="153"/>
      <c r="B939" s="153"/>
      <c r="C939" s="153"/>
      <c r="D939" s="153"/>
    </row>
    <row r="940">
      <c r="A940" s="153"/>
      <c r="B940" s="153"/>
      <c r="C940" s="153"/>
      <c r="D940" s="153"/>
    </row>
    <row r="941">
      <c r="A941" s="153"/>
      <c r="B941" s="153"/>
      <c r="C941" s="153"/>
      <c r="D941" s="153"/>
    </row>
    <row r="942">
      <c r="A942" s="153"/>
      <c r="B942" s="153"/>
      <c r="C942" s="153"/>
      <c r="D942" s="153"/>
    </row>
    <row r="943">
      <c r="A943" s="153"/>
      <c r="B943" s="153"/>
      <c r="C943" s="153"/>
      <c r="D943" s="153"/>
    </row>
    <row r="944">
      <c r="A944" s="153"/>
      <c r="B944" s="153"/>
      <c r="C944" s="153"/>
      <c r="D944" s="153"/>
    </row>
    <row r="945">
      <c r="A945" s="153"/>
      <c r="B945" s="153"/>
      <c r="C945" s="153"/>
      <c r="D945" s="153"/>
    </row>
    <row r="946">
      <c r="A946" s="153"/>
      <c r="B946" s="153"/>
      <c r="C946" s="153"/>
      <c r="D946" s="153"/>
    </row>
    <row r="947">
      <c r="A947" s="153"/>
      <c r="B947" s="153"/>
      <c r="C947" s="153"/>
      <c r="D947" s="153"/>
    </row>
    <row r="948">
      <c r="A948" s="153"/>
      <c r="B948" s="153"/>
      <c r="C948" s="153"/>
      <c r="D948" s="153"/>
    </row>
    <row r="949">
      <c r="A949" s="153"/>
      <c r="B949" s="153"/>
      <c r="C949" s="153"/>
      <c r="D949" s="153"/>
    </row>
    <row r="950">
      <c r="A950" s="153"/>
      <c r="B950" s="153"/>
      <c r="C950" s="153"/>
      <c r="D950" s="153"/>
    </row>
    <row r="951">
      <c r="A951" s="153"/>
      <c r="B951" s="153"/>
      <c r="C951" s="153"/>
      <c r="D951" s="153"/>
    </row>
    <row r="952">
      <c r="A952" s="153"/>
      <c r="B952" s="153"/>
      <c r="C952" s="153"/>
      <c r="D952" s="153"/>
    </row>
    <row r="953">
      <c r="A953" s="153"/>
      <c r="B953" s="153"/>
      <c r="C953" s="153"/>
      <c r="D953" s="153"/>
    </row>
    <row r="954">
      <c r="A954" s="153"/>
      <c r="B954" s="153"/>
      <c r="C954" s="153"/>
      <c r="D954" s="153"/>
    </row>
    <row r="955">
      <c r="A955" s="153"/>
      <c r="B955" s="153"/>
      <c r="C955" s="153"/>
      <c r="D955" s="153"/>
    </row>
    <row r="956">
      <c r="A956" s="153"/>
      <c r="B956" s="153"/>
      <c r="C956" s="153"/>
      <c r="D956" s="153"/>
    </row>
    <row r="957">
      <c r="A957" s="153"/>
      <c r="B957" s="153"/>
      <c r="C957" s="153"/>
      <c r="D957" s="153"/>
    </row>
    <row r="958">
      <c r="A958" s="153"/>
      <c r="B958" s="153"/>
      <c r="C958" s="153"/>
      <c r="D958" s="153"/>
    </row>
    <row r="959">
      <c r="A959" s="153"/>
      <c r="B959" s="153"/>
      <c r="C959" s="153"/>
      <c r="D959" s="153"/>
    </row>
    <row r="960">
      <c r="A960" s="153"/>
      <c r="B960" s="153"/>
      <c r="C960" s="153"/>
      <c r="D960" s="153"/>
    </row>
    <row r="961">
      <c r="A961" s="153"/>
      <c r="B961" s="153"/>
      <c r="C961" s="153"/>
      <c r="D961" s="153"/>
    </row>
    <row r="962">
      <c r="A962" s="153"/>
      <c r="B962" s="153"/>
      <c r="C962" s="153"/>
      <c r="D962" s="153"/>
    </row>
    <row r="963">
      <c r="A963" s="153"/>
      <c r="B963" s="153"/>
      <c r="C963" s="153"/>
      <c r="D963" s="153"/>
    </row>
    <row r="964">
      <c r="A964" s="153"/>
      <c r="B964" s="153"/>
      <c r="C964" s="153"/>
      <c r="D964" s="153"/>
    </row>
    <row r="965">
      <c r="A965" s="153"/>
      <c r="B965" s="153"/>
      <c r="C965" s="153"/>
      <c r="D965" s="153"/>
    </row>
    <row r="966">
      <c r="A966" s="153"/>
      <c r="B966" s="153"/>
      <c r="C966" s="153"/>
      <c r="D966" s="153"/>
    </row>
    <row r="967">
      <c r="A967" s="153"/>
      <c r="B967" s="153"/>
      <c r="C967" s="153"/>
      <c r="D967" s="153"/>
    </row>
    <row r="968">
      <c r="A968" s="153"/>
      <c r="B968" s="153"/>
      <c r="C968" s="153"/>
      <c r="D968" s="153"/>
    </row>
    <row r="969">
      <c r="A969" s="153"/>
      <c r="B969" s="153"/>
      <c r="C969" s="153"/>
      <c r="D969" s="153"/>
    </row>
    <row r="970">
      <c r="A970" s="153"/>
      <c r="B970" s="153"/>
      <c r="C970" s="153"/>
      <c r="D970" s="153"/>
    </row>
    <row r="971">
      <c r="A971" s="153"/>
      <c r="B971" s="153"/>
      <c r="C971" s="153"/>
      <c r="D971" s="153"/>
    </row>
    <row r="972">
      <c r="A972" s="153"/>
      <c r="B972" s="153"/>
      <c r="C972" s="153"/>
      <c r="D972" s="153"/>
    </row>
    <row r="973">
      <c r="A973" s="153"/>
      <c r="B973" s="153"/>
      <c r="C973" s="153"/>
      <c r="D973" s="153"/>
    </row>
    <row r="974">
      <c r="A974" s="153"/>
      <c r="B974" s="153"/>
      <c r="C974" s="153"/>
      <c r="D974" s="153"/>
    </row>
    <row r="975">
      <c r="A975" s="153"/>
      <c r="B975" s="153"/>
      <c r="C975" s="153"/>
      <c r="D975" s="153"/>
    </row>
    <row r="976">
      <c r="A976" s="153"/>
      <c r="B976" s="153"/>
      <c r="C976" s="153"/>
      <c r="D976" s="153"/>
    </row>
    <row r="977">
      <c r="A977" s="153"/>
      <c r="B977" s="153"/>
      <c r="C977" s="153"/>
      <c r="D977" s="153"/>
    </row>
    <row r="978">
      <c r="A978" s="153"/>
      <c r="B978" s="153"/>
      <c r="C978" s="153"/>
      <c r="D978" s="153"/>
    </row>
    <row r="979">
      <c r="A979" s="153"/>
      <c r="B979" s="153"/>
      <c r="C979" s="153"/>
      <c r="D979" s="153"/>
    </row>
    <row r="980">
      <c r="A980" s="153"/>
      <c r="B980" s="153"/>
      <c r="C980" s="153"/>
      <c r="D980" s="153"/>
    </row>
    <row r="981">
      <c r="A981" s="153"/>
      <c r="B981" s="153"/>
      <c r="C981" s="153"/>
      <c r="D981" s="153"/>
    </row>
    <row r="982">
      <c r="A982" s="153"/>
      <c r="B982" s="153"/>
      <c r="C982" s="153"/>
      <c r="D982" s="153"/>
    </row>
    <row r="983">
      <c r="A983" s="153"/>
      <c r="B983" s="153"/>
      <c r="C983" s="153"/>
      <c r="D983" s="153"/>
    </row>
    <row r="984">
      <c r="A984" s="153"/>
      <c r="B984" s="153"/>
      <c r="C984" s="153"/>
      <c r="D984" s="153"/>
    </row>
    <row r="985">
      <c r="A985" s="153"/>
      <c r="B985" s="153"/>
      <c r="C985" s="153"/>
      <c r="D985" s="153"/>
    </row>
    <row r="986">
      <c r="A986" s="153"/>
      <c r="B986" s="153"/>
      <c r="C986" s="153"/>
      <c r="D986" s="153"/>
    </row>
    <row r="987">
      <c r="A987" s="153"/>
      <c r="B987" s="153"/>
      <c r="C987" s="153"/>
      <c r="D987" s="153"/>
    </row>
    <row r="988">
      <c r="A988" s="153"/>
      <c r="B988" s="153"/>
      <c r="C988" s="153"/>
      <c r="D988" s="153"/>
    </row>
    <row r="989">
      <c r="A989" s="153"/>
      <c r="B989" s="153"/>
      <c r="C989" s="153"/>
      <c r="D989" s="153"/>
    </row>
    <row r="990">
      <c r="A990" s="153"/>
      <c r="B990" s="153"/>
      <c r="C990" s="153"/>
      <c r="D990" s="153"/>
    </row>
    <row r="991">
      <c r="A991" s="153"/>
      <c r="B991" s="153"/>
      <c r="C991" s="153"/>
      <c r="D991" s="153"/>
    </row>
    <row r="992">
      <c r="A992" s="153"/>
      <c r="B992" s="153"/>
      <c r="C992" s="153"/>
      <c r="D992" s="153"/>
    </row>
    <row r="993">
      <c r="A993" s="153"/>
      <c r="B993" s="153"/>
      <c r="C993" s="153"/>
      <c r="D993" s="153"/>
    </row>
    <row r="994">
      <c r="A994" s="153"/>
      <c r="B994" s="153"/>
      <c r="C994" s="153"/>
      <c r="D994" s="153"/>
    </row>
    <row r="995">
      <c r="A995" s="153"/>
      <c r="B995" s="153"/>
      <c r="C995" s="153"/>
      <c r="D995" s="153"/>
    </row>
    <row r="996">
      <c r="A996" s="153"/>
      <c r="B996" s="153"/>
      <c r="C996" s="153"/>
      <c r="D996" s="153"/>
    </row>
    <row r="997">
      <c r="A997" s="153"/>
      <c r="B997" s="153"/>
      <c r="C997" s="153"/>
      <c r="D997" s="153"/>
    </row>
    <row r="998">
      <c r="A998" s="153"/>
      <c r="B998" s="153"/>
      <c r="C998" s="153"/>
      <c r="D998" s="153"/>
    </row>
    <row r="999">
      <c r="A999" s="153"/>
      <c r="B999" s="153"/>
      <c r="C999" s="153"/>
      <c r="D999" s="153"/>
    </row>
    <row r="1000">
      <c r="A1000" s="153" t="str">
        <f>IFERROR(__xludf.DUMMYFUNCTION("""COMPUTED_VALUE"""),"ANDERSON ID")</f>
        <v>ANDERSON ID</v>
      </c>
      <c r="B1000" s="153" t="str">
        <f>IFERROR(__xludf.DUMMYFUNCTION("""COMPUTED_VALUE"""),"CATEGORY")</f>
        <v>CATEGORY</v>
      </c>
      <c r="C1000" s="153" t="str">
        <f>IFERROR(__xludf.DUMMYFUNCTION("""COMPUTED_VALUE"""),"RAW DATA RECEIVED")</f>
        <v>RAW DATA RECEIVED</v>
      </c>
      <c r="D1000" s="153" t="str">
        <f>IFERROR(__xludf.DUMMYFUNCTION("""COMPUTED_VALUE"""),"ANDERSON TAT")</f>
        <v>ANDERSON TAT</v>
      </c>
    </row>
    <row r="1001">
      <c r="A1001" s="153" t="str">
        <f>IFERROR(__xludf.DUMMYFUNCTION("""COMPUTED_VALUE"""),"AND25150118518")</f>
        <v>AND25150118518</v>
      </c>
      <c r="B1001" s="153" t="str">
        <f>IFERROR(__xludf.DUMMYFUNCTION("""COMPUTED_VALUE"""),"WES")</f>
        <v>WES</v>
      </c>
      <c r="C1001" s="154">
        <f>IFERROR(__xludf.DUMMYFUNCTION("""COMPUTED_VALUE"""),46062.0)</f>
        <v>46062</v>
      </c>
      <c r="D1001" s="154">
        <f>IFERROR(__xludf.DUMMYFUNCTION("""COMPUTED_VALUE"""),46084.0)</f>
        <v>46084</v>
      </c>
    </row>
    <row r="1002">
      <c r="A1002" s="153" t="str">
        <f>IFERROR(__xludf.DUMMYFUNCTION("""COMPUTED_VALUE"""),"AND25380257617")</f>
        <v>AND25380257617</v>
      </c>
      <c r="B1002" s="153" t="str">
        <f>IFERROR(__xludf.DUMMYFUNCTION("""COMPUTED_VALUE"""),"WES")</f>
        <v>WES</v>
      </c>
      <c r="C1002" s="154">
        <f>IFERROR(__xludf.DUMMYFUNCTION("""COMPUTED_VALUE"""),46062.0)</f>
        <v>46062</v>
      </c>
      <c r="D1002" s="154">
        <f>IFERROR(__xludf.DUMMYFUNCTION("""COMPUTED_VALUE"""),46084.0)</f>
        <v>46084</v>
      </c>
    </row>
    <row r="1003">
      <c r="A1003" s="153" t="str">
        <f>IFERROR(__xludf.DUMMYFUNCTION("""COMPUTED_VALUE"""),"AND251H0005144")</f>
        <v>AND251H0005144</v>
      </c>
      <c r="B1003" s="153" t="str">
        <f>IFERROR(__xludf.DUMMYFUNCTION("""COMPUTED_VALUE"""),"CES")</f>
        <v>CES</v>
      </c>
      <c r="C1003" s="154">
        <f>IFERROR(__xludf.DUMMYFUNCTION("""COMPUTED_VALUE"""),46062.0)</f>
        <v>46062</v>
      </c>
      <c r="D1003" s="154">
        <f>IFERROR(__xludf.DUMMYFUNCTION("""COMPUTED_VALUE"""),46084.0)</f>
        <v>46084</v>
      </c>
    </row>
    <row r="1004">
      <c r="A1004" s="153" t="str">
        <f>IFERROR(__xludf.DUMMYFUNCTION("""COMPUTED_VALUE"""),"FR20000002608")</f>
        <v>FR20000002608</v>
      </c>
      <c r="B1004" s="153" t="str">
        <f>IFERROR(__xludf.DUMMYFUNCTION("""COMPUTED_VALUE"""),"WES")</f>
        <v>WES</v>
      </c>
      <c r="C1004" s="154">
        <f>IFERROR(__xludf.DUMMYFUNCTION("""COMPUTED_VALUE"""),46062.0)</f>
        <v>46062</v>
      </c>
      <c r="D1004" s="154">
        <f>IFERROR(__xludf.DUMMYFUNCTION("""COMPUTED_VALUE"""),46085.0)</f>
        <v>46085</v>
      </c>
    </row>
    <row r="1005">
      <c r="A1005" s="153" t="str">
        <f>IFERROR(__xludf.DUMMYFUNCTION("""COMPUTED_VALUE"""),"ADB0000022522")</f>
        <v>ADB0000022522</v>
      </c>
      <c r="B1005" s="153" t="str">
        <f>IFERROR(__xludf.DUMMYFUNCTION("""COMPUTED_VALUE"""),"WES")</f>
        <v>WES</v>
      </c>
      <c r="C1005" s="154">
        <f>IFERROR(__xludf.DUMMYFUNCTION("""COMPUTED_VALUE"""),46062.0)</f>
        <v>46062</v>
      </c>
      <c r="D1005" s="154">
        <f>IFERROR(__xludf.DUMMYFUNCTION("""COMPUTED_VALUE"""),46085.0)</f>
        <v>46085</v>
      </c>
    </row>
    <row r="1006">
      <c r="A1006" s="153" t="str">
        <f>IFERROR(__xludf.DUMMYFUNCTION("""COMPUTED_VALUE"""),"ADH0000011670")</f>
        <v>ADH0000011670</v>
      </c>
      <c r="B1006" s="153" t="str">
        <f>IFERROR(__xludf.DUMMYFUNCTION("""COMPUTED_VALUE"""),"WES")</f>
        <v>WES</v>
      </c>
      <c r="C1006" s="154">
        <f>IFERROR(__xludf.DUMMYFUNCTION("""COMPUTED_VALUE"""),46062.0)</f>
        <v>46062</v>
      </c>
      <c r="D1006" s="154">
        <f>IFERROR(__xludf.DUMMYFUNCTION("""COMPUTED_VALUE"""),46085.0)</f>
        <v>46085</v>
      </c>
    </row>
    <row r="1007">
      <c r="A1007" s="153" t="str">
        <f>IFERROR(__xludf.DUMMYFUNCTION("""COMPUTED_VALUE"""),"AND25380257871")</f>
        <v>AND25380257871</v>
      </c>
      <c r="B1007" s="153" t="str">
        <f>IFERROR(__xludf.DUMMYFUNCTION("""COMPUTED_VALUE"""),"WES")</f>
        <v>WES</v>
      </c>
      <c r="C1007" s="154">
        <f>IFERROR(__xludf.DUMMYFUNCTION("""COMPUTED_VALUE"""),46062.0)</f>
        <v>46062</v>
      </c>
      <c r="D1007" s="154">
        <f>IFERROR(__xludf.DUMMYFUNCTION("""COMPUTED_VALUE"""),46085.0)</f>
        <v>46085</v>
      </c>
    </row>
    <row r="1008">
      <c r="A1008" s="153" t="str">
        <f>IFERROR(__xludf.DUMMYFUNCTION("""COMPUTED_VALUE"""),"AND25020068792")</f>
        <v>AND25020068792</v>
      </c>
      <c r="B1008" s="153" t="str">
        <f>IFERROR(__xludf.DUMMYFUNCTION("""COMPUTED_VALUE"""),"WES+WMGS")</f>
        <v>WES+WMGS</v>
      </c>
      <c r="C1008" s="154">
        <f>IFERROR(__xludf.DUMMYFUNCTION("""COMPUTED_VALUE"""),46062.0)</f>
        <v>46062</v>
      </c>
      <c r="D1008" s="154">
        <f>IFERROR(__xludf.DUMMYFUNCTION("""COMPUTED_VALUE"""),46085.0)</f>
        <v>46085</v>
      </c>
    </row>
    <row r="1009">
      <c r="A1009" s="153" t="str">
        <f>IFERROR(__xludf.DUMMYFUNCTION("""COMPUTED_VALUE"""),"AND25020068745")</f>
        <v>AND25020068745</v>
      </c>
      <c r="B1009" s="153" t="str">
        <f>IFERROR(__xludf.DUMMYFUNCTION("""COMPUTED_VALUE"""),"WES+WMGS")</f>
        <v>WES+WMGS</v>
      </c>
      <c r="C1009" s="154">
        <f>IFERROR(__xludf.DUMMYFUNCTION("""COMPUTED_VALUE"""),46062.0)</f>
        <v>46062</v>
      </c>
      <c r="D1009" s="154">
        <f>IFERROR(__xludf.DUMMYFUNCTION("""COMPUTED_VALUE"""),46085.0)</f>
        <v>46085</v>
      </c>
    </row>
    <row r="1010">
      <c r="A1010" s="153" t="str">
        <f>IFERROR(__xludf.DUMMYFUNCTION("""COMPUTED_VALUE"""),"ADH0000011771")</f>
        <v>ADH0000011771</v>
      </c>
      <c r="B1010" s="153" t="str">
        <f>IFERROR(__xludf.DUMMYFUNCTION("""COMPUTED_VALUE"""),"WES")</f>
        <v>WES</v>
      </c>
      <c r="C1010" s="154">
        <f>IFERROR(__xludf.DUMMYFUNCTION("""COMPUTED_VALUE"""),46062.0)</f>
        <v>46062</v>
      </c>
      <c r="D1010" s="154">
        <f>IFERROR(__xludf.DUMMYFUNCTION("""COMPUTED_VALUE"""),46086.0)</f>
        <v>46086</v>
      </c>
    </row>
    <row r="1011">
      <c r="A1011" s="153" t="str">
        <f>IFERROR(__xludf.DUMMYFUNCTION("""COMPUTED_VALUE"""),"AMB0000005373")</f>
        <v>AMB0000005373</v>
      </c>
      <c r="B1011" s="153" t="str">
        <f>IFERROR(__xludf.DUMMYFUNCTION("""COMPUTED_VALUE"""),"WES")</f>
        <v>WES</v>
      </c>
      <c r="C1011" s="154">
        <f>IFERROR(__xludf.DUMMYFUNCTION("""COMPUTED_VALUE"""),46062.0)</f>
        <v>46062</v>
      </c>
      <c r="D1011" s="154">
        <f>IFERROR(__xludf.DUMMYFUNCTION("""COMPUTED_VALUE"""),46085.0)</f>
        <v>46085</v>
      </c>
    </row>
    <row r="1012">
      <c r="A1012" s="153" t="str">
        <f>IFERROR(__xludf.DUMMYFUNCTION("""COMPUTED_VALUE"""),"AND25380258146")</f>
        <v>AND25380258146</v>
      </c>
      <c r="B1012" s="153" t="str">
        <f>IFERROR(__xludf.DUMMYFUNCTION("""COMPUTED_VALUE"""),"WES")</f>
        <v>WES</v>
      </c>
      <c r="C1012" s="154">
        <f>IFERROR(__xludf.DUMMYFUNCTION("""COMPUTED_VALUE"""),46062.0)</f>
        <v>46062</v>
      </c>
      <c r="D1012" s="154">
        <f>IFERROR(__xludf.DUMMYFUNCTION("""COMPUTED_VALUE"""),46085.0)</f>
        <v>46085</v>
      </c>
    </row>
    <row r="1013">
      <c r="A1013" s="153" t="str">
        <f>IFERROR(__xludf.DUMMYFUNCTION("""COMPUTED_VALUE"""),"AND25380258147")</f>
        <v>AND25380258147</v>
      </c>
      <c r="B1013" s="153" t="str">
        <f>IFERROR(__xludf.DUMMYFUNCTION("""COMPUTED_VALUE"""),"WES")</f>
        <v>WES</v>
      </c>
      <c r="C1013" s="154">
        <f>IFERROR(__xludf.DUMMYFUNCTION("""COMPUTED_VALUE"""),46062.0)</f>
        <v>46062</v>
      </c>
      <c r="D1013" s="154">
        <f>IFERROR(__xludf.DUMMYFUNCTION("""COMPUTED_VALUE"""),46085.0)</f>
        <v>46085</v>
      </c>
    </row>
    <row r="1014">
      <c r="A1014" s="153" t="str">
        <f>IFERROR(__xludf.DUMMYFUNCTION("""COMPUTED_VALUE"""),"AND25630004707")</f>
        <v>AND25630004707</v>
      </c>
      <c r="B1014" s="153" t="str">
        <f>IFERROR(__xludf.DUMMYFUNCTION("""COMPUTED_VALUE"""),"WES+WMGS")</f>
        <v>WES+WMGS</v>
      </c>
      <c r="C1014" s="154">
        <f>IFERROR(__xludf.DUMMYFUNCTION("""COMPUTED_VALUE"""),46062.0)</f>
        <v>46062</v>
      </c>
      <c r="D1014" s="154">
        <f>IFERROR(__xludf.DUMMYFUNCTION("""COMPUTED_VALUE"""),46085.0)</f>
        <v>46085</v>
      </c>
    </row>
    <row r="1015">
      <c r="A1015" s="153" t="str">
        <f>IFERROR(__xludf.DUMMYFUNCTION("""COMPUTED_VALUE"""),"AND251S0004226")</f>
        <v>AND251S0004226</v>
      </c>
      <c r="B1015" s="153" t="str">
        <f>IFERROR(__xludf.DUMMYFUNCTION("""COMPUTED_VALUE"""),"Male Infertility NGS panel")</f>
        <v>Male Infertility NGS panel</v>
      </c>
      <c r="C1015" s="154">
        <f>IFERROR(__xludf.DUMMYFUNCTION("""COMPUTED_VALUE"""),46062.0)</f>
        <v>46062</v>
      </c>
      <c r="D1015" s="154">
        <f>IFERROR(__xludf.DUMMYFUNCTION("""COMPUTED_VALUE"""),46071.0)</f>
        <v>46071</v>
      </c>
    </row>
    <row r="1016">
      <c r="A1016" s="153" t="str">
        <f>IFERROR(__xludf.DUMMYFUNCTION("""COMPUTED_VALUE"""),"FR20000002643")</f>
        <v>FR20000002643</v>
      </c>
      <c r="B1016" s="153" t="str">
        <f>IFERROR(__xludf.DUMMYFUNCTION("""COMPUTED_VALUE"""),"WES")</f>
        <v>WES</v>
      </c>
      <c r="C1016" s="154">
        <f>IFERROR(__xludf.DUMMYFUNCTION("""COMPUTED_VALUE"""),46062.0)</f>
        <v>46062</v>
      </c>
      <c r="D1016" s="154">
        <f>IFERROR(__xludf.DUMMYFUNCTION("""COMPUTED_VALUE"""),46086.0)</f>
        <v>46086</v>
      </c>
    </row>
    <row r="1017">
      <c r="A1017" s="153" t="str">
        <f>IFERROR(__xludf.DUMMYFUNCTION("""COMPUTED_VALUE"""),"AND25290015417")</f>
        <v>AND25290015417</v>
      </c>
      <c r="B1017" s="153" t="str">
        <f>IFERROR(__xludf.DUMMYFUNCTION("""COMPUTED_VALUE"""),"Familial Hypercholestremia gene panel")</f>
        <v>Familial Hypercholestremia gene panel</v>
      </c>
      <c r="C1017" s="154">
        <f>IFERROR(__xludf.DUMMYFUNCTION("""COMPUTED_VALUE"""),46062.0)</f>
        <v>46062</v>
      </c>
      <c r="D1017" s="154">
        <f>IFERROR(__xludf.DUMMYFUNCTION("""COMPUTED_VALUE"""),46086.0)</f>
        <v>46086</v>
      </c>
    </row>
    <row r="1018">
      <c r="A1018" s="153" t="str">
        <f>IFERROR(__xludf.DUMMYFUNCTION("""COMPUTED_VALUE"""),"AND25850007859")</f>
        <v>AND25850007859</v>
      </c>
      <c r="B1018" s="153" t="str">
        <f>IFERROR(__xludf.DUMMYFUNCTION("""COMPUTED_VALUE"""),"MALE INFERTILITY NGS PANEL")</f>
        <v>MALE INFERTILITY NGS PANEL</v>
      </c>
      <c r="C1018" s="154">
        <f>IFERROR(__xludf.DUMMYFUNCTION("""COMPUTED_VALUE"""),46062.0)</f>
        <v>46062</v>
      </c>
      <c r="D1018" s="154">
        <f>IFERROR(__xludf.DUMMYFUNCTION("""COMPUTED_VALUE"""),46071.0)</f>
        <v>46071</v>
      </c>
    </row>
    <row r="1019">
      <c r="A1019" s="153" t="str">
        <f>IFERROR(__xludf.DUMMYFUNCTION("""COMPUTED_VALUE"""),"AND25850007860")</f>
        <v>AND25850007860</v>
      </c>
      <c r="B1019" s="153" t="str">
        <f>IFERROR(__xludf.DUMMYFUNCTION("""COMPUTED_VALUE"""),"FEMALE INFERTILITY NGS PANEL")</f>
        <v>FEMALE INFERTILITY NGS PANEL</v>
      </c>
      <c r="C1019" s="154">
        <f>IFERROR(__xludf.DUMMYFUNCTION("""COMPUTED_VALUE"""),46062.0)</f>
        <v>46062</v>
      </c>
      <c r="D1019" s="154">
        <f>IFERROR(__xludf.DUMMYFUNCTION("""COMPUTED_VALUE"""),46071.0)</f>
        <v>46071</v>
      </c>
    </row>
    <row r="1020">
      <c r="A1020" s="153" t="str">
        <f>IFERROR(__xludf.DUMMYFUNCTION("""COMPUTED_VALUE"""),"AMB0000005409")</f>
        <v>AMB0000005409</v>
      </c>
      <c r="B1020" s="153" t="str">
        <f>IFERROR(__xludf.DUMMYFUNCTION("""COMPUTED_VALUE"""),"WES")</f>
        <v>WES</v>
      </c>
      <c r="C1020" s="154">
        <f>IFERROR(__xludf.DUMMYFUNCTION("""COMPUTED_VALUE"""),46062.0)</f>
        <v>46062</v>
      </c>
      <c r="D1020" s="154">
        <f>IFERROR(__xludf.DUMMYFUNCTION("""COMPUTED_VALUE"""),46086.0)</f>
        <v>46086</v>
      </c>
    </row>
    <row r="1021">
      <c r="A1021" s="153" t="str">
        <f>IFERROR(__xludf.DUMMYFUNCTION("""COMPUTED_VALUE"""),"AMB0000005410")</f>
        <v>AMB0000005410</v>
      </c>
      <c r="B1021" s="153" t="str">
        <f>IFERROR(__xludf.DUMMYFUNCTION("""COMPUTED_VALUE"""),"WES")</f>
        <v>WES</v>
      </c>
      <c r="C1021" s="154">
        <f>IFERROR(__xludf.DUMMYFUNCTION("""COMPUTED_VALUE"""),46062.0)</f>
        <v>46062</v>
      </c>
      <c r="D1021" s="154">
        <f>IFERROR(__xludf.DUMMYFUNCTION("""COMPUTED_VALUE"""),46086.0)</f>
        <v>46086</v>
      </c>
    </row>
    <row r="1022">
      <c r="A1022" s="153" t="str">
        <f>IFERROR(__xludf.DUMMYFUNCTION("""COMPUTED_VALUE"""),"AND25630004768")</f>
        <v>AND25630004768</v>
      </c>
      <c r="B1022" s="153" t="str">
        <f>IFERROR(__xludf.DUMMYFUNCTION("""COMPUTED_VALUE"""),"WES")</f>
        <v>WES</v>
      </c>
      <c r="C1022" s="154">
        <f>IFERROR(__xludf.DUMMYFUNCTION("""COMPUTED_VALUE"""),46062.0)</f>
        <v>46062</v>
      </c>
      <c r="D1022" s="154">
        <f>IFERROR(__xludf.DUMMYFUNCTION("""COMPUTED_VALUE"""),46077.0)</f>
        <v>46077</v>
      </c>
    </row>
    <row r="1023">
      <c r="A1023" s="153" t="str">
        <f>IFERROR(__xludf.DUMMYFUNCTION("""COMPUTED_VALUE"""),"AND25630004782")</f>
        <v>AND25630004782</v>
      </c>
      <c r="B1023" s="153" t="str">
        <f>IFERROR(__xludf.DUMMYFUNCTION("""COMPUTED_VALUE"""),"WES")</f>
        <v>WES</v>
      </c>
      <c r="C1023" s="154">
        <f>IFERROR(__xludf.DUMMYFUNCTION("""COMPUTED_VALUE"""),46062.0)</f>
        <v>46062</v>
      </c>
      <c r="D1023" s="154">
        <f>IFERROR(__xludf.DUMMYFUNCTION("""COMPUTED_VALUE"""),46077.0)</f>
        <v>46077</v>
      </c>
    </row>
    <row r="1024">
      <c r="A1024" s="153" t="str">
        <f>IFERROR(__xludf.DUMMYFUNCTION("""COMPUTED_VALUE"""),"AND25630004769")</f>
        <v>AND25630004769</v>
      </c>
      <c r="B1024" s="153" t="str">
        <f>IFERROR(__xludf.DUMMYFUNCTION("""COMPUTED_VALUE"""),"WES")</f>
        <v>WES</v>
      </c>
      <c r="C1024" s="154">
        <f>IFERROR(__xludf.DUMMYFUNCTION("""COMPUTED_VALUE"""),46062.0)</f>
        <v>46062</v>
      </c>
      <c r="D1024" s="154">
        <f>IFERROR(__xludf.DUMMYFUNCTION("""COMPUTED_VALUE"""),46077.0)</f>
        <v>46077</v>
      </c>
    </row>
    <row r="1025">
      <c r="A1025" s="153" t="str">
        <f>IFERROR(__xludf.DUMMYFUNCTION("""COMPUTED_VALUE"""),"AND25630004779")</f>
        <v>AND25630004779</v>
      </c>
      <c r="B1025" s="153" t="str">
        <f>IFERROR(__xludf.DUMMYFUNCTION("""COMPUTED_VALUE"""),"WES")</f>
        <v>WES</v>
      </c>
      <c r="C1025" s="154">
        <f>IFERROR(__xludf.DUMMYFUNCTION("""COMPUTED_VALUE"""),46062.0)</f>
        <v>46062</v>
      </c>
      <c r="D1025" s="154">
        <f>IFERROR(__xludf.DUMMYFUNCTION("""COMPUTED_VALUE"""),46078.0)</f>
        <v>46078</v>
      </c>
    </row>
    <row r="1026">
      <c r="A1026" s="153" t="str">
        <f>IFERROR(__xludf.DUMMYFUNCTION("""COMPUTED_VALUE"""),"AND25630004780")</f>
        <v>AND25630004780</v>
      </c>
      <c r="B1026" s="153" t="str">
        <f>IFERROR(__xludf.DUMMYFUNCTION("""COMPUTED_VALUE"""),"WES")</f>
        <v>WES</v>
      </c>
      <c r="C1026" s="154">
        <f>IFERROR(__xludf.DUMMYFUNCTION("""COMPUTED_VALUE"""),46062.0)</f>
        <v>46062</v>
      </c>
      <c r="D1026" s="154">
        <f>IFERROR(__xludf.DUMMYFUNCTION("""COMPUTED_VALUE"""),46078.0)</f>
        <v>46078</v>
      </c>
    </row>
    <row r="1027">
      <c r="A1027" s="153" t="str">
        <f>IFERROR(__xludf.DUMMYFUNCTION("""COMPUTED_VALUE"""),"AND25630004781")</f>
        <v>AND25630004781</v>
      </c>
      <c r="B1027" s="153" t="str">
        <f>IFERROR(__xludf.DUMMYFUNCTION("""COMPUTED_VALUE"""),"WES")</f>
        <v>WES</v>
      </c>
      <c r="C1027" s="154">
        <f>IFERROR(__xludf.DUMMYFUNCTION("""COMPUTED_VALUE"""),46062.0)</f>
        <v>46062</v>
      </c>
      <c r="D1027" s="154">
        <f>IFERROR(__xludf.DUMMYFUNCTION("""COMPUTED_VALUE"""),46078.0)</f>
        <v>46078</v>
      </c>
    </row>
    <row r="1028">
      <c r="A1028" s="153" t="str">
        <f>IFERROR(__xludf.DUMMYFUNCTION("""COMPUTED_VALUE"""),"AND25020069513")</f>
        <v>AND25020069513</v>
      </c>
      <c r="B1028" s="153" t="str">
        <f>IFERROR(__xludf.DUMMYFUNCTION("""COMPUTED_VALUE"""),"WES+WMGS")</f>
        <v>WES+WMGS</v>
      </c>
      <c r="C1028" s="154">
        <f>IFERROR(__xludf.DUMMYFUNCTION("""COMPUTED_VALUE"""),46066.0)</f>
        <v>46066</v>
      </c>
      <c r="D1028" s="154">
        <f>IFERROR(__xludf.DUMMYFUNCTION("""COMPUTED_VALUE"""),46085.0)</f>
        <v>46085</v>
      </c>
    </row>
    <row r="1029">
      <c r="A1029" s="153" t="str">
        <f>IFERROR(__xludf.DUMMYFUNCTION("""COMPUTED_VALUE"""),"AND25020069512")</f>
        <v>AND25020069512</v>
      </c>
      <c r="B1029" s="153" t="str">
        <f>IFERROR(__xludf.DUMMYFUNCTION("""COMPUTED_VALUE"""),"WES+WMGS")</f>
        <v>WES+WMGS</v>
      </c>
      <c r="C1029" s="154">
        <f>IFERROR(__xludf.DUMMYFUNCTION("""COMPUTED_VALUE"""),46066.0)</f>
        <v>46066</v>
      </c>
      <c r="D1029" s="154">
        <f>IFERROR(__xludf.DUMMYFUNCTION("""COMPUTED_VALUE"""),46085.0)</f>
        <v>46085</v>
      </c>
    </row>
    <row r="1030">
      <c r="A1030" s="153" t="str">
        <f>IFERROR(__xludf.DUMMYFUNCTION("""COMPUTED_VALUE"""),"AND25020069197")</f>
        <v>AND25020069197</v>
      </c>
      <c r="B1030" s="153" t="str">
        <f>IFERROR(__xludf.DUMMYFUNCTION("""COMPUTED_VALUE"""),"WES+WMGS")</f>
        <v>WES+WMGS</v>
      </c>
      <c r="C1030" s="154">
        <f>IFERROR(__xludf.DUMMYFUNCTION("""COMPUTED_VALUE"""),46066.0)</f>
        <v>46066</v>
      </c>
      <c r="D1030" s="154">
        <f>IFERROR(__xludf.DUMMYFUNCTION("""COMPUTED_VALUE"""),46083.0)</f>
        <v>46083</v>
      </c>
    </row>
    <row r="1031">
      <c r="A1031" s="153" t="str">
        <f>IFERROR(__xludf.DUMMYFUNCTION("""COMPUTED_VALUE"""),"AND25630004759")</f>
        <v>AND25630004759</v>
      </c>
      <c r="B1031" s="153" t="str">
        <f>IFERROR(__xludf.DUMMYFUNCTION("""COMPUTED_VALUE"""),"WES+WMGS")</f>
        <v>WES+WMGS</v>
      </c>
      <c r="C1031" s="154">
        <f>IFERROR(__xludf.DUMMYFUNCTION("""COMPUTED_VALUE"""),46066.0)</f>
        <v>46066</v>
      </c>
      <c r="D1031" s="154">
        <f>IFERROR(__xludf.DUMMYFUNCTION("""COMPUTED_VALUE"""),46083.0)</f>
        <v>46083</v>
      </c>
    </row>
    <row r="1032">
      <c r="A1032" s="153" t="str">
        <f>IFERROR(__xludf.DUMMYFUNCTION("""COMPUTED_VALUE"""),"AND25630004760")</f>
        <v>AND25630004760</v>
      </c>
      <c r="B1032" s="153" t="str">
        <f>IFERROR(__xludf.DUMMYFUNCTION("""COMPUTED_VALUE"""),"WES+WMGS")</f>
        <v>WES+WMGS</v>
      </c>
      <c r="C1032" s="154">
        <f>IFERROR(__xludf.DUMMYFUNCTION("""COMPUTED_VALUE"""),46066.0)</f>
        <v>46066</v>
      </c>
      <c r="D1032" s="154">
        <f>IFERROR(__xludf.DUMMYFUNCTION("""COMPUTED_VALUE"""),46083.0)</f>
        <v>46083</v>
      </c>
    </row>
    <row r="1033">
      <c r="A1033" s="153" t="str">
        <f>IFERROR(__xludf.DUMMYFUNCTION("""COMPUTED_VALUE"""),"AND25630004761")</f>
        <v>AND25630004761</v>
      </c>
      <c r="B1033" s="153" t="str">
        <f>IFERROR(__xludf.DUMMYFUNCTION("""COMPUTED_VALUE"""),"WES+WMGS")</f>
        <v>WES+WMGS</v>
      </c>
      <c r="C1033" s="154">
        <f>IFERROR(__xludf.DUMMYFUNCTION("""COMPUTED_VALUE"""),46066.0)</f>
        <v>46066</v>
      </c>
      <c r="D1033" s="154">
        <f>IFERROR(__xludf.DUMMYFUNCTION("""COMPUTED_VALUE"""),46083.0)</f>
        <v>46083</v>
      </c>
    </row>
    <row r="1034">
      <c r="A1034" s="153" t="str">
        <f>IFERROR(__xludf.DUMMYFUNCTION("""COMPUTED_VALUE"""),"AND25400039212")</f>
        <v>AND25400039212</v>
      </c>
      <c r="B1034" s="153" t="str">
        <f>IFERROR(__xludf.DUMMYFUNCTION("""COMPUTED_VALUE"""),"CES")</f>
        <v>CES</v>
      </c>
      <c r="C1034" s="154">
        <f>IFERROR(__xludf.DUMMYFUNCTION("""COMPUTED_VALUE"""),46066.0)</f>
        <v>46066</v>
      </c>
      <c r="D1034" s="154">
        <f>IFERROR(__xludf.DUMMYFUNCTION("""COMPUTED_VALUE"""),46083.0)</f>
        <v>46083</v>
      </c>
    </row>
    <row r="1035">
      <c r="A1035" s="153" t="str">
        <f>IFERROR(__xludf.DUMMYFUNCTION("""COMPUTED_VALUE"""),"ADB0000023040")</f>
        <v>ADB0000023040</v>
      </c>
      <c r="B1035" s="153" t="str">
        <f>IFERROR(__xludf.DUMMYFUNCTION("""COMPUTED_VALUE"""),"FEMALE INFERTILITY NGS PANEL")</f>
        <v>FEMALE INFERTILITY NGS PANEL</v>
      </c>
      <c r="C1035" s="154">
        <f>IFERROR(__xludf.DUMMYFUNCTION("""COMPUTED_VALUE"""),46066.0)</f>
        <v>46066</v>
      </c>
      <c r="D1035" s="154">
        <f>IFERROR(__xludf.DUMMYFUNCTION("""COMPUTED_VALUE"""),46071.0)</f>
        <v>46071</v>
      </c>
    </row>
    <row r="1036">
      <c r="A1036" s="153" t="str">
        <f>IFERROR(__xludf.DUMMYFUNCTION("""COMPUTED_VALUE"""),"AND25540001230")</f>
        <v>AND25540001230</v>
      </c>
      <c r="B1036" s="153" t="str">
        <f>IFERROR(__xludf.DUMMYFUNCTION("""COMPUTED_VALUE"""),"WES+WMGS")</f>
        <v>WES+WMGS</v>
      </c>
      <c r="C1036" s="154">
        <f>IFERROR(__xludf.DUMMYFUNCTION("""COMPUTED_VALUE"""),46066.0)</f>
        <v>46066</v>
      </c>
      <c r="D1036" s="154">
        <f>IFERROR(__xludf.DUMMYFUNCTION("""COMPUTED_VALUE"""),46084.0)</f>
        <v>46084</v>
      </c>
    </row>
    <row r="1037">
      <c r="A1037" s="153" t="str">
        <f>IFERROR(__xludf.DUMMYFUNCTION("""COMPUTED_VALUE"""),"AND25020069448")</f>
        <v>AND25020069448</v>
      </c>
      <c r="B1037" s="153" t="str">
        <f>IFERROR(__xludf.DUMMYFUNCTION("""COMPUTED_VALUE"""),"WES+WMGS")</f>
        <v>WES+WMGS</v>
      </c>
      <c r="C1037" s="154">
        <f>IFERROR(__xludf.DUMMYFUNCTION("""COMPUTED_VALUE"""),46066.0)</f>
        <v>46066</v>
      </c>
      <c r="D1037" s="154">
        <f>IFERROR(__xludf.DUMMYFUNCTION("""COMPUTED_VALUE"""),46084.0)</f>
        <v>46084</v>
      </c>
    </row>
    <row r="1038">
      <c r="A1038" s="153" t="str">
        <f>IFERROR(__xludf.DUMMYFUNCTION("""COMPUTED_VALUE"""),"AND25380262279")</f>
        <v>AND25380262279</v>
      </c>
      <c r="B1038" s="153" t="str">
        <f>IFERROR(__xludf.DUMMYFUNCTION("""COMPUTED_VALUE"""),"WES")</f>
        <v>WES</v>
      </c>
      <c r="C1038" s="154">
        <f>IFERROR(__xludf.DUMMYFUNCTION("""COMPUTED_VALUE"""),46066.0)</f>
        <v>46066</v>
      </c>
      <c r="D1038" s="154">
        <f>IFERROR(__xludf.DUMMYFUNCTION("""COMPUTED_VALUE"""),46083.0)</f>
        <v>46083</v>
      </c>
    </row>
    <row r="1039">
      <c r="A1039" s="153" t="str">
        <f>IFERROR(__xludf.DUMMYFUNCTION("""COMPUTED_VALUE"""),"AND25420006943")</f>
        <v>AND25420006943</v>
      </c>
      <c r="B1039" s="153" t="str">
        <f>IFERROR(__xludf.DUMMYFUNCTION("""COMPUTED_VALUE"""),"ADVAT Focus carrier screening - NGS")</f>
        <v>ADVAT Focus carrier screening - NGS</v>
      </c>
      <c r="C1039" s="154">
        <f>IFERROR(__xludf.DUMMYFUNCTION("""COMPUTED_VALUE"""),46066.0)</f>
        <v>46066</v>
      </c>
      <c r="D1039" s="154">
        <f>IFERROR(__xludf.DUMMYFUNCTION("""COMPUTED_VALUE"""),46084.0)</f>
        <v>46084</v>
      </c>
    </row>
    <row r="1040">
      <c r="A1040" s="153" t="str">
        <f>IFERROR(__xludf.DUMMYFUNCTION("""COMPUTED_VALUE"""),"AND25420006944")</f>
        <v>AND25420006944</v>
      </c>
      <c r="B1040" s="153" t="str">
        <f>IFERROR(__xludf.DUMMYFUNCTION("""COMPUTED_VALUE"""),"ADVAT Focus carrier screening - NGS")</f>
        <v>ADVAT Focus carrier screening - NGS</v>
      </c>
      <c r="C1040" s="154">
        <f>IFERROR(__xludf.DUMMYFUNCTION("""COMPUTED_VALUE"""),46066.0)</f>
        <v>46066</v>
      </c>
      <c r="D1040" s="154">
        <f>IFERROR(__xludf.DUMMYFUNCTION("""COMPUTED_VALUE"""),46084.0)</f>
        <v>46084</v>
      </c>
    </row>
    <row r="1041">
      <c r="A1041" s="153" t="str">
        <f>IFERROR(__xludf.DUMMYFUNCTION("""COMPUTED_VALUE"""),"ADB0000023086")</f>
        <v>ADB0000023086</v>
      </c>
      <c r="B1041" s="153" t="str">
        <f>IFERROR(__xludf.DUMMYFUNCTION("""COMPUTED_VALUE"""),"WES")</f>
        <v>WES</v>
      </c>
      <c r="C1041" s="154">
        <f>IFERROR(__xludf.DUMMYFUNCTION("""COMPUTED_VALUE"""),46066.0)</f>
        <v>46066</v>
      </c>
      <c r="D1041" s="154">
        <f>IFERROR(__xludf.DUMMYFUNCTION("""COMPUTED_VALUE"""),46084.0)</f>
        <v>46084</v>
      </c>
    </row>
    <row r="1042">
      <c r="A1042" s="153" t="str">
        <f>IFERROR(__xludf.DUMMYFUNCTION("""COMPUTED_VALUE"""),"AND25020069449")</f>
        <v>AND25020069449</v>
      </c>
      <c r="B1042" s="153" t="str">
        <f>IFERROR(__xludf.DUMMYFUNCTION("""COMPUTED_VALUE"""),"WES+WMGS")</f>
        <v>WES+WMGS</v>
      </c>
      <c r="C1042" s="154">
        <f>IFERROR(__xludf.DUMMYFUNCTION("""COMPUTED_VALUE"""),46066.0)</f>
        <v>46066</v>
      </c>
      <c r="D1042" s="154">
        <f>IFERROR(__xludf.DUMMYFUNCTION("""COMPUTED_VALUE"""),46085.0)</f>
        <v>46085</v>
      </c>
    </row>
    <row r="1043">
      <c r="A1043" s="153" t="str">
        <f>IFERROR(__xludf.DUMMYFUNCTION("""COMPUTED_VALUE"""),"AND25380261159")</f>
        <v>AND25380261159</v>
      </c>
      <c r="B1043" s="153" t="str">
        <f>IFERROR(__xludf.DUMMYFUNCTION("""COMPUTED_VALUE"""),"WES")</f>
        <v>WES</v>
      </c>
      <c r="C1043" s="154">
        <f>IFERROR(__xludf.DUMMYFUNCTION("""COMPUTED_VALUE"""),46066.0)</f>
        <v>46066</v>
      </c>
      <c r="D1043" s="154">
        <f>IFERROR(__xludf.DUMMYFUNCTION("""COMPUTED_VALUE"""),46083.0)</f>
        <v>46083</v>
      </c>
    </row>
    <row r="1044">
      <c r="A1044" s="153" t="str">
        <f>IFERROR(__xludf.DUMMYFUNCTION("""COMPUTED_VALUE"""),"AND25420006954")</f>
        <v>AND25420006954</v>
      </c>
      <c r="B1044" s="153" t="str">
        <f>IFERROR(__xludf.DUMMYFUNCTION("""COMPUTED_VALUE"""),"COMPREHENSIVE CARRIER SCREENING")</f>
        <v>COMPREHENSIVE CARRIER SCREENING</v>
      </c>
      <c r="C1044" s="154">
        <f>IFERROR(__xludf.DUMMYFUNCTION("""COMPUTED_VALUE"""),46066.0)</f>
        <v>46066</v>
      </c>
      <c r="D1044" s="154">
        <f>IFERROR(__xludf.DUMMYFUNCTION("""COMPUTED_VALUE"""),46084.0)</f>
        <v>46084</v>
      </c>
    </row>
    <row r="1045">
      <c r="A1045" s="153" t="str">
        <f>IFERROR(__xludf.DUMMYFUNCTION("""COMPUTED_VALUE"""),"AND25420006955")</f>
        <v>AND25420006955</v>
      </c>
      <c r="B1045" s="153" t="str">
        <f>IFERROR(__xludf.DUMMYFUNCTION("""COMPUTED_VALUE"""),"WES")</f>
        <v>WES</v>
      </c>
      <c r="C1045" s="154">
        <f>IFERROR(__xludf.DUMMYFUNCTION("""COMPUTED_VALUE"""),46066.0)</f>
        <v>46066</v>
      </c>
      <c r="D1045" s="154">
        <f>IFERROR(__xludf.DUMMYFUNCTION("""COMPUTED_VALUE"""),46084.0)</f>
        <v>46084</v>
      </c>
    </row>
    <row r="1046">
      <c r="A1046" s="153" t="str">
        <f>IFERROR(__xludf.DUMMYFUNCTION("""COMPUTED_VALUE"""),"AND251S0004291")</f>
        <v>AND251S0004291</v>
      </c>
      <c r="B1046" s="153" t="str">
        <f>IFERROR(__xludf.DUMMYFUNCTION("""COMPUTED_VALUE"""),"Male Infertility NGS panel")</f>
        <v>Male Infertility NGS panel</v>
      </c>
      <c r="C1046" s="154">
        <f>IFERROR(__xludf.DUMMYFUNCTION("""COMPUTED_VALUE"""),46066.0)</f>
        <v>46066</v>
      </c>
      <c r="D1046" s="154">
        <f>IFERROR(__xludf.DUMMYFUNCTION("""COMPUTED_VALUE"""),46074.0)</f>
        <v>46074</v>
      </c>
    </row>
    <row r="1047">
      <c r="A1047" s="153" t="str">
        <f>IFERROR(__xludf.DUMMYFUNCTION("""COMPUTED_VALUE"""),"AND251H0005245")</f>
        <v>AND251H0005245</v>
      </c>
      <c r="B1047" s="153" t="str">
        <f>IFERROR(__xludf.DUMMYFUNCTION("""COMPUTED_VALUE"""),"WES")</f>
        <v>WES</v>
      </c>
      <c r="C1047" s="154">
        <f>IFERROR(__xludf.DUMMYFUNCTION("""COMPUTED_VALUE"""),46066.0)</f>
        <v>46066</v>
      </c>
      <c r="D1047" s="154">
        <f>IFERROR(__xludf.DUMMYFUNCTION("""COMPUTED_VALUE"""),46074.0)</f>
        <v>46074</v>
      </c>
    </row>
    <row r="1048">
      <c r="A1048" s="153" t="str">
        <f>IFERROR(__xludf.DUMMYFUNCTION("""COMPUTED_VALUE"""),"AND251H0005246")</f>
        <v>AND251H0005246</v>
      </c>
      <c r="B1048" s="153" t="str">
        <f>IFERROR(__xludf.DUMMYFUNCTION("""COMPUTED_VALUE"""),"WES")</f>
        <v>WES</v>
      </c>
      <c r="C1048" s="154">
        <f>IFERROR(__xludf.DUMMYFUNCTION("""COMPUTED_VALUE"""),46066.0)</f>
        <v>46066</v>
      </c>
      <c r="D1048" s="154">
        <f>IFERROR(__xludf.DUMMYFUNCTION("""COMPUTED_VALUE"""),46074.0)</f>
        <v>46074</v>
      </c>
    </row>
    <row r="1049">
      <c r="A1049" s="153" t="str">
        <f>IFERROR(__xludf.DUMMYFUNCTION("""COMPUTED_VALUE"""),"FR20000002867")</f>
        <v>FR20000002867</v>
      </c>
      <c r="B1049" s="153" t="str">
        <f>IFERROR(__xludf.DUMMYFUNCTION("""COMPUTED_VALUE"""),"WES")</f>
        <v>WES</v>
      </c>
      <c r="C1049" s="154">
        <f>IFERROR(__xludf.DUMMYFUNCTION("""COMPUTED_VALUE"""),46066.0)</f>
        <v>46066</v>
      </c>
      <c r="D1049" s="154">
        <f>IFERROR(__xludf.DUMMYFUNCTION("""COMPUTED_VALUE"""),46074.0)</f>
        <v>46074</v>
      </c>
    </row>
    <row r="1050">
      <c r="A1050" s="153" t="str">
        <f>IFERROR(__xludf.DUMMYFUNCTION("""COMPUTED_VALUE"""),"AND25630004856")</f>
        <v>AND25630004856</v>
      </c>
      <c r="B1050" s="153" t="str">
        <f>IFERROR(__xludf.DUMMYFUNCTION("""COMPUTED_VALUE"""),"WES")</f>
        <v>WES</v>
      </c>
      <c r="C1050" s="154">
        <f>IFERROR(__xludf.DUMMYFUNCTION("""COMPUTED_VALUE"""),46066.0)</f>
        <v>46066</v>
      </c>
      <c r="D1050" s="154">
        <f>IFERROR(__xludf.DUMMYFUNCTION("""COMPUTED_VALUE"""),46079.0)</f>
        <v>46079</v>
      </c>
    </row>
    <row r="1051">
      <c r="A1051" s="153" t="str">
        <f>IFERROR(__xludf.DUMMYFUNCTION("""COMPUTED_VALUE"""),"AND25630004857")</f>
        <v>AND25630004857</v>
      </c>
      <c r="B1051" s="153" t="str">
        <f>IFERROR(__xludf.DUMMYFUNCTION("""COMPUTED_VALUE"""),"WES")</f>
        <v>WES</v>
      </c>
      <c r="C1051" s="154">
        <f>IFERROR(__xludf.DUMMYFUNCTION("""COMPUTED_VALUE"""),46066.0)</f>
        <v>46066</v>
      </c>
      <c r="D1051" s="154">
        <f>IFERROR(__xludf.DUMMYFUNCTION("""COMPUTED_VALUE"""),46079.0)</f>
        <v>46079</v>
      </c>
    </row>
    <row r="1052">
      <c r="A1052" s="153" t="str">
        <f>IFERROR(__xludf.DUMMYFUNCTION("""COMPUTED_VALUE"""),"ADB0000023417")</f>
        <v>ADB0000023417</v>
      </c>
      <c r="B1052" s="153" t="str">
        <f>IFERROR(__xludf.DUMMYFUNCTION("""COMPUTED_VALUE"""),"FEMALE INFERTILITY NGS PANEL")</f>
        <v>FEMALE INFERTILITY NGS PANEL</v>
      </c>
      <c r="C1052" s="154">
        <f>IFERROR(__xludf.DUMMYFUNCTION("""COMPUTED_VALUE"""),46069.0)</f>
        <v>46069</v>
      </c>
      <c r="D1052" s="154">
        <f>IFERROR(__xludf.DUMMYFUNCTION("""COMPUTED_VALUE"""),46075.0)</f>
        <v>46075</v>
      </c>
    </row>
    <row r="1053">
      <c r="A1053" s="153" t="str">
        <f>IFERROR(__xludf.DUMMYFUNCTION("""COMPUTED_VALUE"""),"AND25420007000")</f>
        <v>AND25420007000</v>
      </c>
      <c r="B1053" s="153" t="str">
        <f>IFERROR(__xludf.DUMMYFUNCTION("""COMPUTED_VALUE"""),"WES")</f>
        <v>WES</v>
      </c>
      <c r="C1053" s="154">
        <f>IFERROR(__xludf.DUMMYFUNCTION("""COMPUTED_VALUE"""),46069.0)</f>
        <v>46069</v>
      </c>
      <c r="D1053" s="154">
        <f>IFERROR(__xludf.DUMMYFUNCTION("""COMPUTED_VALUE"""),46086.0)</f>
        <v>46086</v>
      </c>
    </row>
    <row r="1054">
      <c r="A1054" s="153" t="str">
        <f>IFERROR(__xludf.DUMMYFUNCTION("""COMPUTED_VALUE"""),"AND25020069757")</f>
        <v>AND25020069757</v>
      </c>
      <c r="B1054" s="153" t="str">
        <f>IFERROR(__xludf.DUMMYFUNCTION("""COMPUTED_VALUE"""),"WES+WMGS")</f>
        <v>WES+WMGS</v>
      </c>
      <c r="C1054" s="154">
        <f>IFERROR(__xludf.DUMMYFUNCTION("""COMPUTED_VALUE"""),46069.0)</f>
        <v>46069</v>
      </c>
      <c r="D1054" s="154">
        <f>IFERROR(__xludf.DUMMYFUNCTION("""COMPUTED_VALUE"""),46086.0)</f>
        <v>46086</v>
      </c>
    </row>
    <row r="1055">
      <c r="A1055" s="153" t="str">
        <f>IFERROR(__xludf.DUMMYFUNCTION("""COMPUTED_VALUE"""),"GUD0000000068")</f>
        <v>GUD0000000068</v>
      </c>
      <c r="B1055" s="153" t="str">
        <f>IFERROR(__xludf.DUMMYFUNCTION("""COMPUTED_VALUE"""),"WES")</f>
        <v>WES</v>
      </c>
      <c r="C1055" s="154">
        <f>IFERROR(__xludf.DUMMYFUNCTION("""COMPUTED_VALUE"""),46069.0)</f>
        <v>46069</v>
      </c>
      <c r="D1055" s="154">
        <f>IFERROR(__xludf.DUMMYFUNCTION("""COMPUTED_VALUE"""),46086.0)</f>
        <v>46086</v>
      </c>
    </row>
    <row r="1056">
      <c r="A1056" s="153" t="str">
        <f>IFERROR(__xludf.DUMMYFUNCTION("""COMPUTED_VALUE"""),"GUD0000000069")</f>
        <v>GUD0000000069</v>
      </c>
      <c r="B1056" s="153" t="str">
        <f>IFERROR(__xludf.DUMMYFUNCTION("""COMPUTED_VALUE"""),"WES")</f>
        <v>WES</v>
      </c>
      <c r="C1056" s="154">
        <f>IFERROR(__xludf.DUMMYFUNCTION("""COMPUTED_VALUE"""),46069.0)</f>
        <v>46069</v>
      </c>
      <c r="D1056" s="154">
        <f>IFERROR(__xludf.DUMMYFUNCTION("""COMPUTED_VALUE"""),46086.0)</f>
        <v>46086</v>
      </c>
    </row>
    <row r="1057">
      <c r="A1057" s="153" t="str">
        <f>IFERROR(__xludf.DUMMYFUNCTION("""COMPUTED_VALUE"""),"AMB0000005593")</f>
        <v>AMB0000005593</v>
      </c>
      <c r="B1057" s="153" t="str">
        <f>IFERROR(__xludf.DUMMYFUNCTION("""COMPUTED_VALUE"""),"WES")</f>
        <v>WES</v>
      </c>
      <c r="C1057" s="154">
        <f>IFERROR(__xludf.DUMMYFUNCTION("""COMPUTED_VALUE"""),46069.0)</f>
        <v>46069</v>
      </c>
      <c r="D1057" s="154">
        <f>IFERROR(__xludf.DUMMYFUNCTION("""COMPUTED_VALUE"""),46086.0)</f>
        <v>46086</v>
      </c>
    </row>
    <row r="1058">
      <c r="A1058" s="153" t="str">
        <f>IFERROR(__xludf.DUMMYFUNCTION("""COMPUTED_VALUE"""),"AND25380264135")</f>
        <v>AND25380264135</v>
      </c>
      <c r="B1058" s="153" t="str">
        <f>IFERROR(__xludf.DUMMYFUNCTION("""COMPUTED_VALUE"""),"WES")</f>
        <v>WES</v>
      </c>
      <c r="C1058" s="154">
        <f>IFERROR(__xludf.DUMMYFUNCTION("""COMPUTED_VALUE"""),46069.0)</f>
        <v>46069</v>
      </c>
      <c r="D1058" s="154">
        <f>IFERROR(__xludf.DUMMYFUNCTION("""COMPUTED_VALUE"""),46086.0)</f>
        <v>46086</v>
      </c>
    </row>
    <row r="1059">
      <c r="A1059" s="153" t="str">
        <f>IFERROR(__xludf.DUMMYFUNCTION("""COMPUTED_VALUE"""),"AND25380264136")</f>
        <v>AND25380264136</v>
      </c>
      <c r="B1059" s="153" t="str">
        <f>IFERROR(__xludf.DUMMYFUNCTION("""COMPUTED_VALUE"""),"WES")</f>
        <v>WES</v>
      </c>
      <c r="C1059" s="154">
        <f>IFERROR(__xludf.DUMMYFUNCTION("""COMPUTED_VALUE"""),46069.0)</f>
        <v>46069</v>
      </c>
      <c r="D1059" s="154">
        <f>IFERROR(__xludf.DUMMYFUNCTION("""COMPUTED_VALUE"""),46086.0)</f>
        <v>46086</v>
      </c>
    </row>
    <row r="1060">
      <c r="A1060" s="153" t="str">
        <f>IFERROR(__xludf.DUMMYFUNCTION("""COMPUTED_VALUE"""),"AND25420007032")</f>
        <v>AND25420007032</v>
      </c>
      <c r="B1060" s="153" t="str">
        <f>IFERROR(__xludf.DUMMYFUNCTION("""COMPUTED_VALUE"""),"WES")</f>
        <v>WES</v>
      </c>
      <c r="C1060" s="154">
        <f>IFERROR(__xludf.DUMMYFUNCTION("""COMPUTED_VALUE"""),46069.0)</f>
        <v>46069</v>
      </c>
      <c r="D1060" s="154">
        <f>IFERROR(__xludf.DUMMYFUNCTION("""COMPUTED_VALUE"""),46087.0)</f>
        <v>46087</v>
      </c>
    </row>
    <row r="1061">
      <c r="A1061" s="153" t="str">
        <f>IFERROR(__xludf.DUMMYFUNCTION("""COMPUTED_VALUE"""),"AND25420007033")</f>
        <v>AND25420007033</v>
      </c>
      <c r="B1061" s="153" t="str">
        <f>IFERROR(__xludf.DUMMYFUNCTION("""COMPUTED_VALUE"""),"COMPREHENSIVE CARRIER SCREENING")</f>
        <v>COMPREHENSIVE CARRIER SCREENING</v>
      </c>
      <c r="C1061" s="154">
        <f>IFERROR(__xludf.DUMMYFUNCTION("""COMPUTED_VALUE"""),46069.0)</f>
        <v>46069</v>
      </c>
      <c r="D1061" s="154">
        <f>IFERROR(__xludf.DUMMYFUNCTION("""COMPUTED_VALUE"""),46087.0)</f>
        <v>46087</v>
      </c>
    </row>
    <row r="1062">
      <c r="A1062" s="153" t="str">
        <f>IFERROR(__xludf.DUMMYFUNCTION("""COMPUTED_VALUE"""),"AND25630004811")</f>
        <v>AND25630004811</v>
      </c>
      <c r="B1062" s="153" t="str">
        <f>IFERROR(__xludf.DUMMYFUNCTION("""COMPUTED_VALUE"""),"WES")</f>
        <v>WES</v>
      </c>
      <c r="C1062" s="154">
        <f>IFERROR(__xludf.DUMMYFUNCTION("""COMPUTED_VALUE"""),46069.0)</f>
        <v>46069</v>
      </c>
      <c r="D1062" s="154">
        <f>IFERROR(__xludf.DUMMYFUNCTION("""COMPUTED_VALUE"""),46086.0)</f>
        <v>46086</v>
      </c>
    </row>
    <row r="1063">
      <c r="A1063" s="153" t="str">
        <f>IFERROR(__xludf.DUMMYFUNCTION("""COMPUTED_VALUE"""),"AND25630004812")</f>
        <v>AND25630004812</v>
      </c>
      <c r="B1063" s="153" t="str">
        <f>IFERROR(__xludf.DUMMYFUNCTION("""COMPUTED_VALUE"""),"WES")</f>
        <v>WES</v>
      </c>
      <c r="C1063" s="154">
        <f>IFERROR(__xludf.DUMMYFUNCTION("""COMPUTED_VALUE"""),46069.0)</f>
        <v>46069</v>
      </c>
      <c r="D1063" s="154">
        <f>IFERROR(__xludf.DUMMYFUNCTION("""COMPUTED_VALUE"""),46086.0)</f>
        <v>46086</v>
      </c>
    </row>
    <row r="1064">
      <c r="A1064" s="153" t="str">
        <f>IFERROR(__xludf.DUMMYFUNCTION("""COMPUTED_VALUE"""),"AND25630004813")</f>
        <v>AND25630004813</v>
      </c>
      <c r="B1064" s="153" t="str">
        <f>IFERROR(__xludf.DUMMYFUNCTION("""COMPUTED_VALUE"""),"WES")</f>
        <v>WES</v>
      </c>
      <c r="C1064" s="154">
        <f>IFERROR(__xludf.DUMMYFUNCTION("""COMPUTED_VALUE"""),46069.0)</f>
        <v>46069</v>
      </c>
      <c r="D1064" s="154">
        <f>IFERROR(__xludf.DUMMYFUNCTION("""COMPUTED_VALUE"""),46086.0)</f>
        <v>46086</v>
      </c>
    </row>
    <row r="1065">
      <c r="A1065" s="153" t="str">
        <f>IFERROR(__xludf.DUMMYFUNCTION("""COMPUTED_VALUE"""),"AND25630004814")</f>
        <v>AND25630004814</v>
      </c>
      <c r="B1065" s="153" t="str">
        <f>IFERROR(__xludf.DUMMYFUNCTION("""COMPUTED_VALUE"""),"WES")</f>
        <v>WES</v>
      </c>
      <c r="C1065" s="154">
        <f>IFERROR(__xludf.DUMMYFUNCTION("""COMPUTED_VALUE"""),46069.0)</f>
        <v>46069</v>
      </c>
      <c r="D1065" s="154">
        <f>IFERROR(__xludf.DUMMYFUNCTION("""COMPUTED_VALUE"""),46086.0)</f>
        <v>46086</v>
      </c>
    </row>
    <row r="1066">
      <c r="A1066" s="153" t="str">
        <f>IFERROR(__xludf.DUMMYFUNCTION("""COMPUTED_VALUE"""),"AND25630004815")</f>
        <v>AND25630004815</v>
      </c>
      <c r="B1066" s="153" t="str">
        <f>IFERROR(__xludf.DUMMYFUNCTION("""COMPUTED_VALUE"""),"WES")</f>
        <v>WES</v>
      </c>
      <c r="C1066" s="154">
        <f>IFERROR(__xludf.DUMMYFUNCTION("""COMPUTED_VALUE"""),46069.0)</f>
        <v>46069</v>
      </c>
      <c r="D1066" s="154">
        <f>IFERROR(__xludf.DUMMYFUNCTION("""COMPUTED_VALUE"""),46086.0)</f>
        <v>46086</v>
      </c>
    </row>
    <row r="1067">
      <c r="A1067" s="153" t="str">
        <f>IFERROR(__xludf.DUMMYFUNCTION("""COMPUTED_VALUE"""),"AND25630004816")</f>
        <v>AND25630004816</v>
      </c>
      <c r="B1067" s="153" t="str">
        <f>IFERROR(__xludf.DUMMYFUNCTION("""COMPUTED_VALUE"""),"WES")</f>
        <v>WES</v>
      </c>
      <c r="C1067" s="154">
        <f>IFERROR(__xludf.DUMMYFUNCTION("""COMPUTED_VALUE"""),46069.0)</f>
        <v>46069</v>
      </c>
      <c r="D1067" s="154">
        <f>IFERROR(__xludf.DUMMYFUNCTION("""COMPUTED_VALUE"""),46086.0)</f>
        <v>46086</v>
      </c>
    </row>
    <row r="1068">
      <c r="A1068" s="153" t="str">
        <f>IFERROR(__xludf.DUMMYFUNCTION("""COMPUTED_VALUE"""),"AND251H0005289")</f>
        <v>AND251H0005289</v>
      </c>
      <c r="B1068" s="153" t="str">
        <f>IFERROR(__xludf.DUMMYFUNCTION("""COMPUTED_VALUE"""),"WES")</f>
        <v>WES</v>
      </c>
      <c r="C1068" s="154">
        <f>IFERROR(__xludf.DUMMYFUNCTION("""COMPUTED_VALUE"""),46069.0)</f>
        <v>46069</v>
      </c>
      <c r="D1068" s="154">
        <f>IFERROR(__xludf.DUMMYFUNCTION("""COMPUTED_VALUE"""),46086.0)</f>
        <v>46086</v>
      </c>
    </row>
    <row r="1069">
      <c r="A1069" s="153" t="str">
        <f>IFERROR(__xludf.DUMMYFUNCTION("""COMPUTED_VALUE"""),"AND251H0005290")</f>
        <v>AND251H0005290</v>
      </c>
      <c r="B1069" s="153" t="str">
        <f>IFERROR(__xludf.DUMMYFUNCTION("""COMPUTED_VALUE"""),"WES")</f>
        <v>WES</v>
      </c>
      <c r="C1069" s="154">
        <f>IFERROR(__xludf.DUMMYFUNCTION("""COMPUTED_VALUE"""),46069.0)</f>
        <v>46069</v>
      </c>
      <c r="D1069" s="154">
        <f>IFERROR(__xludf.DUMMYFUNCTION("""COMPUTED_VALUE"""),46086.0)</f>
        <v>46086</v>
      </c>
    </row>
    <row r="1070">
      <c r="A1070" s="153" t="str">
        <f>IFERROR(__xludf.DUMMYFUNCTION("""COMPUTED_VALUE"""),"FR20000002991")</f>
        <v>FR20000002991</v>
      </c>
      <c r="B1070" s="153" t="str">
        <f>IFERROR(__xludf.DUMMYFUNCTION("""COMPUTED_VALUE"""),"WES")</f>
        <v>WES</v>
      </c>
      <c r="C1070" s="154">
        <f>IFERROR(__xludf.DUMMYFUNCTION("""COMPUTED_VALUE"""),46069.0)</f>
        <v>46069</v>
      </c>
      <c r="D1070" s="154">
        <f>IFERROR(__xludf.DUMMYFUNCTION("""COMPUTED_VALUE"""),46088.0)</f>
        <v>46088</v>
      </c>
    </row>
    <row r="1071">
      <c r="A1071" s="153" t="str">
        <f>IFERROR(__xludf.DUMMYFUNCTION("""COMPUTED_VALUE"""),"FR20000003041")</f>
        <v>FR20000003041</v>
      </c>
      <c r="B1071" s="153" t="str">
        <f>IFERROR(__xludf.DUMMYFUNCTION("""COMPUTED_VALUE"""),"WES")</f>
        <v>WES</v>
      </c>
      <c r="C1071" s="154">
        <f>IFERROR(__xludf.DUMMYFUNCTION("""COMPUTED_VALUE"""),46069.0)</f>
        <v>46069</v>
      </c>
      <c r="D1071" s="154">
        <f>IFERROR(__xludf.DUMMYFUNCTION("""COMPUTED_VALUE"""),46088.0)</f>
        <v>46088</v>
      </c>
    </row>
    <row r="1072">
      <c r="A1072" s="153" t="str">
        <f>IFERROR(__xludf.DUMMYFUNCTION("""COMPUTED_VALUE"""),"ADB0000023638")</f>
        <v>ADB0000023638</v>
      </c>
      <c r="B1072" s="153" t="str">
        <f>IFERROR(__xludf.DUMMYFUNCTION("""COMPUTED_VALUE"""),"WES")</f>
        <v>WES</v>
      </c>
      <c r="C1072" s="154">
        <f>IFERROR(__xludf.DUMMYFUNCTION("""COMPUTED_VALUE"""),46069.0)</f>
        <v>46069</v>
      </c>
      <c r="D1072" s="154">
        <f>IFERROR(__xludf.DUMMYFUNCTION("""COMPUTED_VALUE"""),46087.0)</f>
        <v>46087</v>
      </c>
    </row>
    <row r="1073">
      <c r="A1073" s="153" t="str">
        <f>IFERROR(__xludf.DUMMYFUNCTION("""COMPUTED_VALUE"""),"ADB0000023639")</f>
        <v>ADB0000023639</v>
      </c>
      <c r="B1073" s="153" t="str">
        <f>IFERROR(__xludf.DUMMYFUNCTION("""COMPUTED_VALUE"""),"WES")</f>
        <v>WES</v>
      </c>
      <c r="C1073" s="154">
        <f>IFERROR(__xludf.DUMMYFUNCTION("""COMPUTED_VALUE"""),46069.0)</f>
        <v>46069</v>
      </c>
      <c r="D1073" s="154">
        <f>IFERROR(__xludf.DUMMYFUNCTION("""COMPUTED_VALUE"""),46087.0)</f>
        <v>46087</v>
      </c>
    </row>
    <row r="1074">
      <c r="A1074" s="153" t="str">
        <f>IFERROR(__xludf.DUMMYFUNCTION("""COMPUTED_VALUE"""),"AMB0000005663")</f>
        <v>AMB0000005663</v>
      </c>
      <c r="B1074" s="153" t="str">
        <f>IFERROR(__xludf.DUMMYFUNCTION("""COMPUTED_VALUE"""),"WES")</f>
        <v>WES</v>
      </c>
      <c r="C1074" s="154">
        <f>IFERROR(__xludf.DUMMYFUNCTION("""COMPUTED_VALUE"""),46069.0)</f>
        <v>46069</v>
      </c>
      <c r="D1074" s="154">
        <f>IFERROR(__xludf.DUMMYFUNCTION("""COMPUTED_VALUE"""),46083.0)</f>
        <v>46083</v>
      </c>
    </row>
    <row r="1075">
      <c r="A1075" s="153" t="str">
        <f>IFERROR(__xludf.DUMMYFUNCTION("""COMPUTED_VALUE"""),"AMB0000005662")</f>
        <v>AMB0000005662</v>
      </c>
      <c r="B1075" s="153" t="str">
        <f>IFERROR(__xludf.DUMMYFUNCTION("""COMPUTED_VALUE"""),"WES")</f>
        <v>WES</v>
      </c>
      <c r="C1075" s="154">
        <f>IFERROR(__xludf.DUMMYFUNCTION("""COMPUTED_VALUE"""),46069.0)</f>
        <v>46069</v>
      </c>
      <c r="D1075" s="154">
        <f>IFERROR(__xludf.DUMMYFUNCTION("""COMPUTED_VALUE"""),46083.0)</f>
        <v>46083</v>
      </c>
    </row>
    <row r="1076">
      <c r="A1076" s="153" t="str">
        <f>IFERROR(__xludf.DUMMYFUNCTION("""COMPUTED_VALUE"""),"AMB0000005664")</f>
        <v>AMB0000005664</v>
      </c>
      <c r="B1076" s="153" t="str">
        <f>IFERROR(__xludf.DUMMYFUNCTION("""COMPUTED_VALUE"""),"WES")</f>
        <v>WES</v>
      </c>
      <c r="C1076" s="154">
        <f>IFERROR(__xludf.DUMMYFUNCTION("""COMPUTED_VALUE"""),46069.0)</f>
        <v>46069</v>
      </c>
      <c r="D1076" s="154">
        <f>IFERROR(__xludf.DUMMYFUNCTION("""COMPUTED_VALUE"""),46080.0)</f>
        <v>46080</v>
      </c>
    </row>
    <row r="1077">
      <c r="A1077" s="153" t="str">
        <f>IFERROR(__xludf.DUMMYFUNCTION("""COMPUTED_VALUE"""),"ADN0000012014")</f>
        <v>ADN0000012014</v>
      </c>
      <c r="B1077" s="153" t="str">
        <f>IFERROR(__xludf.DUMMYFUNCTION("""COMPUTED_VALUE"""),"WES")</f>
        <v>WES</v>
      </c>
      <c r="C1077" s="154">
        <f>IFERROR(__xludf.DUMMYFUNCTION("""COMPUTED_VALUE"""),46069.0)</f>
        <v>46069</v>
      </c>
      <c r="D1077" s="154">
        <f>IFERROR(__xludf.DUMMYFUNCTION("""COMPUTED_VALUE"""),46089.0)</f>
        <v>46089</v>
      </c>
    </row>
    <row r="1078">
      <c r="A1078" s="153" t="str">
        <f>IFERROR(__xludf.DUMMYFUNCTION("""COMPUTED_VALUE"""),"AND25630004875")</f>
        <v>AND25630004875</v>
      </c>
      <c r="B1078" s="153" t="str">
        <f>IFERROR(__xludf.DUMMYFUNCTION("""COMPUTED_VALUE"""),"WES")</f>
        <v>WES</v>
      </c>
      <c r="C1078" s="154">
        <f>IFERROR(__xludf.DUMMYFUNCTION("""COMPUTED_VALUE"""),46069.0)</f>
        <v>46069</v>
      </c>
      <c r="D1078" s="154">
        <f>IFERROR(__xludf.DUMMYFUNCTION("""COMPUTED_VALUE"""),46083.0)</f>
        <v>46083</v>
      </c>
    </row>
    <row r="1079">
      <c r="A1079" s="153" t="str">
        <f>IFERROR(__xludf.DUMMYFUNCTION("""COMPUTED_VALUE"""),"AND25630004876")</f>
        <v>AND25630004876</v>
      </c>
      <c r="B1079" s="153" t="str">
        <f>IFERROR(__xludf.DUMMYFUNCTION("""COMPUTED_VALUE"""),"WES")</f>
        <v>WES</v>
      </c>
      <c r="C1079" s="154">
        <f>IFERROR(__xludf.DUMMYFUNCTION("""COMPUTED_VALUE"""),46069.0)</f>
        <v>46069</v>
      </c>
      <c r="D1079" s="154">
        <f>IFERROR(__xludf.DUMMYFUNCTION("""COMPUTED_VALUE"""),46083.0)</f>
        <v>46083</v>
      </c>
    </row>
    <row r="1080">
      <c r="A1080" s="153" t="str">
        <f>IFERROR(__xludf.DUMMYFUNCTION("""COMPUTED_VALUE"""),"AND25630004877")</f>
        <v>AND25630004877</v>
      </c>
      <c r="B1080" s="153" t="str">
        <f>IFERROR(__xludf.DUMMYFUNCTION("""COMPUTED_VALUE"""),"WES")</f>
        <v>WES</v>
      </c>
      <c r="C1080" s="154">
        <f>IFERROR(__xludf.DUMMYFUNCTION("""COMPUTED_VALUE"""),46069.0)</f>
        <v>46069</v>
      </c>
      <c r="D1080" s="154">
        <f>IFERROR(__xludf.DUMMYFUNCTION("""COMPUTED_VALUE"""),46083.0)</f>
        <v>46083</v>
      </c>
    </row>
    <row r="1081">
      <c r="A1081" s="153"/>
      <c r="B1081" s="153" t="str">
        <f>IFERROR(__xludf.DUMMYFUNCTION("""COMPUTED_VALUE"""),"WES")</f>
        <v>WES</v>
      </c>
      <c r="C1081" s="154">
        <f>IFERROR(__xludf.DUMMYFUNCTION("""COMPUTED_VALUE"""),46069.0)</f>
        <v>46069</v>
      </c>
      <c r="D1081" s="154">
        <f>IFERROR(__xludf.DUMMYFUNCTION("""COMPUTED_VALUE"""),46083.0)</f>
        <v>46083</v>
      </c>
    </row>
    <row r="1082">
      <c r="A1082" s="153"/>
      <c r="B1082" s="153" t="str">
        <f>IFERROR(__xludf.DUMMYFUNCTION("""COMPUTED_VALUE"""),"WES")</f>
        <v>WES</v>
      </c>
      <c r="C1082" s="154">
        <f>IFERROR(__xludf.DUMMYFUNCTION("""COMPUTED_VALUE"""),46069.0)</f>
        <v>46069</v>
      </c>
      <c r="D1082" s="154">
        <f>IFERROR(__xludf.DUMMYFUNCTION("""COMPUTED_VALUE"""),46083.0)</f>
        <v>46083</v>
      </c>
    </row>
    <row r="1083">
      <c r="A1083" s="153"/>
      <c r="B1083" s="153" t="str">
        <f>IFERROR(__xludf.DUMMYFUNCTION("""COMPUTED_VALUE"""),"WES")</f>
        <v>WES</v>
      </c>
      <c r="C1083" s="154">
        <f>IFERROR(__xludf.DUMMYFUNCTION("""COMPUTED_VALUE"""),46069.0)</f>
        <v>46069</v>
      </c>
      <c r="D1083" s="154">
        <f>IFERROR(__xludf.DUMMYFUNCTION("""COMPUTED_VALUE"""),46083.0)</f>
        <v>46083</v>
      </c>
    </row>
    <row r="1084">
      <c r="A1084" s="153"/>
      <c r="B1084" s="153" t="str">
        <f>IFERROR(__xludf.DUMMYFUNCTION("""COMPUTED_VALUE"""),"WES")</f>
        <v>WES</v>
      </c>
      <c r="C1084" s="154">
        <f>IFERROR(__xludf.DUMMYFUNCTION("""COMPUTED_VALUE"""),46069.0)</f>
        <v>46069</v>
      </c>
      <c r="D1084" s="154">
        <f>IFERROR(__xludf.DUMMYFUNCTION("""COMPUTED_VALUE"""),46083.0)</f>
        <v>46083</v>
      </c>
    </row>
    <row r="1085">
      <c r="A1085" s="153"/>
      <c r="B1085" s="153" t="str">
        <f>IFERROR(__xludf.DUMMYFUNCTION("""COMPUTED_VALUE"""),"WES")</f>
        <v>WES</v>
      </c>
      <c r="C1085" s="154">
        <f>IFERROR(__xludf.DUMMYFUNCTION("""COMPUTED_VALUE"""),46069.0)</f>
        <v>46069</v>
      </c>
      <c r="D1085" s="154">
        <f>IFERROR(__xludf.DUMMYFUNCTION("""COMPUTED_VALUE"""),46083.0)</f>
        <v>46083</v>
      </c>
    </row>
    <row r="1086">
      <c r="A1086" s="153"/>
      <c r="B1086" s="153" t="str">
        <f>IFERROR(__xludf.DUMMYFUNCTION("""COMPUTED_VALUE"""),"WES")</f>
        <v>WES</v>
      </c>
      <c r="C1086" s="154">
        <f>IFERROR(__xludf.DUMMYFUNCTION("""COMPUTED_VALUE"""),46069.0)</f>
        <v>46069</v>
      </c>
      <c r="D1086" s="154">
        <f>IFERROR(__xludf.DUMMYFUNCTION("""COMPUTED_VALUE"""),46083.0)</f>
        <v>46083</v>
      </c>
    </row>
    <row r="1087">
      <c r="A1087" s="153"/>
      <c r="B1087" s="153" t="str">
        <f>IFERROR(__xludf.DUMMYFUNCTION("""COMPUTED_VALUE"""),"WES")</f>
        <v>WES</v>
      </c>
      <c r="C1087" s="154">
        <f>IFERROR(__xludf.DUMMYFUNCTION("""COMPUTED_VALUE"""),46069.0)</f>
        <v>46069</v>
      </c>
      <c r="D1087" s="154">
        <f>IFERROR(__xludf.DUMMYFUNCTION("""COMPUTED_VALUE"""),46083.0)</f>
        <v>46083</v>
      </c>
    </row>
    <row r="1088">
      <c r="A1088" s="153"/>
      <c r="B1088" s="153" t="str">
        <f>IFERROR(__xludf.DUMMYFUNCTION("""COMPUTED_VALUE"""),"WES")</f>
        <v>WES</v>
      </c>
      <c r="C1088" s="154">
        <f>IFERROR(__xludf.DUMMYFUNCTION("""COMPUTED_VALUE"""),46069.0)</f>
        <v>46069</v>
      </c>
      <c r="D1088" s="154">
        <f>IFERROR(__xludf.DUMMYFUNCTION("""COMPUTED_VALUE"""),46083.0)</f>
        <v>46083</v>
      </c>
    </row>
    <row r="1089">
      <c r="A1089" s="153"/>
      <c r="B1089" s="153" t="str">
        <f>IFERROR(__xludf.DUMMYFUNCTION("""COMPUTED_VALUE"""),"WES")</f>
        <v>WES</v>
      </c>
      <c r="C1089" s="154">
        <f>IFERROR(__xludf.DUMMYFUNCTION("""COMPUTED_VALUE"""),46069.0)</f>
        <v>46069</v>
      </c>
      <c r="D1089" s="154">
        <f>IFERROR(__xludf.DUMMYFUNCTION("""COMPUTED_VALUE"""),46083.0)</f>
        <v>46083</v>
      </c>
    </row>
    <row r="1090">
      <c r="A1090" s="153"/>
      <c r="B1090" s="153" t="str">
        <f>IFERROR(__xludf.DUMMYFUNCTION("""COMPUTED_VALUE"""),"WES")</f>
        <v>WES</v>
      </c>
      <c r="C1090" s="154">
        <f>IFERROR(__xludf.DUMMYFUNCTION("""COMPUTED_VALUE"""),46069.0)</f>
        <v>46069</v>
      </c>
      <c r="D1090" s="154">
        <f>IFERROR(__xludf.DUMMYFUNCTION("""COMPUTED_VALUE"""),46083.0)</f>
        <v>46083</v>
      </c>
    </row>
    <row r="1091">
      <c r="A1091" s="153"/>
      <c r="B1091" s="153" t="str">
        <f>IFERROR(__xludf.DUMMYFUNCTION("""COMPUTED_VALUE"""),"WES")</f>
        <v>WES</v>
      </c>
      <c r="C1091" s="154">
        <f>IFERROR(__xludf.DUMMYFUNCTION("""COMPUTED_VALUE"""),46069.0)</f>
        <v>46069</v>
      </c>
      <c r="D1091" s="154">
        <f>IFERROR(__xludf.DUMMYFUNCTION("""COMPUTED_VALUE"""),46083.0)</f>
        <v>46083</v>
      </c>
    </row>
    <row r="1092">
      <c r="A1092" s="153" t="str">
        <f>IFERROR(__xludf.DUMMYFUNCTION("""COMPUTED_VALUE"""),"AND25630004921")</f>
        <v>AND25630004921</v>
      </c>
      <c r="B1092" s="153" t="str">
        <f>IFERROR(__xludf.DUMMYFUNCTION("""COMPUTED_VALUE"""),"WES")</f>
        <v>WES</v>
      </c>
      <c r="C1092" s="154">
        <f>IFERROR(__xludf.DUMMYFUNCTION("""COMPUTED_VALUE"""),46069.0)</f>
        <v>46069</v>
      </c>
      <c r="D1092" s="154">
        <f>IFERROR(__xludf.DUMMYFUNCTION("""COMPUTED_VALUE"""),46084.0)</f>
        <v>46084</v>
      </c>
    </row>
    <row r="1093">
      <c r="A1093" s="153" t="str">
        <f>IFERROR(__xludf.DUMMYFUNCTION("""COMPUTED_VALUE"""),"AND25630004920")</f>
        <v>AND25630004920</v>
      </c>
      <c r="B1093" s="153" t="str">
        <f>IFERROR(__xludf.DUMMYFUNCTION("""COMPUTED_VALUE"""),"WES")</f>
        <v>WES</v>
      </c>
      <c r="C1093" s="154">
        <f>IFERROR(__xludf.DUMMYFUNCTION("""COMPUTED_VALUE"""),46069.0)</f>
        <v>46069</v>
      </c>
      <c r="D1093" s="154">
        <f>IFERROR(__xludf.DUMMYFUNCTION("""COMPUTED_VALUE"""),46084.0)</f>
        <v>46084</v>
      </c>
    </row>
    <row r="1094">
      <c r="A1094" s="153" t="str">
        <f>IFERROR(__xludf.DUMMYFUNCTION("""COMPUTED_VALUE"""),"AND25370043433")</f>
        <v>AND25370043433</v>
      </c>
      <c r="B1094" s="153" t="str">
        <f>IFERROR(__xludf.DUMMYFUNCTION("""COMPUTED_VALUE"""),"SINGLE GENE – FULL GENE SEQUENCING BY NGS")</f>
        <v>SINGLE GENE – FULL GENE SEQUENCING BY NGS</v>
      </c>
      <c r="C1094" s="154">
        <f>IFERROR(__xludf.DUMMYFUNCTION("""COMPUTED_VALUE"""),46069.0)</f>
        <v>46069</v>
      </c>
      <c r="D1094" s="154">
        <f>IFERROR(__xludf.DUMMYFUNCTION("""COMPUTED_VALUE"""),46077.0)</f>
        <v>46077</v>
      </c>
    </row>
    <row r="1095">
      <c r="A1095" s="153" t="str">
        <f>IFERROR(__xludf.DUMMYFUNCTION("""COMPUTED_VALUE"""),"AND25370043434")</f>
        <v>AND25370043434</v>
      </c>
      <c r="B1095" s="153" t="str">
        <f>IFERROR(__xludf.DUMMYFUNCTION("""COMPUTED_VALUE"""),"SINGLE GENE – FULL GENE SEQUENCING BY NGS")</f>
        <v>SINGLE GENE – FULL GENE SEQUENCING BY NGS</v>
      </c>
      <c r="C1095" s="154">
        <f>IFERROR(__xludf.DUMMYFUNCTION("""COMPUTED_VALUE"""),46069.0)</f>
        <v>46069</v>
      </c>
      <c r="D1095" s="154">
        <f>IFERROR(__xludf.DUMMYFUNCTION("""COMPUTED_VALUE"""),46077.0)</f>
        <v>46077</v>
      </c>
    </row>
    <row r="1096">
      <c r="A1096" s="153" t="str">
        <f>IFERROR(__xludf.DUMMYFUNCTION("""COMPUTED_VALUE"""),"AND25370043900")</f>
        <v>AND25370043900</v>
      </c>
      <c r="B1096" s="153" t="str">
        <f>IFERROR(__xludf.DUMMYFUNCTION("""COMPUTED_VALUE"""),"WES")</f>
        <v>WES</v>
      </c>
      <c r="C1096" s="154">
        <f>IFERROR(__xludf.DUMMYFUNCTION("""COMPUTED_VALUE"""),46069.0)</f>
        <v>46069</v>
      </c>
      <c r="D1096" s="154">
        <f>IFERROR(__xludf.DUMMYFUNCTION("""COMPUTED_VALUE"""),46089.0)</f>
        <v>46089</v>
      </c>
    </row>
    <row r="1097">
      <c r="A1097" s="153" t="str">
        <f>IFERROR(__xludf.DUMMYFUNCTION("""COMPUTED_VALUE"""),"AND25370043909")</f>
        <v>AND25370043909</v>
      </c>
      <c r="B1097" s="153" t="str">
        <f>IFERROR(__xludf.DUMMYFUNCTION("""COMPUTED_VALUE"""),"WES")</f>
        <v>WES</v>
      </c>
      <c r="C1097" s="154">
        <f>IFERROR(__xludf.DUMMYFUNCTION("""COMPUTED_VALUE"""),46069.0)</f>
        <v>46069</v>
      </c>
      <c r="D1097" s="154">
        <f>IFERROR(__xludf.DUMMYFUNCTION("""COMPUTED_VALUE"""),46089.0)</f>
        <v>46089</v>
      </c>
    </row>
    <row r="1098">
      <c r="A1098" s="153" t="str">
        <f>IFERROR(__xludf.DUMMYFUNCTION("""COMPUTED_VALUE"""),"AND25630004869")</f>
        <v>AND25630004869</v>
      </c>
      <c r="B1098" s="153" t="str">
        <f>IFERROR(__xludf.DUMMYFUNCTION("""COMPUTED_VALUE"""),"WES+WMGS")</f>
        <v>WES+WMGS</v>
      </c>
      <c r="C1098" s="154">
        <f>IFERROR(__xludf.DUMMYFUNCTION("""COMPUTED_VALUE"""),46069.0)</f>
        <v>46069</v>
      </c>
      <c r="D1098" s="154">
        <f>IFERROR(__xludf.DUMMYFUNCTION("""COMPUTED_VALUE"""),46089.0)</f>
        <v>46089</v>
      </c>
    </row>
    <row r="1099">
      <c r="A1099" s="153" t="str">
        <f>IFERROR(__xludf.DUMMYFUNCTION("""COMPUTED_VALUE"""),"AND25630004870")</f>
        <v>AND25630004870</v>
      </c>
      <c r="B1099" s="153" t="str">
        <f>IFERROR(__xludf.DUMMYFUNCTION("""COMPUTED_VALUE"""),"WES+WMGS")</f>
        <v>WES+WMGS</v>
      </c>
      <c r="C1099" s="154">
        <f>IFERROR(__xludf.DUMMYFUNCTION("""COMPUTED_VALUE"""),46069.0)</f>
        <v>46069</v>
      </c>
      <c r="D1099" s="154">
        <f>IFERROR(__xludf.DUMMYFUNCTION("""COMPUTED_VALUE"""),46089.0)</f>
        <v>46089</v>
      </c>
    </row>
    <row r="1100">
      <c r="A1100" s="153" t="str">
        <f>IFERROR(__xludf.DUMMYFUNCTION("""COMPUTED_VALUE"""),"AND25630004871")</f>
        <v>AND25630004871</v>
      </c>
      <c r="B1100" s="153" t="str">
        <f>IFERROR(__xludf.DUMMYFUNCTION("""COMPUTED_VALUE"""),"WES+WMGS")</f>
        <v>WES+WMGS</v>
      </c>
      <c r="C1100" s="154">
        <f>IFERROR(__xludf.DUMMYFUNCTION("""COMPUTED_VALUE"""),46069.0)</f>
        <v>46069</v>
      </c>
      <c r="D1100" s="154">
        <f>IFERROR(__xludf.DUMMYFUNCTION("""COMPUTED_VALUE"""),46089.0)</f>
        <v>46089</v>
      </c>
    </row>
    <row r="1101">
      <c r="A1101" s="153" t="str">
        <f>IFERROR(__xludf.DUMMYFUNCTION("""COMPUTED_VALUE"""),"FR20000003145")</f>
        <v>FR20000003145</v>
      </c>
      <c r="B1101" s="153" t="str">
        <f>IFERROR(__xludf.DUMMYFUNCTION("""COMPUTED_VALUE"""),"WES")</f>
        <v>WES</v>
      </c>
      <c r="C1101" s="154">
        <f>IFERROR(__xludf.DUMMYFUNCTION("""COMPUTED_VALUE"""),46069.0)</f>
        <v>46069</v>
      </c>
      <c r="D1101" s="154">
        <f>IFERROR(__xludf.DUMMYFUNCTION("""COMPUTED_VALUE"""),46090.0)</f>
        <v>46090</v>
      </c>
    </row>
    <row r="1102">
      <c r="A1102" s="153" t="str">
        <f>IFERROR(__xludf.DUMMYFUNCTION("""COMPUTED_VALUE"""),"DCC0000002669")</f>
        <v>DCC0000002669</v>
      </c>
      <c r="B1102" s="153" t="str">
        <f>IFERROR(__xludf.DUMMYFUNCTION("""COMPUTED_VALUE"""),"WES")</f>
        <v>WES</v>
      </c>
      <c r="C1102" s="154">
        <f>IFERROR(__xludf.DUMMYFUNCTION("""COMPUTED_VALUE"""),46069.0)</f>
        <v>46069</v>
      </c>
      <c r="D1102" s="154">
        <f>IFERROR(__xludf.DUMMYFUNCTION("""COMPUTED_VALUE"""),46089.0)</f>
        <v>46089</v>
      </c>
    </row>
    <row r="1103">
      <c r="A1103" s="153"/>
      <c r="B1103" s="153" t="str">
        <f>IFERROR(__xludf.DUMMYFUNCTION("""COMPUTED_VALUE"""),"WES")</f>
        <v>WES</v>
      </c>
      <c r="C1103" s="154">
        <f>IFERROR(__xludf.DUMMYFUNCTION("""COMPUTED_VALUE"""),46069.0)</f>
        <v>46069</v>
      </c>
      <c r="D1103" s="154">
        <f>IFERROR(__xludf.DUMMYFUNCTION("""COMPUTED_VALUE"""),46085.0)</f>
        <v>46085</v>
      </c>
    </row>
    <row r="1104">
      <c r="A1104" s="153"/>
      <c r="B1104" s="153" t="str">
        <f>IFERROR(__xludf.DUMMYFUNCTION("""COMPUTED_VALUE"""),"WES")</f>
        <v>WES</v>
      </c>
      <c r="C1104" s="154">
        <f>IFERROR(__xludf.DUMMYFUNCTION("""COMPUTED_VALUE"""),46069.0)</f>
        <v>46069</v>
      </c>
      <c r="D1104" s="154">
        <f>IFERROR(__xludf.DUMMYFUNCTION("""COMPUTED_VALUE"""),46085.0)</f>
        <v>46085</v>
      </c>
    </row>
    <row r="1105">
      <c r="A1105" s="153"/>
      <c r="B1105" s="153" t="str">
        <f>IFERROR(__xludf.DUMMYFUNCTION("""COMPUTED_VALUE"""),"WES")</f>
        <v>WES</v>
      </c>
      <c r="C1105" s="154">
        <f>IFERROR(__xludf.DUMMYFUNCTION("""COMPUTED_VALUE"""),46069.0)</f>
        <v>46069</v>
      </c>
      <c r="D1105" s="154">
        <f>IFERROR(__xludf.DUMMYFUNCTION("""COMPUTED_VALUE"""),46085.0)</f>
        <v>46085</v>
      </c>
    </row>
    <row r="1106">
      <c r="A1106" s="153"/>
      <c r="B1106" s="153" t="str">
        <f>IFERROR(__xludf.DUMMYFUNCTION("""COMPUTED_VALUE"""),"WES")</f>
        <v>WES</v>
      </c>
      <c r="C1106" s="154">
        <f>IFERROR(__xludf.DUMMYFUNCTION("""COMPUTED_VALUE"""),46069.0)</f>
        <v>46069</v>
      </c>
      <c r="D1106" s="154">
        <f>IFERROR(__xludf.DUMMYFUNCTION("""COMPUTED_VALUE"""),46085.0)</f>
        <v>46085</v>
      </c>
    </row>
    <row r="1107">
      <c r="A1107" s="153"/>
      <c r="B1107" s="153" t="str">
        <f>IFERROR(__xludf.DUMMYFUNCTION("""COMPUTED_VALUE"""),"WES")</f>
        <v>WES</v>
      </c>
      <c r="C1107" s="154">
        <f>IFERROR(__xludf.DUMMYFUNCTION("""COMPUTED_VALUE"""),46069.0)</f>
        <v>46069</v>
      </c>
      <c r="D1107" s="154">
        <f>IFERROR(__xludf.DUMMYFUNCTION("""COMPUTED_VALUE"""),46085.0)</f>
        <v>46085</v>
      </c>
    </row>
    <row r="1108">
      <c r="A1108" s="153"/>
      <c r="B1108" s="153"/>
      <c r="C1108" s="153"/>
      <c r="D1108" s="153"/>
    </row>
    <row r="1109">
      <c r="A1109" s="153" t="str">
        <f>IFERROR(__xludf.DUMMYFUNCTION("""COMPUTED_VALUE"""),"AND25020070232")</f>
        <v>AND25020070232</v>
      </c>
      <c r="B1109" s="153" t="str">
        <f>IFERROR(__xludf.DUMMYFUNCTION("""COMPUTED_VALUE"""),"WES+WMGS")</f>
        <v>WES+WMGS</v>
      </c>
      <c r="C1109" s="154">
        <f>IFERROR(__xludf.DUMMYFUNCTION("""COMPUTED_VALUE"""),46073.0)</f>
        <v>46073</v>
      </c>
      <c r="D1109" s="154">
        <f>IFERROR(__xludf.DUMMYFUNCTION("""COMPUTED_VALUE"""),46089.0)</f>
        <v>46089</v>
      </c>
    </row>
    <row r="1110">
      <c r="A1110" s="153" t="str">
        <f>IFERROR(__xludf.DUMMYFUNCTION("""COMPUTED_VALUE"""),"AND25020070270")</f>
        <v>AND25020070270</v>
      </c>
      <c r="B1110" s="153" t="str">
        <f>IFERROR(__xludf.DUMMYFUNCTION("""COMPUTED_VALUE"""),"WES+WMGS")</f>
        <v>WES+WMGS</v>
      </c>
      <c r="C1110" s="154">
        <f>IFERROR(__xludf.DUMMYFUNCTION("""COMPUTED_VALUE"""),46073.0)</f>
        <v>46073</v>
      </c>
      <c r="D1110" s="154">
        <f>IFERROR(__xludf.DUMMYFUNCTION("""COMPUTED_VALUE"""),46089.0)</f>
        <v>46089</v>
      </c>
    </row>
    <row r="1111">
      <c r="A1111" s="153" t="str">
        <f>IFERROR(__xludf.DUMMYFUNCTION("""COMPUTED_VALUE"""),"AND25420007089")</f>
        <v>AND25420007089</v>
      </c>
      <c r="B1111" s="153" t="str">
        <f>IFERROR(__xludf.DUMMYFUNCTION("""COMPUTED_VALUE"""),"ADVAT Focus carrier screening - NGS")</f>
        <v>ADVAT Focus carrier screening - NGS</v>
      </c>
      <c r="C1111" s="154">
        <f>IFERROR(__xludf.DUMMYFUNCTION("""COMPUTED_VALUE"""),46073.0)</f>
        <v>46073</v>
      </c>
      <c r="D1111" s="154">
        <f>IFERROR(__xludf.DUMMYFUNCTION("""COMPUTED_VALUE"""),46090.0)</f>
        <v>46090</v>
      </c>
    </row>
    <row r="1112">
      <c r="A1112" s="153" t="str">
        <f>IFERROR(__xludf.DUMMYFUNCTION("""COMPUTED_VALUE"""),"AND25420007090")</f>
        <v>AND25420007090</v>
      </c>
      <c r="B1112" s="153" t="str">
        <f>IFERROR(__xludf.DUMMYFUNCTION("""COMPUTED_VALUE"""),"ADVAT Focus carrier screening - NGS")</f>
        <v>ADVAT Focus carrier screening - NGS</v>
      </c>
      <c r="C1112" s="154">
        <f>IFERROR(__xludf.DUMMYFUNCTION("""COMPUTED_VALUE"""),46073.0)</f>
        <v>46073</v>
      </c>
      <c r="D1112" s="154">
        <f>IFERROR(__xludf.DUMMYFUNCTION("""COMPUTED_VALUE"""),46090.0)</f>
        <v>46090</v>
      </c>
    </row>
    <row r="1113">
      <c r="A1113" s="153" t="str">
        <f>IFERROR(__xludf.DUMMYFUNCTION("""COMPUTED_VALUE"""),"AND25420007091")</f>
        <v>AND25420007091</v>
      </c>
      <c r="B1113" s="153" t="str">
        <f>IFERROR(__xludf.DUMMYFUNCTION("""COMPUTED_VALUE"""),"ADVAT Focus carrier screening - NGS")</f>
        <v>ADVAT Focus carrier screening - NGS</v>
      </c>
      <c r="C1113" s="154">
        <f>IFERROR(__xludf.DUMMYFUNCTION("""COMPUTED_VALUE"""),46073.0)</f>
        <v>46073</v>
      </c>
      <c r="D1113" s="154">
        <f>IFERROR(__xludf.DUMMYFUNCTION("""COMPUTED_VALUE"""),46090.0)</f>
        <v>46090</v>
      </c>
    </row>
    <row r="1114">
      <c r="A1114" s="153" t="str">
        <f>IFERROR(__xludf.DUMMYFUNCTION("""COMPUTED_VALUE"""),"AND25420007092")</f>
        <v>AND25420007092</v>
      </c>
      <c r="B1114" s="153" t="str">
        <f>IFERROR(__xludf.DUMMYFUNCTION("""COMPUTED_VALUE"""),"ADVAT Focus carrier screening - NGS")</f>
        <v>ADVAT Focus carrier screening - NGS</v>
      </c>
      <c r="C1114" s="154">
        <f>IFERROR(__xludf.DUMMYFUNCTION("""COMPUTED_VALUE"""),46073.0)</f>
        <v>46073</v>
      </c>
      <c r="D1114" s="154">
        <f>IFERROR(__xludf.DUMMYFUNCTION("""COMPUTED_VALUE"""),46090.0)</f>
        <v>46090</v>
      </c>
    </row>
    <row r="1115">
      <c r="A1115" s="153" t="str">
        <f>IFERROR(__xludf.DUMMYFUNCTION("""COMPUTED_VALUE"""),"AND25790024111")</f>
        <v>AND25790024111</v>
      </c>
      <c r="B1115" s="153" t="str">
        <f>IFERROR(__xludf.DUMMYFUNCTION("""COMPUTED_VALUE"""),"WES")</f>
        <v>WES</v>
      </c>
      <c r="C1115" s="154">
        <f>IFERROR(__xludf.DUMMYFUNCTION("""COMPUTED_VALUE"""),46073.0)</f>
        <v>46073</v>
      </c>
      <c r="D1115" s="154">
        <f>IFERROR(__xludf.DUMMYFUNCTION("""COMPUTED_VALUE"""),46091.0)</f>
        <v>46091</v>
      </c>
    </row>
    <row r="1116">
      <c r="A1116" s="153" t="str">
        <f>IFERROR(__xludf.DUMMYFUNCTION("""COMPUTED_VALUE"""),"ADH0000012977")</f>
        <v>ADH0000012977</v>
      </c>
      <c r="B1116" s="153" t="str">
        <f>IFERROR(__xludf.DUMMYFUNCTION("""COMPUTED_VALUE"""),"WES")</f>
        <v>WES</v>
      </c>
      <c r="C1116" s="154">
        <f>IFERROR(__xludf.DUMMYFUNCTION("""COMPUTED_VALUE"""),46073.0)</f>
        <v>46073</v>
      </c>
      <c r="D1116" s="154">
        <f>IFERROR(__xludf.DUMMYFUNCTION("""COMPUTED_VALUE"""),46086.0)</f>
        <v>46086</v>
      </c>
    </row>
    <row r="1117">
      <c r="A1117" s="153" t="str">
        <f>IFERROR(__xludf.DUMMYFUNCTION("""COMPUTED_VALUE"""),"AND25360076635")</f>
        <v>AND25360076635</v>
      </c>
      <c r="B1117" s="153" t="str">
        <f>IFERROR(__xludf.DUMMYFUNCTION("""COMPUTED_VALUE"""),"WES")</f>
        <v>WES</v>
      </c>
      <c r="C1117" s="154">
        <f>IFERROR(__xludf.DUMMYFUNCTION("""COMPUTED_VALUE"""),46073.0)</f>
        <v>46073</v>
      </c>
      <c r="D1117" s="154">
        <f>IFERROR(__xludf.DUMMYFUNCTION("""COMPUTED_VALUE"""),46086.0)</f>
        <v>46086</v>
      </c>
    </row>
    <row r="1118">
      <c r="A1118" s="153" t="str">
        <f>IFERROR(__xludf.DUMMYFUNCTION("""COMPUTED_VALUE"""),"AND25020070683")</f>
        <v>AND25020070683</v>
      </c>
      <c r="B1118" s="153" t="str">
        <f>IFERROR(__xludf.DUMMYFUNCTION("""COMPUTED_VALUE"""),"WES+WMGS")</f>
        <v>WES+WMGS</v>
      </c>
      <c r="C1118" s="154">
        <f>IFERROR(__xludf.DUMMYFUNCTION("""COMPUTED_VALUE"""),46073.0)</f>
        <v>46073</v>
      </c>
      <c r="D1118" s="154">
        <f>IFERROR(__xludf.DUMMYFUNCTION("""COMPUTED_VALUE"""),46091.0)</f>
        <v>46091</v>
      </c>
    </row>
    <row r="1119">
      <c r="A1119" s="153" t="str">
        <f>IFERROR(__xludf.DUMMYFUNCTION("""COMPUTED_VALUE"""),"AND25020070687")</f>
        <v>AND25020070687</v>
      </c>
      <c r="B1119" s="153" t="str">
        <f>IFERROR(__xludf.DUMMYFUNCTION("""COMPUTED_VALUE"""),"WES+WMGS")</f>
        <v>WES+WMGS</v>
      </c>
      <c r="C1119" s="154">
        <f>IFERROR(__xludf.DUMMYFUNCTION("""COMPUTED_VALUE"""),46073.0)</f>
        <v>46073</v>
      </c>
      <c r="D1119" s="154">
        <f>IFERROR(__xludf.DUMMYFUNCTION("""COMPUTED_VALUE"""),46091.0)</f>
        <v>46091</v>
      </c>
    </row>
    <row r="1120">
      <c r="A1120" s="153" t="str">
        <f>IFERROR(__xludf.DUMMYFUNCTION("""COMPUTED_VALUE"""),"AND25020070693")</f>
        <v>AND25020070693</v>
      </c>
      <c r="B1120" s="153" t="str">
        <f>IFERROR(__xludf.DUMMYFUNCTION("""COMPUTED_VALUE"""),"WES+WMGS")</f>
        <v>WES+WMGS</v>
      </c>
      <c r="C1120" s="154">
        <f>IFERROR(__xludf.DUMMYFUNCTION("""COMPUTED_VALUE"""),46073.0)</f>
        <v>46073</v>
      </c>
      <c r="D1120" s="154">
        <f>IFERROR(__xludf.DUMMYFUNCTION("""COMPUTED_VALUE"""),46091.0)</f>
        <v>46091</v>
      </c>
    </row>
    <row r="1121">
      <c r="A1121" s="153" t="str">
        <f>IFERROR(__xludf.DUMMYFUNCTION("""COMPUTED_VALUE"""),"AND25380268654")</f>
        <v>AND25380268654</v>
      </c>
      <c r="B1121" s="153" t="str">
        <f>IFERROR(__xludf.DUMMYFUNCTION("""COMPUTED_VALUE"""),"CES")</f>
        <v>CES</v>
      </c>
      <c r="C1121" s="154">
        <f>IFERROR(__xludf.DUMMYFUNCTION("""COMPUTED_VALUE"""),46073.0)</f>
        <v>46073</v>
      </c>
      <c r="D1121" s="154">
        <f>IFERROR(__xludf.DUMMYFUNCTION("""COMPUTED_VALUE"""),46091.0)</f>
        <v>46091</v>
      </c>
    </row>
    <row r="1122">
      <c r="A1122" s="153" t="str">
        <f>IFERROR(__xludf.DUMMYFUNCTION("""COMPUTED_VALUE"""),"AKP0000000566")</f>
        <v>AKP0000000566</v>
      </c>
      <c r="B1122" s="153" t="str">
        <f>IFERROR(__xludf.DUMMYFUNCTION("""COMPUTED_VALUE"""),"CES")</f>
        <v>CES</v>
      </c>
      <c r="C1122" s="154">
        <f>IFERROR(__xludf.DUMMYFUNCTION("""COMPUTED_VALUE"""),46073.0)</f>
        <v>46073</v>
      </c>
      <c r="D1122" s="154">
        <f>IFERROR(__xludf.DUMMYFUNCTION("""COMPUTED_VALUE"""),46092.0)</f>
        <v>46092</v>
      </c>
    </row>
    <row r="1123">
      <c r="A1123" s="153" t="str">
        <f>IFERROR(__xludf.DUMMYFUNCTION("""COMPUTED_VALUE"""),"AND25360077110")</f>
        <v>AND25360077110</v>
      </c>
      <c r="B1123" s="153" t="str">
        <f>IFERROR(__xludf.DUMMYFUNCTION("""COMPUTED_VALUE"""),"Single Gene – Full gene sequencing by NGS")</f>
        <v>Single Gene – Full gene sequencing by NGS</v>
      </c>
      <c r="C1123" s="154">
        <f>IFERROR(__xludf.DUMMYFUNCTION("""COMPUTED_VALUE"""),46073.0)</f>
        <v>46073</v>
      </c>
      <c r="D1123" s="154">
        <f>IFERROR(__xludf.DUMMYFUNCTION("""COMPUTED_VALUE"""),46081.0)</f>
        <v>46081</v>
      </c>
    </row>
    <row r="1124">
      <c r="A1124" s="153"/>
      <c r="B1124" s="153" t="str">
        <f>IFERROR(__xludf.DUMMYFUNCTION("""COMPUTED_VALUE"""),"WES")</f>
        <v>WES</v>
      </c>
      <c r="C1124" s="154">
        <f>IFERROR(__xludf.DUMMYFUNCTION("""COMPUTED_VALUE"""),46073.0)</f>
        <v>46073</v>
      </c>
      <c r="D1124" s="154">
        <f>IFERROR(__xludf.DUMMYFUNCTION("""COMPUTED_VALUE"""),46087.0)</f>
        <v>46087</v>
      </c>
    </row>
    <row r="1125">
      <c r="A1125" s="153" t="str">
        <f>IFERROR(__xludf.DUMMYFUNCTION("""COMPUTED_VALUE"""),"AND25630004959")</f>
        <v>AND25630004959</v>
      </c>
      <c r="B1125" s="153" t="str">
        <f>IFERROR(__xludf.DUMMYFUNCTION("""COMPUTED_VALUE"""),"WES+WMGS")</f>
        <v>WES+WMGS</v>
      </c>
      <c r="C1125" s="154">
        <f>IFERROR(__xludf.DUMMYFUNCTION("""COMPUTED_VALUE"""),46073.0)</f>
        <v>46073</v>
      </c>
      <c r="D1125" s="154">
        <f>IFERROR(__xludf.DUMMYFUNCTION("""COMPUTED_VALUE"""),46092.0)</f>
        <v>46092</v>
      </c>
    </row>
    <row r="1126">
      <c r="A1126" s="153" t="str">
        <f>IFERROR(__xludf.DUMMYFUNCTION("""COMPUTED_VALUE"""),"AND25020070864")</f>
        <v>AND25020070864</v>
      </c>
      <c r="B1126" s="153" t="str">
        <f>IFERROR(__xludf.DUMMYFUNCTION("""COMPUTED_VALUE"""),"WES+WMGS")</f>
        <v>WES+WMGS</v>
      </c>
      <c r="C1126" s="154">
        <f>IFERROR(__xludf.DUMMYFUNCTION("""COMPUTED_VALUE"""),46073.0)</f>
        <v>46073</v>
      </c>
      <c r="D1126" s="154">
        <f>IFERROR(__xludf.DUMMYFUNCTION("""COMPUTED_VALUE"""),46092.0)</f>
        <v>46092</v>
      </c>
    </row>
    <row r="1127">
      <c r="A1127" s="153" t="str">
        <f>IFERROR(__xludf.DUMMYFUNCTION("""COMPUTED_VALUE"""),"AMB0000005787")</f>
        <v>AMB0000005787</v>
      </c>
      <c r="B1127" s="153" t="str">
        <f>IFERROR(__xludf.DUMMYFUNCTION("""COMPUTED_VALUE"""),"SINGLE GENE – FULL GENE SEQUENCING BY NGS")</f>
        <v>SINGLE GENE – FULL GENE SEQUENCING BY NGS</v>
      </c>
      <c r="C1127" s="154">
        <f>IFERROR(__xludf.DUMMYFUNCTION("""COMPUTED_VALUE"""),46073.0)</f>
        <v>46073</v>
      </c>
      <c r="D1127" s="154">
        <f>IFERROR(__xludf.DUMMYFUNCTION("""COMPUTED_VALUE"""),46081.0)</f>
        <v>46081</v>
      </c>
    </row>
    <row r="1128">
      <c r="A1128" s="153" t="str">
        <f>IFERROR(__xludf.DUMMYFUNCTION("""COMPUTED_VALUE"""),"AMB0000005788")</f>
        <v>AMB0000005788</v>
      </c>
      <c r="B1128" s="153" t="str">
        <f>IFERROR(__xludf.DUMMYFUNCTION("""COMPUTED_VALUE"""),"SINGLE GENE – FULL GENE SEQUENCING BY NGS")</f>
        <v>SINGLE GENE – FULL GENE SEQUENCING BY NGS</v>
      </c>
      <c r="C1128" s="154">
        <f>IFERROR(__xludf.DUMMYFUNCTION("""COMPUTED_VALUE"""),46073.0)</f>
        <v>46073</v>
      </c>
      <c r="D1128" s="154">
        <f>IFERROR(__xludf.DUMMYFUNCTION("""COMPUTED_VALUE"""),46081.0)</f>
        <v>46081</v>
      </c>
    </row>
    <row r="1129">
      <c r="A1129" s="153" t="str">
        <f>IFERROR(__xludf.DUMMYFUNCTION("""COMPUTED_VALUE"""),"AND25630004991")</f>
        <v>AND25630004991</v>
      </c>
      <c r="B1129" s="153" t="str">
        <f>IFERROR(__xludf.DUMMYFUNCTION("""COMPUTED_VALUE"""),"WES")</f>
        <v>WES</v>
      </c>
      <c r="C1129" s="154">
        <f>IFERROR(__xludf.DUMMYFUNCTION("""COMPUTED_VALUE"""),46073.0)</f>
        <v>46073</v>
      </c>
      <c r="D1129" s="154">
        <f>IFERROR(__xludf.DUMMYFUNCTION("""COMPUTED_VALUE"""),46093.0)</f>
        <v>46093</v>
      </c>
    </row>
    <row r="1130">
      <c r="A1130" s="153" t="str">
        <f>IFERROR(__xludf.DUMMYFUNCTION("""COMPUTED_VALUE"""),"AND25630004990")</f>
        <v>AND25630004990</v>
      </c>
      <c r="B1130" s="153" t="str">
        <f>IFERROR(__xludf.DUMMYFUNCTION("""COMPUTED_VALUE"""),"WES")</f>
        <v>WES</v>
      </c>
      <c r="C1130" s="154">
        <f>IFERROR(__xludf.DUMMYFUNCTION("""COMPUTED_VALUE"""),46073.0)</f>
        <v>46073</v>
      </c>
      <c r="D1130" s="154">
        <f>IFERROR(__xludf.DUMMYFUNCTION("""COMPUTED_VALUE"""),46093.0)</f>
        <v>46093</v>
      </c>
    </row>
    <row r="1131">
      <c r="A1131" s="153"/>
      <c r="B1131" s="153" t="str">
        <f>IFERROR(__xludf.DUMMYFUNCTION("""COMPUTED_VALUE"""),"WES")</f>
        <v>WES</v>
      </c>
      <c r="C1131" s="154">
        <f>IFERROR(__xludf.DUMMYFUNCTION("""COMPUTED_VALUE"""),46073.0)</f>
        <v>46073</v>
      </c>
      <c r="D1131" s="153"/>
    </row>
    <row r="1132">
      <c r="A1132" s="153"/>
      <c r="B1132" s="153" t="str">
        <f>IFERROR(__xludf.DUMMYFUNCTION("""COMPUTED_VALUE"""),"WES")</f>
        <v>WES</v>
      </c>
      <c r="C1132" s="154">
        <f>IFERROR(__xludf.DUMMYFUNCTION("""COMPUTED_VALUE"""),46073.0)</f>
        <v>46073</v>
      </c>
      <c r="D1132" s="153"/>
    </row>
    <row r="1133">
      <c r="A1133" s="153" t="str">
        <f>IFERROR(__xludf.DUMMYFUNCTION("""COMPUTED_VALUE"""),"AKP0000000775")</f>
        <v>AKP0000000775</v>
      </c>
      <c r="B1133" s="153" t="str">
        <f>IFERROR(__xludf.DUMMYFUNCTION("""COMPUTED_VALUE"""),"WES")</f>
        <v>WES</v>
      </c>
      <c r="C1133" s="154">
        <f>IFERROR(__xludf.DUMMYFUNCTION("""COMPUTED_VALUE"""),46073.0)</f>
        <v>46073</v>
      </c>
      <c r="D1133" s="154">
        <f>IFERROR(__xludf.DUMMYFUNCTION("""COMPUTED_VALUE"""),46092.0)</f>
        <v>46092</v>
      </c>
    </row>
    <row r="1134">
      <c r="A1134" s="153" t="str">
        <f>IFERROR(__xludf.DUMMYFUNCTION("""COMPUTED_VALUE"""),"AMB0000005816")</f>
        <v>AMB0000005816</v>
      </c>
      <c r="B1134" s="153" t="str">
        <f>IFERROR(__xludf.DUMMYFUNCTION("""COMPUTED_VALUE"""),"WES")</f>
        <v>WES</v>
      </c>
      <c r="C1134" s="154">
        <f>IFERROR(__xludf.DUMMYFUNCTION("""COMPUTED_VALUE"""),46073.0)</f>
        <v>46073</v>
      </c>
      <c r="D1134" s="154">
        <f>IFERROR(__xludf.DUMMYFUNCTION("""COMPUTED_VALUE"""),46093.0)</f>
        <v>46093</v>
      </c>
    </row>
    <row r="1135">
      <c r="A1135" s="153" t="str">
        <f>IFERROR(__xludf.DUMMYFUNCTION("""COMPUTED_VALUE"""),"AMB0000005817")</f>
        <v>AMB0000005817</v>
      </c>
      <c r="B1135" s="153" t="str">
        <f>IFERROR(__xludf.DUMMYFUNCTION("""COMPUTED_VALUE"""),"WES")</f>
        <v>WES</v>
      </c>
      <c r="C1135" s="154">
        <f>IFERROR(__xludf.DUMMYFUNCTION("""COMPUTED_VALUE"""),46073.0)</f>
        <v>46073</v>
      </c>
      <c r="D1135" s="154">
        <f>IFERROR(__xludf.DUMMYFUNCTION("""COMPUTED_VALUE"""),46093.0)</f>
        <v>46093</v>
      </c>
    </row>
    <row r="1136">
      <c r="A1136" s="153" t="str">
        <f>IFERROR(__xludf.DUMMYFUNCTION("""COMPUTED_VALUE"""),"DCC0000002755")</f>
        <v>DCC0000002755</v>
      </c>
      <c r="B1136" s="153" t="str">
        <f>IFERROR(__xludf.DUMMYFUNCTION("""COMPUTED_VALUE"""),"CES")</f>
        <v>CES</v>
      </c>
      <c r="C1136" s="154">
        <f>IFERROR(__xludf.DUMMYFUNCTION("""COMPUTED_VALUE"""),46073.0)</f>
        <v>46073</v>
      </c>
      <c r="D1136" s="154">
        <f>IFERROR(__xludf.DUMMYFUNCTION("""COMPUTED_VALUE"""),46093.0)</f>
        <v>46093</v>
      </c>
    </row>
    <row r="1137">
      <c r="A1137" s="153" t="str">
        <f>IFERROR(__xludf.DUMMYFUNCTION("""COMPUTED_VALUE"""),"AND25150124764")</f>
        <v>AND25150124764</v>
      </c>
      <c r="B1137" s="153" t="str">
        <f>IFERROR(__xludf.DUMMYFUNCTION("""COMPUTED_VALUE"""),"MALE INFERTILITY NGS PANEL")</f>
        <v>MALE INFERTILITY NGS PANEL</v>
      </c>
      <c r="C1137" s="154">
        <f>IFERROR(__xludf.DUMMYFUNCTION("""COMPUTED_VALUE"""),46073.0)</f>
        <v>46073</v>
      </c>
      <c r="D1137" s="154">
        <f>IFERROR(__xludf.DUMMYFUNCTION("""COMPUTED_VALUE"""),46082.0)</f>
        <v>46082</v>
      </c>
    </row>
    <row r="1138">
      <c r="A1138" s="153" t="str">
        <f>IFERROR(__xludf.DUMMYFUNCTION("""COMPUTED_VALUE"""),"AND251H0005461")</f>
        <v>AND251H0005461</v>
      </c>
      <c r="B1138" s="153" t="str">
        <f>IFERROR(__xludf.DUMMYFUNCTION("""COMPUTED_VALUE"""),"CES")</f>
        <v>CES</v>
      </c>
      <c r="C1138" s="154">
        <f>IFERROR(__xludf.DUMMYFUNCTION("""COMPUTED_VALUE"""),46073.0)</f>
        <v>46073</v>
      </c>
      <c r="D1138" s="154">
        <f>IFERROR(__xludf.DUMMYFUNCTION("""COMPUTED_VALUE"""),46088.0)</f>
        <v>46088</v>
      </c>
    </row>
    <row r="1139">
      <c r="A1139" s="153" t="str">
        <f>IFERROR(__xludf.DUMMYFUNCTION("""COMPUTED_VALUE"""),"AND25150125160")</f>
        <v>AND25150125160</v>
      </c>
      <c r="B1139" s="153" t="str">
        <f>IFERROR(__xludf.DUMMYFUNCTION("""COMPUTED_VALUE"""),"WES")</f>
        <v>WES</v>
      </c>
      <c r="C1139" s="154">
        <f>IFERROR(__xludf.DUMMYFUNCTION("""COMPUTED_VALUE"""),46073.0)</f>
        <v>46073</v>
      </c>
      <c r="D1139" s="154">
        <f>IFERROR(__xludf.DUMMYFUNCTION("""COMPUTED_VALUE"""),46094.0)</f>
        <v>46094</v>
      </c>
    </row>
    <row r="1140">
      <c r="A1140" s="153" t="str">
        <f>IFERROR(__xludf.DUMMYFUNCTION("""COMPUTED_VALUE"""),"AND25150125159")</f>
        <v>AND25150125159</v>
      </c>
      <c r="B1140" s="153" t="str">
        <f>IFERROR(__xludf.DUMMYFUNCTION("""COMPUTED_VALUE"""),"WES")</f>
        <v>WES</v>
      </c>
      <c r="C1140" s="154">
        <f>IFERROR(__xludf.DUMMYFUNCTION("""COMPUTED_VALUE"""),46073.0)</f>
        <v>46073</v>
      </c>
      <c r="D1140" s="154">
        <f>IFERROR(__xludf.DUMMYFUNCTION("""COMPUTED_VALUE"""),46094.0)</f>
        <v>46094</v>
      </c>
    </row>
    <row r="1141">
      <c r="A1141" s="153" t="str">
        <f>IFERROR(__xludf.DUMMYFUNCTION("""COMPUTED_VALUE"""),"AND25370044567")</f>
        <v>AND25370044567</v>
      </c>
      <c r="B1141" s="153" t="str">
        <f>IFERROR(__xludf.DUMMYFUNCTION("""COMPUTED_VALUE"""),"WES")</f>
        <v>WES</v>
      </c>
      <c r="C1141" s="154">
        <f>IFERROR(__xludf.DUMMYFUNCTION("""COMPUTED_VALUE"""),46076.0)</f>
        <v>46076</v>
      </c>
      <c r="D1141" s="154">
        <f>IFERROR(__xludf.DUMMYFUNCTION("""COMPUTED_VALUE"""),46093.0)</f>
        <v>46093</v>
      </c>
    </row>
    <row r="1142">
      <c r="A1142" s="153" t="str">
        <f>IFERROR(__xludf.DUMMYFUNCTION("""COMPUTED_VALUE"""),"AND25420007216")</f>
        <v>AND25420007216</v>
      </c>
      <c r="B1142" s="153" t="str">
        <f>IFERROR(__xludf.DUMMYFUNCTION("""COMPUTED_VALUE"""),"WES")</f>
        <v>WES</v>
      </c>
      <c r="C1142" s="154">
        <f>IFERROR(__xludf.DUMMYFUNCTION("""COMPUTED_VALUE"""),46076.0)</f>
        <v>46076</v>
      </c>
      <c r="D1142" s="154">
        <f>IFERROR(__xludf.DUMMYFUNCTION("""COMPUTED_VALUE"""),46088.0)</f>
        <v>46088</v>
      </c>
    </row>
    <row r="1143">
      <c r="A1143" s="153" t="str">
        <f>IFERROR(__xludf.DUMMYFUNCTION("""COMPUTED_VALUE"""),"AND25150124320")</f>
        <v>AND25150124320</v>
      </c>
      <c r="B1143" s="153" t="str">
        <f>IFERROR(__xludf.DUMMYFUNCTION("""COMPUTED_VALUE"""),"WES")</f>
        <v>WES</v>
      </c>
      <c r="C1143" s="154">
        <f>IFERROR(__xludf.DUMMYFUNCTION("""COMPUTED_VALUE"""),46076.0)</f>
        <v>46076</v>
      </c>
      <c r="D1143" s="154">
        <f>IFERROR(__xludf.DUMMYFUNCTION("""COMPUTED_VALUE"""),46092.0)</f>
        <v>46092</v>
      </c>
    </row>
    <row r="1144">
      <c r="A1144" s="153" t="str">
        <f>IFERROR(__xludf.DUMMYFUNCTION("""COMPUTED_VALUE"""),"AND25020071247")</f>
        <v>AND25020071247</v>
      </c>
      <c r="B1144" s="153" t="str">
        <f>IFERROR(__xludf.DUMMYFUNCTION("""COMPUTED_VALUE"""),"WES+WMGS")</f>
        <v>WES+WMGS</v>
      </c>
      <c r="C1144" s="154">
        <f>IFERROR(__xludf.DUMMYFUNCTION("""COMPUTED_VALUE"""),46076.0)</f>
        <v>46076</v>
      </c>
      <c r="D1144" s="154">
        <f>IFERROR(__xludf.DUMMYFUNCTION("""COMPUTED_VALUE"""),46094.0)</f>
        <v>46094</v>
      </c>
    </row>
    <row r="1145">
      <c r="A1145" s="153" t="str">
        <f>IFERROR(__xludf.DUMMYFUNCTION("""COMPUTED_VALUE"""),"AND25020071248")</f>
        <v>AND25020071248</v>
      </c>
      <c r="B1145" s="153" t="str">
        <f>IFERROR(__xludf.DUMMYFUNCTION("""COMPUTED_VALUE"""),"WES+WMGS")</f>
        <v>WES+WMGS</v>
      </c>
      <c r="C1145" s="154">
        <f>IFERROR(__xludf.DUMMYFUNCTION("""COMPUTED_VALUE"""),46076.0)</f>
        <v>46076</v>
      </c>
      <c r="D1145" s="154">
        <f>IFERROR(__xludf.DUMMYFUNCTION("""COMPUTED_VALUE"""),46094.0)</f>
        <v>46094</v>
      </c>
    </row>
    <row r="1146">
      <c r="A1146" s="153" t="str">
        <f>IFERROR(__xludf.DUMMYFUNCTION("""COMPUTED_VALUE"""),"AND25720039531")</f>
        <v>AND25720039531</v>
      </c>
      <c r="B1146" s="153" t="str">
        <f>IFERROR(__xludf.DUMMYFUNCTION("""COMPUTED_VALUE"""),"WES")</f>
        <v>WES</v>
      </c>
      <c r="C1146" s="154">
        <f>IFERROR(__xludf.DUMMYFUNCTION("""COMPUTED_VALUE"""),46076.0)</f>
        <v>46076</v>
      </c>
      <c r="D1146" s="154">
        <f>IFERROR(__xludf.DUMMYFUNCTION("""COMPUTED_VALUE"""),46094.0)</f>
        <v>46094</v>
      </c>
    </row>
    <row r="1147">
      <c r="A1147" s="153" t="str">
        <f>IFERROR(__xludf.DUMMYFUNCTION("""COMPUTED_VALUE"""),"AND25720039532")</f>
        <v>AND25720039532</v>
      </c>
      <c r="B1147" s="153" t="str">
        <f>IFERROR(__xludf.DUMMYFUNCTION("""COMPUTED_VALUE"""),"WES")</f>
        <v>WES</v>
      </c>
      <c r="C1147" s="154">
        <f>IFERROR(__xludf.DUMMYFUNCTION("""COMPUTED_VALUE"""),46076.0)</f>
        <v>46076</v>
      </c>
      <c r="D1147" s="154">
        <f>IFERROR(__xludf.DUMMYFUNCTION("""COMPUTED_VALUE"""),46094.0)</f>
        <v>46094</v>
      </c>
    </row>
    <row r="1148">
      <c r="A1148" s="153" t="str">
        <f>IFERROR(__xludf.DUMMYFUNCTION("""COMPUTED_VALUE"""),"AND25630005003")</f>
        <v>AND25630005003</v>
      </c>
      <c r="B1148" s="153" t="str">
        <f>IFERROR(__xludf.DUMMYFUNCTION("""COMPUTED_VALUE"""),"WES+WMGS")</f>
        <v>WES+WMGS</v>
      </c>
      <c r="C1148" s="154">
        <f>IFERROR(__xludf.DUMMYFUNCTION("""COMPUTED_VALUE"""),46076.0)</f>
        <v>46076</v>
      </c>
      <c r="D1148" s="154">
        <f>IFERROR(__xludf.DUMMYFUNCTION("""COMPUTED_VALUE"""),46095.0)</f>
        <v>46095</v>
      </c>
    </row>
    <row r="1149">
      <c r="A1149" s="153" t="str">
        <f>IFERROR(__xludf.DUMMYFUNCTION("""COMPUTED_VALUE"""),"AND25630004997")</f>
        <v>AND25630004997</v>
      </c>
      <c r="B1149" s="153" t="str">
        <f>IFERROR(__xludf.DUMMYFUNCTION("""COMPUTED_VALUE"""),"WES+WMGS")</f>
        <v>WES+WMGS</v>
      </c>
      <c r="C1149" s="154">
        <f>IFERROR(__xludf.DUMMYFUNCTION("""COMPUTED_VALUE"""),46076.0)</f>
        <v>46076</v>
      </c>
      <c r="D1149" s="154">
        <f>IFERROR(__xludf.DUMMYFUNCTION("""COMPUTED_VALUE"""),46095.0)</f>
        <v>46095</v>
      </c>
    </row>
    <row r="1150">
      <c r="A1150" s="153" t="str">
        <f>IFERROR(__xludf.DUMMYFUNCTION("""COMPUTED_VALUE"""),"AND25630004998")</f>
        <v>AND25630004998</v>
      </c>
      <c r="B1150" s="153" t="str">
        <f>IFERROR(__xludf.DUMMYFUNCTION("""COMPUTED_VALUE"""),"WES+WMGS")</f>
        <v>WES+WMGS</v>
      </c>
      <c r="C1150" s="154">
        <f>IFERROR(__xludf.DUMMYFUNCTION("""COMPUTED_VALUE"""),46076.0)</f>
        <v>46076</v>
      </c>
      <c r="D1150" s="154">
        <f>IFERROR(__xludf.DUMMYFUNCTION("""COMPUTED_VALUE"""),46095.0)</f>
        <v>46095</v>
      </c>
    </row>
    <row r="1151">
      <c r="A1151" s="153" t="str">
        <f>IFERROR(__xludf.DUMMYFUNCTION("""COMPUTED_VALUE"""),"ADB0000024627")</f>
        <v>ADB0000024627</v>
      </c>
      <c r="B1151" s="153" t="str">
        <f>IFERROR(__xludf.DUMMYFUNCTION("""COMPUTED_VALUE"""),"WES")</f>
        <v>WES</v>
      </c>
      <c r="C1151" s="154">
        <f>IFERROR(__xludf.DUMMYFUNCTION("""COMPUTED_VALUE"""),46076.0)</f>
        <v>46076</v>
      </c>
      <c r="D1151" s="154">
        <f>IFERROR(__xludf.DUMMYFUNCTION("""COMPUTED_VALUE"""),46096.0)</f>
        <v>46096</v>
      </c>
    </row>
    <row r="1152">
      <c r="A1152" s="153" t="str">
        <f>IFERROR(__xludf.DUMMYFUNCTION("""COMPUTED_VALUE"""),"ADB0000024628")</f>
        <v>ADB0000024628</v>
      </c>
      <c r="B1152" s="153" t="str">
        <f>IFERROR(__xludf.DUMMYFUNCTION("""COMPUTED_VALUE"""),"WES")</f>
        <v>WES</v>
      </c>
      <c r="C1152" s="154">
        <f>IFERROR(__xludf.DUMMYFUNCTION("""COMPUTED_VALUE"""),46076.0)</f>
        <v>46076</v>
      </c>
      <c r="D1152" s="154">
        <f>IFERROR(__xludf.DUMMYFUNCTION("""COMPUTED_VALUE"""),46096.0)</f>
        <v>46096</v>
      </c>
    </row>
    <row r="1153">
      <c r="A1153" s="153" t="str">
        <f>IFERROR(__xludf.DUMMYFUNCTION("""COMPUTED_VALUE"""),"AMB0000005733")</f>
        <v>AMB0000005733</v>
      </c>
      <c r="B1153" s="153" t="str">
        <f>IFERROR(__xludf.DUMMYFUNCTION("""COMPUTED_VALUE"""),"WES")</f>
        <v>WES</v>
      </c>
      <c r="C1153" s="154">
        <f>IFERROR(__xludf.DUMMYFUNCTION("""COMPUTED_VALUE"""),46076.0)</f>
        <v>46076</v>
      </c>
      <c r="D1153" s="154">
        <f>IFERROR(__xludf.DUMMYFUNCTION("""COMPUTED_VALUE"""),46091.0)</f>
        <v>46091</v>
      </c>
    </row>
    <row r="1154">
      <c r="A1154" s="153"/>
      <c r="B1154" s="153"/>
      <c r="C1154" s="154">
        <f>IFERROR(__xludf.DUMMYFUNCTION("""COMPUTED_VALUE"""),46076.0)</f>
        <v>46076</v>
      </c>
      <c r="D1154" s="153"/>
    </row>
    <row r="1155">
      <c r="A1155" s="153" t="str">
        <f>IFERROR(__xludf.DUMMYFUNCTION("""COMPUTED_VALUE"""),"AND251H0005516")</f>
        <v>AND251H0005516</v>
      </c>
      <c r="B1155" s="153" t="str">
        <f>IFERROR(__xludf.DUMMYFUNCTION("""COMPUTED_VALUE"""),"CES")</f>
        <v>CES</v>
      </c>
      <c r="C1155" s="154">
        <f>IFERROR(__xludf.DUMMYFUNCTION("""COMPUTED_VALUE"""),46076.0)</f>
        <v>46076</v>
      </c>
      <c r="D1155" s="154">
        <f>IFERROR(__xludf.DUMMYFUNCTION("""COMPUTED_VALUE"""),46096.0)</f>
        <v>46096</v>
      </c>
    </row>
    <row r="1156">
      <c r="A1156" s="153" t="str">
        <f>IFERROR(__xludf.DUMMYFUNCTION("""COMPUTED_VALUE"""),"AND25370044969")</f>
        <v>AND25370044969</v>
      </c>
      <c r="B1156" s="153" t="str">
        <f>IFERROR(__xludf.DUMMYFUNCTION("""COMPUTED_VALUE"""),"WES")</f>
        <v>WES</v>
      </c>
      <c r="C1156" s="154">
        <f>IFERROR(__xludf.DUMMYFUNCTION("""COMPUTED_VALUE"""),46076.0)</f>
        <v>46076</v>
      </c>
      <c r="D1156" s="154">
        <f>IFERROR(__xludf.DUMMYFUNCTION("""COMPUTED_VALUE"""),46097.0)</f>
        <v>46097</v>
      </c>
    </row>
    <row r="1157">
      <c r="A1157" s="153" t="str">
        <f>IFERROR(__xludf.DUMMYFUNCTION("""COMPUTED_VALUE"""),"AND25150126285")</f>
        <v>AND25150126285</v>
      </c>
      <c r="B1157" s="153" t="str">
        <f>IFERROR(__xludf.DUMMYFUNCTION("""COMPUTED_VALUE"""),"WES")</f>
        <v>WES</v>
      </c>
      <c r="C1157" s="154">
        <f>IFERROR(__xludf.DUMMYFUNCTION("""COMPUTED_VALUE"""),46076.0)</f>
        <v>46076</v>
      </c>
      <c r="D1157" s="154">
        <f>IFERROR(__xludf.DUMMYFUNCTION("""COMPUTED_VALUE"""),46097.0)</f>
        <v>46097</v>
      </c>
    </row>
    <row r="1158">
      <c r="A1158" s="153" t="str">
        <f>IFERROR(__xludf.DUMMYFUNCTION("""COMPUTED_VALUE"""),"AND25630005060")</f>
        <v>AND25630005060</v>
      </c>
      <c r="B1158" s="153" t="str">
        <f>IFERROR(__xludf.DUMMYFUNCTION("""COMPUTED_VALUE"""),"WES")</f>
        <v>WES</v>
      </c>
      <c r="C1158" s="154">
        <f>IFERROR(__xludf.DUMMYFUNCTION("""COMPUTED_VALUE"""),46076.0)</f>
        <v>46076</v>
      </c>
      <c r="D1158" s="154">
        <f>IFERROR(__xludf.DUMMYFUNCTION("""COMPUTED_VALUE"""),46091.0)</f>
        <v>46091</v>
      </c>
    </row>
    <row r="1159">
      <c r="A1159" s="153" t="str">
        <f>IFERROR(__xludf.DUMMYFUNCTION("""COMPUTED_VALUE"""),"AND25630005124")</f>
        <v>AND25630005124</v>
      </c>
      <c r="B1159" s="153" t="str">
        <f>IFERROR(__xludf.DUMMYFUNCTION("""COMPUTED_VALUE"""),"CES")</f>
        <v>CES</v>
      </c>
      <c r="C1159" s="154">
        <f>IFERROR(__xludf.DUMMYFUNCTION("""COMPUTED_VALUE"""),46076.0)</f>
        <v>46076</v>
      </c>
      <c r="D1159" s="154">
        <f>IFERROR(__xludf.DUMMYFUNCTION("""COMPUTED_VALUE"""),46097.0)</f>
        <v>46097</v>
      </c>
    </row>
    <row r="1160">
      <c r="A1160" s="153" t="str">
        <f>IFERROR(__xludf.DUMMYFUNCTION("""COMPUTED_VALUE"""),"AND25630005039")</f>
        <v>AND25630005039</v>
      </c>
      <c r="B1160" s="153" t="str">
        <f>IFERROR(__xludf.DUMMYFUNCTION("""COMPUTED_VALUE"""),"WES+WMGS")</f>
        <v>WES+WMGS</v>
      </c>
      <c r="C1160" s="154">
        <f>IFERROR(__xludf.DUMMYFUNCTION("""COMPUTED_VALUE"""),46076.0)</f>
        <v>46076</v>
      </c>
      <c r="D1160" s="154">
        <f>IFERROR(__xludf.DUMMYFUNCTION("""COMPUTED_VALUE"""),46097.0)</f>
        <v>46097</v>
      </c>
    </row>
    <row r="1161">
      <c r="A1161" s="153" t="str">
        <f>IFERROR(__xludf.DUMMYFUNCTION("""COMPUTED_VALUE"""),"ADH0000013799")</f>
        <v>ADH0000013799</v>
      </c>
      <c r="B1161" s="153" t="str">
        <f>IFERROR(__xludf.DUMMYFUNCTION("""COMPUTED_VALUE"""),"WES")</f>
        <v>WES</v>
      </c>
      <c r="C1161" s="154">
        <f>IFERROR(__xludf.DUMMYFUNCTION("""COMPUTED_VALUE"""),46076.0)</f>
        <v>46076</v>
      </c>
      <c r="D1161" s="154">
        <f>IFERROR(__xludf.DUMMYFUNCTION("""COMPUTED_VALUE"""),46091.0)</f>
        <v>46091</v>
      </c>
    </row>
    <row r="1162">
      <c r="A1162" s="153" t="str">
        <f>IFERROR(__xludf.DUMMYFUNCTION("""COMPUTED_VALUE"""),"AND25630005079")</f>
        <v>AND25630005079</v>
      </c>
      <c r="B1162" s="153" t="str">
        <f>IFERROR(__xludf.DUMMYFUNCTION("""COMPUTED_VALUE"""),"WES")</f>
        <v>WES</v>
      </c>
      <c r="C1162" s="154">
        <f>IFERROR(__xludf.DUMMYFUNCTION("""COMPUTED_VALUE"""),46076.0)</f>
        <v>46076</v>
      </c>
      <c r="D1162" s="154">
        <f>IFERROR(__xludf.DUMMYFUNCTION("""COMPUTED_VALUE"""),46092.0)</f>
        <v>46092</v>
      </c>
    </row>
    <row r="1163">
      <c r="A1163" s="153" t="str">
        <f>IFERROR(__xludf.DUMMYFUNCTION("""COMPUTED_VALUE"""),"AND25630005080")</f>
        <v>AND25630005080</v>
      </c>
      <c r="B1163" s="153" t="str">
        <f>IFERROR(__xludf.DUMMYFUNCTION("""COMPUTED_VALUE"""),"WES")</f>
        <v>WES</v>
      </c>
      <c r="C1163" s="154">
        <f>IFERROR(__xludf.DUMMYFUNCTION("""COMPUTED_VALUE"""),46076.0)</f>
        <v>46076</v>
      </c>
      <c r="D1163" s="154">
        <f>IFERROR(__xludf.DUMMYFUNCTION("""COMPUTED_VALUE"""),46092.0)</f>
        <v>46092</v>
      </c>
    </row>
    <row r="1164">
      <c r="A1164" s="153" t="str">
        <f>IFERROR(__xludf.DUMMYFUNCTION("""COMPUTED_VALUE"""),"AND25630005081")</f>
        <v>AND25630005081</v>
      </c>
      <c r="B1164" s="153" t="str">
        <f>IFERROR(__xludf.DUMMYFUNCTION("""COMPUTED_VALUE"""),"WES")</f>
        <v>WES</v>
      </c>
      <c r="C1164" s="154">
        <f>IFERROR(__xludf.DUMMYFUNCTION("""COMPUTED_VALUE"""),46076.0)</f>
        <v>46076</v>
      </c>
      <c r="D1164" s="154">
        <f>IFERROR(__xludf.DUMMYFUNCTION("""COMPUTED_VALUE"""),46092.0)</f>
        <v>46092</v>
      </c>
    </row>
    <row r="1165">
      <c r="A1165" s="153" t="str">
        <f>IFERROR(__xludf.DUMMYFUNCTION("""COMPUTED_VALUE"""),"AND25630005082")</f>
        <v>AND25630005082</v>
      </c>
      <c r="B1165" s="153" t="str">
        <f>IFERROR(__xludf.DUMMYFUNCTION("""COMPUTED_VALUE"""),"WES")</f>
        <v>WES</v>
      </c>
      <c r="C1165" s="154">
        <f>IFERROR(__xludf.DUMMYFUNCTION("""COMPUTED_VALUE"""),46076.0)</f>
        <v>46076</v>
      </c>
      <c r="D1165" s="154">
        <f>IFERROR(__xludf.DUMMYFUNCTION("""COMPUTED_VALUE"""),46092.0)</f>
        <v>46092</v>
      </c>
    </row>
    <row r="1166">
      <c r="A1166" s="153" t="str">
        <f>IFERROR(__xludf.DUMMYFUNCTION("""COMPUTED_VALUE"""),"AND25630005083")</f>
        <v>AND25630005083</v>
      </c>
      <c r="B1166" s="153" t="str">
        <f>IFERROR(__xludf.DUMMYFUNCTION("""COMPUTED_VALUE"""),"WES")</f>
        <v>WES</v>
      </c>
      <c r="C1166" s="154">
        <f>IFERROR(__xludf.DUMMYFUNCTION("""COMPUTED_VALUE"""),46076.0)</f>
        <v>46076</v>
      </c>
      <c r="D1166" s="154">
        <f>IFERROR(__xludf.DUMMYFUNCTION("""COMPUTED_VALUE"""),46092.0)</f>
        <v>46092</v>
      </c>
    </row>
    <row r="1167">
      <c r="A1167" s="153" t="str">
        <f>IFERROR(__xludf.DUMMYFUNCTION("""COMPUTED_VALUE"""),"AND25630005084")</f>
        <v>AND25630005084</v>
      </c>
      <c r="B1167" s="153" t="str">
        <f>IFERROR(__xludf.DUMMYFUNCTION("""COMPUTED_VALUE"""),"WES")</f>
        <v>WES</v>
      </c>
      <c r="C1167" s="154">
        <f>IFERROR(__xludf.DUMMYFUNCTION("""COMPUTED_VALUE"""),46076.0)</f>
        <v>46076</v>
      </c>
      <c r="D1167" s="154">
        <f>IFERROR(__xludf.DUMMYFUNCTION("""COMPUTED_VALUE"""),46092.0)</f>
        <v>46092</v>
      </c>
    </row>
    <row r="1168">
      <c r="A1168" s="153" t="str">
        <f>IFERROR(__xludf.DUMMYFUNCTION("""COMPUTED_VALUE"""),"AND25630005085")</f>
        <v>AND25630005085</v>
      </c>
      <c r="B1168" s="153" t="str">
        <f>IFERROR(__xludf.DUMMYFUNCTION("""COMPUTED_VALUE"""),"WES")</f>
        <v>WES</v>
      </c>
      <c r="C1168" s="154">
        <f>IFERROR(__xludf.DUMMYFUNCTION("""COMPUTED_VALUE"""),46076.0)</f>
        <v>46076</v>
      </c>
      <c r="D1168" s="154">
        <f>IFERROR(__xludf.DUMMYFUNCTION("""COMPUTED_VALUE"""),46092.0)</f>
        <v>46092</v>
      </c>
    </row>
    <row r="1169">
      <c r="A1169" s="153" t="str">
        <f>IFERROR(__xludf.DUMMYFUNCTION("""COMPUTED_VALUE"""),"AND25630005086")</f>
        <v>AND25630005086</v>
      </c>
      <c r="B1169" s="153" t="str">
        <f>IFERROR(__xludf.DUMMYFUNCTION("""COMPUTED_VALUE"""),"WES")</f>
        <v>WES</v>
      </c>
      <c r="C1169" s="154">
        <f>IFERROR(__xludf.DUMMYFUNCTION("""COMPUTED_VALUE"""),46076.0)</f>
        <v>46076</v>
      </c>
      <c r="D1169" s="154">
        <f>IFERROR(__xludf.DUMMYFUNCTION("""COMPUTED_VALUE"""),46092.0)</f>
        <v>46092</v>
      </c>
    </row>
    <row r="1170">
      <c r="A1170" s="153" t="str">
        <f>IFERROR(__xludf.DUMMYFUNCTION("""COMPUTED_VALUE"""),"AND25630005087")</f>
        <v>AND25630005087</v>
      </c>
      <c r="B1170" s="153" t="str">
        <f>IFERROR(__xludf.DUMMYFUNCTION("""COMPUTED_VALUE"""),"WES")</f>
        <v>WES</v>
      </c>
      <c r="C1170" s="154">
        <f>IFERROR(__xludf.DUMMYFUNCTION("""COMPUTED_VALUE"""),46076.0)</f>
        <v>46076</v>
      </c>
      <c r="D1170" s="154">
        <f>IFERROR(__xludf.DUMMYFUNCTION("""COMPUTED_VALUE"""),46092.0)</f>
        <v>46092</v>
      </c>
    </row>
    <row r="1171">
      <c r="A1171" s="153" t="str">
        <f>IFERROR(__xludf.DUMMYFUNCTION("""COMPUTED_VALUE"""),"AND25630004999")</f>
        <v>AND25630004999</v>
      </c>
      <c r="B1171" s="153" t="str">
        <f>IFERROR(__xludf.DUMMYFUNCTION("""COMPUTED_VALUE"""),"WES+WMGS")</f>
        <v>WES+WMGS</v>
      </c>
      <c r="C1171" s="154">
        <f>IFERROR(__xludf.DUMMYFUNCTION("""COMPUTED_VALUE"""),46076.0)</f>
        <v>46076</v>
      </c>
      <c r="D1171" s="154">
        <f>IFERROR(__xludf.DUMMYFUNCTION("""COMPUTED_VALUE"""),46095.0)</f>
        <v>46095</v>
      </c>
    </row>
    <row r="1172">
      <c r="A1172" s="153" t="str">
        <f>IFERROR(__xludf.DUMMYFUNCTION("""COMPUTED_VALUE"""),"AND25020071611")</f>
        <v>AND25020071611</v>
      </c>
      <c r="B1172" s="153" t="str">
        <f>IFERROR(__xludf.DUMMYFUNCTION("""COMPUTED_VALUE"""),"WES+WMGS")</f>
        <v>WES+WMGS</v>
      </c>
      <c r="C1172" s="154">
        <f>IFERROR(__xludf.DUMMYFUNCTION("""COMPUTED_VALUE"""),46076.0)</f>
        <v>46076</v>
      </c>
      <c r="D1172" s="154">
        <f>IFERROR(__xludf.DUMMYFUNCTION("""COMPUTED_VALUE"""),46096.0)</f>
        <v>46096</v>
      </c>
    </row>
    <row r="1173">
      <c r="A1173" s="153" t="str">
        <f>IFERROR(__xludf.DUMMYFUNCTION("""COMPUTED_VALUE"""),"AND25020072110")</f>
        <v>AND25020072110</v>
      </c>
      <c r="B1173" s="153" t="str">
        <f>IFERROR(__xludf.DUMMYFUNCTION("""COMPUTED_VALUE"""),"WES+WMGS")</f>
        <v>WES+WMGS</v>
      </c>
      <c r="C1173" s="154">
        <f>IFERROR(__xludf.DUMMYFUNCTION("""COMPUTED_VALUE"""),46080.0)</f>
        <v>46080</v>
      </c>
      <c r="D1173" s="154">
        <f>IFERROR(__xludf.DUMMYFUNCTION("""COMPUTED_VALUE"""),46098.0)</f>
        <v>46098</v>
      </c>
    </row>
    <row r="1174">
      <c r="A1174" s="153" t="str">
        <f>IFERROR(__xludf.DUMMYFUNCTION("""COMPUTED_VALUE"""),"AND25630005137")</f>
        <v>AND25630005137</v>
      </c>
      <c r="B1174" s="153" t="str">
        <f>IFERROR(__xludf.DUMMYFUNCTION("""COMPUTED_VALUE"""),"WES+WMGS")</f>
        <v>WES+WMGS</v>
      </c>
      <c r="C1174" s="154">
        <f>IFERROR(__xludf.DUMMYFUNCTION("""COMPUTED_VALUE"""),46080.0)</f>
        <v>46080</v>
      </c>
      <c r="D1174" s="154">
        <f>IFERROR(__xludf.DUMMYFUNCTION("""COMPUTED_VALUE"""),46100.0)</f>
        <v>46100</v>
      </c>
    </row>
    <row r="1175">
      <c r="A1175" s="153" t="str">
        <f>IFERROR(__xludf.DUMMYFUNCTION("""COMPUTED_VALUE"""),"AND25020071904")</f>
        <v>AND25020071904</v>
      </c>
      <c r="B1175" s="153" t="str">
        <f>IFERROR(__xludf.DUMMYFUNCTION("""COMPUTED_VALUE"""),"WES+WMGS")</f>
        <v>WES+WMGS</v>
      </c>
      <c r="C1175" s="154">
        <f>IFERROR(__xludf.DUMMYFUNCTION("""COMPUTED_VALUE"""),46080.0)</f>
        <v>46080</v>
      </c>
      <c r="D1175" s="154">
        <f>IFERROR(__xludf.DUMMYFUNCTION("""COMPUTED_VALUE"""),46097.0)</f>
        <v>46097</v>
      </c>
    </row>
    <row r="1176">
      <c r="A1176" s="153" t="str">
        <f>IFERROR(__xludf.DUMMYFUNCTION("""COMPUTED_VALUE"""),"AND25020071784")</f>
        <v>AND25020071784</v>
      </c>
      <c r="B1176" s="153" t="str">
        <f>IFERROR(__xludf.DUMMYFUNCTION("""COMPUTED_VALUE"""),"WES+WMGS")</f>
        <v>WES+WMGS</v>
      </c>
      <c r="C1176" s="154">
        <f>IFERROR(__xludf.DUMMYFUNCTION("""COMPUTED_VALUE"""),46080.0)</f>
        <v>46080</v>
      </c>
      <c r="D1176" s="154">
        <f>IFERROR(__xludf.DUMMYFUNCTION("""COMPUTED_VALUE"""),46097.0)</f>
        <v>46097</v>
      </c>
    </row>
    <row r="1177">
      <c r="A1177" s="153" t="str">
        <f>IFERROR(__xludf.DUMMYFUNCTION("""COMPUTED_VALUE"""),"AND25630004996")</f>
        <v>AND25630004996</v>
      </c>
      <c r="B1177" s="153" t="str">
        <f>IFERROR(__xludf.DUMMYFUNCTION("""COMPUTED_VALUE"""),"WES+WMGS")</f>
        <v>WES+WMGS</v>
      </c>
      <c r="C1177" s="154">
        <f>IFERROR(__xludf.DUMMYFUNCTION("""COMPUTED_VALUE"""),46080.0)</f>
        <v>46080</v>
      </c>
      <c r="D1177" s="154">
        <f>IFERROR(__xludf.DUMMYFUNCTION("""COMPUTED_VALUE"""),46095.0)</f>
        <v>46095</v>
      </c>
    </row>
    <row r="1178">
      <c r="A1178" s="153" t="str">
        <f>IFERROR(__xludf.DUMMYFUNCTION("""COMPUTED_VALUE"""),"AND25150126180")</f>
        <v>AND25150126180</v>
      </c>
      <c r="B1178" s="153" t="str">
        <f>IFERROR(__xludf.DUMMYFUNCTION("""COMPUTED_VALUE"""),"WES")</f>
        <v>WES</v>
      </c>
      <c r="C1178" s="154">
        <f>IFERROR(__xludf.DUMMYFUNCTION("""COMPUTED_VALUE"""),46080.0)</f>
        <v>46080</v>
      </c>
      <c r="D1178" s="154">
        <f>IFERROR(__xludf.DUMMYFUNCTION("""COMPUTED_VALUE"""),46096.0)</f>
        <v>46096</v>
      </c>
    </row>
    <row r="1179">
      <c r="A1179" s="153" t="str">
        <f>IFERROR(__xludf.DUMMYFUNCTION("""COMPUTED_VALUE"""),"AND25360078751")</f>
        <v>AND25360078751</v>
      </c>
      <c r="B1179" s="153" t="str">
        <f>IFERROR(__xludf.DUMMYFUNCTION("""COMPUTED_VALUE"""),"WES")</f>
        <v>WES</v>
      </c>
      <c r="C1179" s="154">
        <f>IFERROR(__xludf.DUMMYFUNCTION("""COMPUTED_VALUE"""),46080.0)</f>
        <v>46080</v>
      </c>
      <c r="D1179" s="154">
        <f>IFERROR(__xludf.DUMMYFUNCTION("""COMPUTED_VALUE"""),46092.0)</f>
        <v>46092</v>
      </c>
    </row>
    <row r="1180">
      <c r="A1180" s="153" t="str">
        <f>IFERROR(__xludf.DUMMYFUNCTION("""COMPUTED_VALUE"""),"AND25020071870")</f>
        <v>AND25020071870</v>
      </c>
      <c r="B1180" s="153" t="str">
        <f>IFERROR(__xludf.DUMMYFUNCTION("""COMPUTED_VALUE"""),"WES")</f>
        <v>WES</v>
      </c>
      <c r="C1180" s="154">
        <f>IFERROR(__xludf.DUMMYFUNCTION("""COMPUTED_VALUE"""),46080.0)</f>
        <v>46080</v>
      </c>
      <c r="D1180" s="154">
        <f>IFERROR(__xludf.DUMMYFUNCTION("""COMPUTED_VALUE"""),46097.0)</f>
        <v>46097</v>
      </c>
    </row>
    <row r="1181">
      <c r="A1181" s="153" t="str">
        <f>IFERROR(__xludf.DUMMYFUNCTION("""COMPUTED_VALUE"""),"AND25380273827")</f>
        <v>AND25380273827</v>
      </c>
      <c r="B1181" s="153" t="str">
        <f>IFERROR(__xludf.DUMMYFUNCTION("""COMPUTED_VALUE"""),"WES")</f>
        <v>WES</v>
      </c>
      <c r="C1181" s="154">
        <f>IFERROR(__xludf.DUMMYFUNCTION("""COMPUTED_VALUE"""),46080.0)</f>
        <v>46080</v>
      </c>
      <c r="D1181" s="154">
        <f>IFERROR(__xludf.DUMMYFUNCTION("""COMPUTED_VALUE"""),46097.0)</f>
        <v>46097</v>
      </c>
    </row>
    <row r="1182">
      <c r="A1182" s="153" t="str">
        <f>IFERROR(__xludf.DUMMYFUNCTION("""COMPUTED_VALUE"""),"AND25150126758")</f>
        <v>AND25150126758</v>
      </c>
      <c r="B1182" s="153" t="str">
        <f>IFERROR(__xludf.DUMMYFUNCTION("""COMPUTED_VALUE"""),"WES")</f>
        <v>WES</v>
      </c>
      <c r="C1182" s="154">
        <f>IFERROR(__xludf.DUMMYFUNCTION("""COMPUTED_VALUE"""),46080.0)</f>
        <v>46080</v>
      </c>
      <c r="D1182" s="154">
        <f>IFERROR(__xludf.DUMMYFUNCTION("""COMPUTED_VALUE"""),46097.0)</f>
        <v>46097</v>
      </c>
    </row>
    <row r="1183">
      <c r="A1183" s="153" t="str">
        <f>IFERROR(__xludf.DUMMYFUNCTION("""COMPUTED_VALUE"""),"AND25420007305")</f>
        <v>AND25420007305</v>
      </c>
      <c r="B1183" s="153" t="str">
        <f>IFERROR(__xludf.DUMMYFUNCTION("""COMPUTED_VALUE"""),"ADVAT Focus carrier screening - NGS")</f>
        <v>ADVAT Focus carrier screening - NGS</v>
      </c>
      <c r="C1183" s="154">
        <f>IFERROR(__xludf.DUMMYFUNCTION("""COMPUTED_VALUE"""),46080.0)</f>
        <v>46080</v>
      </c>
      <c r="D1183" s="154">
        <f>IFERROR(__xludf.DUMMYFUNCTION("""COMPUTED_VALUE"""),46097.0)</f>
        <v>46097</v>
      </c>
    </row>
    <row r="1184">
      <c r="A1184" s="153" t="str">
        <f>IFERROR(__xludf.DUMMYFUNCTION("""COMPUTED_VALUE"""),"AND25420007306")</f>
        <v>AND25420007306</v>
      </c>
      <c r="B1184" s="153" t="str">
        <f>IFERROR(__xludf.DUMMYFUNCTION("""COMPUTED_VALUE"""),"ADVAT Focus carrier screening - NGS")</f>
        <v>ADVAT Focus carrier screening - NGS</v>
      </c>
      <c r="C1184" s="154">
        <f>IFERROR(__xludf.DUMMYFUNCTION("""COMPUTED_VALUE"""),46080.0)</f>
        <v>46080</v>
      </c>
      <c r="D1184" s="154">
        <f>IFERROR(__xludf.DUMMYFUNCTION("""COMPUTED_VALUE"""),46097.0)</f>
        <v>46097</v>
      </c>
    </row>
    <row r="1185">
      <c r="A1185" s="153" t="str">
        <f>IFERROR(__xludf.DUMMYFUNCTION("""COMPUTED_VALUE"""),"AND25AE0000502")</f>
        <v>AND25AE0000502</v>
      </c>
      <c r="B1185" s="153" t="str">
        <f>IFERROR(__xludf.DUMMYFUNCTION("""COMPUTED_VALUE"""),"WES")</f>
        <v>WES</v>
      </c>
      <c r="C1185" s="154">
        <f>IFERROR(__xludf.DUMMYFUNCTION("""COMPUTED_VALUE"""),46080.0)</f>
        <v>46080</v>
      </c>
      <c r="D1185" s="154">
        <f>IFERROR(__xludf.DUMMYFUNCTION("""COMPUTED_VALUE"""),46097.0)</f>
        <v>46097</v>
      </c>
    </row>
    <row r="1186">
      <c r="A1186" s="153" t="str">
        <f>IFERROR(__xludf.DUMMYFUNCTION("""COMPUTED_VALUE"""),"AND25AE0000503")</f>
        <v>AND25AE0000503</v>
      </c>
      <c r="B1186" s="153" t="str">
        <f>IFERROR(__xludf.DUMMYFUNCTION("""COMPUTED_VALUE"""),"WES")</f>
        <v>WES</v>
      </c>
      <c r="C1186" s="154">
        <f>IFERROR(__xludf.DUMMYFUNCTION("""COMPUTED_VALUE"""),46080.0)</f>
        <v>46080</v>
      </c>
      <c r="D1186" s="154">
        <f>IFERROR(__xludf.DUMMYFUNCTION("""COMPUTED_VALUE"""),46097.0)</f>
        <v>46097</v>
      </c>
    </row>
    <row r="1187">
      <c r="A1187" s="153" t="str">
        <f>IFERROR(__xludf.DUMMYFUNCTION("""COMPUTED_VALUE"""),"FR20000003651")</f>
        <v>FR20000003651</v>
      </c>
      <c r="B1187" s="153" t="str">
        <f>IFERROR(__xludf.DUMMYFUNCTION("""COMPUTED_VALUE"""),"WES+WMGS")</f>
        <v>WES+WMGS</v>
      </c>
      <c r="C1187" s="154">
        <f>IFERROR(__xludf.DUMMYFUNCTION("""COMPUTED_VALUE"""),46080.0)</f>
        <v>46080</v>
      </c>
      <c r="D1187" s="154">
        <f>IFERROR(__xludf.DUMMYFUNCTION("""COMPUTED_VALUE"""),46098.0)</f>
        <v>46098</v>
      </c>
    </row>
    <row r="1188">
      <c r="A1188" s="153" t="str">
        <f>IFERROR(__xludf.DUMMYFUNCTION("""COMPUTED_VALUE"""),"AND25630005059")</f>
        <v>AND25630005059</v>
      </c>
      <c r="B1188" s="153" t="str">
        <f>IFERROR(__xludf.DUMMYFUNCTION("""COMPUTED_VALUE"""),"WES")</f>
        <v>WES</v>
      </c>
      <c r="C1188" s="154">
        <f>IFERROR(__xludf.DUMMYFUNCTION("""COMPUTED_VALUE"""),46080.0)</f>
        <v>46080</v>
      </c>
      <c r="D1188" s="154">
        <f>IFERROR(__xludf.DUMMYFUNCTION("""COMPUTED_VALUE"""),46098.0)</f>
        <v>46098</v>
      </c>
    </row>
    <row r="1189">
      <c r="A1189" s="153" t="str">
        <f>IFERROR(__xludf.DUMMYFUNCTION("""COMPUTED_VALUE"""),"AND25150126844")</f>
        <v>AND25150126844</v>
      </c>
      <c r="B1189" s="153" t="str">
        <f>IFERROR(__xludf.DUMMYFUNCTION("""COMPUTED_VALUE"""),"WES")</f>
        <v>WES</v>
      </c>
      <c r="C1189" s="154">
        <f>IFERROR(__xludf.DUMMYFUNCTION("""COMPUTED_VALUE"""),46080.0)</f>
        <v>46080</v>
      </c>
      <c r="D1189" s="154">
        <f>IFERROR(__xludf.DUMMYFUNCTION("""COMPUTED_VALUE"""),46098.0)</f>
        <v>46098</v>
      </c>
    </row>
    <row r="1190">
      <c r="A1190" s="153" t="str">
        <f>IFERROR(__xludf.DUMMYFUNCTION("""COMPUTED_VALUE"""),"AND25150126843")</f>
        <v>AND25150126843</v>
      </c>
      <c r="B1190" s="153" t="str">
        <f>IFERROR(__xludf.DUMMYFUNCTION("""COMPUTED_VALUE"""),"WES")</f>
        <v>WES</v>
      </c>
      <c r="C1190" s="154">
        <f>IFERROR(__xludf.DUMMYFUNCTION("""COMPUTED_VALUE"""),46080.0)</f>
        <v>46080</v>
      </c>
      <c r="D1190" s="154">
        <f>IFERROR(__xludf.DUMMYFUNCTION("""COMPUTED_VALUE"""),46098.0)</f>
        <v>46098</v>
      </c>
    </row>
    <row r="1191">
      <c r="A1191" s="153" t="str">
        <f>IFERROR(__xludf.DUMMYFUNCTION("""COMPUTED_VALUE"""),"AND25380274201")</f>
        <v>AND25380274201</v>
      </c>
      <c r="B1191" s="153" t="str">
        <f>IFERROR(__xludf.DUMMYFUNCTION("""COMPUTED_VALUE"""),"WES")</f>
        <v>WES</v>
      </c>
      <c r="C1191" s="154">
        <f>IFERROR(__xludf.DUMMYFUNCTION("""COMPUTED_VALUE"""),46080.0)</f>
        <v>46080</v>
      </c>
      <c r="D1191" s="154">
        <f>IFERROR(__xludf.DUMMYFUNCTION("""COMPUTED_VALUE"""),46098.0)</f>
        <v>46098</v>
      </c>
    </row>
    <row r="1192">
      <c r="A1192" s="153" t="str">
        <f>IFERROR(__xludf.DUMMYFUNCTION("""COMPUTED_VALUE"""),"AND25380274202")</f>
        <v>AND25380274202</v>
      </c>
      <c r="B1192" s="153" t="str">
        <f>IFERROR(__xludf.DUMMYFUNCTION("""COMPUTED_VALUE"""),"WES")</f>
        <v>WES</v>
      </c>
      <c r="C1192" s="154">
        <f>IFERROR(__xludf.DUMMYFUNCTION("""COMPUTED_VALUE"""),46080.0)</f>
        <v>46080</v>
      </c>
      <c r="D1192" s="154">
        <f>IFERROR(__xludf.DUMMYFUNCTION("""COMPUTED_VALUE"""),46098.0)</f>
        <v>46098</v>
      </c>
    </row>
    <row r="1193">
      <c r="A1193" s="153" t="str">
        <f>IFERROR(__xludf.DUMMYFUNCTION("""COMPUTED_VALUE"""),"AND25850006726")</f>
        <v>AND25850006726</v>
      </c>
      <c r="B1193" s="153" t="str">
        <f>IFERROR(__xludf.DUMMYFUNCTION("""COMPUTED_VALUE"""),"WES+WMGS")</f>
        <v>WES+WMGS</v>
      </c>
      <c r="C1193" s="154">
        <f>IFERROR(__xludf.DUMMYFUNCTION("""COMPUTED_VALUE"""),46080.0)</f>
        <v>46080</v>
      </c>
      <c r="D1193" s="154">
        <f>IFERROR(__xludf.DUMMYFUNCTION("""COMPUTED_VALUE"""),46098.0)</f>
        <v>46098</v>
      </c>
    </row>
    <row r="1194">
      <c r="A1194" s="153" t="str">
        <f>IFERROR(__xludf.DUMMYFUNCTION("""COMPUTED_VALUE"""),"AND25150127229")</f>
        <v>AND25150127229</v>
      </c>
      <c r="B1194" s="153" t="str">
        <f>IFERROR(__xludf.DUMMYFUNCTION("""COMPUTED_VALUE"""),"WES")</f>
        <v>WES</v>
      </c>
      <c r="C1194" s="154">
        <f>IFERROR(__xludf.DUMMYFUNCTION("""COMPUTED_VALUE"""),46080.0)</f>
        <v>46080</v>
      </c>
      <c r="D1194" s="154">
        <f>IFERROR(__xludf.DUMMYFUNCTION("""COMPUTED_VALUE"""),46098.0)</f>
        <v>46098</v>
      </c>
    </row>
    <row r="1195">
      <c r="A1195" s="153" t="str">
        <f>IFERROR(__xludf.DUMMYFUNCTION("""COMPUTED_VALUE"""),"AND25720040122")</f>
        <v>AND25720040122</v>
      </c>
      <c r="B1195" s="153" t="str">
        <f>IFERROR(__xludf.DUMMYFUNCTION("""COMPUTED_VALUE"""),"FEMALE INFERTILITY NGS PANEL")</f>
        <v>FEMALE INFERTILITY NGS PANEL</v>
      </c>
      <c r="C1195" s="154">
        <f>IFERROR(__xludf.DUMMYFUNCTION("""COMPUTED_VALUE"""),46080.0)</f>
        <v>46080</v>
      </c>
      <c r="D1195" s="154">
        <f>IFERROR(__xludf.DUMMYFUNCTION("""COMPUTED_VALUE"""),46088.0)</f>
        <v>46088</v>
      </c>
    </row>
    <row r="1196">
      <c r="A1196" s="153" t="str">
        <f>IFERROR(__xludf.DUMMYFUNCTION("""COMPUTED_VALUE"""),"AND25290010017")</f>
        <v>AND25290010017</v>
      </c>
      <c r="B1196" s="153" t="str">
        <f>IFERROR(__xludf.DUMMYFUNCTION("""COMPUTED_VALUE"""),"WES")</f>
        <v>WES</v>
      </c>
      <c r="C1196" s="154">
        <f>IFERROR(__xludf.DUMMYFUNCTION("""COMPUTED_VALUE"""),46080.0)</f>
        <v>46080</v>
      </c>
      <c r="D1196" s="154">
        <f>IFERROR(__xludf.DUMMYFUNCTION("""COMPUTED_VALUE"""),46099.0)</f>
        <v>46099</v>
      </c>
    </row>
    <row r="1197">
      <c r="A1197" s="153" t="str">
        <f>IFERROR(__xludf.DUMMYFUNCTION("""COMPUTED_VALUE"""),"AND25630005130")</f>
        <v>AND25630005130</v>
      </c>
      <c r="B1197" s="153" t="str">
        <f>IFERROR(__xludf.DUMMYFUNCTION("""COMPUTED_VALUE"""),"WES")</f>
        <v>WES</v>
      </c>
      <c r="C1197" s="154">
        <f>IFERROR(__xludf.DUMMYFUNCTION("""COMPUTED_VALUE"""),46080.0)</f>
        <v>46080</v>
      </c>
      <c r="D1197" s="154">
        <f>IFERROR(__xludf.DUMMYFUNCTION("""COMPUTED_VALUE"""),46094.0)</f>
        <v>46094</v>
      </c>
    </row>
    <row r="1198">
      <c r="A1198" s="153" t="str">
        <f>IFERROR(__xludf.DUMMYFUNCTION("""COMPUTED_VALUE"""),"AND25630005131")</f>
        <v>AND25630005131</v>
      </c>
      <c r="B1198" s="153" t="str">
        <f>IFERROR(__xludf.DUMMYFUNCTION("""COMPUTED_VALUE"""),"WES")</f>
        <v>WES</v>
      </c>
      <c r="C1198" s="154">
        <f>IFERROR(__xludf.DUMMYFUNCTION("""COMPUTED_VALUE"""),46080.0)</f>
        <v>46080</v>
      </c>
      <c r="D1198" s="154">
        <f>IFERROR(__xludf.DUMMYFUNCTION("""COMPUTED_VALUE"""),46094.0)</f>
        <v>46094</v>
      </c>
    </row>
    <row r="1199">
      <c r="A1199" s="153" t="str">
        <f>IFERROR(__xludf.DUMMYFUNCTION("""COMPUTED_VALUE"""),"AND25630005132")</f>
        <v>AND25630005132</v>
      </c>
      <c r="B1199" s="153" t="str">
        <f>IFERROR(__xludf.DUMMYFUNCTION("""COMPUTED_VALUE"""),"WES")</f>
        <v>WES</v>
      </c>
      <c r="C1199" s="154">
        <f>IFERROR(__xludf.DUMMYFUNCTION("""COMPUTED_VALUE"""),46080.0)</f>
        <v>46080</v>
      </c>
      <c r="D1199" s="154">
        <f>IFERROR(__xludf.DUMMYFUNCTION("""COMPUTED_VALUE"""),46094.0)</f>
        <v>46094</v>
      </c>
    </row>
    <row r="1200">
      <c r="A1200" s="153" t="str">
        <f>IFERROR(__xludf.DUMMYFUNCTION("""COMPUTED_VALUE"""),"AND25630005133")</f>
        <v>AND25630005133</v>
      </c>
      <c r="B1200" s="153" t="str">
        <f>IFERROR(__xludf.DUMMYFUNCTION("""COMPUTED_VALUE"""),"WES")</f>
        <v>WES</v>
      </c>
      <c r="C1200" s="154">
        <f>IFERROR(__xludf.DUMMYFUNCTION("""COMPUTED_VALUE"""),46080.0)</f>
        <v>46080</v>
      </c>
      <c r="D1200" s="154">
        <f>IFERROR(__xludf.DUMMYFUNCTION("""COMPUTED_VALUE"""),46094.0)</f>
        <v>46094</v>
      </c>
    </row>
    <row r="1201">
      <c r="A1201" s="153" t="str">
        <f>IFERROR(__xludf.DUMMYFUNCTION("""COMPUTED_VALUE"""),"AND25630005134")</f>
        <v>AND25630005134</v>
      </c>
      <c r="B1201" s="153" t="str">
        <f>IFERROR(__xludf.DUMMYFUNCTION("""COMPUTED_VALUE"""),"WES")</f>
        <v>WES</v>
      </c>
      <c r="C1201" s="154">
        <f>IFERROR(__xludf.DUMMYFUNCTION("""COMPUTED_VALUE"""),46080.0)</f>
        <v>46080</v>
      </c>
      <c r="D1201" s="154">
        <f>IFERROR(__xludf.DUMMYFUNCTION("""COMPUTED_VALUE"""),46094.0)</f>
        <v>46094</v>
      </c>
    </row>
    <row r="1202">
      <c r="A1202" s="153" t="str">
        <f>IFERROR(__xludf.DUMMYFUNCTION("""COMPUTED_VALUE"""),"AND25630005135")</f>
        <v>AND25630005135</v>
      </c>
      <c r="B1202" s="153" t="str">
        <f>IFERROR(__xludf.DUMMYFUNCTION("""COMPUTED_VALUE"""),"WES")</f>
        <v>WES</v>
      </c>
      <c r="C1202" s="154">
        <f>IFERROR(__xludf.DUMMYFUNCTION("""COMPUTED_VALUE"""),46080.0)</f>
        <v>46080</v>
      </c>
      <c r="D1202" s="154">
        <f>IFERROR(__xludf.DUMMYFUNCTION("""COMPUTED_VALUE"""),46094.0)</f>
        <v>46094</v>
      </c>
    </row>
    <row r="1203">
      <c r="A1203" s="153" t="str">
        <f>IFERROR(__xludf.DUMMYFUNCTION("""COMPUTED_VALUE"""),"AND25630005136")</f>
        <v>AND25630005136</v>
      </c>
      <c r="B1203" s="153" t="str">
        <f>IFERROR(__xludf.DUMMYFUNCTION("""COMPUTED_VALUE"""),"WES")</f>
        <v>WES</v>
      </c>
      <c r="C1203" s="154">
        <f>IFERROR(__xludf.DUMMYFUNCTION("""COMPUTED_VALUE"""),46080.0)</f>
        <v>46080</v>
      </c>
      <c r="D1203" s="154">
        <f>IFERROR(__xludf.DUMMYFUNCTION("""COMPUTED_VALUE"""),46094.0)</f>
        <v>46094</v>
      </c>
    </row>
    <row r="1204">
      <c r="A1204" s="153" t="str">
        <f>IFERROR(__xludf.DUMMYFUNCTION("""COMPUTED_VALUE"""),"AND25630005161")</f>
        <v>AND25630005161</v>
      </c>
      <c r="B1204" s="153" t="str">
        <f>IFERROR(__xludf.DUMMYFUNCTION("""COMPUTED_VALUE"""),"WES")</f>
        <v>WES</v>
      </c>
      <c r="C1204" s="154">
        <f>IFERROR(__xludf.DUMMYFUNCTION("""COMPUTED_VALUE"""),46080.0)</f>
        <v>46080</v>
      </c>
      <c r="D1204" s="154">
        <f>IFERROR(__xludf.DUMMYFUNCTION("""COMPUTED_VALUE"""),46094.0)</f>
        <v>46094</v>
      </c>
    </row>
    <row r="1205">
      <c r="A1205" s="153" t="str">
        <f>IFERROR(__xludf.DUMMYFUNCTION("""COMPUTED_VALUE"""),"AND25630005138")</f>
        <v>AND25630005138</v>
      </c>
      <c r="B1205" s="153" t="str">
        <f>IFERROR(__xludf.DUMMYFUNCTION("""COMPUTED_VALUE"""),"WES+WMGS")</f>
        <v>WES+WMGS</v>
      </c>
      <c r="C1205" s="154">
        <f>IFERROR(__xludf.DUMMYFUNCTION("""COMPUTED_VALUE"""),46080.0)</f>
        <v>46080</v>
      </c>
      <c r="D1205" s="154">
        <f>IFERROR(__xludf.DUMMYFUNCTION("""COMPUTED_VALUE"""),46100.0)</f>
        <v>46100</v>
      </c>
    </row>
    <row r="1206">
      <c r="A1206" s="153" t="str">
        <f>IFERROR(__xludf.DUMMYFUNCTION("""COMPUTED_VALUE"""),"AND25630005139")</f>
        <v>AND25630005139</v>
      </c>
      <c r="B1206" s="153" t="str">
        <f>IFERROR(__xludf.DUMMYFUNCTION("""COMPUTED_VALUE"""),"WES+WMGS")</f>
        <v>WES+WMGS</v>
      </c>
      <c r="C1206" s="154">
        <f>IFERROR(__xludf.DUMMYFUNCTION("""COMPUTED_VALUE"""),46080.0)</f>
        <v>46080</v>
      </c>
      <c r="D1206" s="154">
        <f>IFERROR(__xludf.DUMMYFUNCTION("""COMPUTED_VALUE"""),46100.0)</f>
        <v>46100</v>
      </c>
    </row>
    <row r="1207">
      <c r="A1207" s="153" t="str">
        <f>IFERROR(__xludf.DUMMYFUNCTION("""COMPUTED_VALUE"""),"AND25630005140")</f>
        <v>AND25630005140</v>
      </c>
      <c r="B1207" s="153" t="str">
        <f>IFERROR(__xludf.DUMMYFUNCTION("""COMPUTED_VALUE"""),"WES+WMGS")</f>
        <v>WES+WMGS</v>
      </c>
      <c r="C1207" s="154">
        <f>IFERROR(__xludf.DUMMYFUNCTION("""COMPUTED_VALUE"""),46080.0)</f>
        <v>46080</v>
      </c>
      <c r="D1207" s="154">
        <f>IFERROR(__xludf.DUMMYFUNCTION("""COMPUTED_VALUE"""),46100.0)</f>
        <v>46100</v>
      </c>
    </row>
    <row r="1208">
      <c r="A1208" s="153" t="str">
        <f>IFERROR(__xludf.DUMMYFUNCTION("""COMPUTED_VALUE"""),"AND25630005141")</f>
        <v>AND25630005141</v>
      </c>
      <c r="B1208" s="153" t="str">
        <f>IFERROR(__xludf.DUMMYFUNCTION("""COMPUTED_VALUE"""),"WES+WMGS")</f>
        <v>WES+WMGS</v>
      </c>
      <c r="C1208" s="154">
        <f>IFERROR(__xludf.DUMMYFUNCTION("""COMPUTED_VALUE"""),46080.0)</f>
        <v>46080</v>
      </c>
      <c r="D1208" s="154">
        <f>IFERROR(__xludf.DUMMYFUNCTION("""COMPUTED_VALUE"""),46100.0)</f>
        <v>46100</v>
      </c>
    </row>
    <row r="1209">
      <c r="A1209" s="153" t="str">
        <f>IFERROR(__xludf.DUMMYFUNCTION("""COMPUTED_VALUE"""),"AND25630005142")</f>
        <v>AND25630005142</v>
      </c>
      <c r="B1209" s="153" t="str">
        <f>IFERROR(__xludf.DUMMYFUNCTION("""COMPUTED_VALUE"""),"WES+WMGS")</f>
        <v>WES+WMGS</v>
      </c>
      <c r="C1209" s="154">
        <f>IFERROR(__xludf.DUMMYFUNCTION("""COMPUTED_VALUE"""),46080.0)</f>
        <v>46080</v>
      </c>
      <c r="D1209" s="154">
        <f>IFERROR(__xludf.DUMMYFUNCTION("""COMPUTED_VALUE"""),46100.0)</f>
        <v>46100</v>
      </c>
    </row>
    <row r="1210">
      <c r="A1210" s="153" t="str">
        <f>IFERROR(__xludf.DUMMYFUNCTION("""COMPUTED_VALUE"""),"ADB0000025154")</f>
        <v>ADB0000025154</v>
      </c>
      <c r="B1210" s="153" t="str">
        <f>IFERROR(__xludf.DUMMYFUNCTION("""COMPUTED_VALUE"""),"WES")</f>
        <v>WES</v>
      </c>
      <c r="C1210" s="154">
        <f>IFERROR(__xludf.DUMMYFUNCTION("""COMPUTED_VALUE"""),46080.0)</f>
        <v>46080</v>
      </c>
      <c r="D1210" s="154">
        <f>IFERROR(__xludf.DUMMYFUNCTION("""COMPUTED_VALUE"""),46100.0)</f>
        <v>46100</v>
      </c>
    </row>
    <row r="1211">
      <c r="A1211" s="153" t="str">
        <f>IFERROR(__xludf.DUMMYFUNCTION("""COMPUTED_VALUE"""),"ADB0000025156")</f>
        <v>ADB0000025156</v>
      </c>
      <c r="B1211" s="153" t="str">
        <f>IFERROR(__xludf.DUMMYFUNCTION("""COMPUTED_VALUE"""),"WES")</f>
        <v>WES</v>
      </c>
      <c r="C1211" s="154">
        <f>IFERROR(__xludf.DUMMYFUNCTION("""COMPUTED_VALUE"""),46080.0)</f>
        <v>46080</v>
      </c>
      <c r="D1211" s="154">
        <f>IFERROR(__xludf.DUMMYFUNCTION("""COMPUTED_VALUE"""),46100.0)</f>
        <v>46100</v>
      </c>
    </row>
    <row r="1212">
      <c r="A1212" s="153" t="str">
        <f>IFERROR(__xludf.DUMMYFUNCTION("""COMPUTED_VALUE"""),"AND25020072360")</f>
        <v>AND25020072360</v>
      </c>
      <c r="B1212" s="153" t="str">
        <f>IFERROR(__xludf.DUMMYFUNCTION("""COMPUTED_VALUE"""),"WES+WMGS")</f>
        <v>WES+WMGS</v>
      </c>
      <c r="C1212" s="154">
        <f>IFERROR(__xludf.DUMMYFUNCTION("""COMPUTED_VALUE"""),46080.0)</f>
        <v>46080</v>
      </c>
      <c r="D1212" s="154">
        <f>IFERROR(__xludf.DUMMYFUNCTION("""COMPUTED_VALUE"""),46098.0)</f>
        <v>46098</v>
      </c>
    </row>
    <row r="1213">
      <c r="A1213" s="153" t="str">
        <f>IFERROR(__xludf.DUMMYFUNCTION("""COMPUTED_VALUE"""),"AND25630005162")</f>
        <v>AND25630005162</v>
      </c>
      <c r="B1213" s="153" t="str">
        <f>IFERROR(__xludf.DUMMYFUNCTION("""COMPUTED_VALUE"""),"WES")</f>
        <v>WES</v>
      </c>
      <c r="C1213" s="154">
        <f>IFERROR(__xludf.DUMMYFUNCTION("""COMPUTED_VALUE"""),46080.0)</f>
        <v>46080</v>
      </c>
      <c r="D1213" s="154">
        <f>IFERROR(__xludf.DUMMYFUNCTION("""COMPUTED_VALUE"""),46094.0)</f>
        <v>46094</v>
      </c>
    </row>
    <row r="1214">
      <c r="A1214" s="153" t="str">
        <f>IFERROR(__xludf.DUMMYFUNCTION("""COMPUTED_VALUE"""),"AND25630005163")</f>
        <v>AND25630005163</v>
      </c>
      <c r="B1214" s="153" t="str">
        <f>IFERROR(__xludf.DUMMYFUNCTION("""COMPUTED_VALUE"""),"WES")</f>
        <v>WES</v>
      </c>
      <c r="C1214" s="154">
        <f>IFERROR(__xludf.DUMMYFUNCTION("""COMPUTED_VALUE"""),46080.0)</f>
        <v>46080</v>
      </c>
      <c r="D1214" s="154">
        <f>IFERROR(__xludf.DUMMYFUNCTION("""COMPUTED_VALUE"""),46094.0)</f>
        <v>46094</v>
      </c>
    </row>
    <row r="1215">
      <c r="A1215" s="153" t="str">
        <f>IFERROR(__xludf.DUMMYFUNCTION("""COMPUTED_VALUE"""),"AND25630005164")</f>
        <v>AND25630005164</v>
      </c>
      <c r="B1215" s="153" t="str">
        <f>IFERROR(__xludf.DUMMYFUNCTION("""COMPUTED_VALUE"""),"WES")</f>
        <v>WES</v>
      </c>
      <c r="C1215" s="154">
        <f>IFERROR(__xludf.DUMMYFUNCTION("""COMPUTED_VALUE"""),46080.0)</f>
        <v>46080</v>
      </c>
      <c r="D1215" s="154">
        <f>IFERROR(__xludf.DUMMYFUNCTION("""COMPUTED_VALUE"""),46094.0)</f>
        <v>46094</v>
      </c>
    </row>
    <row r="1216">
      <c r="A1216" s="153" t="str">
        <f>IFERROR(__xludf.DUMMYFUNCTION("""COMPUTED_VALUE"""),"AND25630005165")</f>
        <v>AND25630005165</v>
      </c>
      <c r="B1216" s="153" t="str">
        <f>IFERROR(__xludf.DUMMYFUNCTION("""COMPUTED_VALUE"""),"WES")</f>
        <v>WES</v>
      </c>
      <c r="C1216" s="154">
        <f>IFERROR(__xludf.DUMMYFUNCTION("""COMPUTED_VALUE"""),46080.0)</f>
        <v>46080</v>
      </c>
      <c r="D1216" s="154">
        <f>IFERROR(__xludf.DUMMYFUNCTION("""COMPUTED_VALUE"""),46094.0)</f>
        <v>46094</v>
      </c>
    </row>
    <row r="1217">
      <c r="A1217" s="153" t="str">
        <f>IFERROR(__xludf.DUMMYFUNCTION("""COMPUTED_VALUE"""),"AND25630005166")</f>
        <v>AND25630005166</v>
      </c>
      <c r="B1217" s="153" t="str">
        <f>IFERROR(__xludf.DUMMYFUNCTION("""COMPUTED_VALUE"""),"WES")</f>
        <v>WES</v>
      </c>
      <c r="C1217" s="154">
        <f>IFERROR(__xludf.DUMMYFUNCTION("""COMPUTED_VALUE"""),46080.0)</f>
        <v>46080</v>
      </c>
      <c r="D1217" s="154">
        <f>IFERROR(__xludf.DUMMYFUNCTION("""COMPUTED_VALUE"""),46094.0)</f>
        <v>46094</v>
      </c>
    </row>
    <row r="1218">
      <c r="A1218" s="153" t="str">
        <f>IFERROR(__xludf.DUMMYFUNCTION("""COMPUTED_VALUE"""),"AND25630005167")</f>
        <v>AND25630005167</v>
      </c>
      <c r="B1218" s="153" t="str">
        <f>IFERROR(__xludf.DUMMYFUNCTION("""COMPUTED_VALUE"""),"WES")</f>
        <v>WES</v>
      </c>
      <c r="C1218" s="154">
        <f>IFERROR(__xludf.DUMMYFUNCTION("""COMPUTED_VALUE"""),46080.0)</f>
        <v>46080</v>
      </c>
      <c r="D1218" s="154">
        <f>IFERROR(__xludf.DUMMYFUNCTION("""COMPUTED_VALUE"""),46094.0)</f>
        <v>46094</v>
      </c>
    </row>
    <row r="1219">
      <c r="A1219" s="153" t="str">
        <f>IFERROR(__xludf.DUMMYFUNCTION("""COMPUTED_VALUE"""),"AND25630005195")</f>
        <v>AND25630005195</v>
      </c>
      <c r="B1219" s="153" t="str">
        <f>IFERROR(__xludf.DUMMYFUNCTION("""COMPUTED_VALUE"""),"WES")</f>
        <v>WES</v>
      </c>
      <c r="C1219" s="154">
        <f>IFERROR(__xludf.DUMMYFUNCTION("""COMPUTED_VALUE"""),46080.0)</f>
        <v>46080</v>
      </c>
      <c r="D1219" s="154">
        <f>IFERROR(__xludf.DUMMYFUNCTION("""COMPUTED_VALUE"""),46094.0)</f>
        <v>46094</v>
      </c>
    </row>
    <row r="1220">
      <c r="A1220" s="153" t="str">
        <f>IFERROR(__xludf.DUMMYFUNCTION("""COMPUTED_VALUE"""),"AND25630005194")</f>
        <v>AND25630005194</v>
      </c>
      <c r="B1220" s="153" t="str">
        <f>IFERROR(__xludf.DUMMYFUNCTION("""COMPUTED_VALUE"""),"WES")</f>
        <v>WES</v>
      </c>
      <c r="C1220" s="154">
        <f>IFERROR(__xludf.DUMMYFUNCTION("""COMPUTED_VALUE"""),46080.0)</f>
        <v>46080</v>
      </c>
      <c r="D1220" s="154">
        <f>IFERROR(__xludf.DUMMYFUNCTION("""COMPUTED_VALUE"""),46094.0)</f>
        <v>46094</v>
      </c>
    </row>
    <row r="1221">
      <c r="A1221" s="153" t="str">
        <f>IFERROR(__xludf.DUMMYFUNCTION("""COMPUTED_VALUE"""),"AND25020072111")</f>
        <v>AND25020072111</v>
      </c>
      <c r="B1221" s="153" t="str">
        <f>IFERROR(__xludf.DUMMYFUNCTION("""COMPUTED_VALUE"""),"WES+WMGS")</f>
        <v>WES+WMGS</v>
      </c>
      <c r="C1221" s="154">
        <f>IFERROR(__xludf.DUMMYFUNCTION("""COMPUTED_VALUE"""),46083.0)</f>
        <v>46083</v>
      </c>
      <c r="D1221" s="154">
        <f>IFERROR(__xludf.DUMMYFUNCTION("""COMPUTED_VALUE"""),46098.0)</f>
        <v>46098</v>
      </c>
    </row>
    <row r="1222">
      <c r="A1222" s="153" t="str">
        <f>IFERROR(__xludf.DUMMYFUNCTION("""COMPUTED_VALUE"""),"AND25AJ0017570")</f>
        <v>AND25AJ0017570</v>
      </c>
      <c r="B1222" s="153" t="str">
        <f>IFERROR(__xludf.DUMMYFUNCTION("""COMPUTED_VALUE"""),"CES")</f>
        <v>CES</v>
      </c>
      <c r="C1222" s="154">
        <f>IFERROR(__xludf.DUMMYFUNCTION("""COMPUTED_VALUE"""),46083.0)</f>
        <v>46083</v>
      </c>
      <c r="D1222" s="154">
        <f>IFERROR(__xludf.DUMMYFUNCTION("""COMPUTED_VALUE"""),46101.0)</f>
        <v>46101</v>
      </c>
    </row>
    <row r="1223">
      <c r="A1223" s="153" t="str">
        <f>IFERROR(__xludf.DUMMYFUNCTION("""COMPUTED_VALUE"""),"AND25AS0002182")</f>
        <v>AND25AS0002182</v>
      </c>
      <c r="B1223" s="153" t="str">
        <f>IFERROR(__xludf.DUMMYFUNCTION("""COMPUTED_VALUE"""),"Female Infertility NGS panel")</f>
        <v>Female Infertility NGS panel</v>
      </c>
      <c r="C1223" s="154">
        <f>IFERROR(__xludf.DUMMYFUNCTION("""COMPUTED_VALUE"""),46083.0)</f>
        <v>46083</v>
      </c>
      <c r="D1223" s="154">
        <f>IFERROR(__xludf.DUMMYFUNCTION("""COMPUTED_VALUE"""),46090.0)</f>
        <v>46090</v>
      </c>
    </row>
    <row r="1224">
      <c r="A1224" s="153" t="str">
        <f>IFERROR(__xludf.DUMMYFUNCTION("""COMPUTED_VALUE"""),"AND25AS0002183")</f>
        <v>AND25AS0002183</v>
      </c>
      <c r="B1224" s="153" t="str">
        <f>IFERROR(__xludf.DUMMYFUNCTION("""COMPUTED_VALUE"""),"Male Infertility NGS panel")</f>
        <v>Male Infertility NGS panel</v>
      </c>
      <c r="C1224" s="154">
        <f>IFERROR(__xludf.DUMMYFUNCTION("""COMPUTED_VALUE"""),46083.0)</f>
        <v>46083</v>
      </c>
      <c r="D1224" s="154">
        <f>IFERROR(__xludf.DUMMYFUNCTION("""COMPUTED_VALUE"""),46090.0)</f>
        <v>46090</v>
      </c>
    </row>
    <row r="1225">
      <c r="A1225" s="153" t="str">
        <f>IFERROR(__xludf.DUMMYFUNCTION("""COMPUTED_VALUE"""),"AND25420007383")</f>
        <v>AND25420007383</v>
      </c>
      <c r="B1225" s="153" t="str">
        <f>IFERROR(__xludf.DUMMYFUNCTION("""COMPUTED_VALUE"""),"WES")</f>
        <v>WES</v>
      </c>
      <c r="C1225" s="154">
        <f>IFERROR(__xludf.DUMMYFUNCTION("""COMPUTED_VALUE"""),46083.0)</f>
        <v>46083</v>
      </c>
      <c r="D1225" s="154">
        <f>IFERROR(__xludf.DUMMYFUNCTION("""COMPUTED_VALUE"""),46100.0)</f>
        <v>46100</v>
      </c>
    </row>
    <row r="1226">
      <c r="A1226" s="153" t="str">
        <f>IFERROR(__xludf.DUMMYFUNCTION("""COMPUTED_VALUE"""),"CBC0000001444")</f>
        <v>CBC0000001444</v>
      </c>
      <c r="B1226" s="153" t="str">
        <f>IFERROR(__xludf.DUMMYFUNCTION("""COMPUTED_VALUE"""),"WES")</f>
        <v>WES</v>
      </c>
      <c r="C1226" s="154">
        <f>IFERROR(__xludf.DUMMYFUNCTION("""COMPUTED_VALUE"""),46083.0)</f>
        <v>46083</v>
      </c>
      <c r="D1226" s="154">
        <f>IFERROR(__xludf.DUMMYFUNCTION("""COMPUTED_VALUE"""),46101.0)</f>
        <v>46101</v>
      </c>
    </row>
    <row r="1227">
      <c r="A1227" s="153" t="str">
        <f>IFERROR(__xludf.DUMMYFUNCTION("""COMPUTED_VALUE"""),"AND25420007389")</f>
        <v>AND25420007389</v>
      </c>
      <c r="B1227" s="153" t="str">
        <f>IFERROR(__xludf.DUMMYFUNCTION("""COMPUTED_VALUE"""),"WES")</f>
        <v>WES</v>
      </c>
      <c r="C1227" s="154">
        <f>IFERROR(__xludf.DUMMYFUNCTION("""COMPUTED_VALUE"""),46083.0)</f>
        <v>46083</v>
      </c>
      <c r="D1227" s="154">
        <f>IFERROR(__xludf.DUMMYFUNCTION("""COMPUTED_VALUE"""),46101.0)</f>
        <v>46101</v>
      </c>
    </row>
    <row r="1228">
      <c r="A1228" s="153" t="str">
        <f>IFERROR(__xludf.DUMMYFUNCTION("""COMPUTED_VALUE"""),"AND25420007388")</f>
        <v>AND25420007388</v>
      </c>
      <c r="B1228" s="153" t="str">
        <f>IFERROR(__xludf.DUMMYFUNCTION("""COMPUTED_VALUE"""),"WES")</f>
        <v>WES</v>
      </c>
      <c r="C1228" s="154">
        <f>IFERROR(__xludf.DUMMYFUNCTION("""COMPUTED_VALUE"""),46083.0)</f>
        <v>46083</v>
      </c>
      <c r="D1228" s="154">
        <f>IFERROR(__xludf.DUMMYFUNCTION("""COMPUTED_VALUE"""),46101.0)</f>
        <v>46101</v>
      </c>
    </row>
    <row r="1229">
      <c r="A1229" s="153" t="str">
        <f>IFERROR(__xludf.DUMMYFUNCTION("""COMPUTED_VALUE"""),"AMB0000006075")</f>
        <v>AMB0000006075</v>
      </c>
      <c r="B1229" s="153" t="str">
        <f>IFERROR(__xludf.DUMMYFUNCTION("""COMPUTED_VALUE"""),"WES")</f>
        <v>WES</v>
      </c>
      <c r="C1229" s="154">
        <f>IFERROR(__xludf.DUMMYFUNCTION("""COMPUTED_VALUE"""),46083.0)</f>
        <v>46083</v>
      </c>
      <c r="D1229" s="154">
        <f>IFERROR(__xludf.DUMMYFUNCTION("""COMPUTED_VALUE"""),46102.0)</f>
        <v>46102</v>
      </c>
    </row>
    <row r="1230">
      <c r="A1230" s="153" t="str">
        <f>IFERROR(__xludf.DUMMYFUNCTION("""COMPUTED_VALUE"""),"AND25630005187")</f>
        <v>AND25630005187</v>
      </c>
      <c r="B1230" s="153" t="str">
        <f>IFERROR(__xludf.DUMMYFUNCTION("""COMPUTED_VALUE"""),"CES")</f>
        <v>CES</v>
      </c>
      <c r="C1230" s="154">
        <f>IFERROR(__xludf.DUMMYFUNCTION("""COMPUTED_VALUE"""),46083.0)</f>
        <v>46083</v>
      </c>
      <c r="D1230" s="154">
        <f>IFERROR(__xludf.DUMMYFUNCTION("""COMPUTED_VALUE"""),46102.0)</f>
        <v>46102</v>
      </c>
    </row>
    <row r="1231">
      <c r="A1231" s="153" t="str">
        <f>IFERROR(__xludf.DUMMYFUNCTION("""COMPUTED_VALUE"""),"AND25850008400")</f>
        <v>AND25850008400</v>
      </c>
      <c r="B1231" s="153" t="str">
        <f>IFERROR(__xludf.DUMMYFUNCTION("""COMPUTED_VALUE"""),"WES")</f>
        <v>WES</v>
      </c>
      <c r="C1231" s="154">
        <f>IFERROR(__xludf.DUMMYFUNCTION("""COMPUTED_VALUE"""),46083.0)</f>
        <v>46083</v>
      </c>
      <c r="D1231" s="154">
        <f>IFERROR(__xludf.DUMMYFUNCTION("""COMPUTED_VALUE"""),46102.0)</f>
        <v>46102</v>
      </c>
    </row>
    <row r="1232">
      <c r="A1232" s="153" t="str">
        <f>IFERROR(__xludf.DUMMYFUNCTION("""COMPUTED_VALUE"""),"AND25850008401")</f>
        <v>AND25850008401</v>
      </c>
      <c r="B1232" s="153" t="str">
        <f>IFERROR(__xludf.DUMMYFUNCTION("""COMPUTED_VALUE"""),"WES")</f>
        <v>WES</v>
      </c>
      <c r="C1232" s="154">
        <f>IFERROR(__xludf.DUMMYFUNCTION("""COMPUTED_VALUE"""),46083.0)</f>
        <v>46083</v>
      </c>
      <c r="D1232" s="154">
        <f>IFERROR(__xludf.DUMMYFUNCTION("""COMPUTED_VALUE"""),46102.0)</f>
        <v>46102</v>
      </c>
    </row>
    <row r="1233">
      <c r="A1233" s="153" t="str">
        <f>IFERROR(__xludf.DUMMYFUNCTION("""COMPUTED_VALUE"""),"AND25020072860")</f>
        <v>AND25020072860</v>
      </c>
      <c r="B1233" s="153" t="str">
        <f>IFERROR(__xludf.DUMMYFUNCTION("""COMPUTED_VALUE"""),"WES+WMGS")</f>
        <v>WES+WMGS</v>
      </c>
      <c r="C1233" s="154">
        <f>IFERROR(__xludf.DUMMYFUNCTION("""COMPUTED_VALUE"""),46083.0)</f>
        <v>46083</v>
      </c>
      <c r="D1233" s="154">
        <f>IFERROR(__xludf.DUMMYFUNCTION("""COMPUTED_VALUE"""),46103.0)</f>
        <v>46103</v>
      </c>
    </row>
    <row r="1234">
      <c r="A1234" s="153" t="str">
        <f>IFERROR(__xludf.DUMMYFUNCTION("""COMPUTED_VALUE"""),"AND25020072858")</f>
        <v>AND25020072858</v>
      </c>
      <c r="B1234" s="153" t="str">
        <f>IFERROR(__xludf.DUMMYFUNCTION("""COMPUTED_VALUE"""),"WES+WMGS")</f>
        <v>WES+WMGS</v>
      </c>
      <c r="C1234" s="154">
        <f>IFERROR(__xludf.DUMMYFUNCTION("""COMPUTED_VALUE"""),46083.0)</f>
        <v>46083</v>
      </c>
      <c r="D1234" s="154">
        <f>IFERROR(__xludf.DUMMYFUNCTION("""COMPUTED_VALUE"""),46103.0)</f>
        <v>46103</v>
      </c>
    </row>
    <row r="1235">
      <c r="A1235" s="153" t="str">
        <f>IFERROR(__xludf.DUMMYFUNCTION("""COMPUTED_VALUE"""),"AND25AE0000508")</f>
        <v>AND25AE0000508</v>
      </c>
      <c r="B1235" s="153" t="str">
        <f>IFERROR(__xludf.DUMMYFUNCTION("""COMPUTED_VALUE"""),"WES")</f>
        <v>WES</v>
      </c>
      <c r="C1235" s="154">
        <f>IFERROR(__xludf.DUMMYFUNCTION("""COMPUTED_VALUE"""),46083.0)</f>
        <v>46083</v>
      </c>
      <c r="D1235" s="154">
        <f>IFERROR(__xludf.DUMMYFUNCTION("""COMPUTED_VALUE"""),46098.0)</f>
        <v>46098</v>
      </c>
    </row>
    <row r="1236">
      <c r="A1236" s="153" t="str">
        <f>IFERROR(__xludf.DUMMYFUNCTION("""COMPUTED_VALUE"""),"AND25020072979")</f>
        <v>AND25020072979</v>
      </c>
      <c r="B1236" s="153" t="str">
        <f>IFERROR(__xludf.DUMMYFUNCTION("""COMPUTED_VALUE"""),"WES")</f>
        <v>WES</v>
      </c>
      <c r="C1236" s="154">
        <f>IFERROR(__xludf.DUMMYFUNCTION("""COMPUTED_VALUE"""),46083.0)</f>
        <v>46083</v>
      </c>
      <c r="D1236" s="154">
        <f>IFERROR(__xludf.DUMMYFUNCTION("""COMPUTED_VALUE"""),46104.0)</f>
        <v>46104</v>
      </c>
    </row>
    <row r="1237">
      <c r="A1237" s="153"/>
      <c r="B1237" s="153"/>
      <c r="C1237" s="154">
        <f>IFERROR(__xludf.DUMMYFUNCTION("""COMPUTED_VALUE"""),46083.0)</f>
        <v>46083</v>
      </c>
      <c r="D1237" s="154">
        <f>IFERROR(__xludf.DUMMYFUNCTION("""COMPUTED_VALUE"""),46097.0)</f>
        <v>46097</v>
      </c>
    </row>
    <row r="1238">
      <c r="A1238" s="153"/>
      <c r="B1238" s="153"/>
      <c r="C1238" s="154">
        <f>IFERROR(__xludf.DUMMYFUNCTION("""COMPUTED_VALUE"""),46083.0)</f>
        <v>46083</v>
      </c>
      <c r="D1238" s="154">
        <f>IFERROR(__xludf.DUMMYFUNCTION("""COMPUTED_VALUE"""),46097.0)</f>
        <v>46097</v>
      </c>
    </row>
    <row r="1239">
      <c r="A1239" s="153"/>
      <c r="B1239" s="153"/>
      <c r="C1239" s="154">
        <f>IFERROR(__xludf.DUMMYFUNCTION("""COMPUTED_VALUE"""),46083.0)</f>
        <v>46083</v>
      </c>
      <c r="D1239" s="154">
        <f>IFERROR(__xludf.DUMMYFUNCTION("""COMPUTED_VALUE"""),46097.0)</f>
        <v>46097</v>
      </c>
    </row>
    <row r="1240">
      <c r="A1240" s="153"/>
      <c r="B1240" s="153"/>
      <c r="C1240" s="154">
        <f>IFERROR(__xludf.DUMMYFUNCTION("""COMPUTED_VALUE"""),46083.0)</f>
        <v>46083</v>
      </c>
      <c r="D1240" s="154">
        <f>IFERROR(__xludf.DUMMYFUNCTION("""COMPUTED_VALUE"""),46097.0)</f>
        <v>46097</v>
      </c>
    </row>
    <row r="1241">
      <c r="A1241" s="153"/>
      <c r="B1241" s="153"/>
      <c r="C1241" s="154">
        <f>IFERROR(__xludf.DUMMYFUNCTION("""COMPUTED_VALUE"""),46083.0)</f>
        <v>46083</v>
      </c>
      <c r="D1241" s="154">
        <f>IFERROR(__xludf.DUMMYFUNCTION("""COMPUTED_VALUE"""),46097.0)</f>
        <v>46097</v>
      </c>
    </row>
    <row r="1242">
      <c r="A1242" s="153"/>
      <c r="B1242" s="153"/>
      <c r="C1242" s="154">
        <f>IFERROR(__xludf.DUMMYFUNCTION("""COMPUTED_VALUE"""),46083.0)</f>
        <v>46083</v>
      </c>
      <c r="D1242" s="154">
        <f>IFERROR(__xludf.DUMMYFUNCTION("""COMPUTED_VALUE"""),46097.0)</f>
        <v>46097</v>
      </c>
    </row>
    <row r="1243">
      <c r="A1243" s="153"/>
      <c r="B1243" s="153"/>
      <c r="C1243" s="154">
        <f>IFERROR(__xludf.DUMMYFUNCTION("""COMPUTED_VALUE"""),46083.0)</f>
        <v>46083</v>
      </c>
      <c r="D1243" s="154">
        <f>IFERROR(__xludf.DUMMYFUNCTION("""COMPUTED_VALUE"""),46097.0)</f>
        <v>46097</v>
      </c>
    </row>
    <row r="1244">
      <c r="A1244" s="153"/>
      <c r="B1244" s="153"/>
      <c r="C1244" s="154">
        <f>IFERROR(__xludf.DUMMYFUNCTION("""COMPUTED_VALUE"""),46083.0)</f>
        <v>46083</v>
      </c>
      <c r="D1244" s="154">
        <f>IFERROR(__xludf.DUMMYFUNCTION("""COMPUTED_VALUE"""),46097.0)</f>
        <v>46097</v>
      </c>
    </row>
    <row r="1245">
      <c r="A1245" s="153"/>
      <c r="B1245" s="153"/>
      <c r="C1245" s="154">
        <f>IFERROR(__xludf.DUMMYFUNCTION("""COMPUTED_VALUE"""),46083.0)</f>
        <v>46083</v>
      </c>
      <c r="D1245" s="154">
        <f>IFERROR(__xludf.DUMMYFUNCTION("""COMPUTED_VALUE"""),46097.0)</f>
        <v>46097</v>
      </c>
    </row>
    <row r="1246">
      <c r="A1246" s="153"/>
      <c r="B1246" s="153"/>
      <c r="C1246" s="154">
        <f>IFERROR(__xludf.DUMMYFUNCTION("""COMPUTED_VALUE"""),46083.0)</f>
        <v>46083</v>
      </c>
      <c r="D1246" s="154">
        <f>IFERROR(__xludf.DUMMYFUNCTION("""COMPUTED_VALUE"""),46097.0)</f>
        <v>46097</v>
      </c>
    </row>
    <row r="1247">
      <c r="A1247" s="153"/>
      <c r="B1247" s="153"/>
      <c r="C1247" s="154">
        <f>IFERROR(__xludf.DUMMYFUNCTION("""COMPUTED_VALUE"""),46083.0)</f>
        <v>46083</v>
      </c>
      <c r="D1247" s="154">
        <f>IFERROR(__xludf.DUMMYFUNCTION("""COMPUTED_VALUE"""),46097.0)</f>
        <v>46097</v>
      </c>
    </row>
    <row r="1248">
      <c r="A1248" s="153"/>
      <c r="B1248" s="153"/>
      <c r="C1248" s="154">
        <f>IFERROR(__xludf.DUMMYFUNCTION("""COMPUTED_VALUE"""),46083.0)</f>
        <v>46083</v>
      </c>
      <c r="D1248" s="154">
        <f>IFERROR(__xludf.DUMMYFUNCTION("""COMPUTED_VALUE"""),46097.0)</f>
        <v>46097</v>
      </c>
    </row>
    <row r="1249">
      <c r="A1249" s="153"/>
      <c r="B1249" s="153"/>
      <c r="C1249" s="154">
        <f>IFERROR(__xludf.DUMMYFUNCTION("""COMPUTED_VALUE"""),46083.0)</f>
        <v>46083</v>
      </c>
      <c r="D1249" s="154">
        <f>IFERROR(__xludf.DUMMYFUNCTION("""COMPUTED_VALUE"""),46097.0)</f>
        <v>46097</v>
      </c>
    </row>
    <row r="1250">
      <c r="A1250" s="153"/>
      <c r="B1250" s="153"/>
      <c r="C1250" s="154">
        <f>IFERROR(__xludf.DUMMYFUNCTION("""COMPUTED_VALUE"""),46083.0)</f>
        <v>46083</v>
      </c>
      <c r="D1250" s="154">
        <f>IFERROR(__xludf.DUMMYFUNCTION("""COMPUTED_VALUE"""),46097.0)</f>
        <v>46097</v>
      </c>
    </row>
    <row r="1251">
      <c r="A1251" s="153" t="str">
        <f>IFERROR(__xludf.DUMMYFUNCTION("""COMPUTED_VALUE"""),"HYP0000000051")</f>
        <v>HYP0000000051</v>
      </c>
      <c r="B1251" s="153" t="str">
        <f>IFERROR(__xludf.DUMMYFUNCTION("""COMPUTED_VALUE"""),"MITOCHONDRIAL DNA SEQUENCING BY NGS")</f>
        <v>MITOCHONDRIAL DNA SEQUENCING BY NGS</v>
      </c>
      <c r="C1251" s="154">
        <f>IFERROR(__xludf.DUMMYFUNCTION("""COMPUTED_VALUE"""),46083.0)</f>
        <v>46083</v>
      </c>
      <c r="D1251" s="154">
        <f>IFERROR(__xludf.DUMMYFUNCTION("""COMPUTED_VALUE"""),46103.0)</f>
        <v>46103</v>
      </c>
    </row>
    <row r="1252">
      <c r="A1252" s="153" t="str">
        <f>IFERROR(__xludf.DUMMYFUNCTION("""COMPUTED_VALUE"""),"CBC0000003448")</f>
        <v>CBC0000003448</v>
      </c>
      <c r="B1252" s="153" t="str">
        <f>IFERROR(__xludf.DUMMYFUNCTION("""COMPUTED_VALUE"""),"WHOLE EXOME SEQUENCING (REPRODUCTIVE GENOMICS)")</f>
        <v>WHOLE EXOME SEQUENCING (REPRODUCTIVE GENOMICS)</v>
      </c>
      <c r="C1252" s="154">
        <f>IFERROR(__xludf.DUMMYFUNCTION("""COMPUTED_VALUE"""),46083.0)</f>
        <v>46083</v>
      </c>
      <c r="D1252" s="154">
        <f>IFERROR(__xludf.DUMMYFUNCTION("""COMPUTED_VALUE"""),46103.0)</f>
        <v>46103</v>
      </c>
    </row>
    <row r="1253">
      <c r="A1253" s="153"/>
      <c r="B1253" s="153"/>
      <c r="C1253" s="154">
        <f>IFERROR(__xludf.DUMMYFUNCTION("""COMPUTED_VALUE"""),46083.0)</f>
        <v>46083</v>
      </c>
      <c r="D1253" s="153"/>
    </row>
    <row r="1254">
      <c r="A1254" s="153"/>
      <c r="B1254" s="153"/>
      <c r="C1254" s="154">
        <f>IFERROR(__xludf.DUMMYFUNCTION("""COMPUTED_VALUE"""),46083.0)</f>
        <v>46083</v>
      </c>
      <c r="D1254" s="153"/>
    </row>
    <row r="1255">
      <c r="A1255" s="153"/>
      <c r="B1255" s="153"/>
      <c r="C1255" s="154">
        <f>IFERROR(__xludf.DUMMYFUNCTION("""COMPUTED_VALUE"""),46083.0)</f>
        <v>46083</v>
      </c>
      <c r="D1255" s="154">
        <f>IFERROR(__xludf.DUMMYFUNCTION("""COMPUTED_VALUE"""),46099.0)</f>
        <v>46099</v>
      </c>
    </row>
    <row r="1256">
      <c r="A1256" s="153"/>
      <c r="B1256" s="153"/>
      <c r="C1256" s="154">
        <f>IFERROR(__xludf.DUMMYFUNCTION("""COMPUTED_VALUE"""),46083.0)</f>
        <v>46083</v>
      </c>
      <c r="D1256" s="154">
        <f>IFERROR(__xludf.DUMMYFUNCTION("""COMPUTED_VALUE"""),46099.0)</f>
        <v>46099</v>
      </c>
    </row>
    <row r="1257">
      <c r="A1257" s="153"/>
      <c r="B1257" s="153"/>
      <c r="C1257" s="154">
        <f>IFERROR(__xludf.DUMMYFUNCTION("""COMPUTED_VALUE"""),46083.0)</f>
        <v>46083</v>
      </c>
      <c r="D1257" s="154">
        <f>IFERROR(__xludf.DUMMYFUNCTION("""COMPUTED_VALUE"""),46099.0)</f>
        <v>46099</v>
      </c>
    </row>
    <row r="1258">
      <c r="A1258" s="153"/>
      <c r="B1258" s="153"/>
      <c r="C1258" s="154">
        <f>IFERROR(__xludf.DUMMYFUNCTION("""COMPUTED_VALUE"""),46083.0)</f>
        <v>46083</v>
      </c>
      <c r="D1258" s="154">
        <f>IFERROR(__xludf.DUMMYFUNCTION("""COMPUTED_VALUE"""),46105.0)</f>
        <v>46105</v>
      </c>
    </row>
    <row r="1259">
      <c r="A1259" s="153" t="str">
        <f>IFERROR(__xludf.DUMMYFUNCTION("""COMPUTED_VALUE"""),"ADS0000001226")</f>
        <v>ADS0000001226</v>
      </c>
      <c r="B1259" s="153" t="str">
        <f>IFERROR(__xludf.DUMMYFUNCTION("""COMPUTED_VALUE"""),"WES")</f>
        <v>WES</v>
      </c>
      <c r="C1259" s="154">
        <f>IFERROR(__xludf.DUMMYFUNCTION("""COMPUTED_VALUE"""),46083.0)</f>
        <v>46083</v>
      </c>
      <c r="D1259" s="154">
        <f>IFERROR(__xludf.DUMMYFUNCTION("""COMPUTED_VALUE"""),46103.0)</f>
        <v>46103</v>
      </c>
    </row>
    <row r="1260">
      <c r="A1260" s="153" t="str">
        <f>IFERROR(__xludf.DUMMYFUNCTION("""COMPUTED_VALUE"""),"ADS0000001225")</f>
        <v>ADS0000001225</v>
      </c>
      <c r="B1260" s="153" t="str">
        <f>IFERROR(__xludf.DUMMYFUNCTION("""COMPUTED_VALUE"""),"WES")</f>
        <v>WES</v>
      </c>
      <c r="C1260" s="154">
        <f>IFERROR(__xludf.DUMMYFUNCTION("""COMPUTED_VALUE"""),46083.0)</f>
        <v>46083</v>
      </c>
      <c r="D1260" s="154">
        <f>IFERROR(__xludf.DUMMYFUNCTION("""COMPUTED_VALUE"""),46103.0)</f>
        <v>46103</v>
      </c>
    </row>
    <row r="1261">
      <c r="A1261" s="153"/>
      <c r="B1261" s="153" t="str">
        <f>IFERROR(__xludf.DUMMYFUNCTION("""COMPUTED_VALUE"""),"WGS")</f>
        <v>WGS</v>
      </c>
      <c r="C1261" s="154">
        <f>IFERROR(__xludf.DUMMYFUNCTION("""COMPUTED_VALUE"""),46083.0)</f>
        <v>46083</v>
      </c>
      <c r="D1261" s="153"/>
    </row>
    <row r="1262">
      <c r="A1262" s="153"/>
      <c r="B1262" s="153" t="str">
        <f>IFERROR(__xludf.DUMMYFUNCTION("""COMPUTED_VALUE"""),"WGS")</f>
        <v>WGS</v>
      </c>
      <c r="C1262" s="154">
        <f>IFERROR(__xludf.DUMMYFUNCTION("""COMPUTED_VALUE"""),46083.0)</f>
        <v>46083</v>
      </c>
      <c r="D1262" s="153"/>
    </row>
    <row r="1263">
      <c r="A1263" s="153" t="str">
        <f>IFERROR(__xludf.DUMMYFUNCTION("""COMPUTED_VALUE"""),"AMB0000006229")</f>
        <v>AMB0000006229</v>
      </c>
      <c r="B1263" s="153" t="str">
        <f>IFERROR(__xludf.DUMMYFUNCTION("""COMPUTED_VALUE"""),"WES")</f>
        <v>WES</v>
      </c>
      <c r="C1263" s="154">
        <f>IFERROR(__xludf.DUMMYFUNCTION("""COMPUTED_VALUE"""),46087.0)</f>
        <v>46087</v>
      </c>
      <c r="D1263" s="154">
        <f>IFERROR(__xludf.DUMMYFUNCTION("""COMPUTED_VALUE"""),46103.0)</f>
        <v>46103</v>
      </c>
    </row>
    <row r="1264">
      <c r="A1264" s="153" t="str">
        <f>IFERROR(__xludf.DUMMYFUNCTION("""COMPUTED_VALUE"""),"ADS0000000689")</f>
        <v>ADS0000000689</v>
      </c>
      <c r="B1264" s="153" t="str">
        <f>IFERROR(__xludf.DUMMYFUNCTION("""COMPUTED_VALUE"""),"WES")</f>
        <v>WES</v>
      </c>
      <c r="C1264" s="154">
        <f>IFERROR(__xludf.DUMMYFUNCTION("""COMPUTED_VALUE"""),46087.0)</f>
        <v>46087</v>
      </c>
      <c r="D1264" s="154">
        <f>IFERROR(__xludf.DUMMYFUNCTION("""COMPUTED_VALUE"""),46103.0)</f>
        <v>46103</v>
      </c>
    </row>
    <row r="1265">
      <c r="A1265" s="153" t="str">
        <f>IFERROR(__xludf.DUMMYFUNCTION("""COMPUTED_VALUE"""),"AND25020073074")</f>
        <v>AND25020073074</v>
      </c>
      <c r="B1265" s="153" t="str">
        <f>IFERROR(__xludf.DUMMYFUNCTION("""COMPUTED_VALUE"""),"WES+WMGS")</f>
        <v>WES+WMGS</v>
      </c>
      <c r="C1265" s="154">
        <f>IFERROR(__xludf.DUMMYFUNCTION("""COMPUTED_VALUE"""),46087.0)</f>
        <v>46087</v>
      </c>
      <c r="D1265" s="154">
        <f>IFERROR(__xludf.DUMMYFUNCTION("""COMPUTED_VALUE"""),46104.0)</f>
        <v>46104</v>
      </c>
    </row>
    <row r="1266">
      <c r="A1266" s="153" t="str">
        <f>IFERROR(__xludf.DUMMYFUNCTION("""COMPUTED_VALUE"""),"APH0000000211")</f>
        <v>APH0000000211</v>
      </c>
      <c r="B1266" s="153" t="str">
        <f>IFERROR(__xludf.DUMMYFUNCTION("""COMPUTED_VALUE"""),"WES+WMGS")</f>
        <v>WES+WMGS</v>
      </c>
      <c r="C1266" s="154">
        <f>IFERROR(__xludf.DUMMYFUNCTION("""COMPUTED_VALUE"""),46087.0)</f>
        <v>46087</v>
      </c>
      <c r="D1266" s="154">
        <f>IFERROR(__xludf.DUMMYFUNCTION("""COMPUTED_VALUE"""),46105.0)</f>
        <v>46105</v>
      </c>
    </row>
    <row r="1267">
      <c r="A1267" s="153" t="str">
        <f>IFERROR(__xludf.DUMMYFUNCTION("""COMPUTED_VALUE"""),"DCC0000002982")</f>
        <v>DCC0000002982</v>
      </c>
      <c r="B1267" s="153" t="str">
        <f>IFERROR(__xludf.DUMMYFUNCTION("""COMPUTED_VALUE"""),"WES")</f>
        <v>WES</v>
      </c>
      <c r="C1267" s="154">
        <f>IFERROR(__xludf.DUMMYFUNCTION("""COMPUTED_VALUE"""),46087.0)</f>
        <v>46087</v>
      </c>
      <c r="D1267" s="154">
        <f>IFERROR(__xludf.DUMMYFUNCTION("""COMPUTED_VALUE"""),46104.0)</f>
        <v>46104</v>
      </c>
    </row>
    <row r="1268">
      <c r="A1268" s="153" t="str">
        <f>IFERROR(__xludf.DUMMYFUNCTION("""COMPUTED_VALUE"""),"GRM0000000056")</f>
        <v>GRM0000000056</v>
      </c>
      <c r="B1268" s="153" t="str">
        <f>IFERROR(__xludf.DUMMYFUNCTION("""COMPUTED_VALUE"""),"WES")</f>
        <v>WES</v>
      </c>
      <c r="C1268" s="154">
        <f>IFERROR(__xludf.DUMMYFUNCTION("""COMPUTED_VALUE"""),46087.0)</f>
        <v>46087</v>
      </c>
      <c r="D1268" s="154">
        <f>IFERROR(__xludf.DUMMYFUNCTION("""COMPUTED_VALUE"""),46104.0)</f>
        <v>46104</v>
      </c>
    </row>
    <row r="1269">
      <c r="A1269" s="153" t="str">
        <f>IFERROR(__xludf.DUMMYFUNCTION("""COMPUTED_VALUE"""),"HYP0000000121")</f>
        <v>HYP0000000121</v>
      </c>
      <c r="B1269" s="153" t="str">
        <f>IFERROR(__xludf.DUMMYFUNCTION("""COMPUTED_VALUE"""),"WES")</f>
        <v>WES</v>
      </c>
      <c r="C1269" s="154">
        <f>IFERROR(__xludf.DUMMYFUNCTION("""COMPUTED_VALUE"""),46087.0)</f>
        <v>46087</v>
      </c>
      <c r="D1269" s="154">
        <f>IFERROR(__xludf.DUMMYFUNCTION("""COMPUTED_VALUE"""),46104.0)</f>
        <v>46104</v>
      </c>
    </row>
    <row r="1270">
      <c r="A1270" s="153" t="str">
        <f>IFERROR(__xludf.DUMMYFUNCTION("""COMPUTED_VALUE"""),"ADK0000000029")</f>
        <v>ADK0000000029</v>
      </c>
      <c r="B1270" s="153" t="str">
        <f>IFERROR(__xludf.DUMMYFUNCTION("""COMPUTED_VALUE"""),"WES")</f>
        <v>WES</v>
      </c>
      <c r="C1270" s="154">
        <f>IFERROR(__xludf.DUMMYFUNCTION("""COMPUTED_VALUE"""),46087.0)</f>
        <v>46087</v>
      </c>
      <c r="D1270" s="154">
        <f>IFERROR(__xludf.DUMMYFUNCTION("""COMPUTED_VALUE"""),46104.0)</f>
        <v>46104</v>
      </c>
    </row>
    <row r="1271">
      <c r="A1271" s="153" t="str">
        <f>IFERROR(__xludf.DUMMYFUNCTION("""COMPUTED_VALUE"""),"APH0000000404")</f>
        <v>APH0000000404</v>
      </c>
      <c r="B1271" s="153" t="str">
        <f>IFERROR(__xludf.DUMMYFUNCTION("""COMPUTED_VALUE"""),"WES+WMGS")</f>
        <v>WES+WMGS</v>
      </c>
      <c r="C1271" s="154">
        <f>IFERROR(__xludf.DUMMYFUNCTION("""COMPUTED_VALUE"""),46087.0)</f>
        <v>46087</v>
      </c>
      <c r="D1271" s="154">
        <f>IFERROR(__xludf.DUMMYFUNCTION("""COMPUTED_VALUE"""),46106.0)</f>
        <v>46106</v>
      </c>
    </row>
    <row r="1272">
      <c r="A1272" s="153" t="str">
        <f>IFERROR(__xludf.DUMMYFUNCTION("""COMPUTED_VALUE"""),"CHM0000001451")</f>
        <v>CHM0000001451</v>
      </c>
      <c r="B1272" s="153" t="str">
        <f>IFERROR(__xludf.DUMMYFUNCTION("""COMPUTED_VALUE"""),"WES")</f>
        <v>WES</v>
      </c>
      <c r="C1272" s="154">
        <f>IFERROR(__xludf.DUMMYFUNCTION("""COMPUTED_VALUE"""),46087.0)</f>
        <v>46087</v>
      </c>
      <c r="D1272" s="154">
        <f>IFERROR(__xludf.DUMMYFUNCTION("""COMPUTED_VALUE"""),46105.0)</f>
        <v>46105</v>
      </c>
    </row>
    <row r="1273">
      <c r="A1273" s="153" t="str">
        <f>IFERROR(__xludf.DUMMYFUNCTION("""COMPUTED_VALUE"""),"CHM0000001552")</f>
        <v>CHM0000001552</v>
      </c>
      <c r="B1273" s="153" t="str">
        <f>IFERROR(__xludf.DUMMYFUNCTION("""COMPUTED_VALUE"""),"WES")</f>
        <v>WES</v>
      </c>
      <c r="C1273" s="154">
        <f>IFERROR(__xludf.DUMMYFUNCTION("""COMPUTED_VALUE"""),46087.0)</f>
        <v>46087</v>
      </c>
      <c r="D1273" s="154">
        <f>IFERROR(__xludf.DUMMYFUNCTION("""COMPUTED_VALUE"""),46105.0)</f>
        <v>46105</v>
      </c>
    </row>
    <row r="1274">
      <c r="A1274" s="153" t="str">
        <f>IFERROR(__xludf.DUMMYFUNCTION("""COMPUTED_VALUE"""),"ABC0000000106")</f>
        <v>ABC0000000106</v>
      </c>
      <c r="B1274" s="153" t="str">
        <f>IFERROR(__xludf.DUMMYFUNCTION("""COMPUTED_VALUE"""),"WES")</f>
        <v>WES</v>
      </c>
      <c r="C1274" s="154">
        <f>IFERROR(__xludf.DUMMYFUNCTION("""COMPUTED_VALUE"""),46087.0)</f>
        <v>46087</v>
      </c>
      <c r="D1274" s="154">
        <f>IFERROR(__xludf.DUMMYFUNCTION("""COMPUTED_VALUE"""),46105.0)</f>
        <v>46105</v>
      </c>
    </row>
    <row r="1275">
      <c r="A1275" s="153" t="str">
        <f>IFERROR(__xludf.DUMMYFUNCTION("""COMPUTED_VALUE"""),"ABC0000000107")</f>
        <v>ABC0000000107</v>
      </c>
      <c r="B1275" s="153" t="str">
        <f>IFERROR(__xludf.DUMMYFUNCTION("""COMPUTED_VALUE"""),"WES")</f>
        <v>WES</v>
      </c>
      <c r="C1275" s="154">
        <f>IFERROR(__xludf.DUMMYFUNCTION("""COMPUTED_VALUE"""),46087.0)</f>
        <v>46087</v>
      </c>
      <c r="D1275" s="154">
        <f>IFERROR(__xludf.DUMMYFUNCTION("""COMPUTED_VALUE"""),46105.0)</f>
        <v>46105</v>
      </c>
    </row>
    <row r="1276">
      <c r="A1276" s="153" t="str">
        <f>IFERROR(__xludf.DUMMYFUNCTION("""COMPUTED_VALUE"""),"IDG0000000004")</f>
        <v>IDG0000000004</v>
      </c>
      <c r="B1276" s="153" t="str">
        <f>IFERROR(__xludf.DUMMYFUNCTION("""COMPUTED_VALUE"""),"WES")</f>
        <v>WES</v>
      </c>
      <c r="C1276" s="154">
        <f>IFERROR(__xludf.DUMMYFUNCTION("""COMPUTED_VALUE"""),46087.0)</f>
        <v>46087</v>
      </c>
      <c r="D1276" s="154">
        <f>IFERROR(__xludf.DUMMYFUNCTION("""COMPUTED_VALUE"""),46106.0)</f>
        <v>46106</v>
      </c>
    </row>
    <row r="1277">
      <c r="A1277" s="153" t="str">
        <f>IFERROR(__xludf.DUMMYFUNCTION("""COMPUTED_VALUE"""),"IDG0000000003")</f>
        <v>IDG0000000003</v>
      </c>
      <c r="B1277" s="153" t="str">
        <f>IFERROR(__xludf.DUMMYFUNCTION("""COMPUTED_VALUE"""),"WES")</f>
        <v>WES</v>
      </c>
      <c r="C1277" s="154">
        <f>IFERROR(__xludf.DUMMYFUNCTION("""COMPUTED_VALUE"""),46087.0)</f>
        <v>46087</v>
      </c>
      <c r="D1277" s="154">
        <f>IFERROR(__xludf.DUMMYFUNCTION("""COMPUTED_VALUE"""),46106.0)</f>
        <v>46106</v>
      </c>
    </row>
    <row r="1278">
      <c r="A1278" s="153" t="str">
        <f>IFERROR(__xludf.DUMMYFUNCTION("""COMPUTED_VALUE"""),"ADH0000014982")</f>
        <v>ADH0000014982</v>
      </c>
      <c r="B1278" s="153" t="str">
        <f>IFERROR(__xludf.DUMMYFUNCTION("""COMPUTED_VALUE"""),"WES")</f>
        <v>WES</v>
      </c>
      <c r="C1278" s="154">
        <f>IFERROR(__xludf.DUMMYFUNCTION("""COMPUTED_VALUE"""),46087.0)</f>
        <v>46087</v>
      </c>
      <c r="D1278" s="154">
        <f>IFERROR(__xludf.DUMMYFUNCTION("""COMPUTED_VALUE"""),46101.0)</f>
        <v>46101</v>
      </c>
    </row>
    <row r="1279">
      <c r="A1279" s="153" t="str">
        <f>IFERROR(__xludf.DUMMYFUNCTION("""COMPUTED_VALUE"""),"SBC0000000036")</f>
        <v>SBC0000000036</v>
      </c>
      <c r="B1279" s="153" t="str">
        <f>IFERROR(__xludf.DUMMYFUNCTION("""COMPUTED_VALUE"""),"FEMALE INFERTILITY NGS PANEL")</f>
        <v>FEMALE INFERTILITY NGS PANEL</v>
      </c>
      <c r="C1279" s="154">
        <f>IFERROR(__xludf.DUMMYFUNCTION("""COMPUTED_VALUE"""),46087.0)</f>
        <v>46087</v>
      </c>
      <c r="D1279" s="154">
        <f>IFERROR(__xludf.DUMMYFUNCTION("""COMPUTED_VALUE"""),46095.0)</f>
        <v>46095</v>
      </c>
    </row>
    <row r="1280">
      <c r="A1280" s="153" t="str">
        <f>IFERROR(__xludf.DUMMYFUNCTION("""COMPUTED_VALUE"""),"AMB0000006363")</f>
        <v>AMB0000006363</v>
      </c>
      <c r="B1280" s="153" t="str">
        <f>IFERROR(__xludf.DUMMYFUNCTION("""COMPUTED_VALUE"""),"CES")</f>
        <v>CES</v>
      </c>
      <c r="C1280" s="154">
        <f>IFERROR(__xludf.DUMMYFUNCTION("""COMPUTED_VALUE"""),46087.0)</f>
        <v>46087</v>
      </c>
      <c r="D1280" s="154">
        <f>IFERROR(__xludf.DUMMYFUNCTION("""COMPUTED_VALUE"""),46106.0)</f>
        <v>46106</v>
      </c>
    </row>
    <row r="1281">
      <c r="A1281" s="153" t="str">
        <f>IFERROR(__xludf.DUMMYFUNCTION("""COMPUTED_VALUE"""),"ADK0000000085")</f>
        <v>ADK0000000085</v>
      </c>
      <c r="B1281" s="153" t="str">
        <f>IFERROR(__xludf.DUMMYFUNCTION("""COMPUTED_VALUE"""),"WES")</f>
        <v>WES</v>
      </c>
      <c r="C1281" s="154">
        <f>IFERROR(__xludf.DUMMYFUNCTION("""COMPUTED_VALUE"""),46087.0)</f>
        <v>46087</v>
      </c>
      <c r="D1281" s="154">
        <f>IFERROR(__xludf.DUMMYFUNCTION("""COMPUTED_VALUE"""),46101.0)</f>
        <v>46101</v>
      </c>
    </row>
    <row r="1282">
      <c r="A1282" s="153" t="str">
        <f>IFERROR(__xludf.DUMMYFUNCTION("""COMPUTED_VALUE"""),"ADK0000000086")</f>
        <v>ADK0000000086</v>
      </c>
      <c r="B1282" s="153" t="str">
        <f>IFERROR(__xludf.DUMMYFUNCTION("""COMPUTED_VALUE"""),"WES")</f>
        <v>WES</v>
      </c>
      <c r="C1282" s="154">
        <f>IFERROR(__xludf.DUMMYFUNCTION("""COMPUTED_VALUE"""),46087.0)</f>
        <v>46087</v>
      </c>
      <c r="D1282" s="154">
        <f>IFERROR(__xludf.DUMMYFUNCTION("""COMPUTED_VALUE"""),46101.0)</f>
        <v>46101</v>
      </c>
    </row>
    <row r="1283">
      <c r="A1283" s="153" t="str">
        <f>IFERROR(__xludf.DUMMYFUNCTION("""COMPUTED_VALUE"""),"ADK0000000087")</f>
        <v>ADK0000000087</v>
      </c>
      <c r="B1283" s="153" t="str">
        <f>IFERROR(__xludf.DUMMYFUNCTION("""COMPUTED_VALUE"""),"WES")</f>
        <v>WES</v>
      </c>
      <c r="C1283" s="154">
        <f>IFERROR(__xludf.DUMMYFUNCTION("""COMPUTED_VALUE"""),46087.0)</f>
        <v>46087</v>
      </c>
      <c r="D1283" s="154">
        <f>IFERROR(__xludf.DUMMYFUNCTION("""COMPUTED_VALUE"""),46101.0)</f>
        <v>46101</v>
      </c>
    </row>
    <row r="1284">
      <c r="A1284" s="153" t="str">
        <f>IFERROR(__xludf.DUMMYFUNCTION("""COMPUTED_VALUE"""),"ADK0000000088")</f>
        <v>ADK0000000088</v>
      </c>
      <c r="B1284" s="153" t="str">
        <f>IFERROR(__xludf.DUMMYFUNCTION("""COMPUTED_VALUE"""),"WES")</f>
        <v>WES</v>
      </c>
      <c r="C1284" s="154">
        <f>IFERROR(__xludf.DUMMYFUNCTION("""COMPUTED_VALUE"""),46087.0)</f>
        <v>46087</v>
      </c>
      <c r="D1284" s="154">
        <f>IFERROR(__xludf.DUMMYFUNCTION("""COMPUTED_VALUE"""),46101.0)</f>
        <v>46101</v>
      </c>
    </row>
    <row r="1285">
      <c r="A1285" s="153" t="str">
        <f>IFERROR(__xludf.DUMMYFUNCTION("""COMPUTED_VALUE"""),"ADK0000000089")</f>
        <v>ADK0000000089</v>
      </c>
      <c r="B1285" s="153" t="str">
        <f>IFERROR(__xludf.DUMMYFUNCTION("""COMPUTED_VALUE"""),"WES")</f>
        <v>WES</v>
      </c>
      <c r="C1285" s="154">
        <f>IFERROR(__xludf.DUMMYFUNCTION("""COMPUTED_VALUE"""),46087.0)</f>
        <v>46087</v>
      </c>
      <c r="D1285" s="154">
        <f>IFERROR(__xludf.DUMMYFUNCTION("""COMPUTED_VALUE"""),46101.0)</f>
        <v>46101</v>
      </c>
    </row>
    <row r="1286">
      <c r="A1286" s="153" t="str">
        <f>IFERROR(__xludf.DUMMYFUNCTION("""COMPUTED_VALUE"""),"ADK0000000090")</f>
        <v>ADK0000000090</v>
      </c>
      <c r="B1286" s="153" t="str">
        <f>IFERROR(__xludf.DUMMYFUNCTION("""COMPUTED_VALUE"""),"WES")</f>
        <v>WES</v>
      </c>
      <c r="C1286" s="154">
        <f>IFERROR(__xludf.DUMMYFUNCTION("""COMPUTED_VALUE"""),46087.0)</f>
        <v>46087</v>
      </c>
      <c r="D1286" s="154">
        <f>IFERROR(__xludf.DUMMYFUNCTION("""COMPUTED_VALUE"""),46101.0)</f>
        <v>46101</v>
      </c>
    </row>
    <row r="1287">
      <c r="A1287" s="153" t="str">
        <f>IFERROR(__xludf.DUMMYFUNCTION("""COMPUTED_VALUE"""),"ABC0000000114")</f>
        <v>ABC0000000114</v>
      </c>
      <c r="B1287" s="153" t="str">
        <f>IFERROR(__xludf.DUMMYFUNCTION("""COMPUTED_VALUE"""),"WES")</f>
        <v>WES</v>
      </c>
      <c r="C1287" s="154">
        <f>IFERROR(__xludf.DUMMYFUNCTION("""COMPUTED_VALUE"""),46090.0)</f>
        <v>46090</v>
      </c>
      <c r="D1287" s="154">
        <f>IFERROR(__xludf.DUMMYFUNCTION("""COMPUTED_VALUE"""),46101.0)</f>
        <v>46101</v>
      </c>
    </row>
    <row r="1288">
      <c r="A1288" s="153" t="str">
        <f>IFERROR(__xludf.DUMMYFUNCTION("""COMPUTED_VALUE"""),"AMB0000006291")</f>
        <v>AMB0000006291</v>
      </c>
      <c r="B1288" s="153" t="str">
        <f>IFERROR(__xludf.DUMMYFUNCTION("""COMPUTED_VALUE"""),"WES")</f>
        <v>WES</v>
      </c>
      <c r="C1288" s="154">
        <f>IFERROR(__xludf.DUMMYFUNCTION("""COMPUTED_VALUE"""),46090.0)</f>
        <v>46090</v>
      </c>
      <c r="D1288" s="154">
        <f>IFERROR(__xludf.DUMMYFUNCTION("""COMPUTED_VALUE"""),46106.0)</f>
        <v>46106</v>
      </c>
    </row>
    <row r="1289">
      <c r="A1289" s="153" t="str">
        <f>IFERROR(__xludf.DUMMYFUNCTION("""COMPUTED_VALUE"""),"GRM0000000175")</f>
        <v>GRM0000000175</v>
      </c>
      <c r="B1289" s="153" t="str">
        <f>IFERROR(__xludf.DUMMYFUNCTION("""COMPUTED_VALUE"""),"WES")</f>
        <v>WES</v>
      </c>
      <c r="C1289" s="154">
        <f>IFERROR(__xludf.DUMMYFUNCTION("""COMPUTED_VALUE"""),46090.0)</f>
        <v>46090</v>
      </c>
      <c r="D1289" s="154">
        <f>IFERROR(__xludf.DUMMYFUNCTION("""COMPUTED_VALUE"""),46107.0)</f>
        <v>46107</v>
      </c>
    </row>
    <row r="1290">
      <c r="A1290" s="153" t="str">
        <f>IFERROR(__xludf.DUMMYFUNCTION("""COMPUTED_VALUE"""),"GRM0000000174")</f>
        <v>GRM0000000174</v>
      </c>
      <c r="B1290" s="153" t="str">
        <f>IFERROR(__xludf.DUMMYFUNCTION("""COMPUTED_VALUE"""),"WES")</f>
        <v>WES</v>
      </c>
      <c r="C1290" s="154">
        <f>IFERROR(__xludf.DUMMYFUNCTION("""COMPUTED_VALUE"""),46090.0)</f>
        <v>46090</v>
      </c>
      <c r="D1290" s="154">
        <f>IFERROR(__xludf.DUMMYFUNCTION("""COMPUTED_VALUE"""),46107.0)</f>
        <v>46107</v>
      </c>
    </row>
    <row r="1291">
      <c r="A1291" s="153" t="str">
        <f>IFERROR(__xludf.DUMMYFUNCTION("""COMPUTED_VALUE"""),"AND0000000289")</f>
        <v>AND0000000289</v>
      </c>
      <c r="B1291" s="153" t="str">
        <f>IFERROR(__xludf.DUMMYFUNCTION("""COMPUTED_VALUE"""),"WES+WMGS")</f>
        <v>WES+WMGS</v>
      </c>
      <c r="C1291" s="154">
        <f>IFERROR(__xludf.DUMMYFUNCTION("""COMPUTED_VALUE"""),46090.0)</f>
        <v>46090</v>
      </c>
      <c r="D1291" s="154">
        <f>IFERROR(__xludf.DUMMYFUNCTION("""COMPUTED_VALUE"""),46109.0)</f>
        <v>46109</v>
      </c>
    </row>
    <row r="1292">
      <c r="A1292" s="153" t="str">
        <f>IFERROR(__xludf.DUMMYFUNCTION("""COMPUTED_VALUE"""),"ADK0000000084")</f>
        <v>ADK0000000084</v>
      </c>
      <c r="B1292" s="153" t="str">
        <f>IFERROR(__xludf.DUMMYFUNCTION("""COMPUTED_VALUE"""),"WES")</f>
        <v>WES</v>
      </c>
      <c r="C1292" s="154">
        <f>IFERROR(__xludf.DUMMYFUNCTION("""COMPUTED_VALUE"""),46090.0)</f>
        <v>46090</v>
      </c>
      <c r="D1292" s="154">
        <f>IFERROR(__xludf.DUMMYFUNCTION("""COMPUTED_VALUE"""),46107.0)</f>
        <v>46107</v>
      </c>
    </row>
    <row r="1293">
      <c r="A1293" s="153" t="str">
        <f>IFERROR(__xludf.DUMMYFUNCTION("""COMPUTED_VALUE"""),"ADB0000026523")</f>
        <v>ADB0000026523</v>
      </c>
      <c r="B1293" s="153" t="str">
        <f>IFERROR(__xludf.DUMMYFUNCTION("""COMPUTED_VALUE"""),"WES")</f>
        <v>WES</v>
      </c>
      <c r="C1293" s="154">
        <f>IFERROR(__xludf.DUMMYFUNCTION("""COMPUTED_VALUE"""),46090.0)</f>
        <v>46090</v>
      </c>
      <c r="D1293" s="154">
        <f>IFERROR(__xludf.DUMMYFUNCTION("""COMPUTED_VALUE"""),46108.0)</f>
        <v>46108</v>
      </c>
    </row>
    <row r="1294">
      <c r="A1294" s="153" t="str">
        <f>IFERROR(__xludf.DUMMYFUNCTION("""COMPUTED_VALUE"""),"IDG0000000009")</f>
        <v>IDG0000000009</v>
      </c>
      <c r="B1294" s="153" t="str">
        <f>IFERROR(__xludf.DUMMYFUNCTION("""COMPUTED_VALUE"""),"WES")</f>
        <v>WES</v>
      </c>
      <c r="C1294" s="154">
        <f>IFERROR(__xludf.DUMMYFUNCTION("""COMPUTED_VALUE"""),46090.0)</f>
        <v>46090</v>
      </c>
      <c r="D1294" s="154">
        <f>IFERROR(__xludf.DUMMYFUNCTION("""COMPUTED_VALUE"""),46103.0)</f>
        <v>46103</v>
      </c>
    </row>
    <row r="1295">
      <c r="A1295" s="153" t="str">
        <f>IFERROR(__xludf.DUMMYFUNCTION("""COMPUTED_VALUE"""),"ANV0000000122")</f>
        <v>ANV0000000122</v>
      </c>
      <c r="B1295" s="153" t="str">
        <f>IFERROR(__xludf.DUMMYFUNCTION("""COMPUTED_VALUE"""),"MALE INFERTILITY NGS PANEL")</f>
        <v>MALE INFERTILITY NGS PANEL</v>
      </c>
      <c r="C1295" s="154">
        <f>IFERROR(__xludf.DUMMYFUNCTION("""COMPUTED_VALUE"""),46090.0)</f>
        <v>46090</v>
      </c>
      <c r="D1295" s="154">
        <f>IFERROR(__xludf.DUMMYFUNCTION("""COMPUTED_VALUE"""),46097.0)</f>
        <v>46097</v>
      </c>
    </row>
    <row r="1296">
      <c r="A1296" s="153" t="str">
        <f>IFERROR(__xludf.DUMMYFUNCTION("""COMPUTED_VALUE"""),"ATN0000001331")</f>
        <v>ATN0000001331</v>
      </c>
      <c r="B1296" s="153" t="str">
        <f>IFERROR(__xludf.DUMMYFUNCTION("""COMPUTED_VALUE"""),"WES")</f>
        <v>WES</v>
      </c>
      <c r="C1296" s="154">
        <f>IFERROR(__xludf.DUMMYFUNCTION("""COMPUTED_VALUE"""),46090.0)</f>
        <v>46090</v>
      </c>
      <c r="D1296" s="154">
        <f>IFERROR(__xludf.DUMMYFUNCTION("""COMPUTED_VALUE"""),46108.0)</f>
        <v>46108</v>
      </c>
    </row>
    <row r="1297">
      <c r="A1297" s="153" t="str">
        <f>IFERROR(__xludf.DUMMYFUNCTION("""COMPUTED_VALUE"""),"ADK0000000155")</f>
        <v>ADK0000000155</v>
      </c>
      <c r="B1297" s="153" t="str">
        <f>IFERROR(__xludf.DUMMYFUNCTION("""COMPUTED_VALUE"""),"WES+WMGS")</f>
        <v>WES+WMGS</v>
      </c>
      <c r="C1297" s="154">
        <f>IFERROR(__xludf.DUMMYFUNCTION("""COMPUTED_VALUE"""),46090.0)</f>
        <v>46090</v>
      </c>
      <c r="D1297" s="154">
        <f>IFERROR(__xludf.DUMMYFUNCTION("""COMPUTED_VALUE"""),46141.0)</f>
        <v>46141</v>
      </c>
    </row>
    <row r="1298">
      <c r="A1298" s="153" t="str">
        <f>IFERROR(__xludf.DUMMYFUNCTION("""COMPUTED_VALUE"""),"ADK0000000157")</f>
        <v>ADK0000000157</v>
      </c>
      <c r="B1298" s="153" t="str">
        <f>IFERROR(__xludf.DUMMYFUNCTION("""COMPUTED_VALUE"""),"WES+WMGS")</f>
        <v>WES+WMGS</v>
      </c>
      <c r="C1298" s="154">
        <f>IFERROR(__xludf.DUMMYFUNCTION("""COMPUTED_VALUE"""),46090.0)</f>
        <v>46090</v>
      </c>
      <c r="D1298" s="154">
        <f>IFERROR(__xludf.DUMMYFUNCTION("""COMPUTED_VALUE"""),46141.0)</f>
        <v>46141</v>
      </c>
    </row>
    <row r="1299">
      <c r="A1299" s="153" t="str">
        <f>IFERROR(__xludf.DUMMYFUNCTION("""COMPUTED_VALUE"""),"ADK0000000158")</f>
        <v>ADK0000000158</v>
      </c>
      <c r="B1299" s="153" t="str">
        <f>IFERROR(__xludf.DUMMYFUNCTION("""COMPUTED_VALUE"""),"WES+WMGS")</f>
        <v>WES+WMGS</v>
      </c>
      <c r="C1299" s="154">
        <f>IFERROR(__xludf.DUMMYFUNCTION("""COMPUTED_VALUE"""),46090.0)</f>
        <v>46090</v>
      </c>
      <c r="D1299" s="154">
        <f>IFERROR(__xludf.DUMMYFUNCTION("""COMPUTED_VALUE"""),46141.0)</f>
        <v>46141</v>
      </c>
    </row>
    <row r="1300">
      <c r="A1300" s="153" t="str">
        <f>IFERROR(__xludf.DUMMYFUNCTION("""COMPUTED_VALUE"""),"ADK0000000159")</f>
        <v>ADK0000000159</v>
      </c>
      <c r="B1300" s="153" t="str">
        <f>IFERROR(__xludf.DUMMYFUNCTION("""COMPUTED_VALUE"""),"WES+WMGS")</f>
        <v>WES+WMGS</v>
      </c>
      <c r="C1300" s="154">
        <f>IFERROR(__xludf.DUMMYFUNCTION("""COMPUTED_VALUE"""),46090.0)</f>
        <v>46090</v>
      </c>
      <c r="D1300" s="154">
        <f>IFERROR(__xludf.DUMMYFUNCTION("""COMPUTED_VALUE"""),46141.0)</f>
        <v>46141</v>
      </c>
    </row>
    <row r="1301">
      <c r="A1301" s="153" t="str">
        <f>IFERROR(__xludf.DUMMYFUNCTION("""COMPUTED_VALUE"""),"PH50000001152")</f>
        <v>PH50000001152</v>
      </c>
      <c r="B1301" s="153" t="str">
        <f>IFERROR(__xludf.DUMMYFUNCTION("""COMPUTED_VALUE"""),"WES+WMGS")</f>
        <v>WES+WMGS</v>
      </c>
      <c r="C1301" s="154">
        <f>IFERROR(__xludf.DUMMYFUNCTION("""COMPUTED_VALUE"""),46090.0)</f>
        <v>46090</v>
      </c>
      <c r="D1301" s="154">
        <f>IFERROR(__xludf.DUMMYFUNCTION("""COMPUTED_VALUE"""),46111.0)</f>
        <v>46111</v>
      </c>
    </row>
    <row r="1302">
      <c r="A1302" s="153" t="str">
        <f>IFERROR(__xludf.DUMMYFUNCTION("""COMPUTED_VALUE"""),"HYP0000000155")</f>
        <v>HYP0000000155</v>
      </c>
      <c r="B1302" s="153" t="str">
        <f>IFERROR(__xludf.DUMMYFUNCTION("""COMPUTED_VALUE"""),"WES")</f>
        <v>WES</v>
      </c>
      <c r="C1302" s="154">
        <f>IFERROR(__xludf.DUMMYFUNCTION("""COMPUTED_VALUE"""),46090.0)</f>
        <v>46090</v>
      </c>
      <c r="D1302" s="154">
        <f>IFERROR(__xludf.DUMMYFUNCTION("""COMPUTED_VALUE"""),46107.0)</f>
        <v>46107</v>
      </c>
    </row>
    <row r="1303">
      <c r="A1303" s="153" t="str">
        <f>IFERROR(__xludf.DUMMYFUNCTION("""COMPUTED_VALUE"""),"ADH0000015224")</f>
        <v>ADH0000015224</v>
      </c>
      <c r="B1303" s="153" t="str">
        <f>IFERROR(__xludf.DUMMYFUNCTION("""COMPUTED_VALUE"""),"WES")</f>
        <v>WES</v>
      </c>
      <c r="C1303" s="154">
        <f>IFERROR(__xludf.DUMMYFUNCTION("""COMPUTED_VALUE"""),46090.0)</f>
        <v>46090</v>
      </c>
      <c r="D1303" s="154">
        <f>IFERROR(__xludf.DUMMYFUNCTION("""COMPUTED_VALUE"""),46109.0)</f>
        <v>46109</v>
      </c>
    </row>
    <row r="1304">
      <c r="A1304" s="153" t="str">
        <f>IFERROR(__xludf.DUMMYFUNCTION("""COMPUTED_VALUE"""),"ADB0000026643")</f>
        <v>ADB0000026643</v>
      </c>
      <c r="B1304" s="153" t="str">
        <f>IFERROR(__xludf.DUMMYFUNCTION("""COMPUTED_VALUE"""),"WES")</f>
        <v>WES</v>
      </c>
      <c r="C1304" s="154">
        <f>IFERROR(__xludf.DUMMYFUNCTION("""COMPUTED_VALUE"""),46090.0)</f>
        <v>46090</v>
      </c>
      <c r="D1304" s="154">
        <f>IFERROR(__xludf.DUMMYFUNCTION("""COMPUTED_VALUE"""),46109.0)</f>
        <v>46109</v>
      </c>
    </row>
    <row r="1305">
      <c r="A1305" s="153" t="str">
        <f>IFERROR(__xludf.DUMMYFUNCTION("""COMPUTED_VALUE"""),"ADB0000026644")</f>
        <v>ADB0000026644</v>
      </c>
      <c r="B1305" s="153" t="str">
        <f>IFERROR(__xludf.DUMMYFUNCTION("""COMPUTED_VALUE"""),"WES")</f>
        <v>WES</v>
      </c>
      <c r="C1305" s="154">
        <f>IFERROR(__xludf.DUMMYFUNCTION("""COMPUTED_VALUE"""),46090.0)</f>
        <v>46090</v>
      </c>
      <c r="D1305" s="154">
        <f>IFERROR(__xludf.DUMMYFUNCTION("""COMPUTED_VALUE"""),46109.0)</f>
        <v>46109</v>
      </c>
    </row>
    <row r="1306">
      <c r="A1306" s="153" t="str">
        <f>IFERROR(__xludf.DUMMYFUNCTION("""COMPUTED_VALUE"""),"PH50000001284")</f>
        <v>PH50000001284</v>
      </c>
      <c r="B1306" s="153" t="str">
        <f>IFERROR(__xludf.DUMMYFUNCTION("""COMPUTED_VALUE"""),"WES+WMGS")</f>
        <v>WES+WMGS</v>
      </c>
      <c r="C1306" s="154">
        <f>IFERROR(__xludf.DUMMYFUNCTION("""COMPUTED_VALUE"""),46090.0)</f>
        <v>46090</v>
      </c>
      <c r="D1306" s="154">
        <f>IFERROR(__xludf.DUMMYFUNCTION("""COMPUTED_VALUE"""),46111.0)</f>
        <v>46111</v>
      </c>
    </row>
    <row r="1307">
      <c r="A1307" s="153"/>
      <c r="B1307" s="153"/>
      <c r="C1307" s="154">
        <f>IFERROR(__xludf.DUMMYFUNCTION("""COMPUTED_VALUE"""),46090.0)</f>
        <v>46090</v>
      </c>
      <c r="D1307" s="153"/>
    </row>
    <row r="1308">
      <c r="A1308" s="153" t="str">
        <f>IFERROR(__xludf.DUMMYFUNCTION("""COMPUTED_VALUE"""),"PH50000001164")</f>
        <v>PH50000001164</v>
      </c>
      <c r="B1308" s="153" t="str">
        <f>IFERROR(__xludf.DUMMYFUNCTION("""COMPUTED_VALUE"""),"WES")</f>
        <v>WES</v>
      </c>
      <c r="C1308" s="154">
        <f>IFERROR(__xludf.DUMMYFUNCTION("""COMPUTED_VALUE"""),46090.0)</f>
        <v>46090</v>
      </c>
      <c r="D1308" s="154">
        <f>IFERROR(__xludf.DUMMYFUNCTION("""COMPUTED_VALUE"""),46105.0)</f>
        <v>46105</v>
      </c>
    </row>
    <row r="1309">
      <c r="A1309" s="153"/>
      <c r="B1309" s="153"/>
      <c r="C1309" s="153"/>
      <c r="D1309" s="153"/>
    </row>
    <row r="1310">
      <c r="A1310" s="153"/>
      <c r="B1310" s="153"/>
      <c r="C1310" s="153"/>
      <c r="D1310" s="153"/>
    </row>
    <row r="1311">
      <c r="A1311" s="153"/>
      <c r="B1311" s="153"/>
      <c r="C1311" s="153"/>
      <c r="D1311" s="153"/>
    </row>
    <row r="1312">
      <c r="A1312" s="153"/>
      <c r="B1312" s="153"/>
      <c r="C1312" s="153"/>
      <c r="D1312" s="153"/>
    </row>
    <row r="1313">
      <c r="A1313" s="153"/>
      <c r="B1313" s="153"/>
      <c r="C1313" s="153"/>
      <c r="D1313" s="153"/>
    </row>
    <row r="1314">
      <c r="A1314" s="153"/>
      <c r="B1314" s="153"/>
      <c r="C1314" s="153"/>
      <c r="D1314" s="153"/>
    </row>
    <row r="1315">
      <c r="A1315" s="153"/>
      <c r="B1315" s="153"/>
      <c r="C1315" s="153"/>
      <c r="D1315" s="153"/>
    </row>
    <row r="1316">
      <c r="A1316" s="153"/>
      <c r="B1316" s="153"/>
      <c r="C1316" s="153"/>
      <c r="D1316" s="153"/>
    </row>
    <row r="1317">
      <c r="A1317" s="153"/>
      <c r="B1317" s="153"/>
      <c r="C1317" s="153"/>
      <c r="D1317" s="153"/>
    </row>
    <row r="1318">
      <c r="A1318" s="153"/>
      <c r="B1318" s="153"/>
      <c r="C1318" s="153"/>
      <c r="D1318" s="153"/>
    </row>
    <row r="1319">
      <c r="A1319" s="153"/>
      <c r="B1319" s="153"/>
      <c r="C1319" s="153"/>
      <c r="D1319" s="153"/>
    </row>
    <row r="1320">
      <c r="A1320" s="153"/>
      <c r="B1320" s="153"/>
      <c r="C1320" s="153"/>
      <c r="D1320" s="153"/>
    </row>
    <row r="1321">
      <c r="A1321" s="153"/>
      <c r="B1321" s="153"/>
      <c r="C1321" s="153"/>
      <c r="D1321" s="153"/>
    </row>
    <row r="1322">
      <c r="A1322" s="153"/>
      <c r="B1322" s="153"/>
      <c r="C1322" s="153"/>
      <c r="D1322" s="153"/>
    </row>
    <row r="1323">
      <c r="A1323" s="153"/>
      <c r="B1323" s="153"/>
      <c r="C1323" s="153"/>
      <c r="D1323" s="153"/>
    </row>
    <row r="1324">
      <c r="A1324" s="153"/>
      <c r="B1324" s="153"/>
      <c r="C1324" s="153"/>
      <c r="D1324" s="153"/>
    </row>
    <row r="1325">
      <c r="A1325" s="153"/>
      <c r="B1325" s="153"/>
      <c r="C1325" s="153"/>
      <c r="D1325" s="153"/>
    </row>
    <row r="1326">
      <c r="A1326" s="153"/>
      <c r="B1326" s="153"/>
      <c r="C1326" s="153"/>
      <c r="D1326" s="153"/>
    </row>
    <row r="1327">
      <c r="A1327" s="153"/>
      <c r="B1327" s="153"/>
      <c r="C1327" s="153"/>
      <c r="D1327" s="153"/>
    </row>
    <row r="1328">
      <c r="A1328" s="153"/>
      <c r="B1328" s="153"/>
      <c r="C1328" s="153"/>
      <c r="D1328" s="153"/>
    </row>
    <row r="1329">
      <c r="A1329" s="153"/>
      <c r="B1329" s="153"/>
      <c r="C1329" s="153"/>
      <c r="D1329" s="153"/>
    </row>
    <row r="1330">
      <c r="A1330" s="153"/>
      <c r="B1330" s="153"/>
      <c r="C1330" s="153"/>
      <c r="D1330" s="153"/>
    </row>
    <row r="1331">
      <c r="A1331" s="153"/>
      <c r="B1331" s="153"/>
      <c r="C1331" s="153"/>
      <c r="D1331" s="153"/>
    </row>
    <row r="1332">
      <c r="A1332" s="153"/>
      <c r="B1332" s="153"/>
      <c r="C1332" s="153"/>
      <c r="D1332" s="153"/>
    </row>
    <row r="1333">
      <c r="A1333" s="153"/>
      <c r="B1333" s="153"/>
      <c r="C1333" s="153"/>
      <c r="D1333" s="153"/>
    </row>
    <row r="1334">
      <c r="A1334" s="153"/>
      <c r="B1334" s="153"/>
      <c r="C1334" s="153"/>
      <c r="D1334" s="153"/>
    </row>
    <row r="1335">
      <c r="A1335" s="153"/>
      <c r="B1335" s="153"/>
      <c r="C1335" s="153"/>
      <c r="D1335" s="153"/>
    </row>
    <row r="1336">
      <c r="A1336" s="153"/>
      <c r="B1336" s="153"/>
      <c r="C1336" s="153"/>
      <c r="D1336" s="153"/>
    </row>
    <row r="1337">
      <c r="A1337" s="153"/>
      <c r="B1337" s="153"/>
      <c r="C1337" s="153"/>
      <c r="D1337" s="153"/>
    </row>
    <row r="1338">
      <c r="A1338" s="153"/>
      <c r="B1338" s="153"/>
      <c r="C1338" s="153"/>
      <c r="D1338" s="153"/>
    </row>
    <row r="1339">
      <c r="A1339" s="153"/>
      <c r="B1339" s="153"/>
      <c r="C1339" s="153"/>
      <c r="D1339" s="153"/>
    </row>
    <row r="1340">
      <c r="A1340" s="153"/>
      <c r="B1340" s="153"/>
      <c r="C1340" s="153"/>
      <c r="D1340" s="153"/>
    </row>
    <row r="1341">
      <c r="A1341" s="153"/>
      <c r="B1341" s="153"/>
      <c r="C1341" s="153"/>
      <c r="D1341" s="153"/>
    </row>
    <row r="1342">
      <c r="A1342" s="153"/>
      <c r="B1342" s="153"/>
      <c r="C1342" s="153"/>
      <c r="D1342" s="153"/>
    </row>
    <row r="1343">
      <c r="A1343" s="153"/>
      <c r="B1343" s="153"/>
      <c r="C1343" s="153"/>
      <c r="D1343" s="153"/>
    </row>
    <row r="1344">
      <c r="A1344" s="153"/>
      <c r="B1344" s="153"/>
      <c r="C1344" s="153"/>
      <c r="D1344" s="153"/>
    </row>
    <row r="1345">
      <c r="A1345" s="153"/>
      <c r="B1345" s="153"/>
      <c r="C1345" s="153"/>
      <c r="D1345" s="153"/>
    </row>
    <row r="1346">
      <c r="A1346" s="153"/>
      <c r="B1346" s="153"/>
      <c r="C1346" s="153"/>
      <c r="D1346" s="153"/>
    </row>
    <row r="1347">
      <c r="A1347" s="153"/>
      <c r="B1347" s="153"/>
      <c r="C1347" s="153"/>
      <c r="D1347" s="153"/>
    </row>
    <row r="1348">
      <c r="A1348" s="153"/>
      <c r="B1348" s="153"/>
      <c r="C1348" s="153"/>
      <c r="D1348" s="153"/>
    </row>
    <row r="1349">
      <c r="A1349" s="153"/>
      <c r="B1349" s="153"/>
      <c r="C1349" s="153"/>
      <c r="D1349" s="153"/>
    </row>
    <row r="1350">
      <c r="A1350" s="153"/>
      <c r="B1350" s="153"/>
      <c r="C1350" s="153"/>
      <c r="D1350" s="153"/>
    </row>
    <row r="1351">
      <c r="A1351" s="153"/>
      <c r="B1351" s="153"/>
      <c r="C1351" s="153"/>
      <c r="D1351" s="153"/>
    </row>
    <row r="1352">
      <c r="A1352" s="153"/>
      <c r="B1352" s="153"/>
      <c r="C1352" s="153"/>
      <c r="D1352" s="153"/>
    </row>
    <row r="1353">
      <c r="A1353" s="153"/>
      <c r="B1353" s="153"/>
      <c r="C1353" s="153"/>
      <c r="D1353" s="153"/>
    </row>
    <row r="1354">
      <c r="A1354" s="153"/>
      <c r="B1354" s="153"/>
      <c r="C1354" s="153"/>
      <c r="D1354" s="153"/>
    </row>
    <row r="1355">
      <c r="A1355" s="153"/>
      <c r="B1355" s="153"/>
      <c r="C1355" s="153"/>
      <c r="D1355" s="153"/>
    </row>
    <row r="1356">
      <c r="A1356" s="153"/>
      <c r="B1356" s="153"/>
      <c r="C1356" s="153"/>
      <c r="D1356" s="153"/>
    </row>
    <row r="1357">
      <c r="A1357" s="153"/>
      <c r="B1357" s="153"/>
      <c r="C1357" s="153"/>
      <c r="D1357" s="153"/>
    </row>
    <row r="1358">
      <c r="A1358" s="153"/>
      <c r="B1358" s="153"/>
      <c r="C1358" s="153"/>
      <c r="D1358" s="153"/>
    </row>
    <row r="1359">
      <c r="A1359" s="153"/>
      <c r="B1359" s="153"/>
      <c r="C1359" s="153"/>
      <c r="D1359" s="153"/>
    </row>
    <row r="1360">
      <c r="A1360" s="153"/>
      <c r="B1360" s="153"/>
      <c r="C1360" s="153"/>
      <c r="D1360" s="153"/>
    </row>
    <row r="1361">
      <c r="A1361" s="153"/>
      <c r="B1361" s="153"/>
      <c r="C1361" s="153"/>
      <c r="D1361" s="153"/>
    </row>
    <row r="1362">
      <c r="A1362" s="153"/>
      <c r="B1362" s="153"/>
      <c r="C1362" s="153"/>
      <c r="D1362" s="153"/>
    </row>
    <row r="1363">
      <c r="A1363" s="153"/>
      <c r="B1363" s="153"/>
      <c r="C1363" s="153"/>
      <c r="D1363" s="153"/>
    </row>
    <row r="1364">
      <c r="A1364" s="153"/>
      <c r="B1364" s="153"/>
      <c r="C1364" s="153"/>
      <c r="D1364" s="153"/>
    </row>
    <row r="1365">
      <c r="A1365" s="153"/>
      <c r="B1365" s="153"/>
      <c r="C1365" s="153"/>
      <c r="D1365" s="153"/>
    </row>
    <row r="1366">
      <c r="A1366" s="153"/>
      <c r="B1366" s="153"/>
      <c r="C1366" s="153"/>
      <c r="D1366" s="153"/>
    </row>
    <row r="1367">
      <c r="A1367" s="153"/>
      <c r="B1367" s="153"/>
      <c r="C1367" s="153"/>
      <c r="D1367" s="153"/>
    </row>
    <row r="1368">
      <c r="A1368" s="153"/>
      <c r="B1368" s="153"/>
      <c r="C1368" s="153"/>
      <c r="D1368" s="153"/>
    </row>
    <row r="1369">
      <c r="A1369" s="153"/>
      <c r="B1369" s="153"/>
      <c r="C1369" s="153"/>
      <c r="D1369" s="153"/>
    </row>
    <row r="1370">
      <c r="A1370" s="153"/>
      <c r="B1370" s="153"/>
      <c r="C1370" s="153"/>
      <c r="D1370" s="153"/>
    </row>
    <row r="1371">
      <c r="A1371" s="153"/>
      <c r="B1371" s="153"/>
      <c r="C1371" s="153"/>
      <c r="D1371" s="153"/>
    </row>
    <row r="1372">
      <c r="A1372" s="153"/>
      <c r="B1372" s="153"/>
      <c r="C1372" s="153"/>
      <c r="D1372" s="153"/>
    </row>
    <row r="1373">
      <c r="A1373" s="153"/>
      <c r="B1373" s="153"/>
      <c r="C1373" s="153"/>
      <c r="D1373" s="153"/>
    </row>
    <row r="1374">
      <c r="A1374" s="153"/>
      <c r="B1374" s="153"/>
      <c r="C1374" s="153"/>
      <c r="D1374" s="153"/>
    </row>
    <row r="1375">
      <c r="A1375" s="153"/>
      <c r="B1375" s="153"/>
      <c r="C1375" s="153"/>
      <c r="D1375" s="153"/>
    </row>
    <row r="1376">
      <c r="A1376" s="153"/>
      <c r="B1376" s="153"/>
      <c r="C1376" s="153"/>
      <c r="D1376" s="153"/>
    </row>
    <row r="1377">
      <c r="A1377" s="153"/>
      <c r="B1377" s="153"/>
      <c r="C1377" s="153"/>
      <c r="D1377" s="153"/>
    </row>
    <row r="1378">
      <c r="A1378" s="153"/>
      <c r="B1378" s="153"/>
      <c r="C1378" s="153"/>
      <c r="D1378" s="153"/>
    </row>
    <row r="1379">
      <c r="A1379" s="153"/>
      <c r="B1379" s="153"/>
      <c r="C1379" s="153"/>
      <c r="D1379" s="153"/>
    </row>
    <row r="1380">
      <c r="A1380" s="153"/>
      <c r="B1380" s="153"/>
      <c r="C1380" s="153"/>
      <c r="D1380" s="153"/>
    </row>
    <row r="1381">
      <c r="A1381" s="153"/>
      <c r="B1381" s="153"/>
      <c r="C1381" s="153"/>
      <c r="D1381" s="153"/>
    </row>
    <row r="1382">
      <c r="A1382" s="153"/>
      <c r="B1382" s="153"/>
      <c r="C1382" s="153"/>
      <c r="D1382" s="153"/>
    </row>
    <row r="1383">
      <c r="A1383" s="153"/>
      <c r="B1383" s="153"/>
      <c r="C1383" s="153"/>
      <c r="D1383" s="153"/>
    </row>
    <row r="1384">
      <c r="A1384" s="153"/>
      <c r="B1384" s="153"/>
      <c r="C1384" s="153"/>
      <c r="D1384" s="153"/>
    </row>
    <row r="1385">
      <c r="A1385" s="153"/>
      <c r="B1385" s="153"/>
      <c r="C1385" s="153"/>
      <c r="D1385" s="153"/>
    </row>
    <row r="1386">
      <c r="A1386" s="153"/>
      <c r="B1386" s="153"/>
      <c r="C1386" s="153"/>
      <c r="D1386" s="153"/>
    </row>
    <row r="1387">
      <c r="A1387" s="153"/>
      <c r="B1387" s="153"/>
      <c r="C1387" s="153"/>
      <c r="D1387" s="153"/>
    </row>
    <row r="1388">
      <c r="A1388" s="153"/>
      <c r="B1388" s="153"/>
      <c r="C1388" s="153"/>
      <c r="D1388" s="153"/>
    </row>
    <row r="1389">
      <c r="A1389" s="153"/>
      <c r="B1389" s="153"/>
      <c r="C1389" s="153"/>
      <c r="D1389" s="153"/>
    </row>
    <row r="1390">
      <c r="A1390" s="153"/>
      <c r="B1390" s="153"/>
      <c r="C1390" s="153"/>
      <c r="D1390" s="153"/>
    </row>
    <row r="1391">
      <c r="A1391" s="153"/>
      <c r="B1391" s="153"/>
      <c r="C1391" s="153"/>
      <c r="D1391" s="153"/>
    </row>
    <row r="1392">
      <c r="A1392" s="153"/>
      <c r="B1392" s="153"/>
      <c r="C1392" s="153"/>
      <c r="D1392" s="153"/>
    </row>
    <row r="1393">
      <c r="A1393" s="153"/>
      <c r="B1393" s="153"/>
      <c r="C1393" s="153"/>
      <c r="D1393" s="153"/>
    </row>
    <row r="1394">
      <c r="A1394" s="153"/>
      <c r="B1394" s="153"/>
      <c r="C1394" s="153"/>
      <c r="D1394" s="153"/>
    </row>
    <row r="1395">
      <c r="A1395" s="153"/>
      <c r="B1395" s="153"/>
      <c r="C1395" s="153"/>
      <c r="D1395" s="153"/>
    </row>
    <row r="1396">
      <c r="A1396" s="153"/>
      <c r="B1396" s="153"/>
      <c r="C1396" s="153"/>
      <c r="D1396" s="153"/>
    </row>
    <row r="1397">
      <c r="A1397" s="153"/>
      <c r="B1397" s="153"/>
      <c r="C1397" s="153"/>
      <c r="D1397" s="153"/>
    </row>
    <row r="1398">
      <c r="A1398" s="153"/>
      <c r="B1398" s="153"/>
      <c r="C1398" s="153"/>
      <c r="D1398" s="153"/>
    </row>
    <row r="1399">
      <c r="A1399" s="153"/>
      <c r="B1399" s="153"/>
      <c r="C1399" s="153"/>
      <c r="D1399" s="153"/>
    </row>
    <row r="1400">
      <c r="A1400" s="153"/>
      <c r="B1400" s="153"/>
      <c r="C1400" s="153"/>
      <c r="D1400" s="153"/>
    </row>
    <row r="1401">
      <c r="A1401" s="153"/>
      <c r="B1401" s="153"/>
      <c r="C1401" s="153"/>
      <c r="D1401" s="153"/>
    </row>
    <row r="1402">
      <c r="A1402" s="153"/>
      <c r="B1402" s="153"/>
      <c r="C1402" s="153"/>
      <c r="D1402" s="153"/>
    </row>
    <row r="1403">
      <c r="A1403" s="153"/>
      <c r="B1403" s="153"/>
      <c r="C1403" s="153"/>
      <c r="D1403" s="153"/>
    </row>
    <row r="1404">
      <c r="A1404" s="153"/>
      <c r="B1404" s="153"/>
      <c r="C1404" s="153"/>
      <c r="D1404" s="153"/>
    </row>
    <row r="1405">
      <c r="A1405" s="153"/>
      <c r="B1405" s="153"/>
      <c r="C1405" s="153"/>
      <c r="D1405" s="153"/>
    </row>
    <row r="1406">
      <c r="A1406" s="153"/>
      <c r="B1406" s="153"/>
      <c r="C1406" s="153"/>
      <c r="D1406" s="153"/>
    </row>
    <row r="1407">
      <c r="A1407" s="153"/>
      <c r="B1407" s="153"/>
      <c r="C1407" s="153"/>
      <c r="D1407" s="153"/>
    </row>
    <row r="1408">
      <c r="A1408" s="153"/>
      <c r="B1408" s="153"/>
      <c r="C1408" s="153"/>
      <c r="D1408" s="153"/>
    </row>
    <row r="1409">
      <c r="A1409" s="153"/>
      <c r="B1409" s="153"/>
      <c r="C1409" s="153"/>
      <c r="D1409" s="153"/>
    </row>
    <row r="1410">
      <c r="A1410" s="153"/>
      <c r="B1410" s="153"/>
      <c r="C1410" s="153"/>
      <c r="D1410" s="153"/>
    </row>
    <row r="1411">
      <c r="A1411" s="153"/>
      <c r="B1411" s="153"/>
      <c r="C1411" s="153"/>
      <c r="D1411" s="153"/>
    </row>
    <row r="1412">
      <c r="A1412" s="153"/>
      <c r="B1412" s="153"/>
      <c r="C1412" s="153"/>
      <c r="D1412" s="153"/>
    </row>
    <row r="1413">
      <c r="A1413" s="153"/>
      <c r="B1413" s="153"/>
      <c r="C1413" s="153"/>
      <c r="D1413" s="153"/>
    </row>
    <row r="1414">
      <c r="A1414" s="153"/>
      <c r="B1414" s="153"/>
      <c r="C1414" s="153"/>
      <c r="D1414" s="153"/>
    </row>
    <row r="1415">
      <c r="A1415" s="153"/>
      <c r="B1415" s="153"/>
      <c r="C1415" s="153"/>
      <c r="D1415" s="153"/>
    </row>
    <row r="1416">
      <c r="A1416" s="153"/>
      <c r="B1416" s="153"/>
      <c r="C1416" s="153"/>
      <c r="D1416" s="153"/>
    </row>
    <row r="1417">
      <c r="A1417" s="153"/>
      <c r="B1417" s="153"/>
      <c r="C1417" s="153"/>
      <c r="D1417" s="153"/>
    </row>
    <row r="1418">
      <c r="A1418" s="153"/>
      <c r="B1418" s="153"/>
      <c r="C1418" s="153"/>
      <c r="D1418" s="153"/>
    </row>
    <row r="1419">
      <c r="A1419" s="153"/>
      <c r="B1419" s="153"/>
      <c r="C1419" s="153"/>
      <c r="D1419" s="153"/>
    </row>
    <row r="1420">
      <c r="A1420" s="153"/>
      <c r="B1420" s="153"/>
      <c r="C1420" s="153"/>
      <c r="D1420" s="153"/>
    </row>
    <row r="1421">
      <c r="A1421" s="153"/>
      <c r="B1421" s="153"/>
      <c r="C1421" s="153"/>
      <c r="D1421" s="153"/>
    </row>
    <row r="1422">
      <c r="A1422" s="153"/>
      <c r="B1422" s="153"/>
      <c r="C1422" s="153"/>
      <c r="D1422" s="153"/>
    </row>
    <row r="1423">
      <c r="A1423" s="153"/>
      <c r="B1423" s="153"/>
      <c r="C1423" s="153"/>
      <c r="D1423" s="153"/>
    </row>
    <row r="1424">
      <c r="A1424" s="153"/>
      <c r="B1424" s="153"/>
      <c r="C1424" s="153"/>
      <c r="D1424" s="153"/>
    </row>
    <row r="1425">
      <c r="A1425" s="153"/>
      <c r="B1425" s="153"/>
      <c r="C1425" s="153"/>
      <c r="D1425" s="153"/>
    </row>
    <row r="1426">
      <c r="A1426" s="153"/>
      <c r="B1426" s="153"/>
      <c r="C1426" s="153"/>
      <c r="D1426" s="153"/>
    </row>
    <row r="1427">
      <c r="A1427" s="153"/>
      <c r="B1427" s="153"/>
      <c r="C1427" s="153"/>
      <c r="D1427" s="153"/>
    </row>
    <row r="1428">
      <c r="A1428" s="153"/>
      <c r="B1428" s="153"/>
      <c r="C1428" s="153"/>
      <c r="D1428" s="153"/>
    </row>
    <row r="1429">
      <c r="A1429" s="153"/>
      <c r="B1429" s="153"/>
      <c r="C1429" s="153"/>
      <c r="D1429" s="153"/>
    </row>
    <row r="1430">
      <c r="A1430" s="153"/>
      <c r="B1430" s="153"/>
      <c r="C1430" s="153"/>
      <c r="D1430" s="153"/>
    </row>
    <row r="1431">
      <c r="A1431" s="153"/>
      <c r="B1431" s="153"/>
      <c r="C1431" s="153"/>
      <c r="D1431" s="153"/>
    </row>
    <row r="1432">
      <c r="A1432" s="153"/>
      <c r="B1432" s="153"/>
      <c r="C1432" s="153"/>
      <c r="D1432" s="153"/>
    </row>
    <row r="1433">
      <c r="A1433" s="153"/>
      <c r="B1433" s="153"/>
      <c r="C1433" s="153"/>
      <c r="D1433" s="153"/>
    </row>
    <row r="1434">
      <c r="A1434" s="153"/>
      <c r="B1434" s="153"/>
      <c r="C1434" s="153"/>
      <c r="D1434" s="153"/>
    </row>
    <row r="1435">
      <c r="A1435" s="153"/>
      <c r="B1435" s="153"/>
      <c r="C1435" s="153"/>
      <c r="D1435" s="153"/>
    </row>
    <row r="1436">
      <c r="A1436" s="153"/>
      <c r="B1436" s="153"/>
      <c r="C1436" s="153"/>
      <c r="D1436" s="153"/>
    </row>
    <row r="1437">
      <c r="A1437" s="153"/>
      <c r="B1437" s="153"/>
      <c r="C1437" s="153"/>
      <c r="D1437" s="153"/>
    </row>
    <row r="1438">
      <c r="A1438" s="153"/>
      <c r="B1438" s="153"/>
      <c r="C1438" s="153"/>
      <c r="D1438" s="153"/>
    </row>
    <row r="1439">
      <c r="A1439" s="153"/>
      <c r="B1439" s="153"/>
      <c r="C1439" s="153"/>
      <c r="D1439" s="153"/>
    </row>
    <row r="1440">
      <c r="A1440" s="153"/>
      <c r="B1440" s="153"/>
      <c r="C1440" s="153"/>
      <c r="D1440" s="153"/>
    </row>
    <row r="1441">
      <c r="A1441" s="153"/>
      <c r="B1441" s="153"/>
      <c r="C1441" s="153"/>
      <c r="D1441" s="153"/>
    </row>
    <row r="1442">
      <c r="A1442" s="153"/>
      <c r="B1442" s="153"/>
      <c r="C1442" s="153"/>
      <c r="D1442" s="153"/>
    </row>
    <row r="1443">
      <c r="A1443" s="153"/>
      <c r="B1443" s="153"/>
      <c r="C1443" s="153"/>
      <c r="D1443" s="153"/>
    </row>
    <row r="1444">
      <c r="A1444" s="153"/>
      <c r="B1444" s="153"/>
      <c r="C1444" s="153"/>
      <c r="D1444" s="153"/>
    </row>
    <row r="1445">
      <c r="A1445" s="153"/>
      <c r="B1445" s="153"/>
      <c r="C1445" s="153"/>
      <c r="D1445" s="153"/>
    </row>
    <row r="1446">
      <c r="A1446" s="153"/>
      <c r="B1446" s="153"/>
      <c r="C1446" s="153"/>
      <c r="D1446" s="153"/>
    </row>
    <row r="1447">
      <c r="A1447" s="153"/>
      <c r="B1447" s="153"/>
      <c r="C1447" s="153"/>
      <c r="D1447" s="153"/>
    </row>
    <row r="1448">
      <c r="A1448" s="153"/>
      <c r="B1448" s="153"/>
      <c r="C1448" s="153"/>
      <c r="D1448" s="153"/>
    </row>
    <row r="1449">
      <c r="A1449" s="153"/>
      <c r="B1449" s="153"/>
      <c r="C1449" s="153"/>
      <c r="D1449" s="153"/>
    </row>
    <row r="1450">
      <c r="A1450" s="153"/>
      <c r="B1450" s="153"/>
      <c r="C1450" s="153"/>
      <c r="D1450" s="153"/>
    </row>
    <row r="1451">
      <c r="A1451" s="153"/>
      <c r="B1451" s="153"/>
      <c r="C1451" s="153"/>
      <c r="D1451" s="153"/>
    </row>
    <row r="1452">
      <c r="A1452" s="153"/>
      <c r="B1452" s="153"/>
      <c r="C1452" s="153"/>
      <c r="D1452" s="153"/>
    </row>
    <row r="1453">
      <c r="A1453" s="153"/>
      <c r="B1453" s="153"/>
      <c r="C1453" s="153"/>
      <c r="D1453" s="153"/>
    </row>
    <row r="1454">
      <c r="A1454" s="153"/>
      <c r="B1454" s="153"/>
      <c r="C1454" s="153"/>
      <c r="D1454" s="153"/>
    </row>
    <row r="1455">
      <c r="A1455" s="153"/>
      <c r="B1455" s="153"/>
      <c r="C1455" s="153"/>
      <c r="D1455" s="153"/>
    </row>
    <row r="1456">
      <c r="A1456" s="153"/>
      <c r="B1456" s="153"/>
      <c r="C1456" s="153"/>
      <c r="D1456" s="153"/>
    </row>
    <row r="1457">
      <c r="A1457" s="153"/>
      <c r="B1457" s="153"/>
      <c r="C1457" s="153"/>
      <c r="D1457" s="153"/>
    </row>
    <row r="1458">
      <c r="A1458" s="153"/>
      <c r="B1458" s="153"/>
      <c r="C1458" s="153"/>
      <c r="D1458" s="153"/>
    </row>
    <row r="1459">
      <c r="A1459" s="153"/>
      <c r="B1459" s="153"/>
      <c r="C1459" s="153"/>
      <c r="D1459" s="153"/>
    </row>
    <row r="1460">
      <c r="A1460" s="153"/>
      <c r="B1460" s="153"/>
      <c r="C1460" s="153"/>
      <c r="D1460" s="153"/>
    </row>
    <row r="1461">
      <c r="A1461" s="153"/>
      <c r="B1461" s="153"/>
      <c r="C1461" s="153"/>
      <c r="D1461" s="153"/>
    </row>
    <row r="1462">
      <c r="A1462" s="153"/>
      <c r="B1462" s="153"/>
      <c r="C1462" s="153"/>
      <c r="D1462" s="153"/>
    </row>
    <row r="1463">
      <c r="A1463" s="153"/>
      <c r="B1463" s="153"/>
      <c r="C1463" s="153"/>
      <c r="D1463" s="153"/>
    </row>
    <row r="1464">
      <c r="A1464" s="153"/>
      <c r="B1464" s="153"/>
      <c r="C1464" s="153"/>
      <c r="D1464" s="153"/>
    </row>
    <row r="1465">
      <c r="A1465" s="153"/>
      <c r="B1465" s="153"/>
      <c r="C1465" s="153"/>
      <c r="D1465" s="153"/>
    </row>
    <row r="1466">
      <c r="A1466" s="153"/>
      <c r="B1466" s="153"/>
      <c r="C1466" s="153"/>
      <c r="D1466" s="153"/>
    </row>
    <row r="1467">
      <c r="A1467" s="153"/>
      <c r="B1467" s="153"/>
      <c r="C1467" s="153"/>
      <c r="D1467" s="153"/>
    </row>
    <row r="1468">
      <c r="A1468" s="153"/>
      <c r="B1468" s="153"/>
      <c r="C1468" s="153"/>
      <c r="D1468" s="153"/>
    </row>
    <row r="1469">
      <c r="A1469" s="153"/>
      <c r="B1469" s="153"/>
      <c r="C1469" s="153"/>
      <c r="D1469" s="153"/>
    </row>
    <row r="1470">
      <c r="A1470" s="153"/>
      <c r="B1470" s="153"/>
      <c r="C1470" s="153"/>
      <c r="D1470" s="153"/>
    </row>
    <row r="1471">
      <c r="A1471" s="153"/>
      <c r="B1471" s="153"/>
      <c r="C1471" s="153"/>
      <c r="D1471" s="153"/>
    </row>
    <row r="1472">
      <c r="A1472" s="153"/>
      <c r="B1472" s="153"/>
      <c r="C1472" s="153"/>
      <c r="D1472" s="153"/>
    </row>
    <row r="1473">
      <c r="A1473" s="153"/>
      <c r="B1473" s="153"/>
      <c r="C1473" s="153"/>
      <c r="D1473" s="153"/>
    </row>
    <row r="1474">
      <c r="A1474" s="153"/>
      <c r="B1474" s="153"/>
      <c r="C1474" s="153"/>
      <c r="D1474" s="153"/>
    </row>
    <row r="1475">
      <c r="A1475" s="153"/>
      <c r="B1475" s="153"/>
      <c r="C1475" s="153"/>
      <c r="D1475" s="153"/>
    </row>
    <row r="1476">
      <c r="A1476" s="153"/>
      <c r="B1476" s="153"/>
      <c r="C1476" s="153"/>
      <c r="D1476" s="153"/>
    </row>
    <row r="1477">
      <c r="A1477" s="153"/>
      <c r="B1477" s="153"/>
      <c r="C1477" s="153"/>
      <c r="D1477" s="153"/>
    </row>
    <row r="1478">
      <c r="A1478" s="153"/>
      <c r="B1478" s="153"/>
      <c r="C1478" s="153"/>
      <c r="D1478" s="153"/>
    </row>
    <row r="1479">
      <c r="A1479" s="153"/>
      <c r="B1479" s="153"/>
      <c r="C1479" s="153"/>
      <c r="D1479" s="153"/>
    </row>
    <row r="1480">
      <c r="A1480" s="153"/>
      <c r="B1480" s="153"/>
      <c r="C1480" s="153"/>
      <c r="D1480" s="153"/>
    </row>
    <row r="1481">
      <c r="A1481" s="153"/>
      <c r="B1481" s="153"/>
      <c r="C1481" s="153"/>
      <c r="D1481" s="153"/>
    </row>
    <row r="1482">
      <c r="A1482" s="153"/>
      <c r="B1482" s="153"/>
      <c r="C1482" s="153"/>
      <c r="D1482" s="153"/>
    </row>
    <row r="1483">
      <c r="A1483" s="153"/>
      <c r="B1483" s="153"/>
      <c r="C1483" s="153"/>
      <c r="D1483" s="153"/>
    </row>
    <row r="1484">
      <c r="A1484" s="153"/>
      <c r="B1484" s="153"/>
      <c r="C1484" s="153"/>
      <c r="D1484" s="153"/>
    </row>
    <row r="1485">
      <c r="A1485" s="153"/>
      <c r="B1485" s="153"/>
      <c r="C1485" s="153"/>
      <c r="D1485" s="153"/>
    </row>
    <row r="1486">
      <c r="A1486" s="153"/>
      <c r="B1486" s="153"/>
      <c r="C1486" s="153"/>
      <c r="D1486" s="153"/>
    </row>
    <row r="1487">
      <c r="A1487" s="153"/>
      <c r="B1487" s="153"/>
      <c r="C1487" s="153"/>
      <c r="D1487" s="153"/>
    </row>
    <row r="1488">
      <c r="A1488" s="153"/>
      <c r="B1488" s="153"/>
      <c r="C1488" s="153"/>
      <c r="D1488" s="153"/>
    </row>
    <row r="1489">
      <c r="A1489" s="153"/>
      <c r="B1489" s="153"/>
      <c r="C1489" s="153"/>
      <c r="D1489" s="153"/>
    </row>
    <row r="1490">
      <c r="A1490" s="153"/>
      <c r="B1490" s="153"/>
      <c r="C1490" s="153"/>
      <c r="D1490" s="153"/>
    </row>
    <row r="1491">
      <c r="A1491" s="153"/>
      <c r="B1491" s="153"/>
      <c r="C1491" s="153"/>
      <c r="D1491" s="153"/>
    </row>
    <row r="1492">
      <c r="A1492" s="153"/>
      <c r="B1492" s="153"/>
      <c r="C1492" s="153"/>
      <c r="D1492" s="153"/>
    </row>
    <row r="1493">
      <c r="A1493" s="153"/>
      <c r="B1493" s="153"/>
      <c r="C1493" s="153"/>
      <c r="D1493" s="153"/>
    </row>
    <row r="1494">
      <c r="A1494" s="153"/>
      <c r="B1494" s="153"/>
      <c r="C1494" s="153"/>
      <c r="D1494" s="153"/>
    </row>
    <row r="1495">
      <c r="A1495" s="153"/>
      <c r="B1495" s="153"/>
      <c r="C1495" s="153"/>
      <c r="D1495" s="153"/>
    </row>
    <row r="1496">
      <c r="A1496" s="153"/>
      <c r="B1496" s="153"/>
      <c r="C1496" s="153"/>
      <c r="D1496" s="153"/>
    </row>
    <row r="1497">
      <c r="A1497" s="153"/>
      <c r="B1497" s="153"/>
      <c r="C1497" s="153"/>
      <c r="D1497" s="153"/>
    </row>
    <row r="1498">
      <c r="A1498" s="153"/>
      <c r="B1498" s="153"/>
      <c r="C1498" s="153"/>
      <c r="D1498" s="153"/>
    </row>
    <row r="1499">
      <c r="A1499" s="153"/>
      <c r="B1499" s="153"/>
      <c r="C1499" s="153"/>
      <c r="D1499" s="153"/>
    </row>
    <row r="1500">
      <c r="A1500" s="153"/>
      <c r="B1500" s="153"/>
      <c r="C1500" s="153"/>
      <c r="D1500" s="153"/>
    </row>
    <row r="1501">
      <c r="A1501" s="153"/>
      <c r="B1501" s="153"/>
      <c r="C1501" s="153"/>
      <c r="D1501" s="153"/>
    </row>
    <row r="1502">
      <c r="A1502" s="153"/>
      <c r="B1502" s="153"/>
      <c r="C1502" s="153"/>
      <c r="D1502" s="153"/>
    </row>
    <row r="1503">
      <c r="A1503" s="153"/>
      <c r="B1503" s="153"/>
      <c r="C1503" s="153"/>
      <c r="D1503" s="153"/>
    </row>
    <row r="1504">
      <c r="A1504" s="153"/>
      <c r="B1504" s="153"/>
      <c r="C1504" s="153"/>
      <c r="D1504" s="153"/>
    </row>
    <row r="1505">
      <c r="A1505" s="153"/>
      <c r="B1505" s="153"/>
      <c r="C1505" s="153"/>
      <c r="D1505" s="153"/>
    </row>
    <row r="1506">
      <c r="A1506" s="153"/>
      <c r="B1506" s="153"/>
      <c r="C1506" s="153"/>
      <c r="D1506" s="153"/>
    </row>
    <row r="1507">
      <c r="A1507" s="153"/>
      <c r="B1507" s="153"/>
      <c r="C1507" s="153"/>
      <c r="D1507" s="153"/>
    </row>
    <row r="1508">
      <c r="A1508" s="153"/>
      <c r="B1508" s="153"/>
      <c r="C1508" s="153"/>
      <c r="D1508" s="153"/>
    </row>
    <row r="1509">
      <c r="A1509" s="153"/>
      <c r="B1509" s="153"/>
      <c r="C1509" s="153"/>
      <c r="D1509" s="153"/>
    </row>
    <row r="1510">
      <c r="A1510" s="153"/>
      <c r="B1510" s="153"/>
      <c r="C1510" s="153"/>
      <c r="D1510" s="153"/>
    </row>
    <row r="1511">
      <c r="A1511" s="153"/>
      <c r="B1511" s="153"/>
      <c r="C1511" s="153"/>
      <c r="D1511" s="153"/>
    </row>
    <row r="1512">
      <c r="A1512" s="153"/>
      <c r="B1512" s="153"/>
      <c r="C1512" s="153"/>
      <c r="D1512" s="153"/>
    </row>
    <row r="1513">
      <c r="A1513" s="153"/>
      <c r="B1513" s="153"/>
      <c r="C1513" s="153"/>
      <c r="D1513" s="153"/>
    </row>
    <row r="1514">
      <c r="A1514" s="153"/>
      <c r="B1514" s="153"/>
      <c r="C1514" s="153"/>
      <c r="D1514" s="153"/>
    </row>
    <row r="1515">
      <c r="A1515" s="153"/>
      <c r="B1515" s="153"/>
      <c r="C1515" s="153"/>
      <c r="D1515" s="153"/>
    </row>
    <row r="1516">
      <c r="A1516" s="153"/>
      <c r="B1516" s="153"/>
      <c r="C1516" s="153"/>
      <c r="D1516" s="153"/>
    </row>
    <row r="1517">
      <c r="A1517" s="153"/>
      <c r="B1517" s="153"/>
      <c r="C1517" s="153"/>
      <c r="D1517" s="153"/>
    </row>
    <row r="1518">
      <c r="A1518" s="153"/>
      <c r="B1518" s="153"/>
      <c r="C1518" s="153"/>
      <c r="D1518" s="153"/>
    </row>
    <row r="1519">
      <c r="A1519" s="153"/>
      <c r="B1519" s="153"/>
      <c r="C1519" s="153"/>
      <c r="D1519" s="153"/>
    </row>
    <row r="1520">
      <c r="A1520" s="153"/>
      <c r="B1520" s="153"/>
      <c r="C1520" s="153"/>
      <c r="D1520" s="153"/>
    </row>
    <row r="1521">
      <c r="A1521" s="153"/>
      <c r="B1521" s="153"/>
      <c r="C1521" s="153"/>
      <c r="D1521" s="153"/>
    </row>
    <row r="1522">
      <c r="A1522" s="153"/>
      <c r="B1522" s="153"/>
      <c r="C1522" s="153"/>
      <c r="D1522" s="153"/>
    </row>
    <row r="1523">
      <c r="A1523" s="153"/>
      <c r="B1523" s="153"/>
      <c r="C1523" s="153"/>
      <c r="D1523" s="153"/>
    </row>
    <row r="1524">
      <c r="A1524" s="153"/>
      <c r="B1524" s="153"/>
      <c r="C1524" s="153"/>
      <c r="D1524" s="153"/>
    </row>
    <row r="1525">
      <c r="A1525" s="153"/>
      <c r="B1525" s="153"/>
      <c r="C1525" s="153"/>
      <c r="D1525" s="153"/>
    </row>
    <row r="1526">
      <c r="A1526" s="153"/>
      <c r="B1526" s="153"/>
      <c r="C1526" s="153"/>
      <c r="D1526" s="153"/>
    </row>
    <row r="1527">
      <c r="A1527" s="153"/>
      <c r="B1527" s="153"/>
      <c r="C1527" s="153"/>
      <c r="D1527" s="153"/>
    </row>
    <row r="1528">
      <c r="A1528" s="153"/>
      <c r="B1528" s="153"/>
      <c r="C1528" s="153"/>
      <c r="D1528" s="153"/>
    </row>
    <row r="1529">
      <c r="A1529" s="153"/>
      <c r="B1529" s="153"/>
      <c r="C1529" s="153"/>
      <c r="D1529" s="153"/>
    </row>
    <row r="1530">
      <c r="A1530" s="153"/>
      <c r="B1530" s="153"/>
      <c r="C1530" s="153"/>
      <c r="D1530" s="153"/>
    </row>
    <row r="1531">
      <c r="A1531" s="153"/>
      <c r="B1531" s="153"/>
      <c r="C1531" s="153"/>
      <c r="D1531" s="153"/>
    </row>
    <row r="1532">
      <c r="A1532" s="153"/>
      <c r="B1532" s="153"/>
      <c r="C1532" s="153"/>
      <c r="D1532" s="153"/>
    </row>
    <row r="1533">
      <c r="A1533" s="153"/>
      <c r="B1533" s="153"/>
      <c r="C1533" s="153"/>
      <c r="D1533" s="153"/>
    </row>
    <row r="1534">
      <c r="A1534" s="153"/>
      <c r="B1534" s="153"/>
      <c r="C1534" s="153"/>
      <c r="D1534" s="153"/>
    </row>
    <row r="1535">
      <c r="A1535" s="153"/>
      <c r="B1535" s="153"/>
      <c r="C1535" s="153"/>
      <c r="D1535" s="153"/>
    </row>
    <row r="1536">
      <c r="A1536" s="153"/>
      <c r="B1536" s="153"/>
      <c r="C1536" s="153"/>
      <c r="D1536" s="153"/>
    </row>
    <row r="1537">
      <c r="A1537" s="153"/>
      <c r="B1537" s="153"/>
      <c r="C1537" s="153"/>
      <c r="D1537" s="153"/>
    </row>
    <row r="1538">
      <c r="A1538" s="153"/>
      <c r="B1538" s="153"/>
      <c r="C1538" s="153"/>
      <c r="D1538" s="153"/>
    </row>
    <row r="1539">
      <c r="A1539" s="153"/>
      <c r="B1539" s="153"/>
      <c r="C1539" s="153"/>
      <c r="D1539" s="153"/>
    </row>
    <row r="1540">
      <c r="A1540" s="153"/>
      <c r="B1540" s="153"/>
      <c r="C1540" s="153"/>
      <c r="D1540" s="153"/>
    </row>
    <row r="1541">
      <c r="A1541" s="153"/>
      <c r="B1541" s="153"/>
      <c r="C1541" s="153"/>
      <c r="D1541" s="153"/>
    </row>
    <row r="1542">
      <c r="A1542" s="153"/>
      <c r="B1542" s="153"/>
      <c r="C1542" s="153"/>
      <c r="D1542" s="153"/>
    </row>
    <row r="1543">
      <c r="A1543" s="153"/>
      <c r="B1543" s="153"/>
      <c r="C1543" s="153"/>
      <c r="D1543" s="153"/>
    </row>
    <row r="1544">
      <c r="A1544" s="153"/>
      <c r="B1544" s="153"/>
      <c r="C1544" s="153"/>
      <c r="D1544" s="153"/>
    </row>
    <row r="1545">
      <c r="A1545" s="153"/>
      <c r="B1545" s="153"/>
      <c r="C1545" s="153"/>
      <c r="D1545" s="153"/>
    </row>
    <row r="1546">
      <c r="A1546" s="153"/>
      <c r="B1546" s="153"/>
      <c r="C1546" s="153"/>
      <c r="D1546" s="153"/>
    </row>
    <row r="1547">
      <c r="A1547" s="153"/>
      <c r="B1547" s="153"/>
      <c r="C1547" s="153"/>
      <c r="D1547" s="153"/>
    </row>
    <row r="1548">
      <c r="A1548" s="153"/>
      <c r="B1548" s="153"/>
      <c r="C1548" s="153"/>
      <c r="D1548" s="153"/>
    </row>
    <row r="1549">
      <c r="A1549" s="153"/>
      <c r="B1549" s="153"/>
      <c r="C1549" s="153"/>
      <c r="D1549" s="153"/>
    </row>
    <row r="1550">
      <c r="A1550" s="153"/>
      <c r="B1550" s="153"/>
      <c r="C1550" s="153"/>
      <c r="D1550" s="153"/>
    </row>
    <row r="1551">
      <c r="A1551" s="153"/>
      <c r="B1551" s="153"/>
      <c r="C1551" s="153"/>
      <c r="D1551" s="153"/>
    </row>
    <row r="1552">
      <c r="A1552" s="153"/>
      <c r="B1552" s="153"/>
      <c r="C1552" s="153"/>
      <c r="D1552" s="153"/>
    </row>
    <row r="1553">
      <c r="A1553" s="153"/>
      <c r="B1553" s="153"/>
      <c r="C1553" s="153"/>
      <c r="D1553" s="153"/>
    </row>
    <row r="1554">
      <c r="A1554" s="153"/>
      <c r="B1554" s="153"/>
      <c r="C1554" s="153"/>
      <c r="D1554" s="153"/>
    </row>
    <row r="1555">
      <c r="A1555" s="153"/>
      <c r="B1555" s="153"/>
      <c r="C1555" s="153"/>
      <c r="D1555" s="153"/>
    </row>
    <row r="1556">
      <c r="A1556" s="153"/>
      <c r="B1556" s="153"/>
      <c r="C1556" s="153"/>
      <c r="D1556" s="153"/>
    </row>
    <row r="1557">
      <c r="A1557" s="153"/>
      <c r="B1557" s="153"/>
      <c r="C1557" s="153"/>
      <c r="D1557" s="153"/>
    </row>
    <row r="1558">
      <c r="A1558" s="153"/>
      <c r="B1558" s="153"/>
      <c r="C1558" s="153"/>
      <c r="D1558" s="153"/>
    </row>
    <row r="1559">
      <c r="A1559" s="153"/>
      <c r="B1559" s="153"/>
      <c r="C1559" s="153"/>
      <c r="D1559" s="153"/>
    </row>
    <row r="1560">
      <c r="A1560" s="153"/>
      <c r="B1560" s="153"/>
      <c r="C1560" s="153"/>
      <c r="D1560" s="153"/>
    </row>
    <row r="1561">
      <c r="A1561" s="153"/>
      <c r="B1561" s="153"/>
      <c r="C1561" s="153"/>
      <c r="D1561" s="153"/>
    </row>
    <row r="1562">
      <c r="A1562" s="153"/>
      <c r="B1562" s="153"/>
      <c r="C1562" s="153"/>
      <c r="D1562" s="153"/>
    </row>
    <row r="1563">
      <c r="A1563" s="153"/>
      <c r="B1563" s="153"/>
      <c r="C1563" s="153"/>
      <c r="D1563" s="153"/>
    </row>
    <row r="1564">
      <c r="A1564" s="153"/>
      <c r="B1564" s="153"/>
      <c r="C1564" s="153"/>
      <c r="D1564" s="153"/>
    </row>
    <row r="1565">
      <c r="A1565" s="153"/>
      <c r="B1565" s="153"/>
      <c r="C1565" s="153"/>
      <c r="D1565" s="153"/>
    </row>
    <row r="1566">
      <c r="A1566" s="153"/>
      <c r="B1566" s="153"/>
      <c r="C1566" s="153"/>
      <c r="D1566" s="153"/>
    </row>
    <row r="1567">
      <c r="A1567" s="153"/>
      <c r="B1567" s="153"/>
      <c r="C1567" s="153"/>
      <c r="D1567" s="153"/>
    </row>
    <row r="1568">
      <c r="A1568" s="153"/>
      <c r="B1568" s="153"/>
      <c r="C1568" s="153"/>
      <c r="D1568" s="153"/>
    </row>
    <row r="1569">
      <c r="A1569" s="153"/>
      <c r="B1569" s="153"/>
      <c r="C1569" s="153"/>
      <c r="D1569" s="153"/>
    </row>
    <row r="1570">
      <c r="A1570" s="153"/>
      <c r="B1570" s="153"/>
      <c r="C1570" s="153"/>
      <c r="D1570" s="153"/>
    </row>
    <row r="1571">
      <c r="A1571" s="153"/>
      <c r="B1571" s="153"/>
      <c r="C1571" s="153"/>
      <c r="D1571" s="153"/>
    </row>
    <row r="1572">
      <c r="A1572" s="153"/>
      <c r="B1572" s="153"/>
      <c r="C1572" s="153"/>
      <c r="D1572" s="153"/>
    </row>
    <row r="1573">
      <c r="A1573" s="153"/>
      <c r="B1573" s="153"/>
      <c r="C1573" s="153"/>
      <c r="D1573" s="153"/>
    </row>
    <row r="1574">
      <c r="A1574" s="153"/>
      <c r="B1574" s="153"/>
      <c r="C1574" s="153"/>
      <c r="D1574" s="153"/>
    </row>
    <row r="1575">
      <c r="A1575" s="153"/>
      <c r="B1575" s="153"/>
      <c r="C1575" s="153"/>
      <c r="D1575" s="153"/>
    </row>
    <row r="1576">
      <c r="A1576" s="153"/>
      <c r="B1576" s="153"/>
      <c r="C1576" s="153"/>
      <c r="D1576" s="153"/>
    </row>
    <row r="1577">
      <c r="A1577" s="153"/>
      <c r="B1577" s="153"/>
      <c r="C1577" s="153"/>
      <c r="D1577" s="153"/>
    </row>
    <row r="1578">
      <c r="A1578" s="153"/>
      <c r="B1578" s="153"/>
      <c r="C1578" s="153"/>
      <c r="D1578" s="153"/>
    </row>
    <row r="1579">
      <c r="A1579" s="153"/>
      <c r="B1579" s="153"/>
      <c r="C1579" s="153"/>
      <c r="D1579" s="153"/>
    </row>
    <row r="1580">
      <c r="A1580" s="153"/>
      <c r="B1580" s="153"/>
      <c r="C1580" s="153"/>
      <c r="D1580" s="153"/>
    </row>
    <row r="1581">
      <c r="A1581" s="153"/>
      <c r="B1581" s="153"/>
      <c r="C1581" s="153"/>
      <c r="D1581" s="153"/>
    </row>
    <row r="1582">
      <c r="A1582" s="153"/>
      <c r="B1582" s="153"/>
      <c r="C1582" s="153"/>
      <c r="D1582" s="153"/>
    </row>
    <row r="1583">
      <c r="A1583" s="153"/>
      <c r="B1583" s="153"/>
      <c r="C1583" s="153"/>
      <c r="D1583" s="153"/>
    </row>
    <row r="1584">
      <c r="A1584" s="153"/>
      <c r="B1584" s="153"/>
      <c r="C1584" s="153"/>
      <c r="D1584" s="153"/>
    </row>
    <row r="1585">
      <c r="A1585" s="153"/>
      <c r="B1585" s="153"/>
      <c r="C1585" s="153"/>
      <c r="D1585" s="153"/>
    </row>
    <row r="1586">
      <c r="A1586" s="153"/>
      <c r="B1586" s="153"/>
      <c r="C1586" s="153"/>
      <c r="D1586" s="153"/>
    </row>
    <row r="1587">
      <c r="A1587" s="153"/>
      <c r="B1587" s="153"/>
      <c r="C1587" s="153"/>
      <c r="D1587" s="153"/>
    </row>
    <row r="1588">
      <c r="A1588" s="153"/>
      <c r="B1588" s="153"/>
      <c r="C1588" s="153"/>
      <c r="D1588" s="153"/>
    </row>
    <row r="1589">
      <c r="A1589" s="153"/>
      <c r="B1589" s="153"/>
      <c r="C1589" s="153"/>
      <c r="D1589" s="153"/>
    </row>
    <row r="1590">
      <c r="A1590" s="153"/>
      <c r="B1590" s="153"/>
      <c r="C1590" s="153"/>
      <c r="D1590" s="153"/>
    </row>
    <row r="1591">
      <c r="A1591" s="153"/>
      <c r="B1591" s="153"/>
      <c r="C1591" s="153"/>
      <c r="D1591" s="153"/>
    </row>
    <row r="1592">
      <c r="A1592" s="153"/>
      <c r="B1592" s="153"/>
      <c r="C1592" s="153"/>
      <c r="D1592" s="153"/>
    </row>
    <row r="1593">
      <c r="A1593" s="153"/>
      <c r="B1593" s="153"/>
      <c r="C1593" s="153"/>
      <c r="D1593" s="153"/>
    </row>
    <row r="1594">
      <c r="A1594" s="153"/>
      <c r="B1594" s="153"/>
      <c r="C1594" s="153"/>
      <c r="D1594" s="153"/>
    </row>
    <row r="1595">
      <c r="A1595" s="153"/>
      <c r="B1595" s="153"/>
      <c r="C1595" s="153"/>
      <c r="D1595" s="153"/>
    </row>
    <row r="1596">
      <c r="A1596" s="153"/>
      <c r="B1596" s="153"/>
      <c r="C1596" s="153"/>
      <c r="D1596" s="153"/>
    </row>
    <row r="1597">
      <c r="A1597" s="153"/>
      <c r="B1597" s="153"/>
      <c r="C1597" s="153"/>
      <c r="D1597" s="153"/>
    </row>
    <row r="1598">
      <c r="A1598" s="153"/>
      <c r="B1598" s="153"/>
      <c r="C1598" s="153"/>
      <c r="D1598" s="153"/>
    </row>
    <row r="1599">
      <c r="A1599" s="153"/>
      <c r="B1599" s="153"/>
      <c r="C1599" s="153"/>
      <c r="D1599" s="153"/>
    </row>
    <row r="1600">
      <c r="A1600" s="153"/>
      <c r="B1600" s="153"/>
      <c r="C1600" s="153"/>
      <c r="D1600" s="153"/>
    </row>
    <row r="1601">
      <c r="A1601" s="153"/>
      <c r="B1601" s="153"/>
      <c r="C1601" s="153"/>
      <c r="D1601" s="153"/>
    </row>
    <row r="1602">
      <c r="A1602" s="153"/>
      <c r="B1602" s="153"/>
      <c r="C1602" s="153"/>
      <c r="D1602" s="153"/>
    </row>
    <row r="1603">
      <c r="A1603" s="153"/>
      <c r="B1603" s="153"/>
      <c r="C1603" s="153"/>
      <c r="D1603" s="153"/>
    </row>
    <row r="1604">
      <c r="A1604" s="153"/>
      <c r="B1604" s="153"/>
      <c r="C1604" s="153"/>
      <c r="D1604" s="153"/>
    </row>
    <row r="1605">
      <c r="A1605" s="153"/>
      <c r="B1605" s="153"/>
      <c r="C1605" s="153"/>
      <c r="D1605" s="153"/>
    </row>
    <row r="1606">
      <c r="A1606" s="153"/>
      <c r="B1606" s="153"/>
      <c r="C1606" s="153"/>
      <c r="D1606" s="153"/>
    </row>
    <row r="1607">
      <c r="A1607" s="153"/>
      <c r="B1607" s="153"/>
      <c r="C1607" s="153"/>
      <c r="D1607" s="153"/>
    </row>
    <row r="1608">
      <c r="A1608" s="153"/>
      <c r="B1608" s="153"/>
      <c r="C1608" s="153"/>
      <c r="D1608" s="153"/>
    </row>
    <row r="1609">
      <c r="A1609" s="153"/>
      <c r="B1609" s="153"/>
      <c r="C1609" s="153"/>
      <c r="D1609" s="153"/>
    </row>
    <row r="1610">
      <c r="A1610" s="153"/>
      <c r="B1610" s="153"/>
      <c r="C1610" s="153"/>
      <c r="D1610" s="153"/>
    </row>
    <row r="1611">
      <c r="A1611" s="153"/>
      <c r="B1611" s="153"/>
      <c r="C1611" s="153"/>
      <c r="D1611" s="153"/>
    </row>
    <row r="1612">
      <c r="A1612" s="153"/>
      <c r="B1612" s="153"/>
      <c r="C1612" s="153"/>
      <c r="D1612" s="153"/>
    </row>
    <row r="1613">
      <c r="A1613" s="153"/>
      <c r="B1613" s="153"/>
      <c r="C1613" s="153"/>
      <c r="D1613" s="153"/>
    </row>
    <row r="1614">
      <c r="A1614" s="153"/>
      <c r="B1614" s="153"/>
      <c r="C1614" s="153"/>
      <c r="D1614" s="153"/>
    </row>
    <row r="1615">
      <c r="A1615" s="153"/>
      <c r="B1615" s="153"/>
      <c r="C1615" s="153"/>
      <c r="D1615" s="153"/>
    </row>
    <row r="1616">
      <c r="A1616" s="153"/>
      <c r="B1616" s="153"/>
      <c r="C1616" s="153"/>
      <c r="D1616" s="153"/>
    </row>
    <row r="1617">
      <c r="A1617" s="153"/>
      <c r="B1617" s="153"/>
      <c r="C1617" s="153"/>
      <c r="D1617" s="153"/>
    </row>
    <row r="1618">
      <c r="A1618" s="153"/>
      <c r="B1618" s="153"/>
      <c r="C1618" s="153"/>
      <c r="D1618" s="153"/>
    </row>
    <row r="1619">
      <c r="A1619" s="153"/>
      <c r="B1619" s="153"/>
      <c r="C1619" s="153"/>
      <c r="D1619" s="153"/>
    </row>
    <row r="1620">
      <c r="A1620" s="153"/>
      <c r="B1620" s="153"/>
      <c r="C1620" s="153"/>
      <c r="D1620" s="153"/>
    </row>
    <row r="1621">
      <c r="A1621" s="153"/>
      <c r="B1621" s="153"/>
      <c r="C1621" s="153"/>
      <c r="D1621" s="153"/>
    </row>
    <row r="1622">
      <c r="A1622" s="153"/>
      <c r="B1622" s="153"/>
      <c r="C1622" s="153"/>
      <c r="D1622" s="153"/>
    </row>
    <row r="1623">
      <c r="A1623" s="153"/>
      <c r="B1623" s="153"/>
      <c r="C1623" s="153"/>
      <c r="D1623" s="153"/>
    </row>
    <row r="1624">
      <c r="A1624" s="153"/>
      <c r="B1624" s="153"/>
      <c r="C1624" s="153"/>
      <c r="D1624" s="153"/>
    </row>
    <row r="1625">
      <c r="A1625" s="153"/>
      <c r="B1625" s="153"/>
      <c r="C1625" s="153"/>
      <c r="D1625" s="153"/>
    </row>
    <row r="1626">
      <c r="A1626" s="153"/>
      <c r="B1626" s="153"/>
      <c r="C1626" s="153"/>
      <c r="D1626" s="153"/>
    </row>
    <row r="1627">
      <c r="A1627" s="153"/>
      <c r="B1627" s="153"/>
      <c r="C1627" s="153"/>
      <c r="D1627" s="153"/>
    </row>
    <row r="1628">
      <c r="A1628" s="153"/>
      <c r="B1628" s="153"/>
      <c r="C1628" s="153"/>
      <c r="D1628" s="153"/>
    </row>
    <row r="1629">
      <c r="A1629" s="153"/>
      <c r="B1629" s="153"/>
      <c r="C1629" s="153"/>
      <c r="D1629" s="153"/>
    </row>
    <row r="1630">
      <c r="A1630" s="153"/>
      <c r="B1630" s="153"/>
      <c r="C1630" s="153"/>
      <c r="D1630" s="153"/>
    </row>
    <row r="1631">
      <c r="A1631" s="153"/>
      <c r="B1631" s="153"/>
      <c r="C1631" s="153"/>
      <c r="D1631" s="153"/>
    </row>
    <row r="1632">
      <c r="A1632" s="153"/>
      <c r="B1632" s="153"/>
      <c r="C1632" s="153"/>
      <c r="D1632" s="153"/>
    </row>
    <row r="1633">
      <c r="A1633" s="153"/>
      <c r="B1633" s="153"/>
      <c r="C1633" s="153"/>
      <c r="D1633" s="153"/>
    </row>
    <row r="1634">
      <c r="A1634" s="153"/>
      <c r="B1634" s="153"/>
      <c r="C1634" s="153"/>
      <c r="D1634" s="153"/>
    </row>
    <row r="1635">
      <c r="A1635" s="153"/>
      <c r="B1635" s="153"/>
      <c r="C1635" s="153"/>
      <c r="D1635" s="153"/>
    </row>
    <row r="1636">
      <c r="A1636" s="153"/>
      <c r="B1636" s="153"/>
      <c r="C1636" s="153"/>
      <c r="D1636" s="153"/>
    </row>
    <row r="1637">
      <c r="A1637" s="153"/>
      <c r="B1637" s="153"/>
      <c r="C1637" s="153"/>
      <c r="D1637" s="153"/>
    </row>
    <row r="1638">
      <c r="A1638" s="153"/>
      <c r="B1638" s="153"/>
      <c r="C1638" s="153"/>
      <c r="D1638" s="153"/>
    </row>
    <row r="1639">
      <c r="A1639" s="153"/>
      <c r="B1639" s="153"/>
      <c r="C1639" s="153"/>
      <c r="D1639" s="153"/>
    </row>
    <row r="1640">
      <c r="A1640" s="153"/>
      <c r="B1640" s="153"/>
      <c r="C1640" s="153"/>
      <c r="D1640" s="153"/>
    </row>
    <row r="1641">
      <c r="A1641" s="153"/>
      <c r="B1641" s="153"/>
      <c r="C1641" s="153"/>
      <c r="D1641" s="153"/>
    </row>
    <row r="1642">
      <c r="A1642" s="153"/>
      <c r="B1642" s="153"/>
      <c r="C1642" s="153"/>
      <c r="D1642" s="153"/>
    </row>
    <row r="1643">
      <c r="A1643" s="153"/>
      <c r="B1643" s="153"/>
      <c r="C1643" s="153"/>
      <c r="D1643" s="153"/>
    </row>
    <row r="1644">
      <c r="A1644" s="153"/>
      <c r="B1644" s="153"/>
      <c r="C1644" s="153"/>
      <c r="D1644" s="153"/>
    </row>
    <row r="1645">
      <c r="A1645" s="153"/>
      <c r="B1645" s="153"/>
      <c r="C1645" s="153"/>
      <c r="D1645" s="153"/>
    </row>
    <row r="1646">
      <c r="A1646" s="153"/>
      <c r="B1646" s="153"/>
      <c r="C1646" s="153"/>
      <c r="D1646" s="153"/>
    </row>
    <row r="1647">
      <c r="A1647" s="153"/>
      <c r="B1647" s="153"/>
      <c r="C1647" s="153"/>
      <c r="D1647" s="153"/>
    </row>
    <row r="1648">
      <c r="A1648" s="153"/>
      <c r="B1648" s="153"/>
      <c r="C1648" s="153"/>
      <c r="D1648" s="153"/>
    </row>
    <row r="1649">
      <c r="A1649" s="153"/>
      <c r="B1649" s="153"/>
      <c r="C1649" s="153"/>
      <c r="D1649" s="153"/>
    </row>
    <row r="1650">
      <c r="A1650" s="153"/>
      <c r="B1650" s="153"/>
      <c r="C1650" s="153"/>
      <c r="D1650" s="153"/>
    </row>
    <row r="1651">
      <c r="A1651" s="153"/>
      <c r="B1651" s="153"/>
      <c r="C1651" s="153"/>
      <c r="D1651" s="153"/>
    </row>
    <row r="1652">
      <c r="A1652" s="153"/>
      <c r="B1652" s="153"/>
      <c r="C1652" s="153"/>
      <c r="D1652" s="153"/>
    </row>
    <row r="1653">
      <c r="A1653" s="153"/>
      <c r="B1653" s="153"/>
      <c r="C1653" s="153"/>
      <c r="D1653" s="153"/>
    </row>
    <row r="1654">
      <c r="A1654" s="153"/>
      <c r="B1654" s="153"/>
      <c r="C1654" s="153"/>
      <c r="D1654" s="153"/>
    </row>
    <row r="1655">
      <c r="A1655" s="153"/>
      <c r="B1655" s="153"/>
      <c r="C1655" s="153"/>
      <c r="D1655" s="153"/>
    </row>
    <row r="1656">
      <c r="A1656" s="153"/>
      <c r="B1656" s="153"/>
      <c r="C1656" s="153"/>
      <c r="D1656" s="153"/>
    </row>
    <row r="1657">
      <c r="A1657" s="153"/>
      <c r="B1657" s="153"/>
      <c r="C1657" s="153"/>
      <c r="D1657" s="153"/>
    </row>
    <row r="1658">
      <c r="A1658" s="153"/>
      <c r="B1658" s="153"/>
      <c r="C1658" s="153"/>
      <c r="D1658" s="153"/>
    </row>
    <row r="1659">
      <c r="A1659" s="153"/>
      <c r="B1659" s="153"/>
      <c r="C1659" s="153"/>
      <c r="D1659" s="153"/>
    </row>
    <row r="1660">
      <c r="A1660" s="153"/>
      <c r="B1660" s="153"/>
      <c r="C1660" s="153"/>
      <c r="D1660" s="153"/>
    </row>
    <row r="1661">
      <c r="A1661" s="153"/>
      <c r="B1661" s="153"/>
      <c r="C1661" s="153"/>
      <c r="D1661" s="153"/>
    </row>
    <row r="1662">
      <c r="A1662" s="153"/>
      <c r="B1662" s="153"/>
      <c r="C1662" s="153"/>
      <c r="D1662" s="153"/>
    </row>
    <row r="1663">
      <c r="A1663" s="153"/>
      <c r="B1663" s="153"/>
      <c r="C1663" s="153"/>
      <c r="D1663" s="153"/>
    </row>
    <row r="1664">
      <c r="A1664" s="153"/>
      <c r="B1664" s="153"/>
      <c r="C1664" s="153"/>
      <c r="D1664" s="153"/>
    </row>
    <row r="1665">
      <c r="A1665" s="153"/>
      <c r="B1665" s="153"/>
      <c r="C1665" s="153"/>
      <c r="D1665" s="153"/>
    </row>
    <row r="1666">
      <c r="A1666" s="153"/>
      <c r="B1666" s="153"/>
      <c r="C1666" s="153"/>
      <c r="D1666" s="153"/>
    </row>
    <row r="1667">
      <c r="A1667" s="153"/>
      <c r="B1667" s="153"/>
      <c r="C1667" s="153"/>
      <c r="D1667" s="153"/>
    </row>
    <row r="1668">
      <c r="A1668" s="153"/>
      <c r="B1668" s="153"/>
      <c r="C1668" s="153"/>
      <c r="D1668" s="153"/>
    </row>
    <row r="1669">
      <c r="A1669" s="153"/>
      <c r="B1669" s="153"/>
      <c r="C1669" s="153"/>
      <c r="D1669" s="153"/>
    </row>
    <row r="1670">
      <c r="A1670" s="153"/>
      <c r="B1670" s="153"/>
      <c r="C1670" s="153"/>
      <c r="D1670" s="153"/>
    </row>
    <row r="1671">
      <c r="A1671" s="153"/>
      <c r="B1671" s="153"/>
      <c r="C1671" s="153"/>
      <c r="D1671" s="153"/>
    </row>
    <row r="1672">
      <c r="A1672" s="153"/>
      <c r="B1672" s="153"/>
      <c r="C1672" s="153"/>
      <c r="D1672" s="153"/>
    </row>
    <row r="1673">
      <c r="A1673" s="153"/>
      <c r="B1673" s="153"/>
      <c r="C1673" s="153"/>
      <c r="D1673" s="153"/>
    </row>
    <row r="1674">
      <c r="A1674" s="153"/>
      <c r="B1674" s="153"/>
      <c r="C1674" s="153"/>
      <c r="D1674" s="153"/>
    </row>
    <row r="1675">
      <c r="A1675" s="153"/>
      <c r="B1675" s="153"/>
      <c r="C1675" s="153"/>
      <c r="D1675" s="153"/>
    </row>
    <row r="1676">
      <c r="A1676" s="153"/>
      <c r="B1676" s="153"/>
      <c r="C1676" s="153"/>
      <c r="D1676" s="153"/>
    </row>
    <row r="1677">
      <c r="A1677" s="153"/>
      <c r="B1677" s="153"/>
      <c r="C1677" s="153"/>
      <c r="D1677" s="153"/>
    </row>
    <row r="1678">
      <c r="A1678" s="153"/>
      <c r="B1678" s="153"/>
      <c r="C1678" s="153"/>
      <c r="D1678" s="153"/>
    </row>
    <row r="1679">
      <c r="A1679" s="153"/>
      <c r="B1679" s="153"/>
      <c r="C1679" s="153"/>
      <c r="D1679" s="153"/>
    </row>
    <row r="1680">
      <c r="A1680" s="153"/>
      <c r="B1680" s="153"/>
      <c r="C1680" s="153"/>
      <c r="D1680" s="153"/>
    </row>
    <row r="1681">
      <c r="A1681" s="153"/>
      <c r="B1681" s="153"/>
      <c r="C1681" s="153"/>
      <c r="D1681" s="153"/>
    </row>
    <row r="1682">
      <c r="A1682" s="153"/>
      <c r="B1682" s="153"/>
      <c r="C1682" s="153"/>
      <c r="D1682" s="153"/>
    </row>
    <row r="1683">
      <c r="A1683" s="153"/>
      <c r="B1683" s="153"/>
      <c r="C1683" s="153"/>
      <c r="D1683" s="153"/>
    </row>
    <row r="1684">
      <c r="A1684" s="153"/>
      <c r="B1684" s="153"/>
      <c r="C1684" s="153"/>
      <c r="D1684" s="153"/>
    </row>
    <row r="1685">
      <c r="A1685" s="153"/>
      <c r="B1685" s="153"/>
      <c r="C1685" s="153"/>
      <c r="D1685" s="153"/>
    </row>
    <row r="1686">
      <c r="A1686" s="153"/>
      <c r="B1686" s="153"/>
      <c r="C1686" s="153"/>
      <c r="D1686" s="153"/>
    </row>
    <row r="1687">
      <c r="A1687" s="153"/>
      <c r="B1687" s="153"/>
      <c r="C1687" s="153"/>
      <c r="D1687" s="153"/>
    </row>
    <row r="1688">
      <c r="A1688" s="153"/>
      <c r="B1688" s="153"/>
      <c r="C1688" s="153"/>
      <c r="D1688" s="153"/>
    </row>
    <row r="1689">
      <c r="A1689" s="153"/>
      <c r="B1689" s="153"/>
      <c r="C1689" s="153"/>
      <c r="D1689" s="153"/>
    </row>
    <row r="1690">
      <c r="A1690" s="153"/>
      <c r="B1690" s="153"/>
      <c r="C1690" s="153"/>
      <c r="D1690" s="153"/>
    </row>
    <row r="1691">
      <c r="A1691" s="153"/>
      <c r="B1691" s="153"/>
      <c r="C1691" s="153"/>
      <c r="D1691" s="153"/>
    </row>
    <row r="1692">
      <c r="A1692" s="153"/>
      <c r="B1692" s="153"/>
      <c r="C1692" s="153"/>
      <c r="D1692" s="153"/>
    </row>
    <row r="1693">
      <c r="A1693" s="153"/>
      <c r="B1693" s="153"/>
      <c r="C1693" s="153"/>
      <c r="D1693" s="153"/>
    </row>
    <row r="1694">
      <c r="A1694" s="153"/>
      <c r="B1694" s="153"/>
      <c r="C1694" s="153"/>
      <c r="D1694" s="153"/>
    </row>
    <row r="1695">
      <c r="A1695" s="153"/>
      <c r="B1695" s="153"/>
      <c r="C1695" s="153"/>
      <c r="D1695" s="153"/>
    </row>
    <row r="1696">
      <c r="A1696" s="153"/>
      <c r="B1696" s="153"/>
      <c r="C1696" s="153"/>
      <c r="D1696" s="153"/>
    </row>
    <row r="1697">
      <c r="A1697" s="153"/>
      <c r="B1697" s="153"/>
      <c r="C1697" s="153"/>
      <c r="D1697" s="153"/>
    </row>
    <row r="1698">
      <c r="A1698" s="153"/>
      <c r="B1698" s="153"/>
      <c r="C1698" s="153"/>
      <c r="D1698" s="153"/>
    </row>
    <row r="1699">
      <c r="A1699" s="153"/>
      <c r="B1699" s="153"/>
      <c r="C1699" s="153"/>
      <c r="D1699" s="153"/>
    </row>
    <row r="1700">
      <c r="A1700" s="153"/>
      <c r="B1700" s="153"/>
      <c r="C1700" s="153"/>
      <c r="D1700" s="153"/>
    </row>
    <row r="1701">
      <c r="A1701" s="153"/>
      <c r="B1701" s="153"/>
      <c r="C1701" s="153"/>
      <c r="D1701" s="153"/>
    </row>
    <row r="1702">
      <c r="A1702" s="153"/>
      <c r="B1702" s="153"/>
      <c r="C1702" s="153"/>
      <c r="D1702" s="153"/>
    </row>
    <row r="1703">
      <c r="A1703" s="153"/>
      <c r="B1703" s="153"/>
      <c r="C1703" s="153"/>
      <c r="D1703" s="153"/>
    </row>
    <row r="1704">
      <c r="A1704" s="153"/>
      <c r="B1704" s="153"/>
      <c r="C1704" s="153"/>
      <c r="D1704" s="153"/>
    </row>
    <row r="1705">
      <c r="A1705" s="153"/>
      <c r="B1705" s="153"/>
      <c r="C1705" s="153"/>
      <c r="D1705" s="153"/>
    </row>
    <row r="1706">
      <c r="A1706" s="153"/>
      <c r="B1706" s="153"/>
      <c r="C1706" s="153"/>
      <c r="D1706" s="153"/>
    </row>
    <row r="1707">
      <c r="A1707" s="153"/>
      <c r="B1707" s="153"/>
      <c r="C1707" s="153"/>
      <c r="D1707" s="153"/>
    </row>
    <row r="1708">
      <c r="A1708" s="153"/>
      <c r="B1708" s="153"/>
      <c r="C1708" s="153"/>
      <c r="D1708" s="153"/>
    </row>
    <row r="1709">
      <c r="A1709" s="153"/>
      <c r="B1709" s="153"/>
      <c r="C1709" s="153"/>
      <c r="D1709" s="153"/>
    </row>
    <row r="1710">
      <c r="A1710" s="153"/>
      <c r="B1710" s="153"/>
      <c r="C1710" s="153"/>
      <c r="D1710" s="153"/>
    </row>
    <row r="1711">
      <c r="A1711" s="153"/>
      <c r="B1711" s="153"/>
      <c r="C1711" s="153"/>
      <c r="D1711" s="153"/>
    </row>
    <row r="1712">
      <c r="A1712" s="153"/>
      <c r="B1712" s="153"/>
      <c r="C1712" s="153"/>
      <c r="D1712" s="153"/>
    </row>
    <row r="1713">
      <c r="A1713" s="153"/>
      <c r="B1713" s="153"/>
      <c r="C1713" s="153"/>
      <c r="D1713" s="153"/>
    </row>
    <row r="1714">
      <c r="A1714" s="153"/>
      <c r="B1714" s="153"/>
      <c r="C1714" s="153"/>
      <c r="D1714" s="153"/>
    </row>
    <row r="1715">
      <c r="A1715" s="153"/>
      <c r="B1715" s="153"/>
      <c r="C1715" s="153"/>
      <c r="D1715" s="153"/>
    </row>
    <row r="1716">
      <c r="A1716" s="153"/>
      <c r="B1716" s="153"/>
      <c r="C1716" s="153"/>
      <c r="D1716" s="153"/>
    </row>
    <row r="1717">
      <c r="A1717" s="153"/>
      <c r="B1717" s="153"/>
      <c r="C1717" s="153"/>
      <c r="D1717" s="153"/>
    </row>
    <row r="1718">
      <c r="A1718" s="153"/>
      <c r="B1718" s="153"/>
      <c r="C1718" s="153"/>
      <c r="D1718" s="153"/>
    </row>
    <row r="1719">
      <c r="A1719" s="153"/>
      <c r="B1719" s="153"/>
      <c r="C1719" s="153"/>
      <c r="D1719" s="153"/>
    </row>
    <row r="1720">
      <c r="A1720" s="153"/>
      <c r="B1720" s="153"/>
      <c r="C1720" s="153"/>
      <c r="D1720" s="153"/>
    </row>
    <row r="1721">
      <c r="A1721" s="153"/>
      <c r="B1721" s="153"/>
      <c r="C1721" s="153"/>
      <c r="D1721" s="153"/>
    </row>
    <row r="1722">
      <c r="A1722" s="153"/>
      <c r="B1722" s="153"/>
      <c r="C1722" s="153"/>
      <c r="D1722" s="153"/>
    </row>
    <row r="1723">
      <c r="A1723" s="153"/>
      <c r="B1723" s="153"/>
      <c r="C1723" s="153"/>
      <c r="D1723" s="153"/>
    </row>
    <row r="1724">
      <c r="A1724" s="153"/>
      <c r="B1724" s="153"/>
      <c r="C1724" s="153"/>
      <c r="D1724" s="153"/>
    </row>
    <row r="1725">
      <c r="A1725" s="153"/>
      <c r="B1725" s="153"/>
      <c r="C1725" s="153"/>
      <c r="D1725" s="153"/>
    </row>
    <row r="1726">
      <c r="A1726" s="153"/>
      <c r="B1726" s="153"/>
      <c r="C1726" s="153"/>
      <c r="D1726" s="153"/>
    </row>
    <row r="1727">
      <c r="A1727" s="153"/>
      <c r="B1727" s="153"/>
      <c r="C1727" s="153"/>
      <c r="D1727" s="153"/>
    </row>
    <row r="1728">
      <c r="A1728" s="153"/>
      <c r="B1728" s="153"/>
      <c r="C1728" s="153"/>
      <c r="D1728" s="153"/>
    </row>
    <row r="1729">
      <c r="A1729" s="153"/>
      <c r="B1729" s="153"/>
      <c r="C1729" s="153"/>
      <c r="D1729" s="153"/>
    </row>
    <row r="1730">
      <c r="A1730" s="153"/>
      <c r="B1730" s="153"/>
      <c r="C1730" s="153"/>
      <c r="D1730" s="153"/>
    </row>
    <row r="1731">
      <c r="A1731" s="153"/>
      <c r="B1731" s="153"/>
      <c r="C1731" s="153"/>
      <c r="D1731" s="153"/>
    </row>
    <row r="1732">
      <c r="A1732" s="153"/>
      <c r="B1732" s="153"/>
      <c r="C1732" s="153"/>
      <c r="D1732" s="153"/>
    </row>
    <row r="1733">
      <c r="A1733" s="153"/>
      <c r="B1733" s="153"/>
      <c r="C1733" s="153"/>
      <c r="D1733" s="153"/>
    </row>
    <row r="1734">
      <c r="A1734" s="153"/>
      <c r="B1734" s="153"/>
      <c r="C1734" s="153"/>
      <c r="D1734" s="153"/>
    </row>
    <row r="1735">
      <c r="A1735" s="153"/>
      <c r="B1735" s="153"/>
      <c r="C1735" s="153"/>
      <c r="D1735" s="153"/>
    </row>
    <row r="1736">
      <c r="A1736" s="153"/>
      <c r="B1736" s="153"/>
      <c r="C1736" s="153"/>
      <c r="D1736" s="153"/>
    </row>
    <row r="1737">
      <c r="A1737" s="153"/>
      <c r="B1737" s="153"/>
      <c r="C1737" s="153"/>
      <c r="D1737" s="153"/>
    </row>
    <row r="1738">
      <c r="A1738" s="153"/>
      <c r="B1738" s="153"/>
      <c r="C1738" s="153"/>
      <c r="D1738" s="153"/>
    </row>
    <row r="1739">
      <c r="A1739" s="153"/>
      <c r="B1739" s="153"/>
      <c r="C1739" s="153"/>
      <c r="D1739" s="153"/>
    </row>
    <row r="1740">
      <c r="A1740" s="153"/>
      <c r="B1740" s="153"/>
      <c r="C1740" s="153"/>
      <c r="D1740" s="153"/>
    </row>
    <row r="1741">
      <c r="A1741" s="153"/>
      <c r="B1741" s="153"/>
      <c r="C1741" s="153"/>
      <c r="D1741" s="153"/>
    </row>
    <row r="1742">
      <c r="A1742" s="153"/>
      <c r="B1742" s="153"/>
      <c r="C1742" s="153"/>
      <c r="D1742" s="153"/>
    </row>
    <row r="1743">
      <c r="A1743" s="153"/>
      <c r="B1743" s="153"/>
      <c r="C1743" s="153"/>
      <c r="D1743" s="153"/>
    </row>
    <row r="1744">
      <c r="A1744" s="153"/>
      <c r="B1744" s="153"/>
      <c r="C1744" s="153"/>
      <c r="D1744" s="153"/>
    </row>
    <row r="1745">
      <c r="A1745" s="153"/>
      <c r="B1745" s="153"/>
      <c r="C1745" s="153"/>
      <c r="D1745" s="153"/>
    </row>
    <row r="1746">
      <c r="A1746" s="153"/>
      <c r="B1746" s="153"/>
      <c r="C1746" s="153"/>
      <c r="D1746" s="153"/>
    </row>
    <row r="1747">
      <c r="A1747" s="153"/>
      <c r="B1747" s="153"/>
      <c r="C1747" s="153"/>
      <c r="D1747" s="153"/>
    </row>
    <row r="1748">
      <c r="A1748" s="153"/>
      <c r="B1748" s="153"/>
      <c r="C1748" s="153"/>
      <c r="D1748" s="153"/>
    </row>
    <row r="1749">
      <c r="A1749" s="153"/>
      <c r="B1749" s="153"/>
      <c r="C1749" s="153"/>
      <c r="D1749" s="153"/>
    </row>
    <row r="1750">
      <c r="A1750" s="153"/>
      <c r="B1750" s="153"/>
      <c r="C1750" s="153"/>
      <c r="D1750" s="153"/>
    </row>
    <row r="1751">
      <c r="A1751" s="153"/>
      <c r="B1751" s="153"/>
      <c r="C1751" s="153"/>
      <c r="D1751" s="153"/>
    </row>
    <row r="1752">
      <c r="A1752" s="153"/>
      <c r="B1752" s="153"/>
      <c r="C1752" s="153"/>
      <c r="D1752" s="153"/>
    </row>
    <row r="1753">
      <c r="A1753" s="153"/>
      <c r="B1753" s="153"/>
      <c r="C1753" s="153"/>
      <c r="D1753" s="153"/>
    </row>
    <row r="1754">
      <c r="A1754" s="153"/>
      <c r="B1754" s="153"/>
      <c r="C1754" s="153"/>
      <c r="D1754" s="153"/>
    </row>
    <row r="1755">
      <c r="A1755" s="153"/>
      <c r="B1755" s="153"/>
      <c r="C1755" s="153"/>
      <c r="D1755" s="153"/>
    </row>
    <row r="1756">
      <c r="A1756" s="153"/>
      <c r="B1756" s="153"/>
      <c r="C1756" s="153"/>
      <c r="D1756" s="153"/>
    </row>
    <row r="1757">
      <c r="A1757" s="153"/>
      <c r="B1757" s="153"/>
      <c r="C1757" s="153"/>
      <c r="D1757" s="153"/>
    </row>
    <row r="1758">
      <c r="A1758" s="153"/>
      <c r="B1758" s="153"/>
      <c r="C1758" s="153"/>
      <c r="D1758" s="153"/>
    </row>
    <row r="1759">
      <c r="A1759" s="153"/>
      <c r="B1759" s="153"/>
      <c r="C1759" s="153"/>
      <c r="D1759" s="153"/>
    </row>
    <row r="1760">
      <c r="A1760" s="153"/>
      <c r="B1760" s="153"/>
      <c r="C1760" s="153"/>
      <c r="D1760" s="153"/>
    </row>
    <row r="1761">
      <c r="A1761" s="153"/>
      <c r="B1761" s="153"/>
      <c r="C1761" s="153"/>
      <c r="D1761" s="153"/>
    </row>
    <row r="1762">
      <c r="A1762" s="153"/>
      <c r="B1762" s="153"/>
      <c r="C1762" s="153"/>
      <c r="D1762" s="153"/>
    </row>
    <row r="1763">
      <c r="A1763" s="153"/>
      <c r="B1763" s="153"/>
      <c r="C1763" s="153"/>
      <c r="D1763" s="153"/>
    </row>
    <row r="1764">
      <c r="A1764" s="153"/>
      <c r="B1764" s="153"/>
      <c r="C1764" s="153"/>
      <c r="D1764" s="153"/>
    </row>
    <row r="1765">
      <c r="A1765" s="153"/>
      <c r="B1765" s="153"/>
      <c r="C1765" s="153"/>
      <c r="D1765" s="153"/>
    </row>
    <row r="1766">
      <c r="A1766" s="153"/>
      <c r="B1766" s="153"/>
      <c r="C1766" s="153"/>
      <c r="D1766" s="153"/>
    </row>
    <row r="1767">
      <c r="A1767" s="153"/>
      <c r="B1767" s="153"/>
      <c r="C1767" s="153"/>
      <c r="D1767" s="153"/>
    </row>
    <row r="1768">
      <c r="A1768" s="153"/>
      <c r="B1768" s="153"/>
      <c r="C1768" s="153"/>
      <c r="D1768" s="153"/>
    </row>
    <row r="1769">
      <c r="A1769" s="153"/>
      <c r="B1769" s="153"/>
      <c r="C1769" s="153"/>
      <c r="D1769" s="153"/>
    </row>
    <row r="1770">
      <c r="A1770" s="153"/>
      <c r="B1770" s="153"/>
      <c r="C1770" s="153"/>
      <c r="D1770" s="153"/>
    </row>
    <row r="1771">
      <c r="A1771" s="153"/>
      <c r="B1771" s="153"/>
      <c r="C1771" s="153"/>
      <c r="D1771" s="153"/>
    </row>
    <row r="1772">
      <c r="A1772" s="153"/>
      <c r="B1772" s="153"/>
      <c r="C1772" s="153"/>
      <c r="D1772" s="153"/>
    </row>
    <row r="1773">
      <c r="A1773" s="153"/>
      <c r="B1773" s="153"/>
      <c r="C1773" s="153"/>
      <c r="D1773" s="153"/>
    </row>
    <row r="1774">
      <c r="A1774" s="153"/>
      <c r="B1774" s="153"/>
      <c r="C1774" s="153"/>
      <c r="D1774" s="153"/>
    </row>
    <row r="1775">
      <c r="A1775" s="153"/>
      <c r="B1775" s="153"/>
      <c r="C1775" s="153"/>
      <c r="D1775" s="153"/>
    </row>
    <row r="1776">
      <c r="A1776" s="153"/>
      <c r="B1776" s="153"/>
      <c r="C1776" s="153"/>
      <c r="D1776" s="153"/>
    </row>
    <row r="1777">
      <c r="A1777" s="153"/>
      <c r="B1777" s="153"/>
      <c r="C1777" s="153"/>
      <c r="D1777" s="153"/>
    </row>
    <row r="1778">
      <c r="A1778" s="153"/>
      <c r="B1778" s="153"/>
      <c r="C1778" s="153"/>
      <c r="D1778" s="153"/>
    </row>
    <row r="1779">
      <c r="A1779" s="153"/>
      <c r="B1779" s="153"/>
      <c r="C1779" s="153"/>
      <c r="D1779" s="153"/>
    </row>
    <row r="1780">
      <c r="A1780" s="153"/>
      <c r="B1780" s="153"/>
      <c r="C1780" s="153"/>
      <c r="D1780" s="153"/>
    </row>
    <row r="1781">
      <c r="A1781" s="153"/>
      <c r="B1781" s="153"/>
      <c r="C1781" s="153"/>
      <c r="D1781" s="153"/>
    </row>
    <row r="1782">
      <c r="A1782" s="153"/>
      <c r="B1782" s="153"/>
      <c r="C1782" s="153"/>
      <c r="D1782" s="153"/>
    </row>
    <row r="1783">
      <c r="A1783" s="153"/>
      <c r="B1783" s="153"/>
      <c r="C1783" s="153"/>
      <c r="D1783" s="153"/>
    </row>
    <row r="1784">
      <c r="A1784" s="153"/>
      <c r="B1784" s="153"/>
      <c r="C1784" s="153"/>
      <c r="D1784" s="153"/>
    </row>
    <row r="1785">
      <c r="A1785" s="153"/>
      <c r="B1785" s="153"/>
      <c r="C1785" s="153"/>
      <c r="D1785" s="153"/>
    </row>
    <row r="1786">
      <c r="A1786" s="153"/>
      <c r="B1786" s="153"/>
      <c r="C1786" s="153"/>
      <c r="D1786" s="153"/>
    </row>
    <row r="1787">
      <c r="A1787" s="153"/>
      <c r="B1787" s="153"/>
      <c r="C1787" s="153"/>
      <c r="D1787" s="153"/>
    </row>
    <row r="1788">
      <c r="A1788" s="153"/>
      <c r="B1788" s="153"/>
      <c r="C1788" s="153"/>
      <c r="D1788" s="153"/>
    </row>
    <row r="1789">
      <c r="A1789" s="153"/>
      <c r="B1789" s="153"/>
      <c r="C1789" s="153"/>
      <c r="D1789" s="153"/>
    </row>
    <row r="1790">
      <c r="A1790" s="153"/>
      <c r="B1790" s="153"/>
      <c r="C1790" s="153"/>
      <c r="D1790" s="153"/>
    </row>
    <row r="1791">
      <c r="A1791" s="153"/>
      <c r="B1791" s="153"/>
      <c r="C1791" s="153"/>
      <c r="D1791" s="153"/>
    </row>
    <row r="1792">
      <c r="A1792" s="153"/>
      <c r="B1792" s="153"/>
      <c r="C1792" s="153"/>
      <c r="D1792" s="153"/>
    </row>
    <row r="1793">
      <c r="A1793" s="153"/>
      <c r="B1793" s="153"/>
      <c r="C1793" s="153"/>
      <c r="D1793" s="153"/>
    </row>
    <row r="1794">
      <c r="A1794" s="153"/>
      <c r="B1794" s="153"/>
      <c r="C1794" s="153"/>
      <c r="D1794" s="153"/>
    </row>
    <row r="1795">
      <c r="A1795" s="153"/>
      <c r="B1795" s="153"/>
      <c r="C1795" s="153"/>
      <c r="D1795" s="153"/>
    </row>
    <row r="1796">
      <c r="A1796" s="153"/>
      <c r="B1796" s="153"/>
      <c r="C1796" s="153"/>
      <c r="D1796" s="153"/>
    </row>
    <row r="1797">
      <c r="A1797" s="153"/>
      <c r="B1797" s="153"/>
      <c r="C1797" s="153"/>
      <c r="D1797" s="153"/>
    </row>
    <row r="1798">
      <c r="A1798" s="153"/>
      <c r="B1798" s="153"/>
      <c r="C1798" s="153"/>
      <c r="D1798" s="153"/>
    </row>
    <row r="1799">
      <c r="A1799" s="153"/>
      <c r="B1799" s="153"/>
      <c r="C1799" s="153"/>
      <c r="D1799" s="153"/>
    </row>
    <row r="1800">
      <c r="A1800" s="153"/>
      <c r="B1800" s="153"/>
      <c r="C1800" s="153"/>
      <c r="D1800" s="153"/>
    </row>
    <row r="1801">
      <c r="A1801" s="153"/>
      <c r="B1801" s="153"/>
      <c r="C1801" s="153"/>
      <c r="D1801" s="153"/>
    </row>
    <row r="1802">
      <c r="A1802" s="153"/>
      <c r="B1802" s="153"/>
      <c r="C1802" s="153"/>
      <c r="D1802" s="153"/>
    </row>
    <row r="1803">
      <c r="A1803" s="153"/>
      <c r="B1803" s="153"/>
      <c r="C1803" s="153"/>
      <c r="D1803" s="153"/>
    </row>
    <row r="1804">
      <c r="A1804" s="153"/>
      <c r="B1804" s="153"/>
      <c r="C1804" s="153"/>
      <c r="D1804" s="153"/>
    </row>
    <row r="1805">
      <c r="A1805" s="153"/>
      <c r="B1805" s="153"/>
      <c r="C1805" s="153"/>
      <c r="D1805" s="153"/>
    </row>
    <row r="1806">
      <c r="A1806" s="153"/>
      <c r="B1806" s="153"/>
      <c r="C1806" s="153"/>
      <c r="D1806" s="153"/>
    </row>
    <row r="1807">
      <c r="A1807" s="153"/>
      <c r="B1807" s="153"/>
      <c r="C1807" s="153"/>
      <c r="D1807" s="153"/>
    </row>
    <row r="1808">
      <c r="A1808" s="153"/>
      <c r="B1808" s="153"/>
      <c r="C1808" s="153"/>
      <c r="D1808" s="153"/>
    </row>
    <row r="1809">
      <c r="A1809" s="153"/>
      <c r="B1809" s="153"/>
      <c r="C1809" s="153"/>
      <c r="D1809" s="153"/>
    </row>
    <row r="1810">
      <c r="A1810" s="153"/>
      <c r="B1810" s="153"/>
      <c r="C1810" s="153"/>
      <c r="D1810" s="153"/>
    </row>
    <row r="1811">
      <c r="A1811" s="153"/>
      <c r="B1811" s="153"/>
      <c r="C1811" s="153"/>
      <c r="D1811" s="153"/>
    </row>
    <row r="1812">
      <c r="A1812" s="153"/>
      <c r="B1812" s="153"/>
      <c r="C1812" s="153"/>
      <c r="D1812" s="153"/>
    </row>
    <row r="1813">
      <c r="A1813" s="153"/>
      <c r="B1813" s="153"/>
      <c r="C1813" s="153"/>
      <c r="D1813" s="153"/>
    </row>
    <row r="1814">
      <c r="A1814" s="153"/>
      <c r="B1814" s="153"/>
      <c r="C1814" s="153"/>
      <c r="D1814" s="153"/>
    </row>
    <row r="1815">
      <c r="A1815" s="153"/>
      <c r="B1815" s="153"/>
      <c r="C1815" s="153"/>
      <c r="D1815" s="153"/>
    </row>
    <row r="1816">
      <c r="A1816" s="153"/>
      <c r="B1816" s="153"/>
      <c r="C1816" s="153"/>
      <c r="D1816" s="153"/>
    </row>
    <row r="1817">
      <c r="A1817" s="153"/>
      <c r="B1817" s="153"/>
      <c r="C1817" s="153"/>
      <c r="D1817" s="153"/>
    </row>
    <row r="1818">
      <c r="A1818" s="153"/>
      <c r="B1818" s="153"/>
      <c r="C1818" s="153"/>
      <c r="D1818" s="153"/>
    </row>
    <row r="1819">
      <c r="A1819" s="153"/>
      <c r="B1819" s="153"/>
      <c r="C1819" s="153"/>
      <c r="D1819" s="153"/>
    </row>
    <row r="1820">
      <c r="A1820" s="153"/>
      <c r="B1820" s="153"/>
      <c r="C1820" s="153"/>
      <c r="D1820" s="153"/>
    </row>
    <row r="1821">
      <c r="A1821" s="153"/>
      <c r="B1821" s="153"/>
      <c r="C1821" s="153"/>
      <c r="D1821" s="153"/>
    </row>
    <row r="1822">
      <c r="A1822" s="153"/>
      <c r="B1822" s="153"/>
      <c r="C1822" s="153"/>
      <c r="D1822" s="153"/>
    </row>
    <row r="1823">
      <c r="A1823" s="153"/>
      <c r="B1823" s="153"/>
      <c r="C1823" s="153"/>
      <c r="D1823" s="153"/>
    </row>
    <row r="1824">
      <c r="A1824" s="153"/>
      <c r="B1824" s="153"/>
      <c r="C1824" s="153"/>
      <c r="D1824" s="153"/>
    </row>
    <row r="1825">
      <c r="A1825" s="153"/>
      <c r="B1825" s="153"/>
      <c r="C1825" s="153"/>
      <c r="D1825" s="153"/>
    </row>
    <row r="1826">
      <c r="A1826" s="153"/>
      <c r="B1826" s="153"/>
      <c r="C1826" s="153"/>
      <c r="D1826" s="153"/>
    </row>
    <row r="1827">
      <c r="A1827" s="153"/>
      <c r="B1827" s="153"/>
      <c r="C1827" s="153"/>
      <c r="D1827" s="153"/>
    </row>
    <row r="1828">
      <c r="A1828" s="153"/>
      <c r="B1828" s="153"/>
      <c r="C1828" s="153"/>
      <c r="D1828" s="153"/>
    </row>
    <row r="1829">
      <c r="A1829" s="153"/>
      <c r="B1829" s="153"/>
      <c r="C1829" s="153"/>
      <c r="D1829" s="153"/>
    </row>
    <row r="1830">
      <c r="A1830" s="153"/>
      <c r="B1830" s="153"/>
      <c r="C1830" s="153"/>
      <c r="D1830" s="153"/>
    </row>
    <row r="1831">
      <c r="A1831" s="153"/>
      <c r="B1831" s="153"/>
      <c r="C1831" s="153"/>
      <c r="D1831" s="153"/>
    </row>
    <row r="1832">
      <c r="A1832" s="153"/>
      <c r="B1832" s="153"/>
      <c r="C1832" s="153"/>
      <c r="D1832" s="153"/>
    </row>
    <row r="1833">
      <c r="A1833" s="153"/>
      <c r="B1833" s="153"/>
      <c r="C1833" s="153"/>
      <c r="D1833" s="153"/>
    </row>
    <row r="1834">
      <c r="A1834" s="153"/>
      <c r="B1834" s="153"/>
      <c r="C1834" s="153"/>
      <c r="D1834" s="153"/>
    </row>
    <row r="1835">
      <c r="A1835" s="153"/>
      <c r="B1835" s="153"/>
      <c r="C1835" s="153"/>
      <c r="D1835" s="153"/>
    </row>
    <row r="1836">
      <c r="A1836" s="153"/>
      <c r="B1836" s="153"/>
      <c r="C1836" s="153"/>
      <c r="D1836" s="153"/>
    </row>
    <row r="1837">
      <c r="A1837" s="153"/>
      <c r="B1837" s="153"/>
      <c r="C1837" s="153"/>
      <c r="D1837" s="153"/>
    </row>
    <row r="1838">
      <c r="A1838" s="153"/>
      <c r="B1838" s="153"/>
      <c r="C1838" s="153"/>
      <c r="D1838" s="153"/>
    </row>
    <row r="1839">
      <c r="A1839" s="153"/>
      <c r="B1839" s="153"/>
      <c r="C1839" s="153"/>
      <c r="D1839" s="153"/>
    </row>
    <row r="1840">
      <c r="A1840" s="153"/>
      <c r="B1840" s="153"/>
      <c r="C1840" s="153"/>
      <c r="D1840" s="153"/>
    </row>
    <row r="1841">
      <c r="A1841" s="153"/>
      <c r="B1841" s="153"/>
      <c r="C1841" s="153"/>
      <c r="D1841" s="153"/>
    </row>
    <row r="1842">
      <c r="A1842" s="153"/>
      <c r="B1842" s="153"/>
      <c r="C1842" s="153"/>
      <c r="D1842" s="153"/>
    </row>
    <row r="1843">
      <c r="A1843" s="153"/>
      <c r="B1843" s="153"/>
      <c r="C1843" s="153"/>
      <c r="D1843" s="153"/>
    </row>
    <row r="1844">
      <c r="A1844" s="153"/>
      <c r="B1844" s="153"/>
      <c r="C1844" s="153"/>
      <c r="D1844" s="153"/>
    </row>
    <row r="1845">
      <c r="A1845" s="153"/>
      <c r="B1845" s="153"/>
      <c r="C1845" s="153"/>
      <c r="D1845" s="153"/>
    </row>
    <row r="1846">
      <c r="A1846" s="153"/>
      <c r="B1846" s="153"/>
      <c r="C1846" s="153"/>
      <c r="D1846" s="153"/>
    </row>
    <row r="1847">
      <c r="A1847" s="153"/>
      <c r="B1847" s="153"/>
      <c r="C1847" s="153"/>
      <c r="D1847" s="153"/>
    </row>
    <row r="1848">
      <c r="A1848" s="153"/>
      <c r="B1848" s="153"/>
      <c r="C1848" s="153"/>
      <c r="D1848" s="153"/>
    </row>
    <row r="1849">
      <c r="A1849" s="153"/>
      <c r="B1849" s="153"/>
      <c r="C1849" s="153"/>
      <c r="D1849" s="153"/>
    </row>
    <row r="1850">
      <c r="A1850" s="153"/>
      <c r="B1850" s="153"/>
      <c r="C1850" s="153"/>
      <c r="D1850" s="153"/>
    </row>
    <row r="1851">
      <c r="A1851" s="153"/>
      <c r="B1851" s="153"/>
      <c r="C1851" s="153"/>
      <c r="D1851" s="153"/>
    </row>
    <row r="1852">
      <c r="A1852" s="153"/>
      <c r="B1852" s="153"/>
      <c r="C1852" s="153"/>
      <c r="D1852" s="153"/>
    </row>
    <row r="1853">
      <c r="A1853" s="153"/>
      <c r="B1853" s="153"/>
      <c r="C1853" s="153"/>
      <c r="D1853" s="153"/>
    </row>
    <row r="1854">
      <c r="A1854" s="153"/>
      <c r="B1854" s="153"/>
      <c r="C1854" s="153"/>
      <c r="D1854" s="153"/>
    </row>
    <row r="1855">
      <c r="A1855" s="153"/>
      <c r="B1855" s="153"/>
      <c r="C1855" s="153"/>
      <c r="D1855" s="153"/>
    </row>
    <row r="1856">
      <c r="A1856" s="153"/>
      <c r="B1856" s="153"/>
      <c r="C1856" s="153"/>
      <c r="D1856" s="153"/>
    </row>
    <row r="1857">
      <c r="A1857" s="153"/>
      <c r="B1857" s="153"/>
      <c r="C1857" s="153"/>
      <c r="D1857" s="153"/>
    </row>
    <row r="1858">
      <c r="A1858" s="153"/>
      <c r="B1858" s="153"/>
      <c r="C1858" s="153"/>
      <c r="D1858" s="153"/>
    </row>
    <row r="1859">
      <c r="A1859" s="153"/>
      <c r="B1859" s="153"/>
      <c r="C1859" s="153"/>
      <c r="D1859" s="153"/>
    </row>
    <row r="1860">
      <c r="A1860" s="153"/>
      <c r="B1860" s="153"/>
      <c r="C1860" s="153"/>
      <c r="D1860" s="153"/>
    </row>
    <row r="1861">
      <c r="A1861" s="153"/>
      <c r="B1861" s="153"/>
      <c r="C1861" s="153"/>
      <c r="D1861" s="153"/>
    </row>
    <row r="1862">
      <c r="A1862" s="153"/>
      <c r="B1862" s="153"/>
      <c r="C1862" s="153"/>
      <c r="D1862" s="153"/>
    </row>
    <row r="1863">
      <c r="A1863" s="153"/>
      <c r="B1863" s="153"/>
      <c r="C1863" s="153"/>
      <c r="D1863" s="153"/>
    </row>
    <row r="1864">
      <c r="A1864" s="153"/>
      <c r="B1864" s="153"/>
      <c r="C1864" s="153"/>
      <c r="D1864" s="153"/>
    </row>
    <row r="1865">
      <c r="A1865" s="153"/>
      <c r="B1865" s="153"/>
      <c r="C1865" s="153"/>
      <c r="D1865" s="153"/>
    </row>
    <row r="1866">
      <c r="A1866" s="153"/>
      <c r="B1866" s="153"/>
      <c r="C1866" s="153"/>
      <c r="D1866" s="153"/>
    </row>
    <row r="1867">
      <c r="A1867" s="153"/>
      <c r="B1867" s="153"/>
      <c r="C1867" s="153"/>
      <c r="D1867" s="153"/>
    </row>
    <row r="1868">
      <c r="A1868" s="153"/>
      <c r="B1868" s="153"/>
      <c r="C1868" s="153"/>
      <c r="D1868" s="153"/>
    </row>
    <row r="1869">
      <c r="A1869" s="153"/>
      <c r="B1869" s="153"/>
      <c r="C1869" s="153"/>
      <c r="D1869" s="153"/>
    </row>
    <row r="1870">
      <c r="A1870" s="153"/>
      <c r="B1870" s="153"/>
      <c r="C1870" s="153"/>
      <c r="D1870" s="153"/>
    </row>
    <row r="1871">
      <c r="A1871" s="153"/>
      <c r="B1871" s="153"/>
      <c r="C1871" s="153"/>
      <c r="D1871" s="153"/>
    </row>
    <row r="1872">
      <c r="A1872" s="153"/>
      <c r="B1872" s="153"/>
      <c r="C1872" s="153"/>
      <c r="D1872" s="153"/>
    </row>
    <row r="1873">
      <c r="A1873" s="153"/>
      <c r="B1873" s="153"/>
      <c r="C1873" s="153"/>
      <c r="D1873" s="153"/>
    </row>
    <row r="1874">
      <c r="A1874" s="153"/>
      <c r="B1874" s="153"/>
      <c r="C1874" s="153"/>
      <c r="D1874" s="153"/>
    </row>
    <row r="1875">
      <c r="A1875" s="153"/>
      <c r="B1875" s="153"/>
      <c r="C1875" s="153"/>
      <c r="D1875" s="153"/>
    </row>
    <row r="1876">
      <c r="A1876" s="153"/>
      <c r="B1876" s="153"/>
      <c r="C1876" s="153"/>
      <c r="D1876" s="153"/>
    </row>
    <row r="1877">
      <c r="A1877" s="153"/>
      <c r="B1877" s="153"/>
      <c r="C1877" s="153"/>
      <c r="D1877" s="153"/>
    </row>
    <row r="1878">
      <c r="A1878" s="153"/>
      <c r="B1878" s="153"/>
      <c r="C1878" s="153"/>
      <c r="D1878" s="153"/>
    </row>
    <row r="1879">
      <c r="A1879" s="153"/>
      <c r="B1879" s="153"/>
      <c r="C1879" s="153"/>
      <c r="D1879" s="153"/>
    </row>
    <row r="1880">
      <c r="A1880" s="153"/>
      <c r="B1880" s="153"/>
      <c r="C1880" s="153"/>
      <c r="D1880" s="153"/>
    </row>
    <row r="1881">
      <c r="A1881" s="153"/>
      <c r="B1881" s="153"/>
      <c r="C1881" s="153"/>
      <c r="D1881" s="153"/>
    </row>
    <row r="1882">
      <c r="A1882" s="153"/>
      <c r="B1882" s="153"/>
      <c r="C1882" s="153"/>
      <c r="D1882" s="153"/>
    </row>
    <row r="1883">
      <c r="A1883" s="153"/>
      <c r="B1883" s="153"/>
      <c r="C1883" s="153"/>
      <c r="D1883" s="153"/>
    </row>
    <row r="1884">
      <c r="A1884" s="153"/>
      <c r="B1884" s="153"/>
      <c r="C1884" s="153"/>
      <c r="D1884" s="153"/>
    </row>
    <row r="1885">
      <c r="A1885" s="153"/>
      <c r="B1885" s="153"/>
      <c r="C1885" s="153"/>
      <c r="D1885" s="153"/>
    </row>
    <row r="1886">
      <c r="A1886" s="153"/>
      <c r="B1886" s="153"/>
      <c r="C1886" s="153"/>
      <c r="D1886" s="153"/>
    </row>
    <row r="1887">
      <c r="A1887" s="153"/>
      <c r="B1887" s="153"/>
      <c r="C1887" s="153"/>
      <c r="D1887" s="153"/>
    </row>
    <row r="1888">
      <c r="A1888" s="153"/>
      <c r="B1888" s="153"/>
      <c r="C1888" s="153"/>
      <c r="D1888" s="153"/>
    </row>
    <row r="1889">
      <c r="A1889" s="153"/>
      <c r="B1889" s="153"/>
      <c r="C1889" s="153"/>
      <c r="D1889" s="153"/>
    </row>
    <row r="1890">
      <c r="A1890" s="153"/>
      <c r="B1890" s="153"/>
      <c r="C1890" s="153"/>
      <c r="D1890" s="153"/>
    </row>
    <row r="1891">
      <c r="A1891" s="153"/>
      <c r="B1891" s="153"/>
      <c r="C1891" s="153"/>
      <c r="D1891" s="153"/>
    </row>
    <row r="1892">
      <c r="A1892" s="153"/>
      <c r="B1892" s="153"/>
      <c r="C1892" s="153"/>
      <c r="D1892" s="153"/>
    </row>
    <row r="1893">
      <c r="A1893" s="153"/>
      <c r="B1893" s="153"/>
      <c r="C1893" s="153"/>
      <c r="D1893" s="153"/>
    </row>
    <row r="1894">
      <c r="A1894" s="153"/>
      <c r="B1894" s="153"/>
      <c r="C1894" s="153"/>
      <c r="D1894" s="153"/>
    </row>
    <row r="1895">
      <c r="A1895" s="153"/>
      <c r="B1895" s="153"/>
      <c r="C1895" s="153"/>
      <c r="D1895" s="153"/>
    </row>
    <row r="1896">
      <c r="A1896" s="153"/>
      <c r="B1896" s="153"/>
      <c r="C1896" s="153"/>
      <c r="D1896" s="153"/>
    </row>
    <row r="1897">
      <c r="A1897" s="153"/>
      <c r="B1897" s="153"/>
      <c r="C1897" s="153"/>
      <c r="D1897" s="153"/>
    </row>
    <row r="1898">
      <c r="A1898" s="153"/>
      <c r="B1898" s="153"/>
      <c r="C1898" s="153"/>
      <c r="D1898" s="153"/>
    </row>
    <row r="1899">
      <c r="A1899" s="153"/>
      <c r="B1899" s="153"/>
      <c r="C1899" s="153"/>
      <c r="D1899" s="153"/>
    </row>
    <row r="1900">
      <c r="A1900" s="153"/>
      <c r="B1900" s="153"/>
      <c r="C1900" s="153"/>
      <c r="D1900" s="153"/>
    </row>
    <row r="1901">
      <c r="A1901" s="153"/>
      <c r="B1901" s="153"/>
      <c r="C1901" s="153"/>
      <c r="D1901" s="153"/>
    </row>
    <row r="1902">
      <c r="A1902" s="153"/>
      <c r="B1902" s="153"/>
      <c r="C1902" s="153"/>
      <c r="D1902" s="153"/>
    </row>
    <row r="1903">
      <c r="A1903" s="153"/>
      <c r="B1903" s="153"/>
      <c r="C1903" s="153"/>
      <c r="D1903" s="153"/>
    </row>
    <row r="1904">
      <c r="A1904" s="153"/>
      <c r="B1904" s="153"/>
      <c r="C1904" s="153"/>
      <c r="D1904" s="153"/>
    </row>
    <row r="1905">
      <c r="A1905" s="153"/>
      <c r="B1905" s="153"/>
      <c r="C1905" s="153"/>
      <c r="D1905" s="153"/>
    </row>
    <row r="1906">
      <c r="A1906" s="153"/>
      <c r="B1906" s="153"/>
      <c r="C1906" s="153"/>
      <c r="D1906" s="153"/>
    </row>
    <row r="1907">
      <c r="A1907" s="153"/>
      <c r="B1907" s="153"/>
      <c r="C1907" s="153"/>
      <c r="D1907" s="153"/>
    </row>
    <row r="1908">
      <c r="A1908" s="153"/>
      <c r="B1908" s="153"/>
      <c r="C1908" s="153"/>
      <c r="D1908" s="153"/>
    </row>
    <row r="1909">
      <c r="A1909" s="153"/>
      <c r="B1909" s="153"/>
      <c r="C1909" s="153"/>
      <c r="D1909" s="153"/>
    </row>
    <row r="1910">
      <c r="A1910" s="153"/>
      <c r="B1910" s="153"/>
      <c r="C1910" s="153"/>
      <c r="D1910" s="153"/>
    </row>
    <row r="1911">
      <c r="A1911" s="153"/>
      <c r="B1911" s="153"/>
      <c r="C1911" s="153"/>
      <c r="D1911" s="153"/>
    </row>
    <row r="1912">
      <c r="A1912" s="153"/>
      <c r="B1912" s="153"/>
      <c r="C1912" s="153"/>
      <c r="D1912" s="153"/>
    </row>
    <row r="1913">
      <c r="A1913" s="153"/>
      <c r="B1913" s="153"/>
      <c r="C1913" s="153"/>
      <c r="D1913" s="153"/>
    </row>
    <row r="1914">
      <c r="A1914" s="153"/>
      <c r="B1914" s="153"/>
      <c r="C1914" s="153"/>
      <c r="D1914" s="153"/>
    </row>
    <row r="1915">
      <c r="A1915" s="153"/>
      <c r="B1915" s="153"/>
      <c r="C1915" s="153"/>
      <c r="D1915" s="153"/>
    </row>
    <row r="1916">
      <c r="A1916" s="153"/>
      <c r="B1916" s="153"/>
      <c r="C1916" s="153"/>
      <c r="D1916" s="153"/>
    </row>
    <row r="1917">
      <c r="A1917" s="153"/>
      <c r="B1917" s="153"/>
      <c r="C1917" s="153"/>
      <c r="D1917" s="153"/>
    </row>
    <row r="1918">
      <c r="A1918" s="153"/>
      <c r="B1918" s="153"/>
      <c r="C1918" s="153"/>
      <c r="D1918" s="153"/>
    </row>
    <row r="1919">
      <c r="A1919" s="153"/>
      <c r="B1919" s="153"/>
      <c r="C1919" s="153"/>
      <c r="D1919" s="153"/>
    </row>
    <row r="1920">
      <c r="A1920" s="153"/>
      <c r="B1920" s="153"/>
      <c r="C1920" s="153"/>
      <c r="D1920" s="153"/>
    </row>
    <row r="1921">
      <c r="A1921" s="153"/>
      <c r="B1921" s="153"/>
      <c r="C1921" s="153"/>
      <c r="D1921" s="153"/>
    </row>
    <row r="1922">
      <c r="A1922" s="153"/>
      <c r="B1922" s="153"/>
      <c r="C1922" s="153"/>
      <c r="D1922" s="153"/>
    </row>
    <row r="1923">
      <c r="A1923" s="153"/>
      <c r="B1923" s="153"/>
      <c r="C1923" s="153"/>
      <c r="D1923" s="153"/>
    </row>
    <row r="1924">
      <c r="A1924" s="153"/>
      <c r="B1924" s="153"/>
      <c r="C1924" s="153"/>
      <c r="D1924" s="153"/>
    </row>
    <row r="1925">
      <c r="A1925" s="153"/>
      <c r="B1925" s="153"/>
      <c r="C1925" s="153"/>
      <c r="D1925" s="153"/>
    </row>
    <row r="1926">
      <c r="A1926" s="153"/>
      <c r="B1926" s="153"/>
      <c r="C1926" s="153"/>
      <c r="D1926" s="153"/>
    </row>
    <row r="1927">
      <c r="A1927" s="153"/>
      <c r="B1927" s="153"/>
      <c r="C1927" s="153"/>
      <c r="D1927" s="153"/>
    </row>
    <row r="1928">
      <c r="A1928" s="153"/>
      <c r="B1928" s="153"/>
      <c r="C1928" s="153"/>
      <c r="D1928" s="153"/>
    </row>
    <row r="1929">
      <c r="A1929" s="153"/>
      <c r="B1929" s="153"/>
      <c r="C1929" s="153"/>
      <c r="D1929" s="153"/>
    </row>
    <row r="1930">
      <c r="A1930" s="153"/>
      <c r="B1930" s="153"/>
      <c r="C1930" s="153"/>
      <c r="D1930" s="153"/>
    </row>
    <row r="1931">
      <c r="A1931" s="153"/>
      <c r="B1931" s="153"/>
      <c r="C1931" s="153"/>
      <c r="D1931" s="153"/>
    </row>
    <row r="1932">
      <c r="A1932" s="153"/>
      <c r="B1932" s="153"/>
      <c r="C1932" s="153"/>
      <c r="D1932" s="153"/>
    </row>
    <row r="1933">
      <c r="A1933" s="153"/>
      <c r="B1933" s="153"/>
      <c r="C1933" s="153"/>
      <c r="D1933" s="153"/>
    </row>
    <row r="1934">
      <c r="A1934" s="153"/>
      <c r="B1934" s="153"/>
      <c r="C1934" s="153"/>
      <c r="D1934" s="153"/>
    </row>
    <row r="1935">
      <c r="A1935" s="153"/>
      <c r="B1935" s="153"/>
      <c r="C1935" s="153"/>
      <c r="D1935" s="153"/>
    </row>
    <row r="1936">
      <c r="A1936" s="153"/>
      <c r="B1936" s="153"/>
      <c r="C1936" s="153"/>
      <c r="D1936" s="153"/>
    </row>
    <row r="1937">
      <c r="A1937" s="153"/>
      <c r="B1937" s="153"/>
      <c r="C1937" s="153"/>
      <c r="D1937" s="153"/>
    </row>
    <row r="1938">
      <c r="A1938" s="153"/>
      <c r="B1938" s="153"/>
      <c r="C1938" s="153"/>
      <c r="D1938" s="153"/>
    </row>
    <row r="1939">
      <c r="A1939" s="153"/>
      <c r="B1939" s="153"/>
      <c r="C1939" s="153"/>
      <c r="D1939" s="153"/>
    </row>
    <row r="1940">
      <c r="A1940" s="153"/>
      <c r="B1940" s="153"/>
      <c r="C1940" s="153"/>
      <c r="D1940" s="153"/>
    </row>
    <row r="1941">
      <c r="A1941" s="153"/>
      <c r="B1941" s="153"/>
      <c r="C1941" s="153"/>
      <c r="D1941" s="153"/>
    </row>
    <row r="1942">
      <c r="A1942" s="153"/>
      <c r="B1942" s="153"/>
      <c r="C1942" s="153"/>
      <c r="D1942" s="153"/>
    </row>
    <row r="1943">
      <c r="A1943" s="153"/>
      <c r="B1943" s="153"/>
      <c r="C1943" s="153"/>
      <c r="D1943" s="153"/>
    </row>
    <row r="1944">
      <c r="A1944" s="153"/>
      <c r="B1944" s="153"/>
      <c r="C1944" s="153"/>
      <c r="D1944" s="153"/>
    </row>
    <row r="1945">
      <c r="A1945" s="153"/>
      <c r="B1945" s="153"/>
      <c r="C1945" s="153"/>
      <c r="D1945" s="153"/>
    </row>
    <row r="1946">
      <c r="A1946" s="153"/>
      <c r="B1946" s="153"/>
      <c r="C1946" s="153"/>
      <c r="D1946" s="153"/>
    </row>
    <row r="1947">
      <c r="A1947" s="153"/>
      <c r="B1947" s="153"/>
      <c r="C1947" s="153"/>
      <c r="D1947" s="153"/>
    </row>
    <row r="1948">
      <c r="A1948" s="153"/>
      <c r="B1948" s="153"/>
      <c r="C1948" s="153"/>
      <c r="D1948" s="153"/>
    </row>
    <row r="1949">
      <c r="A1949" s="153"/>
      <c r="B1949" s="153"/>
      <c r="C1949" s="153"/>
      <c r="D1949" s="153"/>
    </row>
    <row r="1950">
      <c r="A1950" s="153"/>
      <c r="B1950" s="153"/>
      <c r="C1950" s="153"/>
      <c r="D1950" s="153"/>
    </row>
    <row r="1951">
      <c r="A1951" s="153"/>
      <c r="B1951" s="153"/>
      <c r="C1951" s="153"/>
      <c r="D1951" s="153"/>
    </row>
    <row r="1952">
      <c r="A1952" s="153"/>
      <c r="B1952" s="153"/>
      <c r="C1952" s="153"/>
      <c r="D1952" s="153"/>
    </row>
    <row r="1953">
      <c r="A1953" s="153"/>
      <c r="B1953" s="153"/>
      <c r="C1953" s="153"/>
      <c r="D1953" s="153"/>
    </row>
    <row r="1954">
      <c r="A1954" s="153"/>
      <c r="B1954" s="153"/>
      <c r="C1954" s="153"/>
      <c r="D1954" s="153"/>
    </row>
    <row r="1955">
      <c r="A1955" s="153"/>
      <c r="B1955" s="153"/>
      <c r="C1955" s="153"/>
      <c r="D1955" s="153"/>
    </row>
    <row r="1956">
      <c r="A1956" s="153"/>
      <c r="B1956" s="153"/>
      <c r="C1956" s="153"/>
      <c r="D1956" s="153"/>
    </row>
    <row r="1957">
      <c r="A1957" s="153"/>
      <c r="B1957" s="153"/>
      <c r="C1957" s="153"/>
      <c r="D1957" s="153"/>
    </row>
    <row r="1958">
      <c r="A1958" s="153"/>
      <c r="B1958" s="153"/>
      <c r="C1958" s="153"/>
      <c r="D1958" s="153"/>
    </row>
    <row r="1959">
      <c r="A1959" s="153"/>
      <c r="B1959" s="153"/>
      <c r="C1959" s="153"/>
      <c r="D1959" s="153"/>
    </row>
    <row r="1960">
      <c r="A1960" s="153"/>
      <c r="B1960" s="153"/>
      <c r="C1960" s="153"/>
      <c r="D1960" s="153"/>
    </row>
    <row r="1961">
      <c r="A1961" s="153"/>
      <c r="B1961" s="153"/>
      <c r="C1961" s="153"/>
      <c r="D1961" s="153"/>
    </row>
    <row r="1962">
      <c r="A1962" s="153"/>
      <c r="B1962" s="153"/>
      <c r="C1962" s="153"/>
      <c r="D1962" s="153"/>
    </row>
    <row r="1963">
      <c r="A1963" s="153"/>
      <c r="B1963" s="153"/>
      <c r="C1963" s="153"/>
      <c r="D1963" s="153"/>
    </row>
    <row r="1964">
      <c r="A1964" s="153"/>
      <c r="B1964" s="153"/>
      <c r="C1964" s="153"/>
      <c r="D1964" s="153"/>
    </row>
    <row r="1965">
      <c r="A1965" s="153"/>
      <c r="B1965" s="153"/>
      <c r="C1965" s="153"/>
      <c r="D1965" s="153"/>
    </row>
    <row r="1966">
      <c r="A1966" s="153"/>
      <c r="B1966" s="153"/>
      <c r="C1966" s="153"/>
      <c r="D1966" s="153"/>
    </row>
    <row r="1967">
      <c r="A1967" s="153"/>
      <c r="B1967" s="153"/>
      <c r="C1967" s="153"/>
      <c r="D1967" s="153"/>
    </row>
    <row r="1968">
      <c r="A1968" s="153"/>
      <c r="B1968" s="153"/>
      <c r="C1968" s="153"/>
      <c r="D1968" s="153"/>
    </row>
    <row r="1969">
      <c r="A1969" s="153"/>
      <c r="B1969" s="153"/>
      <c r="C1969" s="153"/>
      <c r="D1969" s="153"/>
    </row>
    <row r="1970">
      <c r="A1970" s="153"/>
      <c r="B1970" s="153"/>
      <c r="C1970" s="153"/>
      <c r="D1970" s="153"/>
    </row>
    <row r="1971">
      <c r="A1971" s="153"/>
      <c r="B1971" s="153"/>
      <c r="C1971" s="153"/>
      <c r="D1971" s="153"/>
    </row>
    <row r="1972">
      <c r="A1972" s="153"/>
      <c r="B1972" s="153"/>
      <c r="C1972" s="153"/>
      <c r="D1972" s="153"/>
    </row>
    <row r="1973">
      <c r="A1973" s="153"/>
      <c r="B1973" s="153"/>
      <c r="C1973" s="153"/>
      <c r="D1973" s="153"/>
    </row>
    <row r="1974">
      <c r="A1974" s="153"/>
      <c r="B1974" s="153"/>
      <c r="C1974" s="153"/>
      <c r="D1974" s="153"/>
    </row>
    <row r="1975">
      <c r="A1975" s="153"/>
      <c r="B1975" s="153"/>
      <c r="C1975" s="153"/>
      <c r="D1975" s="153"/>
    </row>
    <row r="1976">
      <c r="A1976" s="153"/>
      <c r="B1976" s="153"/>
      <c r="C1976" s="153"/>
      <c r="D1976" s="153"/>
    </row>
    <row r="1977">
      <c r="A1977" s="153"/>
      <c r="B1977" s="153"/>
      <c r="C1977" s="153"/>
      <c r="D1977" s="153"/>
    </row>
    <row r="1978">
      <c r="A1978" s="153"/>
      <c r="B1978" s="153"/>
      <c r="C1978" s="153"/>
      <c r="D1978" s="153"/>
    </row>
    <row r="1979">
      <c r="A1979" s="153"/>
      <c r="B1979" s="153"/>
      <c r="C1979" s="153"/>
      <c r="D1979" s="153"/>
    </row>
    <row r="1980">
      <c r="A1980" s="153"/>
      <c r="B1980" s="153"/>
      <c r="C1980" s="153"/>
      <c r="D1980" s="153"/>
    </row>
    <row r="1981">
      <c r="A1981" s="153"/>
      <c r="B1981" s="153"/>
      <c r="C1981" s="153"/>
      <c r="D1981" s="153"/>
    </row>
    <row r="1982">
      <c r="A1982" s="153"/>
      <c r="B1982" s="153"/>
      <c r="C1982" s="153"/>
      <c r="D1982" s="153"/>
    </row>
    <row r="1983">
      <c r="A1983" s="153"/>
      <c r="B1983" s="153"/>
      <c r="C1983" s="153"/>
      <c r="D1983" s="153"/>
    </row>
    <row r="1984">
      <c r="A1984" s="153"/>
      <c r="B1984" s="153"/>
      <c r="C1984" s="153"/>
      <c r="D1984" s="153"/>
    </row>
    <row r="1985">
      <c r="A1985" s="153"/>
      <c r="B1985" s="153"/>
      <c r="C1985" s="153"/>
      <c r="D1985" s="153"/>
    </row>
    <row r="1986">
      <c r="A1986" s="153"/>
      <c r="B1986" s="153"/>
      <c r="C1986" s="153"/>
      <c r="D1986" s="153"/>
    </row>
    <row r="1987">
      <c r="A1987" s="153"/>
      <c r="B1987" s="153"/>
      <c r="C1987" s="153"/>
      <c r="D1987" s="153"/>
    </row>
    <row r="1988">
      <c r="A1988" s="153"/>
      <c r="B1988" s="153"/>
      <c r="C1988" s="153"/>
      <c r="D1988" s="153"/>
    </row>
    <row r="1989">
      <c r="A1989" s="153"/>
      <c r="B1989" s="153"/>
      <c r="C1989" s="153"/>
      <c r="D1989" s="153"/>
    </row>
    <row r="1990">
      <c r="A1990" s="153"/>
      <c r="B1990" s="153"/>
      <c r="C1990" s="153"/>
      <c r="D1990" s="153"/>
    </row>
    <row r="1991">
      <c r="A1991" s="153"/>
      <c r="B1991" s="153"/>
      <c r="C1991" s="153"/>
      <c r="D1991" s="153"/>
    </row>
    <row r="1992">
      <c r="A1992" s="153"/>
      <c r="B1992" s="153"/>
      <c r="C1992" s="153"/>
      <c r="D1992" s="153"/>
    </row>
    <row r="1993">
      <c r="A1993" s="153"/>
      <c r="B1993" s="153"/>
      <c r="C1993" s="153"/>
      <c r="D1993" s="153"/>
    </row>
    <row r="1994">
      <c r="A1994" s="153"/>
      <c r="B1994" s="153"/>
      <c r="C1994" s="153"/>
      <c r="D1994" s="153"/>
    </row>
    <row r="1995">
      <c r="A1995" s="153"/>
      <c r="B1995" s="153"/>
      <c r="C1995" s="153"/>
      <c r="D1995" s="153"/>
    </row>
    <row r="1996">
      <c r="A1996" s="153"/>
      <c r="B1996" s="153"/>
      <c r="C1996" s="153"/>
      <c r="D1996" s="153"/>
    </row>
    <row r="1997">
      <c r="A1997" s="153"/>
      <c r="B1997" s="153"/>
      <c r="C1997" s="153"/>
      <c r="D1997" s="153"/>
    </row>
    <row r="1998">
      <c r="A1998" s="153"/>
      <c r="B1998" s="153"/>
      <c r="C1998" s="153"/>
      <c r="D1998" s="153"/>
    </row>
    <row r="1999">
      <c r="A1999" s="153" t="str">
        <f>IFERROR(__xludf.DUMMYFUNCTION("""COMPUTED_VALUE"""),"ANDERSON ID")</f>
        <v>ANDERSON ID</v>
      </c>
      <c r="B1999" s="153" t="str">
        <f>IFERROR(__xludf.DUMMYFUNCTION("""COMPUTED_VALUE"""),"CATEGORY")</f>
        <v>CATEGORY</v>
      </c>
      <c r="C1999" s="153" t="str">
        <f>IFERROR(__xludf.DUMMYFUNCTION("""COMPUTED_VALUE"""),"RAW DATA RECEIVED")</f>
        <v>RAW DATA RECEIVED</v>
      </c>
      <c r="D1999" s="153" t="str">
        <f>IFERROR(__xludf.DUMMYFUNCTION("""COMPUTED_VALUE"""),"ANDERSON TAT")</f>
        <v>ANDERSON TAT</v>
      </c>
    </row>
    <row r="2000">
      <c r="A2000" s="153" t="str">
        <f>IFERROR(__xludf.DUMMYFUNCTION("""COMPUTED_VALUE"""),"PH50000001164")</f>
        <v>PH50000001164</v>
      </c>
      <c r="B2000" s="153" t="str">
        <f>IFERROR(__xludf.DUMMYFUNCTION("""COMPUTED_VALUE"""),"WES+WMGS")</f>
        <v>WES+WMGS</v>
      </c>
      <c r="C2000" s="154">
        <f>IFERROR(__xludf.DUMMYFUNCTION("""COMPUTED_VALUE"""),46090.0)</f>
        <v>46090</v>
      </c>
      <c r="D2000" s="154">
        <f>IFERROR(__xludf.DUMMYFUNCTION("""COMPUTED_VALUE"""),46111.0)</f>
        <v>46111</v>
      </c>
    </row>
    <row r="2001">
      <c r="A2001" s="153" t="str">
        <f>IFERROR(__xludf.DUMMYFUNCTION("""COMPUTED_VALUE"""),"IDG0000000012")</f>
        <v>IDG0000000012</v>
      </c>
      <c r="B2001" s="153" t="str">
        <f>IFERROR(__xludf.DUMMYFUNCTION("""COMPUTED_VALUE"""),"WES")</f>
        <v>WES</v>
      </c>
      <c r="C2001" s="154">
        <f>IFERROR(__xludf.DUMMYFUNCTION("""COMPUTED_VALUE"""),46090.0)</f>
        <v>46090</v>
      </c>
      <c r="D2001" s="154">
        <f>IFERROR(__xludf.DUMMYFUNCTION("""COMPUTED_VALUE"""),46109.0)</f>
        <v>46109</v>
      </c>
    </row>
    <row r="2002">
      <c r="A2002" s="153" t="str">
        <f>IFERROR(__xludf.DUMMYFUNCTION("""COMPUTED_VALUE"""),"IDG0000000013")</f>
        <v>IDG0000000013</v>
      </c>
      <c r="B2002" s="153" t="str">
        <f>IFERROR(__xludf.DUMMYFUNCTION("""COMPUTED_VALUE"""),"WES")</f>
        <v>WES</v>
      </c>
      <c r="C2002" s="154">
        <f>IFERROR(__xludf.DUMMYFUNCTION("""COMPUTED_VALUE"""),46090.0)</f>
        <v>46090</v>
      </c>
      <c r="D2002" s="154">
        <f>IFERROR(__xludf.DUMMYFUNCTION("""COMPUTED_VALUE"""),46109.0)</f>
        <v>46109</v>
      </c>
    </row>
    <row r="2003">
      <c r="A2003" s="153" t="str">
        <f>IFERROR(__xludf.DUMMYFUNCTION("""COMPUTED_VALUE"""),"ANG0000001181")</f>
        <v>ANG0000001181</v>
      </c>
      <c r="B2003" s="153" t="str">
        <f>IFERROR(__xludf.DUMMYFUNCTION("""COMPUTED_VALUE"""),"WES")</f>
        <v>WES</v>
      </c>
      <c r="C2003" s="154">
        <f>IFERROR(__xludf.DUMMYFUNCTION("""COMPUTED_VALUE"""),46090.0)</f>
        <v>46090</v>
      </c>
      <c r="D2003" s="154">
        <f>IFERROR(__xludf.DUMMYFUNCTION("""COMPUTED_VALUE"""),46110.0)</f>
        <v>46110</v>
      </c>
    </row>
    <row r="2004">
      <c r="A2004" s="153" t="str">
        <f>IFERROR(__xludf.DUMMYFUNCTION("""COMPUTED_VALUE"""),"CBC0000009141")</f>
        <v>CBC0000009141</v>
      </c>
      <c r="B2004" s="153" t="str">
        <f>IFERROR(__xludf.DUMMYFUNCTION("""COMPUTED_VALUE"""),"WES")</f>
        <v>WES</v>
      </c>
      <c r="C2004" s="154">
        <f>IFERROR(__xludf.DUMMYFUNCTION("""COMPUTED_VALUE"""),46090.0)</f>
        <v>46090</v>
      </c>
      <c r="D2004" s="154">
        <f>IFERROR(__xludf.DUMMYFUNCTION("""COMPUTED_VALUE"""),46110.0)</f>
        <v>46110</v>
      </c>
    </row>
    <row r="2005">
      <c r="A2005" s="153" t="str">
        <f>IFERROR(__xludf.DUMMYFUNCTION("""COMPUTED_VALUE"""),"AKP0000005446")</f>
        <v>AKP0000005446</v>
      </c>
      <c r="B2005" s="153" t="str">
        <f>IFERROR(__xludf.DUMMYFUNCTION("""COMPUTED_VALUE"""),"WES")</f>
        <v>WES</v>
      </c>
      <c r="C2005" s="154">
        <f>IFERROR(__xludf.DUMMYFUNCTION("""COMPUTED_VALUE"""),46090.0)</f>
        <v>46090</v>
      </c>
      <c r="D2005" s="154">
        <f>IFERROR(__xludf.DUMMYFUNCTION("""COMPUTED_VALUE"""),46110.0)</f>
        <v>46110</v>
      </c>
    </row>
    <row r="2006">
      <c r="A2006" s="153" t="str">
        <f>IFERROR(__xludf.DUMMYFUNCTION("""COMPUTED_VALUE"""),"PH60000000473")</f>
        <v>PH60000000473</v>
      </c>
      <c r="B2006" s="153" t="str">
        <f>IFERROR(__xludf.DUMMYFUNCTION("""COMPUTED_VALUE"""),"WES+WMGS")</f>
        <v>WES+WMGS</v>
      </c>
      <c r="C2006" s="154">
        <f>IFERROR(__xludf.DUMMYFUNCTION("""COMPUTED_VALUE"""),46090.0)</f>
        <v>46090</v>
      </c>
      <c r="D2006" s="154">
        <f>IFERROR(__xludf.DUMMYFUNCTION("""COMPUTED_VALUE"""),46110.0)</f>
        <v>46110</v>
      </c>
    </row>
    <row r="2007">
      <c r="A2007" s="153" t="str">
        <f>IFERROR(__xludf.DUMMYFUNCTION("""COMPUTED_VALUE"""),"PH60000000471")</f>
        <v>PH60000000471</v>
      </c>
      <c r="B2007" s="153" t="str">
        <f>IFERROR(__xludf.DUMMYFUNCTION("""COMPUTED_VALUE"""),"WES+WMGS")</f>
        <v>WES+WMGS</v>
      </c>
      <c r="C2007" s="154">
        <f>IFERROR(__xludf.DUMMYFUNCTION("""COMPUTED_VALUE"""),46090.0)</f>
        <v>46090</v>
      </c>
      <c r="D2007" s="154">
        <f>IFERROR(__xludf.DUMMYFUNCTION("""COMPUTED_VALUE"""),46110.0)</f>
        <v>46110</v>
      </c>
    </row>
    <row r="2008">
      <c r="A2008" s="153" t="str">
        <f>IFERROR(__xludf.DUMMYFUNCTION("""COMPUTED_VALUE"""),"AKP0000005564")</f>
        <v>AKP0000005564</v>
      </c>
      <c r="B2008" s="153" t="str">
        <f>IFERROR(__xludf.DUMMYFUNCTION("""COMPUTED_VALUE"""),"WES")</f>
        <v>WES</v>
      </c>
      <c r="C2008" s="154">
        <f>IFERROR(__xludf.DUMMYFUNCTION("""COMPUTED_VALUE"""),46090.0)</f>
        <v>46090</v>
      </c>
      <c r="D2008" s="154">
        <f>IFERROR(__xludf.DUMMYFUNCTION("""COMPUTED_VALUE"""),46110.0)</f>
        <v>46110</v>
      </c>
    </row>
    <row r="2009">
      <c r="A2009" s="153" t="str">
        <f>IFERROR(__xludf.DUMMYFUNCTION("""COMPUTED_VALUE"""),"AMB0000006456")</f>
        <v>AMB0000006456</v>
      </c>
      <c r="B2009" s="153" t="str">
        <f>IFERROR(__xludf.DUMMYFUNCTION("""COMPUTED_VALUE"""),"WES")</f>
        <v>WES</v>
      </c>
      <c r="C2009" s="154">
        <f>IFERROR(__xludf.DUMMYFUNCTION("""COMPUTED_VALUE"""),46090.0)</f>
        <v>46090</v>
      </c>
      <c r="D2009" s="154">
        <f>IFERROR(__xludf.DUMMYFUNCTION("""COMPUTED_VALUE"""),46110.0)</f>
        <v>46110</v>
      </c>
    </row>
    <row r="2010">
      <c r="A2010" s="153" t="str">
        <f>IFERROR(__xludf.DUMMYFUNCTION("""COMPUTED_VALUE"""),"AMB0000006463")</f>
        <v>AMB0000006463</v>
      </c>
      <c r="B2010" s="153" t="str">
        <f>IFERROR(__xludf.DUMMYFUNCTION("""COMPUTED_VALUE"""),"FAMILIAL HYPERCHOLESTREMIA GENE PANEL")</f>
        <v>FAMILIAL HYPERCHOLESTREMIA GENE PANEL</v>
      </c>
      <c r="C2010" s="154">
        <f>IFERROR(__xludf.DUMMYFUNCTION("""COMPUTED_VALUE"""),46090.0)</f>
        <v>46090</v>
      </c>
      <c r="D2010" s="154">
        <f>IFERROR(__xludf.DUMMYFUNCTION("""COMPUTED_VALUE"""),46110.0)</f>
        <v>46110</v>
      </c>
    </row>
    <row r="2011">
      <c r="A2011" s="153" t="str">
        <f>IFERROR(__xludf.DUMMYFUNCTION("""COMPUTED_VALUE"""),"ADK0000000176")</f>
        <v>ADK0000000176</v>
      </c>
      <c r="B2011" s="153"/>
      <c r="C2011" s="154">
        <f>IFERROR(__xludf.DUMMYFUNCTION("""COMPUTED_VALUE"""),46090.0)</f>
        <v>46090</v>
      </c>
      <c r="D2011" s="154">
        <f>IFERROR(__xludf.DUMMYFUNCTION("""COMPUTED_VALUE"""),46105.0)</f>
        <v>46105</v>
      </c>
    </row>
    <row r="2012">
      <c r="A2012" s="153" t="str">
        <f>IFERROR(__xludf.DUMMYFUNCTION("""COMPUTED_VALUE"""),"ADK0000000180")</f>
        <v>ADK0000000180</v>
      </c>
      <c r="B2012" s="153"/>
      <c r="C2012" s="154">
        <f>IFERROR(__xludf.DUMMYFUNCTION("""COMPUTED_VALUE"""),46090.0)</f>
        <v>46090</v>
      </c>
      <c r="D2012" s="154">
        <f>IFERROR(__xludf.DUMMYFUNCTION("""COMPUTED_VALUE"""),46105.0)</f>
        <v>46105</v>
      </c>
    </row>
    <row r="2013">
      <c r="A2013" s="153" t="str">
        <f>IFERROR(__xludf.DUMMYFUNCTION("""COMPUTED_VALUE"""),"ADK0000000179")</f>
        <v>ADK0000000179</v>
      </c>
      <c r="B2013" s="153"/>
      <c r="C2013" s="154">
        <f>IFERROR(__xludf.DUMMYFUNCTION("""COMPUTED_VALUE"""),46090.0)</f>
        <v>46090</v>
      </c>
      <c r="D2013" s="154">
        <f>IFERROR(__xludf.DUMMYFUNCTION("""COMPUTED_VALUE"""),46105.0)</f>
        <v>46105</v>
      </c>
    </row>
    <row r="2014">
      <c r="A2014" s="153" t="str">
        <f>IFERROR(__xludf.DUMMYFUNCTION("""COMPUTED_VALUE"""),"ADK0000000177")</f>
        <v>ADK0000000177</v>
      </c>
      <c r="B2014" s="153"/>
      <c r="C2014" s="154">
        <f>IFERROR(__xludf.DUMMYFUNCTION("""COMPUTED_VALUE"""),46090.0)</f>
        <v>46090</v>
      </c>
      <c r="D2014" s="154">
        <f>IFERROR(__xludf.DUMMYFUNCTION("""COMPUTED_VALUE"""),46105.0)</f>
        <v>46105</v>
      </c>
    </row>
    <row r="2015">
      <c r="A2015" s="153" t="str">
        <f>IFERROR(__xludf.DUMMYFUNCTION("""COMPUTED_VALUE"""),"ADK0000000178")</f>
        <v>ADK0000000178</v>
      </c>
      <c r="B2015" s="153"/>
      <c r="C2015" s="154">
        <f>IFERROR(__xludf.DUMMYFUNCTION("""COMPUTED_VALUE"""),46090.0)</f>
        <v>46090</v>
      </c>
      <c r="D2015" s="154">
        <f>IFERROR(__xludf.DUMMYFUNCTION("""COMPUTED_VALUE"""),46105.0)</f>
        <v>46105</v>
      </c>
    </row>
    <row r="2016">
      <c r="A2016" s="153" t="str">
        <f>IFERROR(__xludf.DUMMYFUNCTION("""COMPUTED_VALUE"""),"ADH0000014878")</f>
        <v>ADH0000014878</v>
      </c>
      <c r="B2016" s="153"/>
      <c r="C2016" s="154">
        <f>IFERROR(__xludf.DUMMYFUNCTION("""COMPUTED_VALUE"""),46090.0)</f>
        <v>46090</v>
      </c>
      <c r="D2016" s="154">
        <f>IFERROR(__xludf.DUMMYFUNCTION("""COMPUTED_VALUE"""),46104.0)</f>
        <v>46104</v>
      </c>
    </row>
    <row r="2017">
      <c r="A2017" s="153"/>
      <c r="B2017" s="153"/>
      <c r="C2017" s="154">
        <f>IFERROR(__xludf.DUMMYFUNCTION("""COMPUTED_VALUE"""),46090.0)</f>
        <v>46090</v>
      </c>
      <c r="D2017" s="154">
        <f>IFERROR(__xludf.DUMMYFUNCTION("""COMPUTED_VALUE"""),46105.0)</f>
        <v>46105</v>
      </c>
    </row>
    <row r="2018">
      <c r="A2018" s="153"/>
      <c r="B2018" s="153"/>
      <c r="C2018" s="154">
        <f>IFERROR(__xludf.DUMMYFUNCTION("""COMPUTED_VALUE"""),46090.0)</f>
        <v>46090</v>
      </c>
      <c r="D2018" s="154">
        <f>IFERROR(__xludf.DUMMYFUNCTION("""COMPUTED_VALUE"""),46105.0)</f>
        <v>46105</v>
      </c>
    </row>
    <row r="2019">
      <c r="A2019" s="153"/>
      <c r="B2019" s="153"/>
      <c r="C2019" s="154">
        <f>IFERROR(__xludf.DUMMYFUNCTION("""COMPUTED_VALUE"""),46090.0)</f>
        <v>46090</v>
      </c>
      <c r="D2019" s="154">
        <f>IFERROR(__xludf.DUMMYFUNCTION("""COMPUTED_VALUE"""),46105.0)</f>
        <v>46105</v>
      </c>
    </row>
    <row r="2020">
      <c r="A2020" s="153"/>
      <c r="B2020" s="153"/>
      <c r="C2020" s="154">
        <f>IFERROR(__xludf.DUMMYFUNCTION("""COMPUTED_VALUE"""),46090.0)</f>
        <v>46090</v>
      </c>
      <c r="D2020" s="154">
        <f>IFERROR(__xludf.DUMMYFUNCTION("""COMPUTED_VALUE"""),46105.0)</f>
        <v>46105</v>
      </c>
    </row>
    <row r="2021">
      <c r="A2021" s="153"/>
      <c r="B2021" s="153"/>
      <c r="C2021" s="154">
        <f>IFERROR(__xludf.DUMMYFUNCTION("""COMPUTED_VALUE"""),46090.0)</f>
        <v>46090</v>
      </c>
      <c r="D2021" s="154">
        <f>IFERROR(__xludf.DUMMYFUNCTION("""COMPUTED_VALUE"""),46105.0)</f>
        <v>46105</v>
      </c>
    </row>
    <row r="2022">
      <c r="A2022" s="153"/>
      <c r="B2022" s="153"/>
      <c r="C2022" s="154">
        <f>IFERROR(__xludf.DUMMYFUNCTION("""COMPUTED_VALUE"""),46090.0)</f>
        <v>46090</v>
      </c>
      <c r="D2022" s="154">
        <f>IFERROR(__xludf.DUMMYFUNCTION("""COMPUTED_VALUE"""),46105.0)</f>
        <v>46105</v>
      </c>
    </row>
    <row r="2023">
      <c r="A2023" s="153"/>
      <c r="B2023" s="153"/>
      <c r="C2023" s="154">
        <f>IFERROR(__xludf.DUMMYFUNCTION("""COMPUTED_VALUE"""),46090.0)</f>
        <v>46090</v>
      </c>
      <c r="D2023" s="154">
        <f>IFERROR(__xludf.DUMMYFUNCTION("""COMPUTED_VALUE"""),46105.0)</f>
        <v>46105</v>
      </c>
    </row>
    <row r="2024">
      <c r="A2024" s="153"/>
      <c r="B2024" s="153"/>
      <c r="C2024" s="154">
        <f>IFERROR(__xludf.DUMMYFUNCTION("""COMPUTED_VALUE"""),46090.0)</f>
        <v>46090</v>
      </c>
      <c r="D2024" s="154">
        <f>IFERROR(__xludf.DUMMYFUNCTION("""COMPUTED_VALUE"""),46105.0)</f>
        <v>46105</v>
      </c>
    </row>
    <row r="2025">
      <c r="A2025" s="153" t="str">
        <f>IFERROR(__xludf.DUMMYFUNCTION("""COMPUTED_VALUE"""),"ADK0000000174")</f>
        <v>ADK0000000174</v>
      </c>
      <c r="B2025" s="153" t="str">
        <f>IFERROR(__xludf.DUMMYFUNCTION("""COMPUTED_VALUE"""),"WES+WMGS")</f>
        <v>WES+WMGS</v>
      </c>
      <c r="C2025" s="154">
        <f>IFERROR(__xludf.DUMMYFUNCTION("""COMPUTED_VALUE"""),46094.0)</f>
        <v>46094</v>
      </c>
      <c r="D2025" s="154">
        <f>IFERROR(__xludf.DUMMYFUNCTION("""COMPUTED_VALUE"""),46111.0)</f>
        <v>46111</v>
      </c>
    </row>
    <row r="2026">
      <c r="A2026" s="153" t="str">
        <f>IFERROR(__xludf.DUMMYFUNCTION("""COMPUTED_VALUE"""),"ADK0000000175")</f>
        <v>ADK0000000175</v>
      </c>
      <c r="B2026" s="153" t="str">
        <f>IFERROR(__xludf.DUMMYFUNCTION("""COMPUTED_VALUE"""),"WES+WMGS")</f>
        <v>WES+WMGS</v>
      </c>
      <c r="C2026" s="154">
        <f>IFERROR(__xludf.DUMMYFUNCTION("""COMPUTED_VALUE"""),46094.0)</f>
        <v>46094</v>
      </c>
      <c r="D2026" s="154">
        <f>IFERROR(__xludf.DUMMYFUNCTION("""COMPUTED_VALUE"""),46111.0)</f>
        <v>46111</v>
      </c>
    </row>
    <row r="2027">
      <c r="A2027" s="153" t="str">
        <f>IFERROR(__xludf.DUMMYFUNCTION("""COMPUTED_VALUE"""),"PH50000001789")</f>
        <v>PH50000001789</v>
      </c>
      <c r="B2027" s="153" t="str">
        <f>IFERROR(__xludf.DUMMYFUNCTION("""COMPUTED_VALUE"""),"WES+WMGS")</f>
        <v>WES+WMGS</v>
      </c>
      <c r="C2027" s="154">
        <f>IFERROR(__xludf.DUMMYFUNCTION("""COMPUTED_VALUE"""),46094.0)</f>
        <v>46094</v>
      </c>
      <c r="D2027" s="154">
        <f>IFERROR(__xludf.DUMMYFUNCTION("""COMPUTED_VALUE"""),46113.0)</f>
        <v>46113</v>
      </c>
    </row>
    <row r="2028">
      <c r="A2028" s="153" t="str">
        <f>IFERROR(__xludf.DUMMYFUNCTION("""COMPUTED_VALUE"""),"ADH0000015707")</f>
        <v>ADH0000015707</v>
      </c>
      <c r="B2028" s="153" t="str">
        <f>IFERROR(__xludf.DUMMYFUNCTION("""COMPUTED_VALUE"""),"WES")</f>
        <v>WES</v>
      </c>
      <c r="C2028" s="154">
        <f>IFERROR(__xludf.DUMMYFUNCTION("""COMPUTED_VALUE"""),46094.0)</f>
        <v>46094</v>
      </c>
      <c r="D2028" s="154">
        <f>IFERROR(__xludf.DUMMYFUNCTION("""COMPUTED_VALUE"""),46113.0)</f>
        <v>46113</v>
      </c>
    </row>
    <row r="2029">
      <c r="A2029" s="153" t="str">
        <f>IFERROR(__xludf.DUMMYFUNCTION("""COMPUTED_VALUE"""),"ADH0000015708")</f>
        <v>ADH0000015708</v>
      </c>
      <c r="B2029" s="153" t="str">
        <f>IFERROR(__xludf.DUMMYFUNCTION("""COMPUTED_VALUE"""),"WES")</f>
        <v>WES</v>
      </c>
      <c r="C2029" s="154">
        <f>IFERROR(__xludf.DUMMYFUNCTION("""COMPUTED_VALUE"""),46094.0)</f>
        <v>46094</v>
      </c>
      <c r="D2029" s="154">
        <f>IFERROR(__xludf.DUMMYFUNCTION("""COMPUTED_VALUE"""),46112.0)</f>
        <v>46112</v>
      </c>
    </row>
    <row r="2030">
      <c r="A2030" s="153" t="str">
        <f>IFERROR(__xludf.DUMMYFUNCTION("""COMPUTED_VALUE"""),"HYP0000000250")</f>
        <v>HYP0000000250</v>
      </c>
      <c r="B2030" s="153" t="str">
        <f>IFERROR(__xludf.DUMMYFUNCTION("""COMPUTED_VALUE"""),"COMPREHENSIVE CARRIER SCREENING")</f>
        <v>COMPREHENSIVE CARRIER SCREENING</v>
      </c>
      <c r="C2030" s="154">
        <f>IFERROR(__xludf.DUMMYFUNCTION("""COMPUTED_VALUE"""),46094.0)</f>
        <v>46094</v>
      </c>
      <c r="D2030" s="154">
        <f>IFERROR(__xludf.DUMMYFUNCTION("""COMPUTED_VALUE"""),46112.0)</f>
        <v>46112</v>
      </c>
    </row>
    <row r="2031">
      <c r="A2031" s="153" t="str">
        <f>IFERROR(__xludf.DUMMYFUNCTION("""COMPUTED_VALUE"""),"HYP0000000251")</f>
        <v>HYP0000000251</v>
      </c>
      <c r="B2031" s="153" t="str">
        <f>IFERROR(__xludf.DUMMYFUNCTION("""COMPUTED_VALUE"""),"COMPREHENSIVE CARRIER SCREENING")</f>
        <v>COMPREHENSIVE CARRIER SCREENING</v>
      </c>
      <c r="C2031" s="154">
        <f>IFERROR(__xludf.DUMMYFUNCTION("""COMPUTED_VALUE"""),46094.0)</f>
        <v>46094</v>
      </c>
      <c r="D2031" s="154">
        <f>IFERROR(__xludf.DUMMYFUNCTION("""COMPUTED_VALUE"""),46112.0)</f>
        <v>46112</v>
      </c>
    </row>
    <row r="2032">
      <c r="A2032" s="153" t="str">
        <f>IFERROR(__xludf.DUMMYFUNCTION("""COMPUTED_VALUE"""),"ADK0000000189")</f>
        <v>ADK0000000189</v>
      </c>
      <c r="B2032" s="153" t="str">
        <f>IFERROR(__xludf.DUMMYFUNCTION("""COMPUTED_VALUE"""),"WES+WMGS")</f>
        <v>WES+WMGS</v>
      </c>
      <c r="C2032" s="154">
        <f>IFERROR(__xludf.DUMMYFUNCTION("""COMPUTED_VALUE"""),46094.0)</f>
        <v>46094</v>
      </c>
      <c r="D2032" s="154">
        <f>IFERROR(__xludf.DUMMYFUNCTION("""COMPUTED_VALUE"""),46112.0)</f>
        <v>46112</v>
      </c>
    </row>
    <row r="2033">
      <c r="A2033" s="153" t="str">
        <f>IFERROR(__xludf.DUMMYFUNCTION("""COMPUTED_VALUE"""),"ADK0000000190")</f>
        <v>ADK0000000190</v>
      </c>
      <c r="B2033" s="153" t="str">
        <f>IFERROR(__xludf.DUMMYFUNCTION("""COMPUTED_VALUE"""),"WES+WMGS")</f>
        <v>WES+WMGS</v>
      </c>
      <c r="C2033" s="154">
        <f>IFERROR(__xludf.DUMMYFUNCTION("""COMPUTED_VALUE"""),46094.0)</f>
        <v>46094</v>
      </c>
      <c r="D2033" s="154">
        <f>IFERROR(__xludf.DUMMYFUNCTION("""COMPUTED_VALUE"""),46112.0)</f>
        <v>46112</v>
      </c>
    </row>
    <row r="2034">
      <c r="A2034" s="153" t="str">
        <f>IFERROR(__xludf.DUMMYFUNCTION("""COMPUTED_VALUE"""),"ADK0000000191")</f>
        <v>ADK0000000191</v>
      </c>
      <c r="B2034" s="153" t="str">
        <f>IFERROR(__xludf.DUMMYFUNCTION("""COMPUTED_VALUE"""),"WES+WMGS")</f>
        <v>WES+WMGS</v>
      </c>
      <c r="C2034" s="154">
        <f>IFERROR(__xludf.DUMMYFUNCTION("""COMPUTED_VALUE"""),46094.0)</f>
        <v>46094</v>
      </c>
      <c r="D2034" s="154">
        <f>IFERROR(__xludf.DUMMYFUNCTION("""COMPUTED_VALUE"""),46112.0)</f>
        <v>46112</v>
      </c>
    </row>
    <row r="2035">
      <c r="A2035" s="153" t="str">
        <f>IFERROR(__xludf.DUMMYFUNCTION("""COMPUTED_VALUE"""),"ADK0000000192")</f>
        <v>ADK0000000192</v>
      </c>
      <c r="B2035" s="153" t="str">
        <f>IFERROR(__xludf.DUMMYFUNCTION("""COMPUTED_VALUE"""),"WES+WMGS")</f>
        <v>WES+WMGS</v>
      </c>
      <c r="C2035" s="154">
        <f>IFERROR(__xludf.DUMMYFUNCTION("""COMPUTED_VALUE"""),46094.0)</f>
        <v>46094</v>
      </c>
      <c r="D2035" s="154">
        <f>IFERROR(__xludf.DUMMYFUNCTION("""COMPUTED_VALUE"""),46112.0)</f>
        <v>46112</v>
      </c>
    </row>
    <row r="2036">
      <c r="A2036" s="153" t="str">
        <f>IFERROR(__xludf.DUMMYFUNCTION("""COMPUTED_VALUE"""),"ABC0000000209")</f>
        <v>ABC0000000209</v>
      </c>
      <c r="B2036" s="153" t="str">
        <f>IFERROR(__xludf.DUMMYFUNCTION("""COMPUTED_VALUE"""),"CES")</f>
        <v>CES</v>
      </c>
      <c r="C2036" s="154">
        <f>IFERROR(__xludf.DUMMYFUNCTION("""COMPUTED_VALUE"""),46094.0)</f>
        <v>46094</v>
      </c>
      <c r="D2036" s="154">
        <f>IFERROR(__xludf.DUMMYFUNCTION("""COMPUTED_VALUE"""),46112.0)</f>
        <v>46112</v>
      </c>
    </row>
    <row r="2037">
      <c r="A2037" s="153" t="str">
        <f>IFERROR(__xludf.DUMMYFUNCTION("""COMPUTED_VALUE"""),"ADK0000000220")</f>
        <v>ADK0000000220</v>
      </c>
      <c r="B2037" s="153" t="str">
        <f>IFERROR(__xludf.DUMMYFUNCTION("""COMPUTED_VALUE"""),"WES")</f>
        <v>WES</v>
      </c>
      <c r="C2037" s="154">
        <f>IFERROR(__xludf.DUMMYFUNCTION("""COMPUTED_VALUE"""),46094.0)</f>
        <v>46094</v>
      </c>
      <c r="D2037" s="154">
        <f>IFERROR(__xludf.DUMMYFUNCTION("""COMPUTED_VALUE"""),46107.0)</f>
        <v>46107</v>
      </c>
    </row>
    <row r="2038">
      <c r="A2038" s="153" t="str">
        <f>IFERROR(__xludf.DUMMYFUNCTION("""COMPUTED_VALUE"""),"ADK0000000221")</f>
        <v>ADK0000000221</v>
      </c>
      <c r="B2038" s="153" t="str">
        <f>IFERROR(__xludf.DUMMYFUNCTION("""COMPUTED_VALUE"""),"WES")</f>
        <v>WES</v>
      </c>
      <c r="C2038" s="154">
        <f>IFERROR(__xludf.DUMMYFUNCTION("""COMPUTED_VALUE"""),46094.0)</f>
        <v>46094</v>
      </c>
      <c r="D2038" s="154">
        <f>IFERROR(__xludf.DUMMYFUNCTION("""COMPUTED_VALUE"""),46107.0)</f>
        <v>46107</v>
      </c>
    </row>
    <row r="2039">
      <c r="A2039" s="153" t="str">
        <f>IFERROR(__xludf.DUMMYFUNCTION("""COMPUTED_VALUE"""),"ADK0000000219")</f>
        <v>ADK0000000219</v>
      </c>
      <c r="B2039" s="153" t="str">
        <f>IFERROR(__xludf.DUMMYFUNCTION("""COMPUTED_VALUE"""),"WES+WMGS")</f>
        <v>WES+WMGS</v>
      </c>
      <c r="C2039" s="154">
        <f>IFERROR(__xludf.DUMMYFUNCTION("""COMPUTED_VALUE"""),46094.0)</f>
        <v>46094</v>
      </c>
      <c r="D2039" s="154">
        <f>IFERROR(__xludf.DUMMYFUNCTION("""COMPUTED_VALUE"""),46107.0)</f>
        <v>46107</v>
      </c>
    </row>
    <row r="2040">
      <c r="A2040" s="153" t="str">
        <f>IFERROR(__xludf.DUMMYFUNCTION("""COMPUTED_VALUE"""),"ADK0000000225")</f>
        <v>ADK0000000225</v>
      </c>
      <c r="B2040" s="153" t="str">
        <f>IFERROR(__xludf.DUMMYFUNCTION("""COMPUTED_VALUE"""),"WES")</f>
        <v>WES</v>
      </c>
      <c r="C2040" s="154">
        <f>IFERROR(__xludf.DUMMYFUNCTION("""COMPUTED_VALUE"""),46094.0)</f>
        <v>46094</v>
      </c>
      <c r="D2040" s="154">
        <f>IFERROR(__xludf.DUMMYFUNCTION("""COMPUTED_VALUE"""),46107.0)</f>
        <v>46107</v>
      </c>
    </row>
    <row r="2041">
      <c r="A2041" s="153" t="str">
        <f>IFERROR(__xludf.DUMMYFUNCTION("""COMPUTED_VALUE"""),"ADK0000000222")</f>
        <v>ADK0000000222</v>
      </c>
      <c r="B2041" s="153" t="str">
        <f>IFERROR(__xludf.DUMMYFUNCTION("""COMPUTED_VALUE"""),"WES")</f>
        <v>WES</v>
      </c>
      <c r="C2041" s="154">
        <f>IFERROR(__xludf.DUMMYFUNCTION("""COMPUTED_VALUE"""),46094.0)</f>
        <v>46094</v>
      </c>
      <c r="D2041" s="154">
        <f>IFERROR(__xludf.DUMMYFUNCTION("""COMPUTED_VALUE"""),46107.0)</f>
        <v>46107</v>
      </c>
    </row>
    <row r="2042">
      <c r="A2042" s="153" t="str">
        <f>IFERROR(__xludf.DUMMYFUNCTION("""COMPUTED_VALUE"""),"ADK0000000223")</f>
        <v>ADK0000000223</v>
      </c>
      <c r="B2042" s="153" t="str">
        <f>IFERROR(__xludf.DUMMYFUNCTION("""COMPUTED_VALUE"""),"WES")</f>
        <v>WES</v>
      </c>
      <c r="C2042" s="154">
        <f>IFERROR(__xludf.DUMMYFUNCTION("""COMPUTED_VALUE"""),46094.0)</f>
        <v>46094</v>
      </c>
      <c r="D2042" s="154">
        <f>IFERROR(__xludf.DUMMYFUNCTION("""COMPUTED_VALUE"""),46107.0)</f>
        <v>46107</v>
      </c>
    </row>
    <row r="2043">
      <c r="A2043" s="153" t="str">
        <f>IFERROR(__xludf.DUMMYFUNCTION("""COMPUTED_VALUE"""),"ADK0000000224")</f>
        <v>ADK0000000224</v>
      </c>
      <c r="B2043" s="153" t="str">
        <f>IFERROR(__xludf.DUMMYFUNCTION("""COMPUTED_VALUE"""),"WES")</f>
        <v>WES</v>
      </c>
      <c r="C2043" s="154">
        <f>IFERROR(__xludf.DUMMYFUNCTION("""COMPUTED_VALUE"""),46094.0)</f>
        <v>46094</v>
      </c>
      <c r="D2043" s="154">
        <f>IFERROR(__xludf.DUMMYFUNCTION("""COMPUTED_VALUE"""),46107.0)</f>
        <v>46107</v>
      </c>
    </row>
    <row r="2044">
      <c r="A2044" s="153" t="str">
        <f>IFERROR(__xludf.DUMMYFUNCTION("""COMPUTED_VALUE"""),"ADK0000000214")</f>
        <v>ADK0000000214</v>
      </c>
      <c r="B2044" s="153" t="str">
        <f>IFERROR(__xludf.DUMMYFUNCTION("""COMPUTED_VALUE"""),"WES")</f>
        <v>WES</v>
      </c>
      <c r="C2044" s="154">
        <f>IFERROR(__xludf.DUMMYFUNCTION("""COMPUTED_VALUE"""),46094.0)</f>
        <v>46094</v>
      </c>
      <c r="D2044" s="154">
        <f>IFERROR(__xludf.DUMMYFUNCTION("""COMPUTED_VALUE"""),46107.0)</f>
        <v>46107</v>
      </c>
    </row>
    <row r="2045">
      <c r="A2045" s="153" t="str">
        <f>IFERROR(__xludf.DUMMYFUNCTION("""COMPUTED_VALUE"""),"ADK0000000217")</f>
        <v>ADK0000000217</v>
      </c>
      <c r="B2045" s="153" t="str">
        <f>IFERROR(__xludf.DUMMYFUNCTION("""COMPUTED_VALUE"""),"WES")</f>
        <v>WES</v>
      </c>
      <c r="C2045" s="154">
        <f>IFERROR(__xludf.DUMMYFUNCTION("""COMPUTED_VALUE"""),46094.0)</f>
        <v>46094</v>
      </c>
      <c r="D2045" s="154">
        <f>IFERROR(__xludf.DUMMYFUNCTION("""COMPUTED_VALUE"""),46107.0)</f>
        <v>46107</v>
      </c>
    </row>
    <row r="2046">
      <c r="A2046" s="153" t="str">
        <f>IFERROR(__xludf.DUMMYFUNCTION("""COMPUTED_VALUE"""),"ADK0000000218")</f>
        <v>ADK0000000218</v>
      </c>
      <c r="B2046" s="153" t="str">
        <f>IFERROR(__xludf.DUMMYFUNCTION("""COMPUTED_VALUE"""),"WES")</f>
        <v>WES</v>
      </c>
      <c r="C2046" s="154">
        <f>IFERROR(__xludf.DUMMYFUNCTION("""COMPUTED_VALUE"""),46094.0)</f>
        <v>46094</v>
      </c>
      <c r="D2046" s="154">
        <f>IFERROR(__xludf.DUMMYFUNCTION("""COMPUTED_VALUE"""),46107.0)</f>
        <v>46107</v>
      </c>
    </row>
    <row r="2047">
      <c r="A2047" s="153" t="str">
        <f>IFERROR(__xludf.DUMMYFUNCTION("""COMPUTED_VALUE"""),"ADK0000000215")</f>
        <v>ADK0000000215</v>
      </c>
      <c r="B2047" s="153" t="str">
        <f>IFERROR(__xludf.DUMMYFUNCTION("""COMPUTED_VALUE"""),"WES")</f>
        <v>WES</v>
      </c>
      <c r="C2047" s="154">
        <f>IFERROR(__xludf.DUMMYFUNCTION("""COMPUTED_VALUE"""),46094.0)</f>
        <v>46094</v>
      </c>
      <c r="D2047" s="154">
        <f>IFERROR(__xludf.DUMMYFUNCTION("""COMPUTED_VALUE"""),46107.0)</f>
        <v>46107</v>
      </c>
    </row>
    <row r="2048">
      <c r="A2048" s="153" t="str">
        <f>IFERROR(__xludf.DUMMYFUNCTION("""COMPUTED_VALUE"""),"ADK0000000216")</f>
        <v>ADK0000000216</v>
      </c>
      <c r="B2048" s="153" t="str">
        <f>IFERROR(__xludf.DUMMYFUNCTION("""COMPUTED_VALUE"""),"WES")</f>
        <v>WES</v>
      </c>
      <c r="C2048" s="154">
        <f>IFERROR(__xludf.DUMMYFUNCTION("""COMPUTED_VALUE"""),46094.0)</f>
        <v>46094</v>
      </c>
      <c r="D2048" s="154">
        <f>IFERROR(__xludf.DUMMYFUNCTION("""COMPUTED_VALUE"""),46107.0)</f>
        <v>46107</v>
      </c>
    </row>
    <row r="2049">
      <c r="A2049" s="153" t="str">
        <f>IFERROR(__xludf.DUMMYFUNCTION("""COMPUTED_VALUE"""),"ADH0000015318")</f>
        <v>ADH0000015318</v>
      </c>
      <c r="B2049" s="153" t="str">
        <f>IFERROR(__xludf.DUMMYFUNCTION("""COMPUTED_VALUE"""),"WES")</f>
        <v>WES</v>
      </c>
      <c r="C2049" s="154">
        <f>IFERROR(__xludf.DUMMYFUNCTION("""COMPUTED_VALUE"""),46094.0)</f>
        <v>46094</v>
      </c>
      <c r="D2049" s="154">
        <f>IFERROR(__xludf.DUMMYFUNCTION("""COMPUTED_VALUE"""),46102.0)</f>
        <v>46102</v>
      </c>
    </row>
    <row r="2050">
      <c r="A2050" s="153" t="str">
        <f>IFERROR(__xludf.DUMMYFUNCTION("""COMPUTED_VALUE"""),"HYP0000000323")</f>
        <v>HYP0000000323</v>
      </c>
      <c r="B2050" s="153" t="str">
        <f>IFERROR(__xludf.DUMMYFUNCTION("""COMPUTED_VALUE"""),"WES")</f>
        <v>WES</v>
      </c>
      <c r="C2050" s="154">
        <f>IFERROR(__xludf.DUMMYFUNCTION("""COMPUTED_VALUE"""),46094.0)</f>
        <v>46094</v>
      </c>
      <c r="D2050" s="154">
        <f>IFERROR(__xludf.DUMMYFUNCTION("""COMPUTED_VALUE"""),46113.0)</f>
        <v>46113</v>
      </c>
    </row>
    <row r="2051">
      <c r="A2051" s="153" t="str">
        <f>IFERROR(__xludf.DUMMYFUNCTION("""COMPUTED_VALUE"""),"HYP0000000324")</f>
        <v>HYP0000000324</v>
      </c>
      <c r="B2051" s="153" t="str">
        <f>IFERROR(__xludf.DUMMYFUNCTION("""COMPUTED_VALUE"""),"WES")</f>
        <v>WES</v>
      </c>
      <c r="C2051" s="154">
        <f>IFERROR(__xludf.DUMMYFUNCTION("""COMPUTED_VALUE"""),46094.0)</f>
        <v>46094</v>
      </c>
      <c r="D2051" s="154">
        <f>IFERROR(__xludf.DUMMYFUNCTION("""COMPUTED_VALUE"""),46113.0)</f>
        <v>46113</v>
      </c>
    </row>
    <row r="2052">
      <c r="A2052" s="153" t="str">
        <f>IFERROR(__xludf.DUMMYFUNCTION("""COMPUTED_VALUE"""),"FR2000000499")</f>
        <v>FR2000000499</v>
      </c>
      <c r="B2052" s="153" t="str">
        <f>IFERROR(__xludf.DUMMYFUNCTION("""COMPUTED_VALUE"""),"WES")</f>
        <v>WES</v>
      </c>
      <c r="C2052" s="154">
        <f>IFERROR(__xludf.DUMMYFUNCTION("""COMPUTED_VALUE"""),46094.0)</f>
        <v>46094</v>
      </c>
      <c r="D2052" s="154">
        <f>IFERROR(__xludf.DUMMYFUNCTION("""COMPUTED_VALUE"""),46115.0)</f>
        <v>46115</v>
      </c>
    </row>
    <row r="2053">
      <c r="A2053" s="153" t="str">
        <f>IFERROR(__xludf.DUMMYFUNCTION("""COMPUTED_VALUE"""),"CBC0000012584")</f>
        <v>CBC0000012584</v>
      </c>
      <c r="B2053" s="153" t="str">
        <f>IFERROR(__xludf.DUMMYFUNCTION("""COMPUTED_VALUE"""),"WES")</f>
        <v>WES</v>
      </c>
      <c r="C2053" s="154">
        <f>IFERROR(__xludf.DUMMYFUNCTION("""COMPUTED_VALUE"""),46094.0)</f>
        <v>46094</v>
      </c>
      <c r="D2053" s="154">
        <f>IFERROR(__xludf.DUMMYFUNCTION("""COMPUTED_VALUE"""),46114.0)</f>
        <v>46114</v>
      </c>
    </row>
    <row r="2054">
      <c r="A2054" s="153" t="str">
        <f>IFERROR(__xludf.DUMMYFUNCTION("""COMPUTED_VALUE"""),"CBC0000012585")</f>
        <v>CBC0000012585</v>
      </c>
      <c r="B2054" s="153" t="str">
        <f>IFERROR(__xludf.DUMMYFUNCTION("""COMPUTED_VALUE"""),"WES")</f>
        <v>WES</v>
      </c>
      <c r="C2054" s="154">
        <f>IFERROR(__xludf.DUMMYFUNCTION("""COMPUTED_VALUE"""),46094.0)</f>
        <v>46094</v>
      </c>
      <c r="D2054" s="154">
        <f>IFERROR(__xludf.DUMMYFUNCTION("""COMPUTED_VALUE"""),46114.0)</f>
        <v>46114</v>
      </c>
    </row>
    <row r="2055">
      <c r="A2055" s="153"/>
      <c r="B2055" s="153"/>
      <c r="C2055" s="154">
        <f>IFERROR(__xludf.DUMMYFUNCTION("""COMPUTED_VALUE"""),46094.0)</f>
        <v>46094</v>
      </c>
      <c r="D2055" s="153"/>
    </row>
    <row r="2056">
      <c r="A2056" s="153" t="str">
        <f>IFERROR(__xludf.DUMMYFUNCTION("""COMPUTED_VALUE"""),"AVL0000000717")</f>
        <v>AVL0000000717</v>
      </c>
      <c r="B2056" s="153" t="str">
        <f>IFERROR(__xludf.DUMMYFUNCTION("""COMPUTED_VALUE"""),"WES")</f>
        <v>WES</v>
      </c>
      <c r="C2056" s="154">
        <f>IFERROR(__xludf.DUMMYFUNCTION("""COMPUTED_VALUE"""),46094.0)</f>
        <v>46094</v>
      </c>
      <c r="D2056" s="154">
        <f>IFERROR(__xludf.DUMMYFUNCTION("""COMPUTED_VALUE"""),46110.0)</f>
        <v>46110</v>
      </c>
    </row>
    <row r="2057">
      <c r="A2057" s="153" t="str">
        <f>IFERROR(__xludf.DUMMYFUNCTION("""COMPUTED_VALUE"""),"ADH0000015585")</f>
        <v>ADH0000015585</v>
      </c>
      <c r="B2057" s="153" t="str">
        <f>IFERROR(__xludf.DUMMYFUNCTION("""COMPUTED_VALUE"""),"WES")</f>
        <v>WES</v>
      </c>
      <c r="C2057" s="154">
        <f>IFERROR(__xludf.DUMMYFUNCTION("""COMPUTED_VALUE"""),46097.0)</f>
        <v>46097</v>
      </c>
      <c r="D2057" s="154">
        <f>IFERROR(__xludf.DUMMYFUNCTION("""COMPUTED_VALUE"""),46112.0)</f>
        <v>46112</v>
      </c>
    </row>
    <row r="2058">
      <c r="A2058" s="153" t="str">
        <f>IFERROR(__xludf.DUMMYFUNCTION("""COMPUTED_VALUE"""),"AND0000000307")</f>
        <v>AND0000000307</v>
      </c>
      <c r="B2058" s="153" t="str">
        <f>IFERROR(__xludf.DUMMYFUNCTION("""COMPUTED_VALUE"""),"WES")</f>
        <v>WES</v>
      </c>
      <c r="C2058" s="154">
        <f>IFERROR(__xludf.DUMMYFUNCTION("""COMPUTED_VALUE"""),46097.0)</f>
        <v>46097</v>
      </c>
      <c r="D2058" s="154">
        <f>IFERROR(__xludf.DUMMYFUNCTION("""COMPUTED_VALUE"""),46119.0)</f>
        <v>46119</v>
      </c>
    </row>
    <row r="2059">
      <c r="A2059" s="153" t="str">
        <f>IFERROR(__xludf.DUMMYFUNCTION("""COMPUTED_VALUE"""),"IDG0000000021")</f>
        <v>IDG0000000021</v>
      </c>
      <c r="B2059" s="153" t="str">
        <f>IFERROR(__xludf.DUMMYFUNCTION("""COMPUTED_VALUE"""),"WES")</f>
        <v>WES</v>
      </c>
      <c r="C2059" s="154">
        <f>IFERROR(__xludf.DUMMYFUNCTION("""COMPUTED_VALUE"""),46097.0)</f>
        <v>46097</v>
      </c>
      <c r="D2059" s="154">
        <f>IFERROR(__xludf.DUMMYFUNCTION("""COMPUTED_VALUE"""),46108.0)</f>
        <v>46108</v>
      </c>
    </row>
    <row r="2060">
      <c r="A2060" s="153" t="str">
        <f>IFERROR(__xludf.DUMMYFUNCTION("""COMPUTED_VALUE"""),"ABC0000000221")</f>
        <v>ABC0000000221</v>
      </c>
      <c r="B2060" s="153" t="str">
        <f>IFERROR(__xludf.DUMMYFUNCTION("""COMPUTED_VALUE"""),"WES")</f>
        <v>WES</v>
      </c>
      <c r="C2060" s="154">
        <f>IFERROR(__xludf.DUMMYFUNCTION("""COMPUTED_VALUE"""),46097.0)</f>
        <v>46097</v>
      </c>
      <c r="D2060" s="154">
        <f>IFERROR(__xludf.DUMMYFUNCTION("""COMPUTED_VALUE"""),46113.0)</f>
        <v>46113</v>
      </c>
    </row>
    <row r="2061">
      <c r="A2061" s="153" t="str">
        <f>IFERROR(__xludf.DUMMYFUNCTION("""COMPUTED_VALUE"""),"PH50000002353
")</f>
        <v>PH50000002353
</v>
      </c>
      <c r="B2061" s="153" t="str">
        <f>IFERROR(__xludf.DUMMYFUNCTION("""COMPUTED_VALUE"""),"WES+WMGS")</f>
        <v>WES+WMGS</v>
      </c>
      <c r="C2061" s="154">
        <f>IFERROR(__xludf.DUMMYFUNCTION("""COMPUTED_VALUE"""),46097.0)</f>
        <v>46097</v>
      </c>
      <c r="D2061" s="154">
        <f>IFERROR(__xludf.DUMMYFUNCTION("""COMPUTED_VALUE"""),46115.0)</f>
        <v>46115</v>
      </c>
    </row>
    <row r="2062">
      <c r="A2062" s="153" t="str">
        <f>IFERROR(__xludf.DUMMYFUNCTION("""COMPUTED_VALUE"""),"AMB0000005984")</f>
        <v>AMB0000005984</v>
      </c>
      <c r="B2062" s="153" t="str">
        <f>IFERROR(__xludf.DUMMYFUNCTION("""COMPUTED_VALUE"""),"WES")</f>
        <v>WES</v>
      </c>
      <c r="C2062" s="154">
        <f>IFERROR(__xludf.DUMMYFUNCTION("""COMPUTED_VALUE"""),46097.0)</f>
        <v>46097</v>
      </c>
      <c r="D2062" s="154">
        <f>IFERROR(__xludf.DUMMYFUNCTION("""COMPUTED_VALUE"""),46098.0)</f>
        <v>46098</v>
      </c>
    </row>
    <row r="2063">
      <c r="A2063" s="153" t="str">
        <f>IFERROR(__xludf.DUMMYFUNCTION("""COMPUTED_VALUE"""),"PH50000002518")</f>
        <v>PH50000002518</v>
      </c>
      <c r="B2063" s="153" t="str">
        <f>IFERROR(__xludf.DUMMYFUNCTION("""COMPUTED_VALUE"""),"WES+WMGS")</f>
        <v>WES+WMGS</v>
      </c>
      <c r="C2063" s="154">
        <f>IFERROR(__xludf.DUMMYFUNCTION("""COMPUTED_VALUE"""),46097.0)</f>
        <v>46097</v>
      </c>
      <c r="D2063" s="154">
        <f>IFERROR(__xludf.DUMMYFUNCTION("""COMPUTED_VALUE"""),46116.0)</f>
        <v>46116</v>
      </c>
    </row>
    <row r="2064">
      <c r="A2064" s="153" t="str">
        <f>IFERROR(__xludf.DUMMYFUNCTION("""COMPUTED_VALUE"""),"AMB0000006624")</f>
        <v>AMB0000006624</v>
      </c>
      <c r="B2064" s="153" t="str">
        <f>IFERROR(__xludf.DUMMYFUNCTION("""COMPUTED_VALUE"""),"WES")</f>
        <v>WES</v>
      </c>
      <c r="C2064" s="154">
        <f>IFERROR(__xludf.DUMMYFUNCTION("""COMPUTED_VALUE"""),46097.0)</f>
        <v>46097</v>
      </c>
      <c r="D2064" s="154">
        <f>IFERROR(__xludf.DUMMYFUNCTION("""COMPUTED_VALUE"""),46114.0)</f>
        <v>46114</v>
      </c>
    </row>
    <row r="2065">
      <c r="A2065" s="153" t="str">
        <f>IFERROR(__xludf.DUMMYFUNCTION("""COMPUTED_VALUE"""),"HYP0000000355")</f>
        <v>HYP0000000355</v>
      </c>
      <c r="B2065" s="153" t="str">
        <f>IFERROR(__xludf.DUMMYFUNCTION("""COMPUTED_VALUE"""),"COMPREHENSIVE CARRIER SCREENING (REPRODUCTIVE GENOMICS)")</f>
        <v>COMPREHENSIVE CARRIER SCREENING (REPRODUCTIVE GENOMICS)</v>
      </c>
      <c r="C2065" s="154">
        <f>IFERROR(__xludf.DUMMYFUNCTION("""COMPUTED_VALUE"""),46097.0)</f>
        <v>46097</v>
      </c>
      <c r="D2065" s="154">
        <f>IFERROR(__xludf.DUMMYFUNCTION("""COMPUTED_VALUE"""),46111.0)</f>
        <v>46111</v>
      </c>
    </row>
    <row r="2066">
      <c r="A2066" s="153" t="str">
        <f>IFERROR(__xludf.DUMMYFUNCTION("""COMPUTED_VALUE"""),"HYP0000000359")</f>
        <v>HYP0000000359</v>
      </c>
      <c r="B2066" s="153" t="str">
        <f>IFERROR(__xludf.DUMMYFUNCTION("""COMPUTED_VALUE"""),"ADVAT ")</f>
        <v>ADVAT </v>
      </c>
      <c r="C2066" s="154">
        <f>IFERROR(__xludf.DUMMYFUNCTION("""COMPUTED_VALUE"""),46097.0)</f>
        <v>46097</v>
      </c>
      <c r="D2066" s="154">
        <f>IFERROR(__xludf.DUMMYFUNCTION("""COMPUTED_VALUE"""),46114.0)</f>
        <v>46114</v>
      </c>
    </row>
    <row r="2067">
      <c r="A2067" s="153" t="str">
        <f>IFERROR(__xludf.DUMMYFUNCTION("""COMPUTED_VALUE"""),"HYP0000000360")</f>
        <v>HYP0000000360</v>
      </c>
      <c r="B2067" s="153" t="str">
        <f>IFERROR(__xludf.DUMMYFUNCTION("""COMPUTED_VALUE"""),"ADVAT ")</f>
        <v>ADVAT </v>
      </c>
      <c r="C2067" s="154">
        <f>IFERROR(__xludf.DUMMYFUNCTION("""COMPUTED_VALUE"""),46097.0)</f>
        <v>46097</v>
      </c>
      <c r="D2067" s="154">
        <f>IFERROR(__xludf.DUMMYFUNCTION("""COMPUTED_VALUE"""),46114.0)</f>
        <v>46114</v>
      </c>
    </row>
    <row r="2068">
      <c r="A2068" s="153" t="str">
        <f>IFERROR(__xludf.DUMMYFUNCTION("""COMPUTED_VALUE"""),"ABC0000000292")</f>
        <v>ABC0000000292</v>
      </c>
      <c r="B2068" s="153" t="str">
        <f>IFERROR(__xludf.DUMMYFUNCTION("""COMPUTED_VALUE"""),"CES")</f>
        <v>CES</v>
      </c>
      <c r="C2068" s="154">
        <f>IFERROR(__xludf.DUMMYFUNCTION("""COMPUTED_VALUE"""),46097.0)</f>
        <v>46097</v>
      </c>
      <c r="D2068" s="154">
        <f>IFERROR(__xludf.DUMMYFUNCTION("""COMPUTED_VALUE"""),46112.0)</f>
        <v>46112</v>
      </c>
    </row>
    <row r="2069">
      <c r="A2069" s="153" t="str">
        <f>IFERROR(__xludf.DUMMYFUNCTION("""COMPUTED_VALUE"""),"ADK0000000307")</f>
        <v>ADK0000000307</v>
      </c>
      <c r="B2069" s="153" t="str">
        <f>IFERROR(__xludf.DUMMYFUNCTION("""COMPUTED_VALUE"""),"WES")</f>
        <v>WES</v>
      </c>
      <c r="C2069" s="154">
        <f>IFERROR(__xludf.DUMMYFUNCTION("""COMPUTED_VALUE"""),46097.0)</f>
        <v>46097</v>
      </c>
      <c r="D2069" s="154">
        <f>IFERROR(__xludf.DUMMYFUNCTION("""COMPUTED_VALUE"""),46110.0)</f>
        <v>46110</v>
      </c>
    </row>
    <row r="2070">
      <c r="A2070" s="153" t="str">
        <f>IFERROR(__xludf.DUMMYFUNCTION("""COMPUTED_VALUE"""),"AKP0000007598 
")</f>
        <v>AKP0000007598 
</v>
      </c>
      <c r="B2070" s="153" t="str">
        <f>IFERROR(__xludf.DUMMYFUNCTION("""COMPUTED_VALUE"""),"WES")</f>
        <v>WES</v>
      </c>
      <c r="C2070" s="154">
        <f>IFERROR(__xludf.DUMMYFUNCTION("""COMPUTED_VALUE"""),46097.0)</f>
        <v>46097</v>
      </c>
      <c r="D2070" s="154">
        <f>IFERROR(__xludf.DUMMYFUNCTION("""COMPUTED_VALUE"""),46116.0)</f>
        <v>46116</v>
      </c>
    </row>
    <row r="2071">
      <c r="A2071" s="153" t="str">
        <f>IFERROR(__xludf.DUMMYFUNCTION("""COMPUTED_VALUE"""),"AKP0000007599")</f>
        <v>AKP0000007599</v>
      </c>
      <c r="B2071" s="153" t="str">
        <f>IFERROR(__xludf.DUMMYFUNCTION("""COMPUTED_VALUE"""),"WES")</f>
        <v>WES</v>
      </c>
      <c r="C2071" s="154">
        <f>IFERROR(__xludf.DUMMYFUNCTION("""COMPUTED_VALUE"""),46097.0)</f>
        <v>46097</v>
      </c>
      <c r="D2071" s="154">
        <f>IFERROR(__xludf.DUMMYFUNCTION("""COMPUTED_VALUE"""),46116.0)</f>
        <v>46116</v>
      </c>
    </row>
    <row r="2072">
      <c r="A2072" s="153" t="str">
        <f>IFERROR(__xludf.DUMMYFUNCTION("""COMPUTED_VALUE"""),"ADH0000016214")</f>
        <v>ADH0000016214</v>
      </c>
      <c r="B2072" s="153" t="str">
        <f>IFERROR(__xludf.DUMMYFUNCTION("""COMPUTED_VALUE"""),"WES")</f>
        <v>WES</v>
      </c>
      <c r="C2072" s="154">
        <f>IFERROR(__xludf.DUMMYFUNCTION("""COMPUTED_VALUE"""),46097.0)</f>
        <v>46097</v>
      </c>
      <c r="D2072" s="154">
        <f>IFERROR(__xludf.DUMMYFUNCTION("""COMPUTED_VALUE"""),46112.0)</f>
        <v>46112</v>
      </c>
    </row>
    <row r="2073">
      <c r="A2073" s="153" t="str">
        <f>IFERROR(__xludf.DUMMYFUNCTION("""COMPUTED_VALUE"""),"FR20000005053")</f>
        <v>FR20000005053</v>
      </c>
      <c r="B2073" s="153" t="str">
        <f>IFERROR(__xludf.DUMMYFUNCTION("""COMPUTED_VALUE"""),"WES")</f>
        <v>WES</v>
      </c>
      <c r="C2073" s="154">
        <f>IFERROR(__xludf.DUMMYFUNCTION("""COMPUTED_VALUE"""),46097.0)</f>
        <v>46097</v>
      </c>
      <c r="D2073" s="154">
        <f>IFERROR(__xludf.DUMMYFUNCTION("""COMPUTED_VALUE"""),46117.0)</f>
        <v>46117</v>
      </c>
    </row>
    <row r="2074">
      <c r="A2074" s="153" t="str">
        <f>IFERROR(__xludf.DUMMYFUNCTION("""COMPUTED_VALUE"""),"AVD0000000270")</f>
        <v>AVD0000000270</v>
      </c>
      <c r="B2074" s="153" t="str">
        <f>IFERROR(__xludf.DUMMYFUNCTION("""COMPUTED_VALUE"""),"WES")</f>
        <v>WES</v>
      </c>
      <c r="C2074" s="154">
        <f>IFERROR(__xludf.DUMMYFUNCTION("""COMPUTED_VALUE"""),46097.0)</f>
        <v>46097</v>
      </c>
      <c r="D2074" s="154">
        <f>IFERROR(__xludf.DUMMYFUNCTION("""COMPUTED_VALUE"""),46117.0)</f>
        <v>46117</v>
      </c>
    </row>
    <row r="2075">
      <c r="A2075" s="153" t="str">
        <f>IFERROR(__xludf.DUMMYFUNCTION("""COMPUTED_VALUE"""),"AKP0000007297")</f>
        <v>AKP0000007297</v>
      </c>
      <c r="B2075" s="153" t="str">
        <f>IFERROR(__xludf.DUMMYFUNCTION("""COMPUTED_VALUE"""),"HEREDITARY PANCREATITIS PANEL (ONCOGENETICS AND OTHERS)")</f>
        <v>HEREDITARY PANCREATITIS PANEL (ONCOGENETICS AND OTHERS)</v>
      </c>
      <c r="C2075" s="154">
        <f>IFERROR(__xludf.DUMMYFUNCTION("""COMPUTED_VALUE"""),46097.0)</f>
        <v>46097</v>
      </c>
      <c r="D2075" s="154">
        <f>IFERROR(__xludf.DUMMYFUNCTION("""COMPUTED_VALUE"""),46115.0)</f>
        <v>46115</v>
      </c>
    </row>
    <row r="2076">
      <c r="A2076" s="153" t="str">
        <f>IFERROR(__xludf.DUMMYFUNCTION("""COMPUTED_VALUE"""),"ADK0000000332")</f>
        <v>ADK0000000332</v>
      </c>
      <c r="B2076" s="153" t="str">
        <f>IFERROR(__xludf.DUMMYFUNCTION("""COMPUTED_VALUE"""),"WES")</f>
        <v>WES</v>
      </c>
      <c r="C2076" s="154">
        <f>IFERROR(__xludf.DUMMYFUNCTION("""COMPUTED_VALUE"""),46097.0)</f>
        <v>46097</v>
      </c>
      <c r="D2076" s="154">
        <f>IFERROR(__xludf.DUMMYFUNCTION("""COMPUTED_VALUE"""),46112.0)</f>
        <v>46112</v>
      </c>
    </row>
    <row r="2077">
      <c r="A2077" s="153" t="str">
        <f>IFERROR(__xludf.DUMMYFUNCTION("""COMPUTED_VALUE"""),"ADK0000000333")</f>
        <v>ADK0000000333</v>
      </c>
      <c r="B2077" s="153" t="str">
        <f>IFERROR(__xludf.DUMMYFUNCTION("""COMPUTED_VALUE"""),"WES")</f>
        <v>WES</v>
      </c>
      <c r="C2077" s="154">
        <f>IFERROR(__xludf.DUMMYFUNCTION("""COMPUTED_VALUE"""),46097.0)</f>
        <v>46097</v>
      </c>
      <c r="D2077" s="154">
        <f>IFERROR(__xludf.DUMMYFUNCTION("""COMPUTED_VALUE"""),46112.0)</f>
        <v>46112</v>
      </c>
    </row>
    <row r="2078">
      <c r="A2078" s="153" t="str">
        <f>IFERROR(__xludf.DUMMYFUNCTION("""COMPUTED_VALUE"""),"ADK0000000334")</f>
        <v>ADK0000000334</v>
      </c>
      <c r="B2078" s="153" t="str">
        <f>IFERROR(__xludf.DUMMYFUNCTION("""COMPUTED_VALUE"""),"WES")</f>
        <v>WES</v>
      </c>
      <c r="C2078" s="154">
        <f>IFERROR(__xludf.DUMMYFUNCTION("""COMPUTED_VALUE"""),46097.0)</f>
        <v>46097</v>
      </c>
      <c r="D2078" s="154">
        <f>IFERROR(__xludf.DUMMYFUNCTION("""COMPUTED_VALUE"""),46112.0)</f>
        <v>46112</v>
      </c>
    </row>
    <row r="2079">
      <c r="A2079" s="153" t="str">
        <f>IFERROR(__xludf.DUMMYFUNCTION("""COMPUTED_VALUE"""),"ADK0000000335")</f>
        <v>ADK0000000335</v>
      </c>
      <c r="B2079" s="153" t="str">
        <f>IFERROR(__xludf.DUMMYFUNCTION("""COMPUTED_VALUE"""),"WES")</f>
        <v>WES</v>
      </c>
      <c r="C2079" s="154">
        <f>IFERROR(__xludf.DUMMYFUNCTION("""COMPUTED_VALUE"""),46097.0)</f>
        <v>46097</v>
      </c>
      <c r="D2079" s="154">
        <f>IFERROR(__xludf.DUMMYFUNCTION("""COMPUTED_VALUE"""),46112.0)</f>
        <v>46112</v>
      </c>
    </row>
    <row r="2080">
      <c r="A2080" s="153" t="str">
        <f>IFERROR(__xludf.DUMMYFUNCTION("""COMPUTED_VALUE"""),"ADK0000000336")</f>
        <v>ADK0000000336</v>
      </c>
      <c r="B2080" s="153" t="str">
        <f>IFERROR(__xludf.DUMMYFUNCTION("""COMPUTED_VALUE"""),"WES")</f>
        <v>WES</v>
      </c>
      <c r="C2080" s="154">
        <f>IFERROR(__xludf.DUMMYFUNCTION("""COMPUTED_VALUE"""),46097.0)</f>
        <v>46097</v>
      </c>
      <c r="D2080" s="154">
        <f>IFERROR(__xludf.DUMMYFUNCTION("""COMPUTED_VALUE"""),46112.0)</f>
        <v>46112</v>
      </c>
    </row>
    <row r="2081">
      <c r="A2081" s="153" t="str">
        <f>IFERROR(__xludf.DUMMYFUNCTION("""COMPUTED_VALUE"""),"ADK0000000337")</f>
        <v>ADK0000000337</v>
      </c>
      <c r="B2081" s="153" t="str">
        <f>IFERROR(__xludf.DUMMYFUNCTION("""COMPUTED_VALUE"""),"WES")</f>
        <v>WES</v>
      </c>
      <c r="C2081" s="154">
        <f>IFERROR(__xludf.DUMMYFUNCTION("""COMPUTED_VALUE"""),46097.0)</f>
        <v>46097</v>
      </c>
      <c r="D2081" s="154">
        <f>IFERROR(__xludf.DUMMYFUNCTION("""COMPUTED_VALUE"""),46112.0)</f>
        <v>46112</v>
      </c>
    </row>
    <row r="2082">
      <c r="A2082" s="153" t="str">
        <f>IFERROR(__xludf.DUMMYFUNCTION("""COMPUTED_VALUE"""),"ADK0000000338")</f>
        <v>ADK0000000338</v>
      </c>
      <c r="B2082" s="153" t="str">
        <f>IFERROR(__xludf.DUMMYFUNCTION("""COMPUTED_VALUE"""),"WES")</f>
        <v>WES</v>
      </c>
      <c r="C2082" s="154">
        <f>IFERROR(__xludf.DUMMYFUNCTION("""COMPUTED_VALUE"""),46097.0)</f>
        <v>46097</v>
      </c>
      <c r="D2082" s="154">
        <f>IFERROR(__xludf.DUMMYFUNCTION("""COMPUTED_VALUE"""),46112.0)</f>
        <v>46112</v>
      </c>
    </row>
    <row r="2083">
      <c r="A2083" s="153" t="str">
        <f>IFERROR(__xludf.DUMMYFUNCTION("""COMPUTED_VALUE"""),"ADK0000000339")</f>
        <v>ADK0000000339</v>
      </c>
      <c r="B2083" s="153" t="str">
        <f>IFERROR(__xludf.DUMMYFUNCTION("""COMPUTED_VALUE"""),"WES")</f>
        <v>WES</v>
      </c>
      <c r="C2083" s="154">
        <f>IFERROR(__xludf.DUMMYFUNCTION("""COMPUTED_VALUE"""),46097.0)</f>
        <v>46097</v>
      </c>
      <c r="D2083" s="154">
        <f>IFERROR(__xludf.DUMMYFUNCTION("""COMPUTED_VALUE"""),46112.0)</f>
        <v>46112</v>
      </c>
    </row>
    <row r="2084">
      <c r="A2084" s="153" t="str">
        <f>IFERROR(__xludf.DUMMYFUNCTION("""COMPUTED_VALUE"""),"ADK0000000331")</f>
        <v>ADK0000000331</v>
      </c>
      <c r="B2084" s="153" t="str">
        <f>IFERROR(__xludf.DUMMYFUNCTION("""COMPUTED_VALUE"""),"WES")</f>
        <v>WES</v>
      </c>
      <c r="C2084" s="154">
        <f>IFERROR(__xludf.DUMMYFUNCTION("""COMPUTED_VALUE"""),46097.0)</f>
        <v>46097</v>
      </c>
      <c r="D2084" s="154">
        <f>IFERROR(__xludf.DUMMYFUNCTION("""COMPUTED_VALUE"""),46112.0)</f>
        <v>46112</v>
      </c>
    </row>
    <row r="2085">
      <c r="A2085" s="153" t="str">
        <f>IFERROR(__xludf.DUMMYFUNCTION("""COMPUTED_VALUE"""),"ADK0000000354")</f>
        <v>ADK0000000354</v>
      </c>
      <c r="B2085" s="153" t="str">
        <f>IFERROR(__xludf.DUMMYFUNCTION("""COMPUTED_VALUE"""),"WES")</f>
        <v>WES</v>
      </c>
      <c r="C2085" s="154">
        <f>IFERROR(__xludf.DUMMYFUNCTION("""COMPUTED_VALUE"""),46097.0)</f>
        <v>46097</v>
      </c>
      <c r="D2085" s="154">
        <f>IFERROR(__xludf.DUMMYFUNCTION("""COMPUTED_VALUE"""),46113.0)</f>
        <v>46113</v>
      </c>
    </row>
    <row r="2086">
      <c r="A2086" s="153" t="str">
        <f>IFERROR(__xludf.DUMMYFUNCTION("""COMPUTED_VALUE"""),"ADK0000000355")</f>
        <v>ADK0000000355</v>
      </c>
      <c r="B2086" s="153" t="str">
        <f>IFERROR(__xludf.DUMMYFUNCTION("""COMPUTED_VALUE"""),"WES")</f>
        <v>WES</v>
      </c>
      <c r="C2086" s="154">
        <f>IFERROR(__xludf.DUMMYFUNCTION("""COMPUTED_VALUE"""),46097.0)</f>
        <v>46097</v>
      </c>
      <c r="D2086" s="154">
        <f>IFERROR(__xludf.DUMMYFUNCTION("""COMPUTED_VALUE"""),46113.0)</f>
        <v>46113</v>
      </c>
    </row>
    <row r="2087">
      <c r="A2087" s="153" t="str">
        <f>IFERROR(__xludf.DUMMYFUNCTION("""COMPUTED_VALUE"""),"IDG0000000033")</f>
        <v>IDG0000000033</v>
      </c>
      <c r="B2087" s="153" t="str">
        <f>IFERROR(__xludf.DUMMYFUNCTION("""COMPUTED_VALUE"""),"WES")</f>
        <v>WES</v>
      </c>
      <c r="C2087" s="154">
        <f>IFERROR(__xludf.DUMMYFUNCTION("""COMPUTED_VALUE"""),46097.0)</f>
        <v>46097</v>
      </c>
      <c r="D2087" s="154">
        <f>IFERROR(__xludf.DUMMYFUNCTION("""COMPUTED_VALUE"""),46112.0)</f>
        <v>46112</v>
      </c>
    </row>
    <row r="2088">
      <c r="A2088" s="153" t="str">
        <f>IFERROR(__xludf.DUMMYFUNCTION("""COMPUTED_VALUE"""),"HYP0000000389")</f>
        <v>HYP0000000389</v>
      </c>
      <c r="B2088" s="153" t="str">
        <f>IFERROR(__xludf.DUMMYFUNCTION("""COMPUTED_VALUE"""),"WES")</f>
        <v>WES</v>
      </c>
      <c r="C2088" s="154">
        <f>IFERROR(__xludf.DUMMYFUNCTION("""COMPUTED_VALUE"""),46097.0)</f>
        <v>46097</v>
      </c>
      <c r="D2088" s="154">
        <f>IFERROR(__xludf.DUMMYFUNCTION("""COMPUTED_VALUE"""),46117.0)</f>
        <v>46117</v>
      </c>
    </row>
    <row r="2089">
      <c r="A2089" s="153" t="str">
        <f>IFERROR(__xludf.DUMMYFUNCTION("""COMPUTED_VALUE"""),"PH50000001584")</f>
        <v>PH50000001584</v>
      </c>
      <c r="B2089" s="153" t="str">
        <f>IFERROR(__xludf.DUMMYFUNCTION("""COMPUTED_VALUE"""),"WES+WMGS")</f>
        <v>WES+WMGS</v>
      </c>
      <c r="C2089" s="154">
        <f>IFERROR(__xludf.DUMMYFUNCTION("""COMPUTED_VALUE"""),46097.0)</f>
        <v>46097</v>
      </c>
      <c r="D2089" s="154">
        <f>IFERROR(__xludf.DUMMYFUNCTION("""COMPUTED_VALUE"""),46112.0)</f>
        <v>46112</v>
      </c>
    </row>
    <row r="2090">
      <c r="A2090" s="153" t="str">
        <f>IFERROR(__xludf.DUMMYFUNCTION("""COMPUTED_VALUE"""),"CHM0000006160")</f>
        <v>CHM0000006160</v>
      </c>
      <c r="B2090" s="153" t="str">
        <f>IFERROR(__xludf.DUMMYFUNCTION("""COMPUTED_VALUE"""),"WES")</f>
        <v>WES</v>
      </c>
      <c r="C2090" s="154">
        <f>IFERROR(__xludf.DUMMYFUNCTION("""COMPUTED_VALUE"""),46097.0)</f>
        <v>46097</v>
      </c>
      <c r="D2090" s="154">
        <f>IFERROR(__xludf.DUMMYFUNCTION("""COMPUTED_VALUE"""),46117.0)</f>
        <v>46117</v>
      </c>
    </row>
    <row r="2091">
      <c r="A2091" s="153" t="str">
        <f>IFERROR(__xludf.DUMMYFUNCTION("""COMPUTED_VALUE"""),"HYP0000000361")</f>
        <v>HYP0000000361</v>
      </c>
      <c r="B2091" s="153" t="str">
        <f>IFERROR(__xludf.DUMMYFUNCTION("""COMPUTED_VALUE"""),"FEMALE INFERTILITY NGS PANEL")</f>
        <v>FEMALE INFERTILITY NGS PANEL</v>
      </c>
      <c r="C2091" s="154">
        <f>IFERROR(__xludf.DUMMYFUNCTION("""COMPUTED_VALUE"""),46097.0)</f>
        <v>46097</v>
      </c>
      <c r="D2091" s="154">
        <f>IFERROR(__xludf.DUMMYFUNCTION("""COMPUTED_VALUE"""),46103.0)</f>
        <v>46103</v>
      </c>
    </row>
    <row r="2092">
      <c r="A2092" s="153" t="str">
        <f>IFERROR(__xludf.DUMMYFUNCTION("""COMPUTED_VALUE"""),"ADB0000028059")</f>
        <v>ADB0000028059</v>
      </c>
      <c r="B2092" s="153" t="str">
        <f>IFERROR(__xludf.DUMMYFUNCTION("""COMPUTED_VALUE"""),"WHOLE EXOME SEQUENCING/MALE INFERTILITY NGS PANEL 
")</f>
        <v>WHOLE EXOME SEQUENCING/MALE INFERTILITY NGS PANEL 
</v>
      </c>
      <c r="C2092" s="154">
        <f>IFERROR(__xludf.DUMMYFUNCTION("""COMPUTED_VALUE"""),46097.0)</f>
        <v>46097</v>
      </c>
      <c r="D2092" s="154">
        <f>IFERROR(__xludf.DUMMYFUNCTION("""COMPUTED_VALUE"""),46107.0)</f>
        <v>46107</v>
      </c>
    </row>
    <row r="2093">
      <c r="A2093" s="153" t="str">
        <f>IFERROR(__xludf.DUMMYFUNCTION("""COMPUTED_VALUE"""),"ADB0000028060")</f>
        <v>ADB0000028060</v>
      </c>
      <c r="B2093" s="153" t="str">
        <f>IFERROR(__xludf.DUMMYFUNCTION("""COMPUTED_VALUE"""),"WHOLE EXOME SEQUENCING/FEMALE INFERTILITY NGS PANEL")</f>
        <v>WHOLE EXOME SEQUENCING/FEMALE INFERTILITY NGS PANEL</v>
      </c>
      <c r="C2093" s="154">
        <f>IFERROR(__xludf.DUMMYFUNCTION("""COMPUTED_VALUE"""),46097.0)</f>
        <v>46097</v>
      </c>
      <c r="D2093" s="154">
        <f>IFERROR(__xludf.DUMMYFUNCTION("""COMPUTED_VALUE"""),46107.0)</f>
        <v>46107</v>
      </c>
    </row>
    <row r="2094">
      <c r="A2094" s="153" t="str">
        <f>IFERROR(__xludf.DUMMYFUNCTION("""COMPUTED_VALUE"""),"GRM0000000953")</f>
        <v>GRM0000000953</v>
      </c>
      <c r="B2094" s="153" t="str">
        <f>IFERROR(__xludf.DUMMYFUNCTION("""COMPUTED_VALUE"""),"WES")</f>
        <v>WES</v>
      </c>
      <c r="C2094" s="154">
        <f>IFERROR(__xludf.DUMMYFUNCTION("""COMPUTED_VALUE"""),46097.0)</f>
        <v>46097</v>
      </c>
      <c r="D2094" s="154">
        <f>IFERROR(__xludf.DUMMYFUNCTION("""COMPUTED_VALUE"""),46118.0)</f>
        <v>46118</v>
      </c>
    </row>
    <row r="2095">
      <c r="A2095" s="153" t="str">
        <f>IFERROR(__xludf.DUMMYFUNCTION("""COMPUTED_VALUE"""),"GRM0000000954")</f>
        <v>GRM0000000954</v>
      </c>
      <c r="B2095" s="153" t="str">
        <f>IFERROR(__xludf.DUMMYFUNCTION("""COMPUTED_VALUE"""),"WES")</f>
        <v>WES</v>
      </c>
      <c r="C2095" s="154">
        <f>IFERROR(__xludf.DUMMYFUNCTION("""COMPUTED_VALUE"""),46097.0)</f>
        <v>46097</v>
      </c>
      <c r="D2095" s="154">
        <f>IFERROR(__xludf.DUMMYFUNCTION("""COMPUTED_VALUE"""),46118.0)</f>
        <v>46118</v>
      </c>
    </row>
    <row r="2096">
      <c r="A2096" s="153" t="str">
        <f>IFERROR(__xludf.DUMMYFUNCTION("""COMPUTED_VALUE"""),"HCC0000002912")</f>
        <v>HCC0000002912</v>
      </c>
      <c r="B2096" s="153" t="str">
        <f>IFERROR(__xludf.DUMMYFUNCTION("""COMPUTED_VALUE"""),"WES")</f>
        <v>WES</v>
      </c>
      <c r="C2096" s="154">
        <f>IFERROR(__xludf.DUMMYFUNCTION("""COMPUTED_VALUE"""),46097.0)</f>
        <v>46097</v>
      </c>
      <c r="D2096" s="154">
        <f>IFERROR(__xludf.DUMMYFUNCTION("""COMPUTED_VALUE"""),46119.0)</f>
        <v>46119</v>
      </c>
    </row>
    <row r="2097">
      <c r="A2097" s="153" t="str">
        <f>IFERROR(__xludf.DUMMYFUNCTION("""COMPUTED_VALUE"""),"ACO0000002177")</f>
        <v>ACO0000002177</v>
      </c>
      <c r="B2097" s="153" t="str">
        <f>IFERROR(__xludf.DUMMYFUNCTION("""COMPUTED_VALUE"""),"WES")</f>
        <v>WES</v>
      </c>
      <c r="C2097" s="154">
        <f>IFERROR(__xludf.DUMMYFUNCTION("""COMPUTED_VALUE"""),46101.0)</f>
        <v>46101</v>
      </c>
      <c r="D2097" s="154">
        <f>IFERROR(__xludf.DUMMYFUNCTION("""COMPUTED_VALUE"""),46115.0)</f>
        <v>46115</v>
      </c>
    </row>
    <row r="2098">
      <c r="A2098" s="153" t="str">
        <f>IFERROR(__xludf.DUMMYFUNCTION("""COMPUTED_VALUE"""),"CBC0000017601")</f>
        <v>CBC0000017601</v>
      </c>
      <c r="B2098" s="153" t="str">
        <f>IFERROR(__xludf.DUMMYFUNCTION("""COMPUTED_VALUE"""),"WES")</f>
        <v>WES</v>
      </c>
      <c r="C2098" s="154">
        <f>IFERROR(__xludf.DUMMYFUNCTION("""COMPUTED_VALUE"""),46101.0)</f>
        <v>46101</v>
      </c>
      <c r="D2098" s="154">
        <f>IFERROR(__xludf.DUMMYFUNCTION("""COMPUTED_VALUE"""),46118.0)</f>
        <v>46118</v>
      </c>
    </row>
    <row r="2099">
      <c r="A2099" s="153" t="str">
        <f>IFERROR(__xludf.DUMMYFUNCTION("""COMPUTED_VALUE"""),"AMB0000006720")</f>
        <v>AMB0000006720</v>
      </c>
      <c r="B2099" s="153" t="str">
        <f>IFERROR(__xludf.DUMMYFUNCTION("""COMPUTED_VALUE"""),"FEMALE INFERTILITY NGS PANEL")</f>
        <v>FEMALE INFERTILITY NGS PANEL</v>
      </c>
      <c r="C2099" s="154">
        <f>IFERROR(__xludf.DUMMYFUNCTION("""COMPUTED_VALUE"""),46101.0)</f>
        <v>46101</v>
      </c>
      <c r="D2099" s="154">
        <f>IFERROR(__xludf.DUMMYFUNCTION("""COMPUTED_VALUE"""),46105.0)</f>
        <v>46105</v>
      </c>
    </row>
    <row r="2100">
      <c r="A2100" s="153" t="str">
        <f>IFERROR(__xludf.DUMMYFUNCTION("""COMPUTED_VALUE"""),"HYP0000000447")</f>
        <v>HYP0000000447</v>
      </c>
      <c r="B2100" s="153" t="str">
        <f>IFERROR(__xludf.DUMMYFUNCTION("""COMPUTED_VALUE"""),"WES")</f>
        <v>WES</v>
      </c>
      <c r="C2100" s="154">
        <f>IFERROR(__xludf.DUMMYFUNCTION("""COMPUTED_VALUE"""),46101.0)</f>
        <v>46101</v>
      </c>
      <c r="D2100" s="154">
        <f>IFERROR(__xludf.DUMMYFUNCTION("""COMPUTED_VALUE"""),46118.0)</f>
        <v>46118</v>
      </c>
    </row>
    <row r="2101">
      <c r="A2101" s="153" t="str">
        <f>IFERROR(__xludf.DUMMYFUNCTION("""COMPUTED_VALUE"""),"VRM0000000564")</f>
        <v>VRM0000000564</v>
      </c>
      <c r="B2101" s="153" t="str">
        <f>IFERROR(__xludf.DUMMYFUNCTION("""COMPUTED_VALUE"""),"MALE INFERTILITY NGS PANEL")</f>
        <v>MALE INFERTILITY NGS PANEL</v>
      </c>
      <c r="C2101" s="154">
        <f>IFERROR(__xludf.DUMMYFUNCTION("""COMPUTED_VALUE"""),46101.0)</f>
        <v>46101</v>
      </c>
      <c r="D2101" s="154">
        <f>IFERROR(__xludf.DUMMYFUNCTION("""COMPUTED_VALUE"""),46108.0)</f>
        <v>46108</v>
      </c>
    </row>
    <row r="2102">
      <c r="A2102" s="153" t="str">
        <f>IFERROR(__xludf.DUMMYFUNCTION("""COMPUTED_VALUE"""),"VRM0000000565")</f>
        <v>VRM0000000565</v>
      </c>
      <c r="B2102" s="153" t="str">
        <f>IFERROR(__xludf.DUMMYFUNCTION("""COMPUTED_VALUE"""),"FEMALE INFERTILITY NGS PANEL")</f>
        <v>FEMALE INFERTILITY NGS PANEL</v>
      </c>
      <c r="C2102" s="154">
        <f>IFERROR(__xludf.DUMMYFUNCTION("""COMPUTED_VALUE"""),46101.0)</f>
        <v>46101</v>
      </c>
      <c r="D2102" s="154">
        <f>IFERROR(__xludf.DUMMYFUNCTION("""COMPUTED_VALUE"""),46108.0)</f>
        <v>46108</v>
      </c>
    </row>
    <row r="2103">
      <c r="A2103" s="153" t="str">
        <f>IFERROR(__xludf.DUMMYFUNCTION("""COMPUTED_VALUE"""),"DCC0000003237")</f>
        <v>DCC0000003237</v>
      </c>
      <c r="B2103" s="153" t="str">
        <f>IFERROR(__xludf.DUMMYFUNCTION("""COMPUTED_VALUE"""),"WES")</f>
        <v>WES</v>
      </c>
      <c r="C2103" s="154">
        <f>IFERROR(__xludf.DUMMYFUNCTION("""COMPUTED_VALUE"""),46101.0)</f>
        <v>46101</v>
      </c>
      <c r="D2103" s="154">
        <f>IFERROR(__xludf.DUMMYFUNCTION("""COMPUTED_VALUE"""),46119.0)</f>
        <v>46119</v>
      </c>
    </row>
    <row r="2104">
      <c r="A2104" s="153" t="str">
        <f>IFERROR(__xludf.DUMMYFUNCTION("""COMPUTED_VALUE"""),"DCC0000003259")</f>
        <v>DCC0000003259</v>
      </c>
      <c r="B2104" s="153" t="str">
        <f>IFERROR(__xludf.DUMMYFUNCTION("""COMPUTED_VALUE"""),"WES+WMGS")</f>
        <v>WES+WMGS</v>
      </c>
      <c r="C2104" s="154">
        <f>IFERROR(__xludf.DUMMYFUNCTION("""COMPUTED_VALUE"""),46101.0)</f>
        <v>46101</v>
      </c>
      <c r="D2104" s="154">
        <f>IFERROR(__xludf.DUMMYFUNCTION("""COMPUTED_VALUE"""),46119.0)</f>
        <v>46119</v>
      </c>
    </row>
    <row r="2105">
      <c r="A2105" s="153" t="str">
        <f>IFERROR(__xludf.DUMMYFUNCTION("""COMPUTED_VALUE"""),"HYP0000000498")</f>
        <v>HYP0000000498</v>
      </c>
      <c r="B2105" s="153" t="str">
        <f>IFERROR(__xludf.DUMMYFUNCTION("""COMPUTED_VALUE"""),"ADVAT FOCUS CARRIER SCREENING - NGS")</f>
        <v>ADVAT FOCUS CARRIER SCREENING - NGS</v>
      </c>
      <c r="C2105" s="154">
        <f>IFERROR(__xludf.DUMMYFUNCTION("""COMPUTED_VALUE"""),46101.0)</f>
        <v>46101</v>
      </c>
      <c r="D2105" s="154">
        <f>IFERROR(__xludf.DUMMYFUNCTION("""COMPUTED_VALUE"""),46114.0)</f>
        <v>46114</v>
      </c>
    </row>
    <row r="2106">
      <c r="A2106" s="153" t="str">
        <f>IFERROR(__xludf.DUMMYFUNCTION("""COMPUTED_VALUE"""),"HYP0000000499")</f>
        <v>HYP0000000499</v>
      </c>
      <c r="B2106" s="153" t="str">
        <f>IFERROR(__xludf.DUMMYFUNCTION("""COMPUTED_VALUE"""),"ADVAT FOCUS CARRIER SCREENING - NGS")</f>
        <v>ADVAT FOCUS CARRIER SCREENING - NGS</v>
      </c>
      <c r="C2106" s="154">
        <f>IFERROR(__xludf.DUMMYFUNCTION("""COMPUTED_VALUE"""),46101.0)</f>
        <v>46101</v>
      </c>
      <c r="D2106" s="154">
        <f>IFERROR(__xludf.DUMMYFUNCTION("""COMPUTED_VALUE"""),46114.0)</f>
        <v>46114</v>
      </c>
    </row>
    <row r="2107">
      <c r="A2107" s="153" t="str">
        <f>IFERROR(__xludf.DUMMYFUNCTION("""COMPUTED_VALUE"""),"ADK0000000359")</f>
        <v>ADK0000000359</v>
      </c>
      <c r="B2107" s="153" t="str">
        <f>IFERROR(__xludf.DUMMYFUNCTION("""COMPUTED_VALUE"""),"WES+WMGS")</f>
        <v>WES+WMGS</v>
      </c>
      <c r="C2107" s="154">
        <f>IFERROR(__xludf.DUMMYFUNCTION("""COMPUTED_VALUE"""),46101.0)</f>
        <v>46101</v>
      </c>
      <c r="D2107" s="154">
        <f>IFERROR(__xludf.DUMMYFUNCTION("""COMPUTED_VALUE"""),46119.0)</f>
        <v>46119</v>
      </c>
    </row>
    <row r="2108">
      <c r="A2108" s="153" t="str">
        <f>IFERROR(__xludf.DUMMYFUNCTION("""COMPUTED_VALUE"""),"ADK0000000360")</f>
        <v>ADK0000000360</v>
      </c>
      <c r="B2108" s="153" t="str">
        <f>IFERROR(__xludf.DUMMYFUNCTION("""COMPUTED_VALUE"""),"WES+WMGS")</f>
        <v>WES+WMGS</v>
      </c>
      <c r="C2108" s="154">
        <f>IFERROR(__xludf.DUMMYFUNCTION("""COMPUTED_VALUE"""),46101.0)</f>
        <v>46101</v>
      </c>
      <c r="D2108" s="154">
        <f>IFERROR(__xludf.DUMMYFUNCTION("""COMPUTED_VALUE"""),46119.0)</f>
        <v>46119</v>
      </c>
    </row>
    <row r="2109">
      <c r="A2109" s="153" t="str">
        <f>IFERROR(__xludf.DUMMYFUNCTION("""COMPUTED_VALUE"""),"ADK0000000361")</f>
        <v>ADK0000000361</v>
      </c>
      <c r="B2109" s="153" t="str">
        <f>IFERROR(__xludf.DUMMYFUNCTION("""COMPUTED_VALUE"""),"WES+WMGS")</f>
        <v>WES+WMGS</v>
      </c>
      <c r="C2109" s="154">
        <f>IFERROR(__xludf.DUMMYFUNCTION("""COMPUTED_VALUE"""),46101.0)</f>
        <v>46101</v>
      </c>
      <c r="D2109" s="154">
        <f>IFERROR(__xludf.DUMMYFUNCTION("""COMPUTED_VALUE"""),46119.0)</f>
        <v>46119</v>
      </c>
    </row>
    <row r="2110">
      <c r="A2110" s="153" t="str">
        <f>IFERROR(__xludf.DUMMYFUNCTION("""COMPUTED_VALUE"""),"ADK0000000362")</f>
        <v>ADK0000000362</v>
      </c>
      <c r="B2110" s="153" t="str">
        <f>IFERROR(__xludf.DUMMYFUNCTION("""COMPUTED_VALUE"""),"WES+WMGS")</f>
        <v>WES+WMGS</v>
      </c>
      <c r="C2110" s="154">
        <f>IFERROR(__xludf.DUMMYFUNCTION("""COMPUTED_VALUE"""),46101.0)</f>
        <v>46101</v>
      </c>
      <c r="D2110" s="154">
        <f>IFERROR(__xludf.DUMMYFUNCTION("""COMPUTED_VALUE"""),46119.0)</f>
        <v>46119</v>
      </c>
    </row>
    <row r="2111">
      <c r="A2111" s="153" t="str">
        <f>IFERROR(__xludf.DUMMYFUNCTION("""COMPUTED_VALUE"""),"SCF0000000295")</f>
        <v>SCF0000000295</v>
      </c>
      <c r="B2111" s="153" t="str">
        <f>IFERROR(__xludf.DUMMYFUNCTION("""COMPUTED_VALUE"""),"WES")</f>
        <v>WES</v>
      </c>
      <c r="C2111" s="154">
        <f>IFERROR(__xludf.DUMMYFUNCTION("""COMPUTED_VALUE"""),46101.0)</f>
        <v>46101</v>
      </c>
      <c r="D2111" s="154">
        <f>IFERROR(__xludf.DUMMYFUNCTION("""COMPUTED_VALUE"""),46092.0)</f>
        <v>46092</v>
      </c>
    </row>
    <row r="2112">
      <c r="A2112" s="153" t="str">
        <f>IFERROR(__xludf.DUMMYFUNCTION("""COMPUTED_VALUE"""),"SCF0000000296")</f>
        <v>SCF0000000296</v>
      </c>
      <c r="B2112" s="153" t="str">
        <f>IFERROR(__xludf.DUMMYFUNCTION("""COMPUTED_VALUE"""),"WES")</f>
        <v>WES</v>
      </c>
      <c r="C2112" s="154">
        <f>IFERROR(__xludf.DUMMYFUNCTION("""COMPUTED_VALUE"""),46101.0)</f>
        <v>46101</v>
      </c>
      <c r="D2112" s="154">
        <f>IFERROR(__xludf.DUMMYFUNCTION("""COMPUTED_VALUE"""),46092.0)</f>
        <v>46092</v>
      </c>
    </row>
    <row r="2113">
      <c r="A2113" s="153" t="str">
        <f>IFERROR(__xludf.DUMMYFUNCTION("""COMPUTED_VALUE"""),"CBC0000016034")</f>
        <v>CBC0000016034</v>
      </c>
      <c r="B2113" s="153" t="str">
        <f>IFERROR(__xludf.DUMMYFUNCTION("""COMPUTED_VALUE"""),"WES")</f>
        <v>WES</v>
      </c>
      <c r="C2113" s="154">
        <f>IFERROR(__xludf.DUMMYFUNCTION("""COMPUTED_VALUE"""),46101.0)</f>
        <v>46101</v>
      </c>
      <c r="D2113" s="154">
        <f>IFERROR(__xludf.DUMMYFUNCTION("""COMPUTED_VALUE"""),46119.0)</f>
        <v>46119</v>
      </c>
    </row>
    <row r="2114">
      <c r="A2114" s="153" t="str">
        <f>IFERROR(__xludf.DUMMYFUNCTION("""COMPUTED_VALUE"""),"CBC0000016702")</f>
        <v>CBC0000016702</v>
      </c>
      <c r="B2114" s="153" t="str">
        <f>IFERROR(__xludf.DUMMYFUNCTION("""COMPUTED_VALUE"""),"CES")</f>
        <v>CES</v>
      </c>
      <c r="C2114" s="154">
        <f>IFERROR(__xludf.DUMMYFUNCTION("""COMPUTED_VALUE"""),46101.0)</f>
        <v>46101</v>
      </c>
      <c r="D2114" s="154">
        <f>IFERROR(__xludf.DUMMYFUNCTION("""COMPUTED_VALUE"""),46119.0)</f>
        <v>46119</v>
      </c>
    </row>
    <row r="2115">
      <c r="A2115" s="153" t="str">
        <f>IFERROR(__xludf.DUMMYFUNCTION("""COMPUTED_VALUE"""),"AMB0000006865")</f>
        <v>AMB0000006865</v>
      </c>
      <c r="B2115" s="153" t="str">
        <f>IFERROR(__xludf.DUMMYFUNCTION("""COMPUTED_VALUE"""),"WES")</f>
        <v>WES</v>
      </c>
      <c r="C2115" s="154">
        <f>IFERROR(__xludf.DUMMYFUNCTION("""COMPUTED_VALUE"""),46101.0)</f>
        <v>46101</v>
      </c>
      <c r="D2115" s="154">
        <f>IFERROR(__xludf.DUMMYFUNCTION("""COMPUTED_VALUE"""),46119.0)</f>
        <v>46119</v>
      </c>
    </row>
    <row r="2116">
      <c r="A2116" s="153" t="str">
        <f>IFERROR(__xludf.DUMMYFUNCTION("""COMPUTED_VALUE"""),"ADB0000028372")</f>
        <v>ADB0000028372</v>
      </c>
      <c r="B2116" s="153" t="str">
        <f>IFERROR(__xludf.DUMMYFUNCTION("""COMPUTED_VALUE"""),"WES")</f>
        <v>WES</v>
      </c>
      <c r="C2116" s="154">
        <f>IFERROR(__xludf.DUMMYFUNCTION("""COMPUTED_VALUE"""),46101.0)</f>
        <v>46101</v>
      </c>
      <c r="D2116" s="154">
        <f>IFERROR(__xludf.DUMMYFUNCTION("""COMPUTED_VALUE"""),46120.0)</f>
        <v>46120</v>
      </c>
    </row>
    <row r="2117">
      <c r="A2117" s="153" t="str">
        <f>IFERROR(__xludf.DUMMYFUNCTION("""COMPUTED_VALUE"""),"ADH0000016729")</f>
        <v>ADH0000016729</v>
      </c>
      <c r="B2117" s="153" t="str">
        <f>IFERROR(__xludf.DUMMYFUNCTION("""COMPUTED_VALUE"""),"WES")</f>
        <v>WES</v>
      </c>
      <c r="C2117" s="154">
        <f>IFERROR(__xludf.DUMMYFUNCTION("""COMPUTED_VALUE"""),46101.0)</f>
        <v>46101</v>
      </c>
      <c r="D2117" s="154">
        <f>IFERROR(__xludf.DUMMYFUNCTION("""COMPUTED_VALUE"""),46120.0)</f>
        <v>46120</v>
      </c>
    </row>
    <row r="2118">
      <c r="A2118" s="153" t="str">
        <f>IFERROR(__xludf.DUMMYFUNCTION("""COMPUTED_VALUE"""),"CBC0000016033")</f>
        <v>CBC0000016033</v>
      </c>
      <c r="B2118" s="153" t="str">
        <f>IFERROR(__xludf.DUMMYFUNCTION("""COMPUTED_VALUE"""),"WES")</f>
        <v>WES</v>
      </c>
      <c r="C2118" s="154">
        <f>IFERROR(__xludf.DUMMYFUNCTION("""COMPUTED_VALUE"""),46101.0)</f>
        <v>46101</v>
      </c>
      <c r="D2118" s="154">
        <f>IFERROR(__xludf.DUMMYFUNCTION("""COMPUTED_VALUE"""),46119.0)</f>
        <v>46119</v>
      </c>
    </row>
    <row r="2119">
      <c r="A2119" s="153" t="str">
        <f>IFERROR(__xludf.DUMMYFUNCTION("""COMPUTED_VALUE"""),"ADB0000028458")</f>
        <v>ADB0000028458</v>
      </c>
      <c r="B2119" s="153" t="str">
        <f>IFERROR(__xludf.DUMMYFUNCTION("""COMPUTED_VALUE"""),"MALE INFERTILITY NGS PANEL")</f>
        <v>MALE INFERTILITY NGS PANEL</v>
      </c>
      <c r="C2119" s="154">
        <f>IFERROR(__xludf.DUMMYFUNCTION("""COMPUTED_VALUE"""),46101.0)</f>
        <v>46101</v>
      </c>
      <c r="D2119" s="154">
        <f>IFERROR(__xludf.DUMMYFUNCTION("""COMPUTED_VALUE"""),46110.0)</f>
        <v>46110</v>
      </c>
    </row>
    <row r="2120">
      <c r="A2120" s="153" t="str">
        <f>IFERROR(__xludf.DUMMYFUNCTION("""COMPUTED_VALUE"""),"ACO0000002152")</f>
        <v>ACO0000002152</v>
      </c>
      <c r="B2120" s="153" t="str">
        <f>IFERROR(__xludf.DUMMYFUNCTION("""COMPUTED_VALUE"""),"FEMALE INFERTILITY NGS PANEL")</f>
        <v>FEMALE INFERTILITY NGS PANEL</v>
      </c>
      <c r="C2120" s="154">
        <f>IFERROR(__xludf.DUMMYFUNCTION("""COMPUTED_VALUE"""),46101.0)</f>
        <v>46101</v>
      </c>
      <c r="D2120" s="154">
        <f>IFERROR(__xludf.DUMMYFUNCTION("""COMPUTED_VALUE"""),46110.0)</f>
        <v>46110</v>
      </c>
    </row>
    <row r="2121">
      <c r="A2121" s="153" t="str">
        <f>IFERROR(__xludf.DUMMYFUNCTION("""COMPUTED_VALUE"""),"ADH0000015979")</f>
        <v>ADH0000015979</v>
      </c>
      <c r="B2121" s="153" t="str">
        <f>IFERROR(__xludf.DUMMYFUNCTION("""COMPUTED_VALUE"""),"WES")</f>
        <v>WES</v>
      </c>
      <c r="C2121" s="154">
        <f>IFERROR(__xludf.DUMMYFUNCTION("""COMPUTED_VALUE"""),46101.0)</f>
        <v>46101</v>
      </c>
      <c r="D2121" s="154">
        <f>IFERROR(__xludf.DUMMYFUNCTION("""COMPUTED_VALUE"""),46115.0)</f>
        <v>46115</v>
      </c>
    </row>
    <row r="2122">
      <c r="A2122" s="153" t="str">
        <f>IFERROR(__xludf.DUMMYFUNCTION("""COMPUTED_VALUE"""),"ADH0000016433")</f>
        <v>ADH0000016433</v>
      </c>
      <c r="B2122" s="153" t="str">
        <f>IFERROR(__xludf.DUMMYFUNCTION("""COMPUTED_VALUE"""),"WES")</f>
        <v>WES</v>
      </c>
      <c r="C2122" s="154">
        <f>IFERROR(__xludf.DUMMYFUNCTION("""COMPUTED_VALUE"""),46101.0)</f>
        <v>46101</v>
      </c>
      <c r="D2122" s="154">
        <f>IFERROR(__xludf.DUMMYFUNCTION("""COMPUTED_VALUE"""),46118.0)</f>
        <v>46118</v>
      </c>
    </row>
    <row r="2123">
      <c r="A2123" s="153" t="str">
        <f>IFERROR(__xludf.DUMMYFUNCTION("""COMPUTED_VALUE"""),"AMB0000006871")</f>
        <v>AMB0000006871</v>
      </c>
      <c r="B2123" s="153" t="str">
        <f>IFERROR(__xludf.DUMMYFUNCTION("""COMPUTED_VALUE"""),"WES")</f>
        <v>WES</v>
      </c>
      <c r="C2123" s="154">
        <f>IFERROR(__xludf.DUMMYFUNCTION("""COMPUTED_VALUE"""),46101.0)</f>
        <v>46101</v>
      </c>
      <c r="D2123" s="154">
        <f>IFERROR(__xludf.DUMMYFUNCTION("""COMPUTED_VALUE"""),46114.0)</f>
        <v>46114</v>
      </c>
    </row>
    <row r="2124">
      <c r="A2124" s="153" t="str">
        <f>IFERROR(__xludf.DUMMYFUNCTION("""COMPUTED_VALUE"""),"ADK0000000389")</f>
        <v>ADK0000000389</v>
      </c>
      <c r="B2124" s="153" t="str">
        <f>IFERROR(__xludf.DUMMYFUNCTION("""COMPUTED_VALUE"""),"WES+WMGS")</f>
        <v>WES+WMGS</v>
      </c>
      <c r="C2124" s="154">
        <f>IFERROR(__xludf.DUMMYFUNCTION("""COMPUTED_VALUE"""),46101.0)</f>
        <v>46101</v>
      </c>
      <c r="D2124" s="154">
        <f>IFERROR(__xludf.DUMMYFUNCTION("""COMPUTED_VALUE"""),46120.0)</f>
        <v>46120</v>
      </c>
    </row>
    <row r="2125">
      <c r="A2125" s="153" t="str">
        <f>IFERROR(__xludf.DUMMYFUNCTION("""COMPUTED_VALUE"""),"ADK0000000391")</f>
        <v>ADK0000000391</v>
      </c>
      <c r="B2125" s="153" t="str">
        <f>IFERROR(__xludf.DUMMYFUNCTION("""COMPUTED_VALUE"""),"WES+WMGS")</f>
        <v>WES+WMGS</v>
      </c>
      <c r="C2125" s="154">
        <f>IFERROR(__xludf.DUMMYFUNCTION("""COMPUTED_VALUE"""),46101.0)</f>
        <v>46101</v>
      </c>
      <c r="D2125" s="154">
        <f>IFERROR(__xludf.DUMMYFUNCTION("""COMPUTED_VALUE"""),46120.0)</f>
        <v>46120</v>
      </c>
    </row>
    <row r="2126">
      <c r="A2126" s="153" t="str">
        <f>IFERROR(__xludf.DUMMYFUNCTION("""COMPUTED_VALUE"""),"ADB0000028628")</f>
        <v>ADB0000028628</v>
      </c>
      <c r="B2126" s="153" t="str">
        <f>IFERROR(__xludf.DUMMYFUNCTION("""COMPUTED_VALUE"""),"WES")</f>
        <v>WES</v>
      </c>
      <c r="C2126" s="154">
        <f>IFERROR(__xludf.DUMMYFUNCTION("""COMPUTED_VALUE"""),46101.0)</f>
        <v>46101</v>
      </c>
      <c r="D2126" s="154">
        <f>IFERROR(__xludf.DUMMYFUNCTION("""COMPUTED_VALUE"""),46121.0)</f>
        <v>46121</v>
      </c>
    </row>
    <row r="2127">
      <c r="A2127" s="153" t="str">
        <f>IFERROR(__xludf.DUMMYFUNCTION("""COMPUTED_VALUE"""),"ADK0000000435")</f>
        <v>ADK0000000435</v>
      </c>
      <c r="B2127" s="153" t="str">
        <f>IFERROR(__xludf.DUMMYFUNCTION("""COMPUTED_VALUE"""),"WES")</f>
        <v>WES</v>
      </c>
      <c r="C2127" s="154">
        <f>IFERROR(__xludf.DUMMYFUNCTION("""COMPUTED_VALUE"""),46101.0)</f>
        <v>46101</v>
      </c>
      <c r="D2127" s="154">
        <f>IFERROR(__xludf.DUMMYFUNCTION("""COMPUTED_VALUE"""),46115.0)</f>
        <v>46115</v>
      </c>
    </row>
    <row r="2128">
      <c r="A2128" s="153" t="str">
        <f>IFERROR(__xludf.DUMMYFUNCTION("""COMPUTED_VALUE"""),"ADK0000000433")</f>
        <v>ADK0000000433</v>
      </c>
      <c r="B2128" s="153" t="str">
        <f>IFERROR(__xludf.DUMMYFUNCTION("""COMPUTED_VALUE"""),"WES")</f>
        <v>WES</v>
      </c>
      <c r="C2128" s="154">
        <f>IFERROR(__xludf.DUMMYFUNCTION("""COMPUTED_VALUE"""),46101.0)</f>
        <v>46101</v>
      </c>
      <c r="D2128" s="154">
        <f>IFERROR(__xludf.DUMMYFUNCTION("""COMPUTED_VALUE"""),46115.0)</f>
        <v>46115</v>
      </c>
    </row>
    <row r="2129">
      <c r="A2129" s="153" t="str">
        <f>IFERROR(__xludf.DUMMYFUNCTION("""COMPUTED_VALUE"""),"ADK0000000436")</f>
        <v>ADK0000000436</v>
      </c>
      <c r="B2129" s="153" t="str">
        <f>IFERROR(__xludf.DUMMYFUNCTION("""COMPUTED_VALUE"""),"WES")</f>
        <v>WES</v>
      </c>
      <c r="C2129" s="154">
        <f>IFERROR(__xludf.DUMMYFUNCTION("""COMPUTED_VALUE"""),46101.0)</f>
        <v>46101</v>
      </c>
      <c r="D2129" s="154">
        <f>IFERROR(__xludf.DUMMYFUNCTION("""COMPUTED_VALUE"""),46115.0)</f>
        <v>46115</v>
      </c>
    </row>
    <row r="2130">
      <c r="A2130" s="153" t="str">
        <f>IFERROR(__xludf.DUMMYFUNCTION("""COMPUTED_VALUE"""),"ADK0000000434")</f>
        <v>ADK0000000434</v>
      </c>
      <c r="B2130" s="153" t="str">
        <f>IFERROR(__xludf.DUMMYFUNCTION("""COMPUTED_VALUE"""),"WES")</f>
        <v>WES</v>
      </c>
      <c r="C2130" s="154">
        <f>IFERROR(__xludf.DUMMYFUNCTION("""COMPUTED_VALUE"""),46101.0)</f>
        <v>46101</v>
      </c>
      <c r="D2130" s="154">
        <f>IFERROR(__xludf.DUMMYFUNCTION("""COMPUTED_VALUE"""),46115.0)</f>
        <v>46115</v>
      </c>
    </row>
    <row r="2131">
      <c r="A2131" s="153" t="str">
        <f>IFERROR(__xludf.DUMMYFUNCTION("""COMPUTED_VALUE"""),"ADK0000000493")</f>
        <v>ADK0000000493</v>
      </c>
      <c r="B2131" s="153" t="str">
        <f>IFERROR(__xludf.DUMMYFUNCTION("""COMPUTED_VALUE"""),"WES")</f>
        <v>WES</v>
      </c>
      <c r="C2131" s="154">
        <f>IFERROR(__xludf.DUMMYFUNCTION("""COMPUTED_VALUE"""),46101.0)</f>
        <v>46101</v>
      </c>
      <c r="D2131" s="154">
        <f>IFERROR(__xludf.DUMMYFUNCTION("""COMPUTED_VALUE"""),46115.0)</f>
        <v>46115</v>
      </c>
    </row>
    <row r="2132">
      <c r="A2132" s="153" t="str">
        <f>IFERROR(__xludf.DUMMYFUNCTION("""COMPUTED_VALUE"""),"ADK0000000449")</f>
        <v>ADK0000000449</v>
      </c>
      <c r="B2132" s="153" t="str">
        <f>IFERROR(__xludf.DUMMYFUNCTION("""COMPUTED_VALUE"""),"WES+WMGS")</f>
        <v>WES+WMGS</v>
      </c>
      <c r="C2132" s="154">
        <f>IFERROR(__xludf.DUMMYFUNCTION("""COMPUTED_VALUE"""),46101.0)</f>
        <v>46101</v>
      </c>
      <c r="D2132" s="154">
        <f>IFERROR(__xludf.DUMMYFUNCTION("""COMPUTED_VALUE"""),46086.0)</f>
        <v>46086</v>
      </c>
    </row>
    <row r="2133">
      <c r="A2133" s="153" t="str">
        <f>IFERROR(__xludf.DUMMYFUNCTION("""COMPUTED_VALUE"""),"ADK0000000450")</f>
        <v>ADK0000000450</v>
      </c>
      <c r="B2133" s="153" t="str">
        <f>IFERROR(__xludf.DUMMYFUNCTION("""COMPUTED_VALUE"""),"WES")</f>
        <v>WES</v>
      </c>
      <c r="C2133" s="154">
        <f>IFERROR(__xludf.DUMMYFUNCTION("""COMPUTED_VALUE"""),46101.0)</f>
        <v>46101</v>
      </c>
      <c r="D2133" s="154">
        <f>IFERROR(__xludf.DUMMYFUNCTION("""COMPUTED_VALUE"""),46086.0)</f>
        <v>46086</v>
      </c>
    </row>
    <row r="2134">
      <c r="A2134" s="153" t="str">
        <f>IFERROR(__xludf.DUMMYFUNCTION("""COMPUTED_VALUE"""),"IDG0000000033")</f>
        <v>IDG0000000033</v>
      </c>
      <c r="B2134" s="153" t="str">
        <f>IFERROR(__xludf.DUMMYFUNCTION("""COMPUTED_VALUE"""),"WES")</f>
        <v>WES</v>
      </c>
      <c r="C2134" s="154">
        <f>IFERROR(__xludf.DUMMYFUNCTION("""COMPUTED_VALUE"""),46101.0)</f>
        <v>46101</v>
      </c>
      <c r="D2134" s="154">
        <f>IFERROR(__xludf.DUMMYFUNCTION("""COMPUTED_VALUE"""),46112.0)</f>
        <v>46112</v>
      </c>
    </row>
    <row r="2135">
      <c r="A2135" s="153" t="str">
        <f>IFERROR(__xludf.DUMMYFUNCTION("""COMPUTED_VALUE"""),"ADK0000000431")</f>
        <v>ADK0000000431</v>
      </c>
      <c r="B2135" s="153" t="str">
        <f>IFERROR(__xludf.DUMMYFUNCTION("""COMPUTED_VALUE"""),"WES+WMGS")</f>
        <v>WES+WMGS</v>
      </c>
      <c r="C2135" s="154">
        <f>IFERROR(__xludf.DUMMYFUNCTION("""COMPUTED_VALUE"""),46101.0)</f>
        <v>46101</v>
      </c>
      <c r="D2135" s="154">
        <f>IFERROR(__xludf.DUMMYFUNCTION("""COMPUTED_VALUE"""),46116.0)</f>
        <v>46116</v>
      </c>
    </row>
    <row r="2136">
      <c r="A2136" s="153" t="str">
        <f>IFERROR(__xludf.DUMMYFUNCTION("""COMPUTED_VALUE"""),"ADK0000000432")</f>
        <v>ADK0000000432</v>
      </c>
      <c r="B2136" s="153" t="str">
        <f>IFERROR(__xludf.DUMMYFUNCTION("""COMPUTED_VALUE"""),"WES+WMGS")</f>
        <v>WES+WMGS</v>
      </c>
      <c r="C2136" s="154">
        <f>IFERROR(__xludf.DUMMYFUNCTION("""COMPUTED_VALUE"""),46101.0)</f>
        <v>46101</v>
      </c>
      <c r="D2136" s="154">
        <f>IFERROR(__xludf.DUMMYFUNCTION("""COMPUTED_VALUE"""),46116.0)</f>
        <v>46116</v>
      </c>
    </row>
    <row r="2137">
      <c r="A2137" s="153"/>
      <c r="B2137" s="153"/>
      <c r="C2137" s="154">
        <f>IFERROR(__xludf.DUMMYFUNCTION("""COMPUTED_VALUE"""),46104.0)</f>
        <v>46104</v>
      </c>
      <c r="D2137" s="153"/>
    </row>
    <row r="2138">
      <c r="A2138" s="153" t="str">
        <f>IFERROR(__xludf.DUMMYFUNCTION("""COMPUTED_VALUE"""),"GRM0000001176")</f>
        <v>GRM0000001176</v>
      </c>
      <c r="B2138" s="153" t="str">
        <f>IFERROR(__xludf.DUMMYFUNCTION("""COMPUTED_VALUE"""),"WES")</f>
        <v>WES</v>
      </c>
      <c r="C2138" s="154">
        <f>IFERROR(__xludf.DUMMYFUNCTION("""COMPUTED_VALUE"""),46104.0)</f>
        <v>46104</v>
      </c>
      <c r="D2138" s="154">
        <f>IFERROR(__xludf.DUMMYFUNCTION("""COMPUTED_VALUE"""),46123.0)</f>
        <v>46123</v>
      </c>
    </row>
    <row r="2139">
      <c r="A2139" s="153" t="str">
        <f>IFERROR(__xludf.DUMMYFUNCTION("""COMPUTED_VALUE"""),"GRM0000001185")</f>
        <v>GRM0000001185</v>
      </c>
      <c r="B2139" s="153" t="str">
        <f>IFERROR(__xludf.DUMMYFUNCTION("""COMPUTED_VALUE"""),"WES+WMGS")</f>
        <v>WES+WMGS</v>
      </c>
      <c r="C2139" s="154">
        <f>IFERROR(__xludf.DUMMYFUNCTION("""COMPUTED_VALUE"""),46104.0)</f>
        <v>46104</v>
      </c>
      <c r="D2139" s="154">
        <f>IFERROR(__xludf.DUMMYFUNCTION("""COMPUTED_VALUE"""),46123.0)</f>
        <v>46123</v>
      </c>
    </row>
    <row r="2140">
      <c r="A2140" s="153" t="str">
        <f>IFERROR(__xludf.DUMMYFUNCTION("""COMPUTED_VALUE"""),"HYP0000000557")</f>
        <v>HYP0000000557</v>
      </c>
      <c r="B2140" s="153" t="str">
        <f>IFERROR(__xludf.DUMMYFUNCTION("""COMPUTED_VALUE"""),"COMPREHENSIVE CARRIER SCREENING")</f>
        <v>COMPREHENSIVE CARRIER SCREENING</v>
      </c>
      <c r="C2140" s="154">
        <f>IFERROR(__xludf.DUMMYFUNCTION("""COMPUTED_VALUE"""),46104.0)</f>
        <v>46104</v>
      </c>
      <c r="D2140" s="154">
        <f>IFERROR(__xludf.DUMMYFUNCTION("""COMPUTED_VALUE"""),46121.0)</f>
        <v>46121</v>
      </c>
    </row>
    <row r="2141">
      <c r="A2141" s="153" t="str">
        <f>IFERROR(__xludf.DUMMYFUNCTION("""COMPUTED_VALUE"""),"HYP0000000558")</f>
        <v>HYP0000000558</v>
      </c>
      <c r="B2141" s="153" t="str">
        <f>IFERROR(__xludf.DUMMYFUNCTION("""COMPUTED_VALUE"""),"COMPREHENSIVE CARRIER SCREENING")</f>
        <v>COMPREHENSIVE CARRIER SCREENING</v>
      </c>
      <c r="C2141" s="154">
        <f>IFERROR(__xludf.DUMMYFUNCTION("""COMPUTED_VALUE"""),46104.0)</f>
        <v>46104</v>
      </c>
      <c r="D2141" s="154">
        <f>IFERROR(__xludf.DUMMYFUNCTION("""COMPUTED_VALUE"""),46121.0)</f>
        <v>46121</v>
      </c>
    </row>
    <row r="2142">
      <c r="A2142" s="153" t="str">
        <f>IFERROR(__xludf.DUMMYFUNCTION("""COMPUTED_VALUE"""),"PH50000004591")</f>
        <v>PH50000004591</v>
      </c>
      <c r="B2142" s="153" t="str">
        <f>IFERROR(__xludf.DUMMYFUNCTION("""COMPUTED_VALUE"""),"WES+WMGS")</f>
        <v>WES+WMGS</v>
      </c>
      <c r="C2142" s="154">
        <f>IFERROR(__xludf.DUMMYFUNCTION("""COMPUTED_VALUE"""),46104.0)</f>
        <v>46104</v>
      </c>
      <c r="D2142" s="154">
        <f>IFERROR(__xludf.DUMMYFUNCTION("""COMPUTED_VALUE"""),46124.0)</f>
        <v>46124</v>
      </c>
    </row>
    <row r="2143">
      <c r="A2143" s="153" t="str">
        <f>IFERROR(__xludf.DUMMYFUNCTION("""COMPUTED_VALUE"""),"ADH0000017125")</f>
        <v>ADH0000017125</v>
      </c>
      <c r="B2143" s="153" t="str">
        <f>IFERROR(__xludf.DUMMYFUNCTION("""COMPUTED_VALUE"""),"WES")</f>
        <v>WES</v>
      </c>
      <c r="C2143" s="154">
        <f>IFERROR(__xludf.DUMMYFUNCTION("""COMPUTED_VALUE"""),46104.0)</f>
        <v>46104</v>
      </c>
      <c r="D2143" s="154">
        <f>IFERROR(__xludf.DUMMYFUNCTION("""COMPUTED_VALUE"""),46122.0)</f>
        <v>46122</v>
      </c>
    </row>
    <row r="2144">
      <c r="A2144" s="153" t="str">
        <f>IFERROR(__xludf.DUMMYFUNCTION("""COMPUTED_VALUE"""),"HYP0000000551")</f>
        <v>HYP0000000551</v>
      </c>
      <c r="B2144" s="153" t="str">
        <f>IFERROR(__xludf.DUMMYFUNCTION("""COMPUTED_VALUE"""),"WES")</f>
        <v>WES</v>
      </c>
      <c r="C2144" s="154">
        <f>IFERROR(__xludf.DUMMYFUNCTION("""COMPUTED_VALUE"""),46104.0)</f>
        <v>46104</v>
      </c>
      <c r="D2144" s="154">
        <f>IFERROR(__xludf.DUMMYFUNCTION("""COMPUTED_VALUE"""),46122.0)</f>
        <v>46122</v>
      </c>
    </row>
    <row r="2145">
      <c r="A2145" s="153" t="str">
        <f>IFERROR(__xludf.DUMMYFUNCTION("""COMPUTED_VALUE"""),"ANK0000001419")</f>
        <v>ANK0000001419</v>
      </c>
      <c r="B2145" s="153" t="str">
        <f>IFERROR(__xludf.DUMMYFUNCTION("""COMPUTED_VALUE"""),"CES")</f>
        <v>CES</v>
      </c>
      <c r="C2145" s="154">
        <f>IFERROR(__xludf.DUMMYFUNCTION("""COMPUTED_VALUE"""),46104.0)</f>
        <v>46104</v>
      </c>
      <c r="D2145" s="154">
        <f>IFERROR(__xludf.DUMMYFUNCTION("""COMPUTED_VALUE"""),46122.0)</f>
        <v>46122</v>
      </c>
    </row>
    <row r="2146">
      <c r="A2146" s="153" t="str">
        <f>IFERROR(__xludf.DUMMYFUNCTION("""COMPUTED_VALUE"""),"IDG0000000037")</f>
        <v>IDG0000000037</v>
      </c>
      <c r="B2146" s="153" t="str">
        <f>IFERROR(__xludf.DUMMYFUNCTION("""COMPUTED_VALUE"""),"WES")</f>
        <v>WES</v>
      </c>
      <c r="C2146" s="154">
        <f>IFERROR(__xludf.DUMMYFUNCTION("""COMPUTED_VALUE"""),46104.0)</f>
        <v>46104</v>
      </c>
      <c r="D2146" s="154">
        <f>IFERROR(__xludf.DUMMYFUNCTION("""COMPUTED_VALUE"""),46121.0)</f>
        <v>46121</v>
      </c>
    </row>
    <row r="2147">
      <c r="A2147" s="153" t="str">
        <f>IFERROR(__xludf.DUMMYFUNCTION("""COMPUTED_VALUE"""),"ADK0000000487")</f>
        <v>ADK0000000487</v>
      </c>
      <c r="B2147" s="153" t="str">
        <f>IFERROR(__xludf.DUMMYFUNCTION("""COMPUTED_VALUE"""),"WES+WMGS")</f>
        <v>WES+WMGS</v>
      </c>
      <c r="C2147" s="154">
        <f>IFERROR(__xludf.DUMMYFUNCTION("""COMPUTED_VALUE"""),46104.0)</f>
        <v>46104</v>
      </c>
      <c r="D2147" s="154">
        <f>IFERROR(__xludf.DUMMYFUNCTION("""COMPUTED_VALUE"""),46124.0)</f>
        <v>46124</v>
      </c>
    </row>
    <row r="2148">
      <c r="A2148" s="153" t="str">
        <f>IFERROR(__xludf.DUMMYFUNCTION("""COMPUTED_VALUE"""),"HYP0000000619")</f>
        <v>HYP0000000619</v>
      </c>
      <c r="B2148" s="153" t="str">
        <f>IFERROR(__xludf.DUMMYFUNCTION("""COMPUTED_VALUE"""),"WES")</f>
        <v>WES</v>
      </c>
      <c r="C2148" s="154">
        <f>IFERROR(__xludf.DUMMYFUNCTION("""COMPUTED_VALUE"""),46104.0)</f>
        <v>46104</v>
      </c>
      <c r="D2148" s="154">
        <f>IFERROR(__xludf.DUMMYFUNCTION("""COMPUTED_VALUE"""),46124.0)</f>
        <v>46124</v>
      </c>
    </row>
    <row r="2149">
      <c r="A2149" s="153" t="str">
        <f>IFERROR(__xludf.DUMMYFUNCTION("""COMPUTED_VALUE"""),"HYP0000000620")</f>
        <v>HYP0000000620</v>
      </c>
      <c r="B2149" s="153" t="str">
        <f>IFERROR(__xludf.DUMMYFUNCTION("""COMPUTED_VALUE"""),"WES")</f>
        <v>WES</v>
      </c>
      <c r="C2149" s="154">
        <f>IFERROR(__xludf.DUMMYFUNCTION("""COMPUTED_VALUE"""),46104.0)</f>
        <v>46104</v>
      </c>
      <c r="D2149" s="154">
        <f>IFERROR(__xludf.DUMMYFUNCTION("""COMPUTED_VALUE"""),46124.0)</f>
        <v>46124</v>
      </c>
    </row>
    <row r="2150">
      <c r="A2150" s="153" t="str">
        <f>IFERROR(__xludf.DUMMYFUNCTION("""COMPUTED_VALUE"""),"ADK0000000500")</f>
        <v>ADK0000000500</v>
      </c>
      <c r="B2150" s="153"/>
      <c r="C2150" s="154">
        <f>IFERROR(__xludf.DUMMYFUNCTION("""COMPUTED_VALUE"""),46104.0)</f>
        <v>46104</v>
      </c>
      <c r="D2150" s="154">
        <f>IFERROR(__xludf.DUMMYFUNCTION("""COMPUTED_VALUE"""),46119.0)</f>
        <v>46119</v>
      </c>
    </row>
    <row r="2151">
      <c r="A2151" s="153" t="str">
        <f>IFERROR(__xludf.DUMMYFUNCTION("""COMPUTED_VALUE"""),"ADK0000000501")</f>
        <v>ADK0000000501</v>
      </c>
      <c r="B2151" s="153" t="str">
        <f>IFERROR(__xludf.DUMMYFUNCTION("""COMPUTED_VALUE"""),"WES")</f>
        <v>WES</v>
      </c>
      <c r="C2151" s="154">
        <f>IFERROR(__xludf.DUMMYFUNCTION("""COMPUTED_VALUE"""),46104.0)</f>
        <v>46104</v>
      </c>
      <c r="D2151" s="154">
        <f>IFERROR(__xludf.DUMMYFUNCTION("""COMPUTED_VALUE"""),46119.0)</f>
        <v>46119</v>
      </c>
    </row>
    <row r="2152">
      <c r="A2152" s="153" t="str">
        <f>IFERROR(__xludf.DUMMYFUNCTION("""COMPUTED_VALUE"""),"ADK0000000502")</f>
        <v>ADK0000000502</v>
      </c>
      <c r="B2152" s="153" t="str">
        <f>IFERROR(__xludf.DUMMYFUNCTION("""COMPUTED_VALUE"""),"WES")</f>
        <v>WES</v>
      </c>
      <c r="C2152" s="154">
        <f>IFERROR(__xludf.DUMMYFUNCTION("""COMPUTED_VALUE"""),46104.0)</f>
        <v>46104</v>
      </c>
      <c r="D2152" s="154">
        <f>IFERROR(__xludf.DUMMYFUNCTION("""COMPUTED_VALUE"""),46119.0)</f>
        <v>46119</v>
      </c>
    </row>
    <row r="2153">
      <c r="A2153" s="153" t="str">
        <f>IFERROR(__xludf.DUMMYFUNCTION("""COMPUTED_VALUE"""),"ADK0000000503")</f>
        <v>ADK0000000503</v>
      </c>
      <c r="B2153" s="153" t="str">
        <f>IFERROR(__xludf.DUMMYFUNCTION("""COMPUTED_VALUE"""),"WES")</f>
        <v>WES</v>
      </c>
      <c r="C2153" s="154">
        <f>IFERROR(__xludf.DUMMYFUNCTION("""COMPUTED_VALUE"""),46104.0)</f>
        <v>46104</v>
      </c>
      <c r="D2153" s="154">
        <f>IFERROR(__xludf.DUMMYFUNCTION("""COMPUTED_VALUE"""),46119.0)</f>
        <v>46119</v>
      </c>
    </row>
    <row r="2154">
      <c r="A2154" s="153" t="str">
        <f>IFERROR(__xludf.DUMMYFUNCTION("""COMPUTED_VALUE"""),"ADK0000000504")</f>
        <v>ADK0000000504</v>
      </c>
      <c r="B2154" s="153" t="str">
        <f>IFERROR(__xludf.DUMMYFUNCTION("""COMPUTED_VALUE"""),"WES")</f>
        <v>WES</v>
      </c>
      <c r="C2154" s="154">
        <f>IFERROR(__xludf.DUMMYFUNCTION("""COMPUTED_VALUE"""),46104.0)</f>
        <v>46104</v>
      </c>
      <c r="D2154" s="154">
        <f>IFERROR(__xludf.DUMMYFUNCTION("""COMPUTED_VALUE"""),46119.0)</f>
        <v>46119</v>
      </c>
    </row>
    <row r="2155">
      <c r="A2155" s="153" t="str">
        <f>IFERROR(__xludf.DUMMYFUNCTION("""COMPUTED_VALUE"""),"ADK0000000505")</f>
        <v>ADK0000000505</v>
      </c>
      <c r="B2155" s="153" t="str">
        <f>IFERROR(__xludf.DUMMYFUNCTION("""COMPUTED_VALUE"""),"WES")</f>
        <v>WES</v>
      </c>
      <c r="C2155" s="154">
        <f>IFERROR(__xludf.DUMMYFUNCTION("""COMPUTED_VALUE"""),46104.0)</f>
        <v>46104</v>
      </c>
      <c r="D2155" s="154">
        <f>IFERROR(__xludf.DUMMYFUNCTION("""COMPUTED_VALUE"""),46119.0)</f>
        <v>46119</v>
      </c>
    </row>
    <row r="2156">
      <c r="A2156" s="153" t="str">
        <f>IFERROR(__xludf.DUMMYFUNCTION("""COMPUTED_VALUE"""),"ADK0000000506")</f>
        <v>ADK0000000506</v>
      </c>
      <c r="B2156" s="153" t="str">
        <f>IFERROR(__xludf.DUMMYFUNCTION("""COMPUTED_VALUE"""),"WES")</f>
        <v>WES</v>
      </c>
      <c r="C2156" s="154">
        <f>IFERROR(__xludf.DUMMYFUNCTION("""COMPUTED_VALUE"""),46104.0)</f>
        <v>46104</v>
      </c>
      <c r="D2156" s="154">
        <f>IFERROR(__xludf.DUMMYFUNCTION("""COMPUTED_VALUE"""),46119.0)</f>
        <v>46119</v>
      </c>
    </row>
    <row r="2157">
      <c r="A2157" s="153" t="str">
        <f>IFERROR(__xludf.DUMMYFUNCTION("""COMPUTED_VALUE"""),"ADK0000000507")</f>
        <v>ADK0000000507</v>
      </c>
      <c r="B2157" s="153" t="str">
        <f>IFERROR(__xludf.DUMMYFUNCTION("""COMPUTED_VALUE"""),"WES")</f>
        <v>WES</v>
      </c>
      <c r="C2157" s="154">
        <f>IFERROR(__xludf.DUMMYFUNCTION("""COMPUTED_VALUE"""),46104.0)</f>
        <v>46104</v>
      </c>
      <c r="D2157" s="154">
        <f>IFERROR(__xludf.DUMMYFUNCTION("""COMPUTED_VALUE"""),46119.0)</f>
        <v>46119</v>
      </c>
    </row>
    <row r="2158">
      <c r="A2158" s="153" t="str">
        <f>IFERROR(__xludf.DUMMYFUNCTION("""COMPUTED_VALUE"""),"ADK0000000508")</f>
        <v>ADK0000000508</v>
      </c>
      <c r="B2158" s="153" t="str">
        <f>IFERROR(__xludf.DUMMYFUNCTION("""COMPUTED_VALUE"""),"WES")</f>
        <v>WES</v>
      </c>
      <c r="C2158" s="154">
        <f>IFERROR(__xludf.DUMMYFUNCTION("""COMPUTED_VALUE"""),46104.0)</f>
        <v>46104</v>
      </c>
      <c r="D2158" s="154">
        <f>IFERROR(__xludf.DUMMYFUNCTION("""COMPUTED_VALUE"""),46119.0)</f>
        <v>46119</v>
      </c>
    </row>
    <row r="2159">
      <c r="A2159" s="153" t="str">
        <f>IFERROR(__xludf.DUMMYFUNCTION("""COMPUTED_VALUE"""),"ADK0000000509")</f>
        <v>ADK0000000509</v>
      </c>
      <c r="B2159" s="153" t="str">
        <f>IFERROR(__xludf.DUMMYFUNCTION("""COMPUTED_VALUE"""),"WES")</f>
        <v>WES</v>
      </c>
      <c r="C2159" s="154">
        <f>IFERROR(__xludf.DUMMYFUNCTION("""COMPUTED_VALUE"""),46104.0)</f>
        <v>46104</v>
      </c>
      <c r="D2159" s="154">
        <f>IFERROR(__xludf.DUMMYFUNCTION("""COMPUTED_VALUE"""),46119.0)</f>
        <v>46119</v>
      </c>
    </row>
    <row r="2160">
      <c r="A2160" s="153" t="str">
        <f>IFERROR(__xludf.DUMMYFUNCTION("""COMPUTED_VALUE"""),"ADK0000000510")</f>
        <v>ADK0000000510</v>
      </c>
      <c r="B2160" s="153" t="str">
        <f>IFERROR(__xludf.DUMMYFUNCTION("""COMPUTED_VALUE"""),"WES")</f>
        <v>WES</v>
      </c>
      <c r="C2160" s="154">
        <f>IFERROR(__xludf.DUMMYFUNCTION("""COMPUTED_VALUE"""),46104.0)</f>
        <v>46104</v>
      </c>
      <c r="D2160" s="154">
        <f>IFERROR(__xludf.DUMMYFUNCTION("""COMPUTED_VALUE"""),46119.0)</f>
        <v>46119</v>
      </c>
    </row>
    <row r="2161">
      <c r="A2161" s="153" t="str">
        <f>IFERROR(__xludf.DUMMYFUNCTION("""COMPUTED_VALUE"""),"ADK0000000511")</f>
        <v>ADK0000000511</v>
      </c>
      <c r="B2161" s="153" t="str">
        <f>IFERROR(__xludf.DUMMYFUNCTION("""COMPUTED_VALUE"""),"WES")</f>
        <v>WES</v>
      </c>
      <c r="C2161" s="154">
        <f>IFERROR(__xludf.DUMMYFUNCTION("""COMPUTED_VALUE"""),46104.0)</f>
        <v>46104</v>
      </c>
      <c r="D2161" s="154">
        <f>IFERROR(__xludf.DUMMYFUNCTION("""COMPUTED_VALUE"""),46119.0)</f>
        <v>46119</v>
      </c>
    </row>
    <row r="2162">
      <c r="A2162" s="153" t="str">
        <f>IFERROR(__xludf.DUMMYFUNCTION("""COMPUTED_VALUE"""),"ADK0000000512")</f>
        <v>ADK0000000512</v>
      </c>
      <c r="B2162" s="153" t="str">
        <f>IFERROR(__xludf.DUMMYFUNCTION("""COMPUTED_VALUE"""),"WES")</f>
        <v>WES</v>
      </c>
      <c r="C2162" s="154">
        <f>IFERROR(__xludf.DUMMYFUNCTION("""COMPUTED_VALUE"""),46104.0)</f>
        <v>46104</v>
      </c>
      <c r="D2162" s="154">
        <f>IFERROR(__xludf.DUMMYFUNCTION("""COMPUTED_VALUE"""),46119.0)</f>
        <v>46119</v>
      </c>
    </row>
    <row r="2163">
      <c r="A2163" s="153" t="str">
        <f>IFERROR(__xludf.DUMMYFUNCTION("""COMPUTED_VALUE"""),"ADH0000017422")</f>
        <v>ADH0000017422</v>
      </c>
      <c r="B2163" s="153" t="str">
        <f>IFERROR(__xludf.DUMMYFUNCTION("""COMPUTED_VALUE"""),"WES")</f>
        <v>WES</v>
      </c>
      <c r="C2163" s="154">
        <f>IFERROR(__xludf.DUMMYFUNCTION("""COMPUTED_VALUE"""),46104.0)</f>
        <v>46104</v>
      </c>
      <c r="D2163" s="154">
        <f>IFERROR(__xludf.DUMMYFUNCTION("""COMPUTED_VALUE"""),46125.0)</f>
        <v>46125</v>
      </c>
    </row>
    <row r="2164">
      <c r="A2164" s="153" t="str">
        <f>IFERROR(__xludf.DUMMYFUNCTION("""COMPUTED_VALUE"""),"ADB0000029140")</f>
        <v>ADB0000029140</v>
      </c>
      <c r="B2164" s="153" t="str">
        <f>IFERROR(__xludf.DUMMYFUNCTION("""COMPUTED_VALUE"""),"WES")</f>
        <v>WES</v>
      </c>
      <c r="C2164" s="154">
        <f>IFERROR(__xludf.DUMMYFUNCTION("""COMPUTED_VALUE"""),46104.0)</f>
        <v>46104</v>
      </c>
      <c r="D2164" s="154">
        <f>IFERROR(__xludf.DUMMYFUNCTION("""COMPUTED_VALUE"""),46125.0)</f>
        <v>46125</v>
      </c>
    </row>
    <row r="2165">
      <c r="A2165" s="153" t="str">
        <f>IFERROR(__xludf.DUMMYFUNCTION("""COMPUTED_VALUE"""),"ADB0000029139")</f>
        <v>ADB0000029139</v>
      </c>
      <c r="B2165" s="153" t="str">
        <f>IFERROR(__xludf.DUMMYFUNCTION("""COMPUTED_VALUE"""),"WES")</f>
        <v>WES</v>
      </c>
      <c r="C2165" s="154">
        <f>IFERROR(__xludf.DUMMYFUNCTION("""COMPUTED_VALUE"""),46104.0)</f>
        <v>46104</v>
      </c>
      <c r="D2165" s="154">
        <f>IFERROR(__xludf.DUMMYFUNCTION("""COMPUTED_VALUE"""),46125.0)</f>
        <v>46125</v>
      </c>
    </row>
    <row r="2166">
      <c r="A2166" s="153" t="str">
        <f>IFERROR(__xludf.DUMMYFUNCTION("""COMPUTED_VALUE"""),"ADB0000029080")</f>
        <v>ADB0000029080</v>
      </c>
      <c r="B2166" s="153" t="str">
        <f>IFERROR(__xludf.DUMMYFUNCTION("""COMPUTED_VALUE"""),"WES")</f>
        <v>WES</v>
      </c>
      <c r="C2166" s="154">
        <f>IFERROR(__xludf.DUMMYFUNCTION("""COMPUTED_VALUE"""),46104.0)</f>
        <v>46104</v>
      </c>
      <c r="D2166" s="154">
        <f>IFERROR(__xludf.DUMMYFUNCTION("""COMPUTED_VALUE"""),46125.0)</f>
        <v>46125</v>
      </c>
    </row>
    <row r="2167">
      <c r="A2167" s="153" t="str">
        <f>IFERROR(__xludf.DUMMYFUNCTION("""COMPUTED_VALUE"""),"ADK0000000499")</f>
        <v>ADK0000000499</v>
      </c>
      <c r="B2167" s="153" t="str">
        <f>IFERROR(__xludf.DUMMYFUNCTION("""COMPUTED_VALUE"""),"WES")</f>
        <v>WES</v>
      </c>
      <c r="C2167" s="154">
        <f>IFERROR(__xludf.DUMMYFUNCTION("""COMPUTED_VALUE"""),46104.0)</f>
        <v>46104</v>
      </c>
      <c r="D2167" s="154">
        <f>IFERROR(__xludf.DUMMYFUNCTION("""COMPUTED_VALUE"""),46125.0)</f>
        <v>46125</v>
      </c>
    </row>
    <row r="2168">
      <c r="A2168" s="153" t="str">
        <f>IFERROR(__xludf.DUMMYFUNCTION("""COMPUTED_VALUE"""),"PH50000004808")</f>
        <v>PH50000004808</v>
      </c>
      <c r="B2168" s="153" t="str">
        <f>IFERROR(__xludf.DUMMYFUNCTION("""COMPUTED_VALUE"""),"WES")</f>
        <v>WES</v>
      </c>
      <c r="C2168" s="154">
        <f>IFERROR(__xludf.DUMMYFUNCTION("""COMPUTED_VALUE"""),46104.0)</f>
        <v>46104</v>
      </c>
      <c r="D2168" s="154">
        <f>IFERROR(__xludf.DUMMYFUNCTION("""COMPUTED_VALUE"""),46113.0)</f>
        <v>46113</v>
      </c>
    </row>
    <row r="2169">
      <c r="A2169" s="153" t="str">
        <f>IFERROR(__xludf.DUMMYFUNCTION("""COMPUTED_VALUE"""),"ATN0000002836")</f>
        <v>ATN0000002836</v>
      </c>
      <c r="B2169" s="153" t="str">
        <f>IFERROR(__xludf.DUMMYFUNCTION("""COMPUTED_VALUE"""),"WES")</f>
        <v>WES</v>
      </c>
      <c r="C2169" s="154">
        <f>IFERROR(__xludf.DUMMYFUNCTION("""COMPUTED_VALUE"""),46108.0)</f>
        <v>46108</v>
      </c>
      <c r="D2169" s="154">
        <f>IFERROR(__xludf.DUMMYFUNCTION("""COMPUTED_VALUE"""),46122.0)</f>
        <v>46122</v>
      </c>
    </row>
    <row r="2170">
      <c r="A2170" s="153" t="str">
        <f>IFERROR(__xludf.DUMMYFUNCTION("""COMPUTED_VALUE"""),"ATN0000002837")</f>
        <v>ATN0000002837</v>
      </c>
      <c r="B2170" s="153" t="str">
        <f>IFERROR(__xludf.DUMMYFUNCTION("""COMPUTED_VALUE"""),"WES")</f>
        <v>WES</v>
      </c>
      <c r="C2170" s="154">
        <f>IFERROR(__xludf.DUMMYFUNCTION("""COMPUTED_VALUE"""),46108.0)</f>
        <v>46108</v>
      </c>
      <c r="D2170" s="154">
        <f>IFERROR(__xludf.DUMMYFUNCTION("""COMPUTED_VALUE"""),46122.0)</f>
        <v>46122</v>
      </c>
    </row>
    <row r="2171">
      <c r="A2171" s="153" t="str">
        <f>IFERROR(__xludf.DUMMYFUNCTION("""COMPUTED_VALUE"""),"ATN0000002838")</f>
        <v>ATN0000002838</v>
      </c>
      <c r="B2171" s="153" t="str">
        <f>IFERROR(__xludf.DUMMYFUNCTION("""COMPUTED_VALUE"""),"WES")</f>
        <v>WES</v>
      </c>
      <c r="C2171" s="154">
        <f>IFERROR(__xludf.DUMMYFUNCTION("""COMPUTED_VALUE"""),46108.0)</f>
        <v>46108</v>
      </c>
      <c r="D2171" s="154">
        <f>IFERROR(__xludf.DUMMYFUNCTION("""COMPUTED_VALUE"""),46122.0)</f>
        <v>46122</v>
      </c>
    </row>
    <row r="2172">
      <c r="A2172" s="153" t="str">
        <f>IFERROR(__xludf.DUMMYFUNCTION("""COMPUTED_VALUE"""),"ADB0000029130")</f>
        <v>ADB0000029130</v>
      </c>
      <c r="B2172" s="153" t="str">
        <f>IFERROR(__xludf.DUMMYFUNCTION("""COMPUTED_VALUE"""),"WES")</f>
        <v>WES</v>
      </c>
      <c r="C2172" s="154">
        <f>IFERROR(__xludf.DUMMYFUNCTION("""COMPUTED_VALUE"""),46108.0)</f>
        <v>46108</v>
      </c>
      <c r="D2172" s="154">
        <f>IFERROR(__xludf.DUMMYFUNCTION("""COMPUTED_VALUE"""),46124.0)</f>
        <v>46124</v>
      </c>
    </row>
    <row r="2173">
      <c r="A2173" s="153" t="str">
        <f>IFERROR(__xludf.DUMMYFUNCTION("""COMPUTED_VALUE"""),"AMB0000007150")</f>
        <v>AMB0000007150</v>
      </c>
      <c r="B2173" s="153" t="str">
        <f>IFERROR(__xludf.DUMMYFUNCTION("""COMPUTED_VALUE"""),"FEMALE INFERTILITY NGS PANEL")</f>
        <v>FEMALE INFERTILITY NGS PANEL</v>
      </c>
      <c r="C2173" s="154">
        <f>IFERROR(__xludf.DUMMYFUNCTION("""COMPUTED_VALUE"""),46108.0)</f>
        <v>46108</v>
      </c>
      <c r="D2173" s="154">
        <f>IFERROR(__xludf.DUMMYFUNCTION("""COMPUTED_VALUE"""),46112.0)</f>
        <v>46112</v>
      </c>
    </row>
    <row r="2174">
      <c r="A2174" s="153" t="str">
        <f>IFERROR(__xludf.DUMMYFUNCTION("""COMPUTED_VALUE"""),"MDU0000004498")</f>
        <v>MDU0000004498</v>
      </c>
      <c r="B2174" s="153" t="str">
        <f>IFERROR(__xludf.DUMMYFUNCTION("""COMPUTED_VALUE"""),"WES")</f>
        <v>WES</v>
      </c>
      <c r="C2174" s="154">
        <f>IFERROR(__xludf.DUMMYFUNCTION("""COMPUTED_VALUE"""),46108.0)</f>
        <v>46108</v>
      </c>
      <c r="D2174" s="154">
        <f>IFERROR(__xludf.DUMMYFUNCTION("""COMPUTED_VALUE"""),46124.0)</f>
        <v>46124</v>
      </c>
    </row>
    <row r="2175">
      <c r="A2175" s="153" t="str">
        <f>IFERROR(__xludf.DUMMYFUNCTION("""COMPUTED_VALUE"""),"ADK0000000517")</f>
        <v>ADK0000000517</v>
      </c>
      <c r="B2175" s="153" t="str">
        <f>IFERROR(__xludf.DUMMYFUNCTION("""COMPUTED_VALUE"""),"WES")</f>
        <v>WES</v>
      </c>
      <c r="C2175" s="154">
        <f>IFERROR(__xludf.DUMMYFUNCTION("""COMPUTED_VALUE"""),46108.0)</f>
        <v>46108</v>
      </c>
      <c r="D2175" s="154">
        <f>IFERROR(__xludf.DUMMYFUNCTION("""COMPUTED_VALUE"""),46124.0)</f>
        <v>46124</v>
      </c>
    </row>
    <row r="2176">
      <c r="A2176" s="153" t="str">
        <f>IFERROR(__xludf.DUMMYFUNCTION("""COMPUTED_VALUE"""),"HYP0000000642")</f>
        <v>HYP0000000642</v>
      </c>
      <c r="B2176" s="153" t="str">
        <f>IFERROR(__xludf.DUMMYFUNCTION("""COMPUTED_VALUE"""),"WES")</f>
        <v>WES</v>
      </c>
      <c r="C2176" s="154">
        <f>IFERROR(__xludf.DUMMYFUNCTION("""COMPUTED_VALUE"""),46108.0)</f>
        <v>46108</v>
      </c>
      <c r="D2176" s="154">
        <f>IFERROR(__xludf.DUMMYFUNCTION("""COMPUTED_VALUE"""),46125.0)</f>
        <v>46125</v>
      </c>
    </row>
    <row r="2177">
      <c r="A2177" s="153" t="str">
        <f>IFERROR(__xludf.DUMMYFUNCTION("""COMPUTED_VALUE"""),"FR2000000573")</f>
        <v>FR2000000573</v>
      </c>
      <c r="B2177" s="153" t="str">
        <f>IFERROR(__xludf.DUMMYFUNCTION("""COMPUTED_VALUE"""),"WES")</f>
        <v>WES</v>
      </c>
      <c r="C2177" s="154">
        <f>IFERROR(__xludf.DUMMYFUNCTION("""COMPUTED_VALUE"""),46108.0)</f>
        <v>46108</v>
      </c>
      <c r="D2177" s="154">
        <f>IFERROR(__xludf.DUMMYFUNCTION("""COMPUTED_VALUE"""),46126.0)</f>
        <v>46126</v>
      </c>
    </row>
    <row r="2178">
      <c r="A2178" s="153" t="str">
        <f>IFERROR(__xludf.DUMMYFUNCTION("""COMPUTED_VALUE"""),"FR20000005702")</f>
        <v>FR20000005702</v>
      </c>
      <c r="B2178" s="153" t="str">
        <f>IFERROR(__xludf.DUMMYFUNCTION("""COMPUTED_VALUE"""),"WES")</f>
        <v>WES</v>
      </c>
      <c r="C2178" s="154">
        <f>IFERROR(__xludf.DUMMYFUNCTION("""COMPUTED_VALUE"""),46108.0)</f>
        <v>46108</v>
      </c>
      <c r="D2178" s="154">
        <f>IFERROR(__xludf.DUMMYFUNCTION("""COMPUTED_VALUE"""),46126.0)</f>
        <v>46126</v>
      </c>
    </row>
    <row r="2179">
      <c r="A2179" s="153" t="str">
        <f>IFERROR(__xludf.DUMMYFUNCTION("""COMPUTED_VALUE"""),"ATR0000011022")</f>
        <v>ATR0000011022</v>
      </c>
      <c r="B2179" s="153" t="str">
        <f>IFERROR(__xludf.DUMMYFUNCTION("""COMPUTED_VALUE"""),"FEMALE INFERTILITY NGS PANEL")</f>
        <v>FEMALE INFERTILITY NGS PANEL</v>
      </c>
      <c r="C2179" s="154">
        <f>IFERROR(__xludf.DUMMYFUNCTION("""COMPUTED_VALUE"""),46108.0)</f>
        <v>46108</v>
      </c>
      <c r="D2179" s="154">
        <f>IFERROR(__xludf.DUMMYFUNCTION("""COMPUTED_VALUE"""),46115.0)</f>
        <v>46115</v>
      </c>
    </row>
    <row r="2180">
      <c r="A2180" s="153" t="str">
        <f>IFERROR(__xludf.DUMMYFUNCTION("""COMPUTED_VALUE"""),"ATR0000011021")</f>
        <v>ATR0000011021</v>
      </c>
      <c r="B2180" s="153" t="str">
        <f>IFERROR(__xludf.DUMMYFUNCTION("""COMPUTED_VALUE"""),"MALE INFERTILITY NGS PANEL")</f>
        <v>MALE INFERTILITY NGS PANEL</v>
      </c>
      <c r="C2180" s="154">
        <f>IFERROR(__xludf.DUMMYFUNCTION("""COMPUTED_VALUE"""),46108.0)</f>
        <v>46108</v>
      </c>
      <c r="D2180" s="154">
        <f>IFERROR(__xludf.DUMMYFUNCTION("""COMPUTED_VALUE"""),46115.0)</f>
        <v>46115</v>
      </c>
    </row>
    <row r="2181">
      <c r="A2181" s="153" t="str">
        <f>IFERROR(__xludf.DUMMYFUNCTION("""COMPUTED_VALUE"""),"PH50000004836")</f>
        <v>PH50000004836</v>
      </c>
      <c r="B2181" s="153" t="str">
        <f>IFERROR(__xludf.DUMMYFUNCTION("""COMPUTED_VALUE"""),"WES+WMGS")</f>
        <v>WES+WMGS</v>
      </c>
      <c r="C2181" s="154">
        <f>IFERROR(__xludf.DUMMYFUNCTION("""COMPUTED_VALUE"""),46108.0)</f>
        <v>46108</v>
      </c>
      <c r="D2181" s="154">
        <f>IFERROR(__xludf.DUMMYFUNCTION("""COMPUTED_VALUE"""),46125.0)</f>
        <v>46125</v>
      </c>
    </row>
    <row r="2182">
      <c r="A2182" s="153" t="str">
        <f>IFERROR(__xludf.DUMMYFUNCTION("""COMPUTED_VALUE"""),"PH50000005082")</f>
        <v>PH50000005082</v>
      </c>
      <c r="B2182" s="153" t="str">
        <f>IFERROR(__xludf.DUMMYFUNCTION("""COMPUTED_VALUE"""),"WES+WMGS")</f>
        <v>WES+WMGS</v>
      </c>
      <c r="C2182" s="154">
        <f>IFERROR(__xludf.DUMMYFUNCTION("""COMPUTED_VALUE"""),46108.0)</f>
        <v>46108</v>
      </c>
      <c r="D2182" s="154">
        <f>IFERROR(__xludf.DUMMYFUNCTION("""COMPUTED_VALUE"""),46126.0)</f>
        <v>46126</v>
      </c>
    </row>
    <row r="2183">
      <c r="A2183" s="153" t="str">
        <f>IFERROR(__xludf.DUMMYFUNCTION("""COMPUTED_VALUE"""),"PH50000005084")</f>
        <v>PH50000005084</v>
      </c>
      <c r="B2183" s="153" t="str">
        <f>IFERROR(__xludf.DUMMYFUNCTION("""COMPUTED_VALUE"""),"WES+WMGS")</f>
        <v>WES+WMGS</v>
      </c>
      <c r="C2183" s="154">
        <f>IFERROR(__xludf.DUMMYFUNCTION("""COMPUTED_VALUE"""),46108.0)</f>
        <v>46108</v>
      </c>
      <c r="D2183" s="154">
        <f>IFERROR(__xludf.DUMMYFUNCTION("""COMPUTED_VALUE"""),46126.0)</f>
        <v>46126</v>
      </c>
    </row>
    <row r="2184">
      <c r="A2184" s="153" t="str">
        <f>IFERROR(__xludf.DUMMYFUNCTION("""COMPUTED_VALUE"""),"HYP0000000617")</f>
        <v>HYP0000000617</v>
      </c>
      <c r="B2184" s="153" t="str">
        <f>IFERROR(__xludf.DUMMYFUNCTION("""COMPUTED_VALUE"""),"WES")</f>
        <v>WES</v>
      </c>
      <c r="C2184" s="154">
        <f>IFERROR(__xludf.DUMMYFUNCTION("""COMPUTED_VALUE"""),46108.0)</f>
        <v>46108</v>
      </c>
      <c r="D2184" s="154">
        <f>IFERROR(__xludf.DUMMYFUNCTION("""COMPUTED_VALUE"""),46125.0)</f>
        <v>46125</v>
      </c>
    </row>
    <row r="2185">
      <c r="A2185" s="153" t="str">
        <f>IFERROR(__xludf.DUMMYFUNCTION("""COMPUTED_VALUE"""),"HYP0000000616")</f>
        <v>HYP0000000616</v>
      </c>
      <c r="B2185" s="153" t="str">
        <f>IFERROR(__xludf.DUMMYFUNCTION("""COMPUTED_VALUE"""),"WES")</f>
        <v>WES</v>
      </c>
      <c r="C2185" s="154">
        <f>IFERROR(__xludf.DUMMYFUNCTION("""COMPUTED_VALUE"""),46108.0)</f>
        <v>46108</v>
      </c>
      <c r="D2185" s="154">
        <f>IFERROR(__xludf.DUMMYFUNCTION("""COMPUTED_VALUE"""),46125.0)</f>
        <v>46125</v>
      </c>
    </row>
    <row r="2186">
      <c r="A2186" s="153" t="str">
        <f>IFERROR(__xludf.DUMMYFUNCTION("""COMPUTED_VALUE"""),"ACO0000002696")</f>
        <v>ACO0000002696</v>
      </c>
      <c r="B2186" s="153" t="str">
        <f>IFERROR(__xludf.DUMMYFUNCTION("""COMPUTED_VALUE"""),"WES")</f>
        <v>WES</v>
      </c>
      <c r="C2186" s="154">
        <f>IFERROR(__xludf.DUMMYFUNCTION("""COMPUTED_VALUE"""),46108.0)</f>
        <v>46108</v>
      </c>
      <c r="D2186" s="154">
        <f>IFERROR(__xludf.DUMMYFUNCTION("""COMPUTED_VALUE"""),46126.0)</f>
        <v>46126</v>
      </c>
    </row>
    <row r="2187">
      <c r="A2187" s="153" t="str">
        <f>IFERROR(__xludf.DUMMYFUNCTION("""COMPUTED_VALUE"""),"ACO0000002697")</f>
        <v>ACO0000002697</v>
      </c>
      <c r="B2187" s="153" t="str">
        <f>IFERROR(__xludf.DUMMYFUNCTION("""COMPUTED_VALUE"""),"WES")</f>
        <v>WES</v>
      </c>
      <c r="C2187" s="154">
        <f>IFERROR(__xludf.DUMMYFUNCTION("""COMPUTED_VALUE"""),46108.0)</f>
        <v>46108</v>
      </c>
      <c r="D2187" s="154">
        <f>IFERROR(__xludf.DUMMYFUNCTION("""COMPUTED_VALUE"""),46126.0)</f>
        <v>46126</v>
      </c>
    </row>
    <row r="2188">
      <c r="A2188" s="153" t="str">
        <f>IFERROR(__xludf.DUMMYFUNCTION("""COMPUTED_VALUE"""),"FR20000005765")</f>
        <v>FR20000005765</v>
      </c>
      <c r="B2188" s="153" t="str">
        <f>IFERROR(__xludf.DUMMYFUNCTION("""COMPUTED_VALUE"""),"WES")</f>
        <v>WES</v>
      </c>
      <c r="C2188" s="154">
        <f>IFERROR(__xludf.DUMMYFUNCTION("""COMPUTED_VALUE"""),46108.0)</f>
        <v>46108</v>
      </c>
      <c r="D2188" s="154">
        <f>IFERROR(__xludf.DUMMYFUNCTION("""COMPUTED_VALUE"""),46127.0)</f>
        <v>46127</v>
      </c>
    </row>
    <row r="2189">
      <c r="A2189" s="153" t="str">
        <f>IFERROR(__xludf.DUMMYFUNCTION("""COMPUTED_VALUE"""),"PH50000004976")</f>
        <v>PH50000004976</v>
      </c>
      <c r="B2189" s="153" t="str">
        <f>IFERROR(__xludf.DUMMYFUNCTION("""COMPUTED_VALUE"""),"MODY PANEL")</f>
        <v>MODY PANEL</v>
      </c>
      <c r="C2189" s="154">
        <f>IFERROR(__xludf.DUMMYFUNCTION("""COMPUTED_VALUE"""),46108.0)</f>
        <v>46108</v>
      </c>
      <c r="D2189" s="154">
        <f>IFERROR(__xludf.DUMMYFUNCTION("""COMPUTED_VALUE"""),46126.0)</f>
        <v>46126</v>
      </c>
    </row>
    <row r="2190">
      <c r="A2190" s="153" t="str">
        <f>IFERROR(__xludf.DUMMYFUNCTION("""COMPUTED_VALUE"""),"ADK0000000538")</f>
        <v>ADK0000000538</v>
      </c>
      <c r="B2190" s="153" t="str">
        <f>IFERROR(__xludf.DUMMYFUNCTION("""COMPUTED_VALUE"""),"WES")</f>
        <v>WES</v>
      </c>
      <c r="C2190" s="154">
        <f>IFERROR(__xludf.DUMMYFUNCTION("""COMPUTED_VALUE"""),46108.0)</f>
        <v>46108</v>
      </c>
      <c r="D2190" s="154">
        <f>IFERROR(__xludf.DUMMYFUNCTION("""COMPUTED_VALUE"""),46126.0)</f>
        <v>46126</v>
      </c>
    </row>
    <row r="2191">
      <c r="A2191" s="153" t="str">
        <f>IFERROR(__xludf.DUMMYFUNCTION("""COMPUTED_VALUE"""),"AMB0000007250")</f>
        <v>AMB0000007250</v>
      </c>
      <c r="B2191" s="153" t="str">
        <f>IFERROR(__xludf.DUMMYFUNCTION("""COMPUTED_VALUE"""),"WES")</f>
        <v>WES</v>
      </c>
      <c r="C2191" s="154">
        <f>IFERROR(__xludf.DUMMYFUNCTION("""COMPUTED_VALUE"""),46108.0)</f>
        <v>46108</v>
      </c>
      <c r="D2191" s="154">
        <f>IFERROR(__xludf.DUMMYFUNCTION("""COMPUTED_VALUE"""),46126.0)</f>
        <v>46126</v>
      </c>
    </row>
    <row r="2192">
      <c r="A2192" s="153" t="str">
        <f>IFERROR(__xludf.DUMMYFUNCTION("""COMPUTED_VALUE"""),"ADK0000000537")</f>
        <v>ADK0000000537</v>
      </c>
      <c r="B2192" s="153" t="str">
        <f>IFERROR(__xludf.DUMMYFUNCTION("""COMPUTED_VALUE"""),"WES")</f>
        <v>WES</v>
      </c>
      <c r="C2192" s="154">
        <f>IFERROR(__xludf.DUMMYFUNCTION("""COMPUTED_VALUE"""),46108.0)</f>
        <v>46108</v>
      </c>
      <c r="D2192" s="154">
        <f>IFERROR(__xludf.DUMMYFUNCTION("""COMPUTED_VALUE"""),46126.0)</f>
        <v>46126</v>
      </c>
    </row>
    <row r="2193">
      <c r="A2193" s="153" t="str">
        <f>IFERROR(__xludf.DUMMYFUNCTION("""COMPUTED_VALUE"""),"ADK0000000562")</f>
        <v>ADK0000000562</v>
      </c>
      <c r="B2193" s="153"/>
      <c r="C2193" s="154">
        <f>IFERROR(__xludf.DUMMYFUNCTION("""COMPUTED_VALUE"""),46108.0)</f>
        <v>46108</v>
      </c>
      <c r="D2193" s="154">
        <f>IFERROR(__xludf.DUMMYFUNCTION("""COMPUTED_VALUE"""),46121.0)</f>
        <v>46121</v>
      </c>
    </row>
    <row r="2194">
      <c r="A2194" s="153" t="str">
        <f>IFERROR(__xludf.DUMMYFUNCTION("""COMPUTED_VALUE"""),"ADK0000000555")</f>
        <v>ADK0000000555</v>
      </c>
      <c r="B2194" s="153"/>
      <c r="C2194" s="154">
        <f>IFERROR(__xludf.DUMMYFUNCTION("""COMPUTED_VALUE"""),46108.0)</f>
        <v>46108</v>
      </c>
      <c r="D2194" s="154">
        <f>IFERROR(__xludf.DUMMYFUNCTION("""COMPUTED_VALUE"""),46121.0)</f>
        <v>46121</v>
      </c>
    </row>
    <row r="2195">
      <c r="A2195" s="153" t="str">
        <f>IFERROR(__xludf.DUMMYFUNCTION("""COMPUTED_VALUE"""),"ADK0000000553")</f>
        <v>ADK0000000553</v>
      </c>
      <c r="B2195" s="153" t="str">
        <f>IFERROR(__xludf.DUMMYFUNCTION("""COMPUTED_VALUE"""),"WES")</f>
        <v>WES</v>
      </c>
      <c r="C2195" s="154">
        <f>IFERROR(__xludf.DUMMYFUNCTION("""COMPUTED_VALUE"""),46108.0)</f>
        <v>46108</v>
      </c>
      <c r="D2195" s="154">
        <f>IFERROR(__xludf.DUMMYFUNCTION("""COMPUTED_VALUE"""),46121.0)</f>
        <v>46121</v>
      </c>
    </row>
    <row r="2196">
      <c r="A2196" s="153" t="str">
        <f>IFERROR(__xludf.DUMMYFUNCTION("""COMPUTED_VALUE"""),"ADK0000000554")</f>
        <v>ADK0000000554</v>
      </c>
      <c r="B2196" s="153" t="str">
        <f>IFERROR(__xludf.DUMMYFUNCTION("""COMPUTED_VALUE"""),"WES")</f>
        <v>WES</v>
      </c>
      <c r="C2196" s="154">
        <f>IFERROR(__xludf.DUMMYFUNCTION("""COMPUTED_VALUE"""),46108.0)</f>
        <v>46108</v>
      </c>
      <c r="D2196" s="154">
        <f>IFERROR(__xludf.DUMMYFUNCTION("""COMPUTED_VALUE"""),46121.0)</f>
        <v>46121</v>
      </c>
    </row>
    <row r="2197">
      <c r="A2197" s="153" t="str">
        <f>IFERROR(__xludf.DUMMYFUNCTION("""COMPUTED_VALUE"""),"ADK0000000560")</f>
        <v>ADK0000000560</v>
      </c>
      <c r="B2197" s="153" t="str">
        <f>IFERROR(__xludf.DUMMYFUNCTION("""COMPUTED_VALUE"""),"WES")</f>
        <v>WES</v>
      </c>
      <c r="C2197" s="154">
        <f>IFERROR(__xludf.DUMMYFUNCTION("""COMPUTED_VALUE"""),46108.0)</f>
        <v>46108</v>
      </c>
      <c r="D2197" s="154">
        <f>IFERROR(__xludf.DUMMYFUNCTION("""COMPUTED_VALUE"""),46121.0)</f>
        <v>46121</v>
      </c>
    </row>
    <row r="2198">
      <c r="A2198" s="153" t="str">
        <f>IFERROR(__xludf.DUMMYFUNCTION("""COMPUTED_VALUE"""),"ADK0000000561")</f>
        <v>ADK0000000561</v>
      </c>
      <c r="B2198" s="153" t="str">
        <f>IFERROR(__xludf.DUMMYFUNCTION("""COMPUTED_VALUE"""),"WES")</f>
        <v>WES</v>
      </c>
      <c r="C2198" s="154">
        <f>IFERROR(__xludf.DUMMYFUNCTION("""COMPUTED_VALUE"""),46108.0)</f>
        <v>46108</v>
      </c>
      <c r="D2198" s="154">
        <f>IFERROR(__xludf.DUMMYFUNCTION("""COMPUTED_VALUE"""),46121.0)</f>
        <v>46121</v>
      </c>
    </row>
    <row r="2199">
      <c r="A2199" s="153" t="str">
        <f>IFERROR(__xludf.DUMMYFUNCTION("""COMPUTED_VALUE"""),"ADK0000000556")</f>
        <v>ADK0000000556</v>
      </c>
      <c r="B2199" s="153" t="str">
        <f>IFERROR(__xludf.DUMMYFUNCTION("""COMPUTED_VALUE"""),"WES")</f>
        <v>WES</v>
      </c>
      <c r="C2199" s="154">
        <f>IFERROR(__xludf.DUMMYFUNCTION("""COMPUTED_VALUE"""),46108.0)</f>
        <v>46108</v>
      </c>
      <c r="D2199" s="154">
        <f>IFERROR(__xludf.DUMMYFUNCTION("""COMPUTED_VALUE"""),46121.0)</f>
        <v>46121</v>
      </c>
    </row>
    <row r="2200">
      <c r="A2200" s="153" t="str">
        <f>IFERROR(__xludf.DUMMYFUNCTION("""COMPUTED_VALUE"""),"ADK0000000557")</f>
        <v>ADK0000000557</v>
      </c>
      <c r="B2200" s="153" t="str">
        <f>IFERROR(__xludf.DUMMYFUNCTION("""COMPUTED_VALUE"""),"WES")</f>
        <v>WES</v>
      </c>
      <c r="C2200" s="154">
        <f>IFERROR(__xludf.DUMMYFUNCTION("""COMPUTED_VALUE"""),46108.0)</f>
        <v>46108</v>
      </c>
      <c r="D2200" s="154">
        <f>IFERROR(__xludf.DUMMYFUNCTION("""COMPUTED_VALUE"""),46121.0)</f>
        <v>46121</v>
      </c>
    </row>
    <row r="2201">
      <c r="A2201" s="153" t="str">
        <f>IFERROR(__xludf.DUMMYFUNCTION("""COMPUTED_VALUE"""),"ADK0000000559")</f>
        <v>ADK0000000559</v>
      </c>
      <c r="B2201" s="153" t="str">
        <f>IFERROR(__xludf.DUMMYFUNCTION("""COMPUTED_VALUE"""),"WES")</f>
        <v>WES</v>
      </c>
      <c r="C2201" s="154">
        <f>IFERROR(__xludf.DUMMYFUNCTION("""COMPUTED_VALUE"""),46108.0)</f>
        <v>46108</v>
      </c>
      <c r="D2201" s="154">
        <f>IFERROR(__xludf.DUMMYFUNCTION("""COMPUTED_VALUE"""),46121.0)</f>
        <v>46121</v>
      </c>
    </row>
    <row r="2202">
      <c r="A2202" s="153" t="str">
        <f>IFERROR(__xludf.DUMMYFUNCTION("""COMPUTED_VALUE"""),"ADK0000000558")</f>
        <v>ADK0000000558</v>
      </c>
      <c r="B2202" s="153" t="str">
        <f>IFERROR(__xludf.DUMMYFUNCTION("""COMPUTED_VALUE"""),"WES")</f>
        <v>WES</v>
      </c>
      <c r="C2202" s="154">
        <f>IFERROR(__xludf.DUMMYFUNCTION("""COMPUTED_VALUE"""),46108.0)</f>
        <v>46108</v>
      </c>
      <c r="D2202" s="154">
        <f>IFERROR(__xludf.DUMMYFUNCTION("""COMPUTED_VALUE"""),46121.0)</f>
        <v>46121</v>
      </c>
    </row>
    <row r="2203">
      <c r="A2203" s="153" t="str">
        <f>IFERROR(__xludf.DUMMYFUNCTION("""COMPUTED_VALUE"""),"ADK0000000565")</f>
        <v>ADK0000000565</v>
      </c>
      <c r="B2203" s="153" t="str">
        <f>IFERROR(__xludf.DUMMYFUNCTION("""COMPUTED_VALUE"""),"WES")</f>
        <v>WES</v>
      </c>
      <c r="C2203" s="154">
        <f>IFERROR(__xludf.DUMMYFUNCTION("""COMPUTED_VALUE"""),46108.0)</f>
        <v>46108</v>
      </c>
      <c r="D2203" s="154">
        <f>IFERROR(__xludf.DUMMYFUNCTION("""COMPUTED_VALUE"""),46121.0)</f>
        <v>46121</v>
      </c>
    </row>
    <row r="2204">
      <c r="A2204" s="153" t="str">
        <f>IFERROR(__xludf.DUMMYFUNCTION("""COMPUTED_VALUE"""),"ADK0000000566")</f>
        <v>ADK0000000566</v>
      </c>
      <c r="B2204" s="153" t="str">
        <f>IFERROR(__xludf.DUMMYFUNCTION("""COMPUTED_VALUE"""),"WES")</f>
        <v>WES</v>
      </c>
      <c r="C2204" s="154">
        <f>IFERROR(__xludf.DUMMYFUNCTION("""COMPUTED_VALUE"""),46108.0)</f>
        <v>46108</v>
      </c>
      <c r="D2204" s="154">
        <f>IFERROR(__xludf.DUMMYFUNCTION("""COMPUTED_VALUE"""),46121.0)</f>
        <v>46121</v>
      </c>
    </row>
    <row r="2205">
      <c r="A2205" s="153" t="str">
        <f>IFERROR(__xludf.DUMMYFUNCTION("""COMPUTED_VALUE"""),"CBC0000022889")</f>
        <v>CBC0000022889</v>
      </c>
      <c r="B2205" s="153" t="str">
        <f>IFERROR(__xludf.DUMMYFUNCTION("""COMPUTED_VALUE"""),"WES")</f>
        <v>WES</v>
      </c>
      <c r="C2205" s="154">
        <f>IFERROR(__xludf.DUMMYFUNCTION("""COMPUTED_VALUE"""),46108.0)</f>
        <v>46108</v>
      </c>
      <c r="D2205" s="154">
        <f>IFERROR(__xludf.DUMMYFUNCTION("""COMPUTED_VALUE"""),46127.0)</f>
        <v>46127</v>
      </c>
    </row>
    <row r="2206">
      <c r="A2206" s="153" t="str">
        <f>IFERROR(__xludf.DUMMYFUNCTION("""COMPUTED_VALUE"""),"CBC0000022891")</f>
        <v>CBC0000022891</v>
      </c>
      <c r="B2206" s="153" t="str">
        <f>IFERROR(__xludf.DUMMYFUNCTION("""COMPUTED_VALUE"""),"WES")</f>
        <v>WES</v>
      </c>
      <c r="C2206" s="154">
        <f>IFERROR(__xludf.DUMMYFUNCTION("""COMPUTED_VALUE"""),46108.0)</f>
        <v>46108</v>
      </c>
      <c r="D2206" s="154">
        <f>IFERROR(__xludf.DUMMYFUNCTION("""COMPUTED_VALUE"""),46127.0)</f>
        <v>46127</v>
      </c>
    </row>
    <row r="2207">
      <c r="A2207" s="153" t="str">
        <f>IFERROR(__xludf.DUMMYFUNCTION("""COMPUTED_VALUE"""),"ADR0000001631")</f>
        <v>ADR0000001631</v>
      </c>
      <c r="B2207" s="153" t="str">
        <f>IFERROR(__xludf.DUMMYFUNCTION("""COMPUTED_VALUE"""),"WES")</f>
        <v>WES</v>
      </c>
      <c r="C2207" s="154">
        <f>IFERROR(__xludf.DUMMYFUNCTION("""COMPUTED_VALUE"""),46108.0)</f>
        <v>46108</v>
      </c>
      <c r="D2207" s="154">
        <f>IFERROR(__xludf.DUMMYFUNCTION("""COMPUTED_VALUE"""),46128.0)</f>
        <v>46128</v>
      </c>
    </row>
    <row r="2208">
      <c r="A2208" s="153" t="str">
        <f>IFERROR(__xludf.DUMMYFUNCTION("""COMPUTED_VALUE"""),"ADK0000000580")</f>
        <v>ADK0000000580</v>
      </c>
      <c r="B2208" s="153" t="str">
        <f>IFERROR(__xludf.DUMMYFUNCTION("""COMPUTED_VALUE"""),"WES")</f>
        <v>WES</v>
      </c>
      <c r="C2208" s="154">
        <f>IFERROR(__xludf.DUMMYFUNCTION("""COMPUTED_VALUE"""),46108.0)</f>
        <v>46108</v>
      </c>
      <c r="D2208" s="154">
        <f>IFERROR(__xludf.DUMMYFUNCTION("""COMPUTED_VALUE"""),46115.0)</f>
        <v>46115</v>
      </c>
    </row>
    <row r="2209">
      <c r="A2209" s="153" t="str">
        <f>IFERROR(__xludf.DUMMYFUNCTION("""COMPUTED_VALUE"""),"ADH0000017693")</f>
        <v>ADH0000017693</v>
      </c>
      <c r="B2209" s="153" t="str">
        <f>IFERROR(__xludf.DUMMYFUNCTION("""COMPUTED_VALUE"""),"WES")</f>
        <v>WES</v>
      </c>
      <c r="C2209" s="154">
        <f>IFERROR(__xludf.DUMMYFUNCTION("""COMPUTED_VALUE"""),46111.0)</f>
        <v>46111</v>
      </c>
      <c r="D2209" s="154">
        <f>IFERROR(__xludf.DUMMYFUNCTION("""COMPUTED_VALUE"""),46121.0)</f>
        <v>46121</v>
      </c>
    </row>
    <row r="2210">
      <c r="A2210" s="153" t="str">
        <f>IFERROR(__xludf.DUMMYFUNCTION("""COMPUTED_VALUE"""),"DCC0000003430")</f>
        <v>DCC0000003430</v>
      </c>
      <c r="B2210" s="153" t="str">
        <f>IFERROR(__xludf.DUMMYFUNCTION("""COMPUTED_VALUE"""),"WES")</f>
        <v>WES</v>
      </c>
      <c r="C2210" s="154">
        <f>IFERROR(__xludf.DUMMYFUNCTION("""COMPUTED_VALUE"""),46111.0)</f>
        <v>46111</v>
      </c>
      <c r="D2210" s="154">
        <f>IFERROR(__xludf.DUMMYFUNCTION("""COMPUTED_VALUE"""),46126.0)</f>
        <v>46126</v>
      </c>
    </row>
    <row r="2211">
      <c r="A2211" s="153" t="str">
        <f>IFERROR(__xludf.DUMMYFUNCTION("""COMPUTED_VALUE"""),"ABC0000000452")</f>
        <v>ABC0000000452</v>
      </c>
      <c r="B2211" s="153" t="str">
        <f>IFERROR(__xludf.DUMMYFUNCTION("""COMPUTED_VALUE"""),"WES")</f>
        <v>WES</v>
      </c>
      <c r="C2211" s="154">
        <f>IFERROR(__xludf.DUMMYFUNCTION("""COMPUTED_VALUE"""),46111.0)</f>
        <v>46111</v>
      </c>
      <c r="D2211" s="154">
        <f>IFERROR(__xludf.DUMMYFUNCTION("""COMPUTED_VALUE"""),46126.0)</f>
        <v>46126</v>
      </c>
    </row>
    <row r="2212">
      <c r="A2212" s="153" t="str">
        <f>IFERROR(__xludf.DUMMYFUNCTION("""COMPUTED_VALUE"""),"PH60000003076")</f>
        <v>PH60000003076</v>
      </c>
      <c r="B2212" s="153" t="str">
        <f>IFERROR(__xludf.DUMMYFUNCTION("""COMPUTED_VALUE"""),"WES+WMGS")</f>
        <v>WES+WMGS</v>
      </c>
      <c r="C2212" s="154">
        <f>IFERROR(__xludf.DUMMYFUNCTION("""COMPUTED_VALUE"""),46111.0)</f>
        <v>46111</v>
      </c>
      <c r="D2212" s="154">
        <f>IFERROR(__xludf.DUMMYFUNCTION("""COMPUTED_VALUE"""),46130.0)</f>
        <v>46130</v>
      </c>
    </row>
    <row r="2213">
      <c r="A2213" s="153" t="str">
        <f>IFERROR(__xludf.DUMMYFUNCTION("""COMPUTED_VALUE"""),"PH50000005570")</f>
        <v>PH50000005570</v>
      </c>
      <c r="B2213" s="153" t="str">
        <f>IFERROR(__xludf.DUMMYFUNCTION("""COMPUTED_VALUE"""),"WES+WMGS")</f>
        <v>WES+WMGS</v>
      </c>
      <c r="C2213" s="154">
        <f>IFERROR(__xludf.DUMMYFUNCTION("""COMPUTED_VALUE"""),46111.0)</f>
        <v>46111</v>
      </c>
      <c r="D2213" s="154">
        <f>IFERROR(__xludf.DUMMYFUNCTION("""COMPUTED_VALUE"""),46128.0)</f>
        <v>46128</v>
      </c>
    </row>
    <row r="2214">
      <c r="A2214" s="153" t="str">
        <f>IFERROR(__xludf.DUMMYFUNCTION("""COMPUTED_VALUE"""),"ADH0000017755")</f>
        <v>ADH0000017755</v>
      </c>
      <c r="B2214" s="153" t="str">
        <f>IFERROR(__xludf.DUMMYFUNCTION("""COMPUTED_VALUE"""),"WES")</f>
        <v>WES</v>
      </c>
      <c r="C2214" s="154">
        <f>IFERROR(__xludf.DUMMYFUNCTION("""COMPUTED_VALUE"""),46111.0)</f>
        <v>46111</v>
      </c>
      <c r="D2214" s="154">
        <f>IFERROR(__xludf.DUMMYFUNCTION("""COMPUTED_VALUE"""),46124.0)</f>
        <v>46124</v>
      </c>
    </row>
    <row r="2215">
      <c r="A2215" s="153" t="str">
        <f>IFERROR(__xludf.DUMMYFUNCTION("""COMPUTED_VALUE"""),"ADH0000017756")</f>
        <v>ADH0000017756</v>
      </c>
      <c r="B2215" s="153" t="str">
        <f>IFERROR(__xludf.DUMMYFUNCTION("""COMPUTED_VALUE"""),"WES")</f>
        <v>WES</v>
      </c>
      <c r="C2215" s="154">
        <f>IFERROR(__xludf.DUMMYFUNCTION("""COMPUTED_VALUE"""),46111.0)</f>
        <v>46111</v>
      </c>
      <c r="D2215" s="154">
        <f>IFERROR(__xludf.DUMMYFUNCTION("""COMPUTED_VALUE"""),46129.0)</f>
        <v>46129</v>
      </c>
    </row>
    <row r="2216">
      <c r="A2216" s="153" t="str">
        <f>IFERROR(__xludf.DUMMYFUNCTION("""COMPUTED_VALUE"""),"IDG0000000047")</f>
        <v>IDG0000000047</v>
      </c>
      <c r="B2216" s="153" t="str">
        <f>IFERROR(__xludf.DUMMYFUNCTION("""COMPUTED_VALUE"""),"WES")</f>
        <v>WES</v>
      </c>
      <c r="C2216" s="154">
        <f>IFERROR(__xludf.DUMMYFUNCTION("""COMPUTED_VALUE"""),46111.0)</f>
        <v>46111</v>
      </c>
      <c r="D2216" s="154">
        <f>IFERROR(__xludf.DUMMYFUNCTION("""COMPUTED_VALUE"""),46124.0)</f>
        <v>46124</v>
      </c>
    </row>
    <row r="2217">
      <c r="A2217" s="153" t="str">
        <f>IFERROR(__xludf.DUMMYFUNCTION("""COMPUTED_VALUE"""),"ADB0000029584")</f>
        <v>ADB0000029584</v>
      </c>
      <c r="B2217" s="153" t="str">
        <f>IFERROR(__xludf.DUMMYFUNCTION("""COMPUTED_VALUE"""),"WES")</f>
        <v>WES</v>
      </c>
      <c r="C2217" s="154">
        <f>IFERROR(__xludf.DUMMYFUNCTION("""COMPUTED_VALUE"""),46111.0)</f>
        <v>46111</v>
      </c>
      <c r="D2217" s="154">
        <f>IFERROR(__xludf.DUMMYFUNCTION("""COMPUTED_VALUE"""),46128.0)</f>
        <v>46128</v>
      </c>
    </row>
    <row r="2218">
      <c r="A2218" s="153" t="str">
        <f>IFERROR(__xludf.DUMMYFUNCTION("""COMPUTED_VALUE"""),"HYP0000000725")</f>
        <v>HYP0000000725</v>
      </c>
      <c r="B2218" s="153" t="str">
        <f>IFERROR(__xludf.DUMMYFUNCTION("""COMPUTED_VALUE"""),"FEMALE INFERTILITY NGS PANEL")</f>
        <v>FEMALE INFERTILITY NGS PANEL</v>
      </c>
      <c r="C2218" s="154">
        <f>IFERROR(__xludf.DUMMYFUNCTION("""COMPUTED_VALUE"""),46111.0)</f>
        <v>46111</v>
      </c>
      <c r="D2218" s="154">
        <f>IFERROR(__xludf.DUMMYFUNCTION("""COMPUTED_VALUE"""),46118.0)</f>
        <v>46118</v>
      </c>
    </row>
    <row r="2219">
      <c r="A2219" s="153" t="str">
        <f>IFERROR(__xludf.DUMMYFUNCTION("""COMPUTED_VALUE"""),"ATR0000011137")</f>
        <v>ATR0000011137</v>
      </c>
      <c r="B2219" s="153" t="str">
        <f>IFERROR(__xludf.DUMMYFUNCTION("""COMPUTED_VALUE"""),"FEMALE INFERTILITY NGS PANEL")</f>
        <v>FEMALE INFERTILITY NGS PANEL</v>
      </c>
      <c r="C2219" s="154">
        <f>IFERROR(__xludf.DUMMYFUNCTION("""COMPUTED_VALUE"""),46111.0)</f>
        <v>46111</v>
      </c>
      <c r="D2219" s="154">
        <f>IFERROR(__xludf.DUMMYFUNCTION("""COMPUTED_VALUE"""),46118.0)</f>
        <v>46118</v>
      </c>
    </row>
    <row r="2220">
      <c r="A2220" s="153" t="str">
        <f>IFERROR(__xludf.DUMMYFUNCTION("""COMPUTED_VALUE"""),"ATR0000011138")</f>
        <v>ATR0000011138</v>
      </c>
      <c r="B2220" s="153" t="str">
        <f>IFERROR(__xludf.DUMMYFUNCTION("""COMPUTED_VALUE"""),"MALE INFERTILITY NGS PANEL")</f>
        <v>MALE INFERTILITY NGS PANEL</v>
      </c>
      <c r="C2220" s="154">
        <f>IFERROR(__xludf.DUMMYFUNCTION("""COMPUTED_VALUE"""),46111.0)</f>
        <v>46111</v>
      </c>
      <c r="D2220" s="154">
        <f>IFERROR(__xludf.DUMMYFUNCTION("""COMPUTED_VALUE"""),46118.0)</f>
        <v>46118</v>
      </c>
    </row>
    <row r="2221">
      <c r="A2221" s="153" t="str">
        <f>IFERROR(__xludf.DUMMYFUNCTION("""COMPUTED_VALUE"""),"ADB0000029742")</f>
        <v>ADB0000029742</v>
      </c>
      <c r="B2221" s="153" t="str">
        <f>IFERROR(__xludf.DUMMYFUNCTION("""COMPUTED_VALUE"""),"WES")</f>
        <v>WES</v>
      </c>
      <c r="C2221" s="154">
        <f>IFERROR(__xludf.DUMMYFUNCTION("""COMPUTED_VALUE"""),46111.0)</f>
        <v>46111</v>
      </c>
      <c r="D2221" s="154">
        <f>IFERROR(__xludf.DUMMYFUNCTION("""COMPUTED_VALUE"""),46130.0)</f>
        <v>46130</v>
      </c>
    </row>
    <row r="2222">
      <c r="A2222" s="153" t="str">
        <f>IFERROR(__xludf.DUMMYFUNCTION("""COMPUTED_VALUE"""),"ADB0000029743")</f>
        <v>ADB0000029743</v>
      </c>
      <c r="B2222" s="153" t="str">
        <f>IFERROR(__xludf.DUMMYFUNCTION("""COMPUTED_VALUE"""),"WES")</f>
        <v>WES</v>
      </c>
      <c r="C2222" s="154">
        <f>IFERROR(__xludf.DUMMYFUNCTION("""COMPUTED_VALUE"""),46111.0)</f>
        <v>46111</v>
      </c>
      <c r="D2222" s="154">
        <f>IFERROR(__xludf.DUMMYFUNCTION("""COMPUTED_VALUE"""),46130.0)</f>
        <v>46130</v>
      </c>
    </row>
    <row r="2223">
      <c r="A2223" s="153"/>
      <c r="B2223" s="153" t="str">
        <f>IFERROR(__xludf.DUMMYFUNCTION("""COMPUTED_VALUE"""),"WES")</f>
        <v>WES</v>
      </c>
      <c r="C2223" s="154">
        <f>IFERROR(__xludf.DUMMYFUNCTION("""COMPUTED_VALUE"""),46111.0)</f>
        <v>46111</v>
      </c>
      <c r="D2223" s="154">
        <f>IFERROR(__xludf.DUMMYFUNCTION("""COMPUTED_VALUE"""),46118.0)</f>
        <v>46118</v>
      </c>
    </row>
    <row r="2224">
      <c r="A2224" s="153"/>
      <c r="B2224" s="153" t="str">
        <f>IFERROR(__xludf.DUMMYFUNCTION("""COMPUTED_VALUE"""),"WES")</f>
        <v>WES</v>
      </c>
      <c r="C2224" s="154">
        <f>IFERROR(__xludf.DUMMYFUNCTION("""COMPUTED_VALUE"""),46111.0)</f>
        <v>46111</v>
      </c>
      <c r="D2224" s="154">
        <f>IFERROR(__xludf.DUMMYFUNCTION("""COMPUTED_VALUE"""),46118.0)</f>
        <v>46118</v>
      </c>
    </row>
    <row r="2225">
      <c r="A2225" s="153" t="str">
        <f>IFERROR(__xludf.DUMMYFUNCTION("""COMPUTED_VALUE"""),"HYP0000000733")</f>
        <v>HYP0000000733</v>
      </c>
      <c r="B2225" s="153" t="str">
        <f>IFERROR(__xludf.DUMMYFUNCTION("""COMPUTED_VALUE"""),"ADVAT FOCUS CARRIER SCREENING - NGS")</f>
        <v>ADVAT FOCUS CARRIER SCREENING - NGS</v>
      </c>
      <c r="C2225" s="154">
        <f>IFERROR(__xludf.DUMMYFUNCTION("""COMPUTED_VALUE"""),46111.0)</f>
        <v>46111</v>
      </c>
      <c r="D2225" s="154">
        <f>IFERROR(__xludf.DUMMYFUNCTION("""COMPUTED_VALUE"""),46131.0)</f>
        <v>46131</v>
      </c>
    </row>
    <row r="2226">
      <c r="A2226" s="153" t="str">
        <f>IFERROR(__xludf.DUMMYFUNCTION("""COMPUTED_VALUE"""),"HYP0000000734")</f>
        <v>HYP0000000734</v>
      </c>
      <c r="B2226" s="153" t="str">
        <f>IFERROR(__xludf.DUMMYFUNCTION("""COMPUTED_VALUE"""),"ADVAT FOCUS CARRIER SCREENING - NGS")</f>
        <v>ADVAT FOCUS CARRIER SCREENING - NGS</v>
      </c>
      <c r="C2226" s="154">
        <f>IFERROR(__xludf.DUMMYFUNCTION("""COMPUTED_VALUE"""),46111.0)</f>
        <v>46111</v>
      </c>
      <c r="D2226" s="154">
        <f>IFERROR(__xludf.DUMMYFUNCTION("""COMPUTED_VALUE"""),46131.0)</f>
        <v>46131</v>
      </c>
    </row>
    <row r="2227">
      <c r="A2227" s="153" t="str">
        <f>IFERROR(__xludf.DUMMYFUNCTION("""COMPUTED_VALUE"""),"ADB0000029922")</f>
        <v>ADB0000029922</v>
      </c>
      <c r="B2227" s="153" t="str">
        <f>IFERROR(__xludf.DUMMYFUNCTION("""COMPUTED_VALUE"""),"FEMALE INFERTILITY NGS PANEL")</f>
        <v>FEMALE INFERTILITY NGS PANEL</v>
      </c>
      <c r="C2227" s="154">
        <f>IFERROR(__xludf.DUMMYFUNCTION("""COMPUTED_VALUE"""),46111.0)</f>
        <v>46111</v>
      </c>
      <c r="D2227" s="154">
        <f>IFERROR(__xludf.DUMMYFUNCTION("""COMPUTED_VALUE"""),46121.0)</f>
        <v>46121</v>
      </c>
    </row>
    <row r="2228">
      <c r="A2228" s="153" t="str">
        <f>IFERROR(__xludf.DUMMYFUNCTION("""COMPUTED_VALUE"""),"ADK0000000667")</f>
        <v>ADK0000000667</v>
      </c>
      <c r="B2228" s="153" t="str">
        <f>IFERROR(__xludf.DUMMYFUNCTION("""COMPUTED_VALUE"""),"WES")</f>
        <v>WES</v>
      </c>
      <c r="C2228" s="154">
        <f>IFERROR(__xludf.DUMMYFUNCTION("""COMPUTED_VALUE"""),46111.0)</f>
        <v>46111</v>
      </c>
      <c r="D2228" s="154">
        <f>IFERROR(__xludf.DUMMYFUNCTION("""COMPUTED_VALUE"""),46126.0)</f>
        <v>46126</v>
      </c>
    </row>
    <row r="2229">
      <c r="A2229" s="153" t="str">
        <f>IFERROR(__xludf.DUMMYFUNCTION("""COMPUTED_VALUE"""),"ADK0000000668")</f>
        <v>ADK0000000668</v>
      </c>
      <c r="B2229" s="153" t="str">
        <f>IFERROR(__xludf.DUMMYFUNCTION("""COMPUTED_VALUE"""),"WES")</f>
        <v>WES</v>
      </c>
      <c r="C2229" s="154">
        <f>IFERROR(__xludf.DUMMYFUNCTION("""COMPUTED_VALUE"""),46111.0)</f>
        <v>46111</v>
      </c>
      <c r="D2229" s="154">
        <f>IFERROR(__xludf.DUMMYFUNCTION("""COMPUTED_VALUE"""),46126.0)</f>
        <v>46126</v>
      </c>
    </row>
    <row r="2230">
      <c r="A2230" s="153" t="str">
        <f>IFERROR(__xludf.DUMMYFUNCTION("""COMPUTED_VALUE"""),"ADK0000000669")</f>
        <v>ADK0000000669</v>
      </c>
      <c r="B2230" s="153" t="str">
        <f>IFERROR(__xludf.DUMMYFUNCTION("""COMPUTED_VALUE"""),"WES")</f>
        <v>WES</v>
      </c>
      <c r="C2230" s="154">
        <f>IFERROR(__xludf.DUMMYFUNCTION("""COMPUTED_VALUE"""),46111.0)</f>
        <v>46111</v>
      </c>
      <c r="D2230" s="154">
        <f>IFERROR(__xludf.DUMMYFUNCTION("""COMPUTED_VALUE"""),46126.0)</f>
        <v>46126</v>
      </c>
    </row>
    <row r="2231">
      <c r="A2231" s="153" t="str">
        <f>IFERROR(__xludf.DUMMYFUNCTION("""COMPUTED_VALUE"""),"ADK0000000670")</f>
        <v>ADK0000000670</v>
      </c>
      <c r="B2231" s="153" t="str">
        <f>IFERROR(__xludf.DUMMYFUNCTION("""COMPUTED_VALUE"""),"WES")</f>
        <v>WES</v>
      </c>
      <c r="C2231" s="154">
        <f>IFERROR(__xludf.DUMMYFUNCTION("""COMPUTED_VALUE"""),46111.0)</f>
        <v>46111</v>
      </c>
      <c r="D2231" s="154">
        <f>IFERROR(__xludf.DUMMYFUNCTION("""COMPUTED_VALUE"""),46126.0)</f>
        <v>46126</v>
      </c>
    </row>
    <row r="2232">
      <c r="A2232" s="153" t="str">
        <f>IFERROR(__xludf.DUMMYFUNCTION("""COMPUTED_VALUE"""),"ADK0000000672")</f>
        <v>ADK0000000672</v>
      </c>
      <c r="B2232" s="153" t="str">
        <f>IFERROR(__xludf.DUMMYFUNCTION("""COMPUTED_VALUE"""),"WES")</f>
        <v>WES</v>
      </c>
      <c r="C2232" s="154">
        <f>IFERROR(__xludf.DUMMYFUNCTION("""COMPUTED_VALUE"""),46111.0)</f>
        <v>46111</v>
      </c>
      <c r="D2232" s="154">
        <f>IFERROR(__xludf.DUMMYFUNCTION("""COMPUTED_VALUE"""),46126.0)</f>
        <v>46126</v>
      </c>
    </row>
    <row r="2233">
      <c r="A2233" s="153" t="str">
        <f>IFERROR(__xludf.DUMMYFUNCTION("""COMPUTED_VALUE"""),"ADB0000029888")</f>
        <v>ADB0000029888</v>
      </c>
      <c r="B2233" s="153" t="str">
        <f>IFERROR(__xludf.DUMMYFUNCTION("""COMPUTED_VALUE"""),"WES")</f>
        <v>WES</v>
      </c>
      <c r="C2233" s="154">
        <f>IFERROR(__xludf.DUMMYFUNCTION("""COMPUTED_VALUE"""),46111.0)</f>
        <v>46111</v>
      </c>
      <c r="D2233" s="154">
        <f>IFERROR(__xludf.DUMMYFUNCTION("""COMPUTED_VALUE"""),46120.0)</f>
        <v>46120</v>
      </c>
    </row>
    <row r="2234">
      <c r="A2234" s="153" t="str">
        <f>IFERROR(__xludf.DUMMYFUNCTION("""COMPUTED_VALUE"""),"ADB0000029885")</f>
        <v>ADB0000029885</v>
      </c>
      <c r="B2234" s="153" t="str">
        <f>IFERROR(__xludf.DUMMYFUNCTION("""COMPUTED_VALUE"""),"WES")</f>
        <v>WES</v>
      </c>
      <c r="C2234" s="154">
        <f>IFERROR(__xludf.DUMMYFUNCTION("""COMPUTED_VALUE"""),46111.0)</f>
        <v>46111</v>
      </c>
      <c r="D2234" s="154">
        <f>IFERROR(__xludf.DUMMYFUNCTION("""COMPUTED_VALUE"""),46120.0)</f>
        <v>46120</v>
      </c>
    </row>
    <row r="2235">
      <c r="A2235" s="153" t="str">
        <f>IFERROR(__xludf.DUMMYFUNCTION("""COMPUTED_VALUE"""),"ADB0000029887")</f>
        <v>ADB0000029887</v>
      </c>
      <c r="B2235" s="153" t="str">
        <f>IFERROR(__xludf.DUMMYFUNCTION("""COMPUTED_VALUE"""),"WES")</f>
        <v>WES</v>
      </c>
      <c r="C2235" s="154">
        <f>IFERROR(__xludf.DUMMYFUNCTION("""COMPUTED_VALUE"""),46111.0)</f>
        <v>46111</v>
      </c>
      <c r="D2235" s="154">
        <f>IFERROR(__xludf.DUMMYFUNCTION("""COMPUTED_VALUE"""),46120.0)</f>
        <v>46120</v>
      </c>
    </row>
    <row r="2236">
      <c r="A2236" s="153" t="str">
        <f>IFERROR(__xludf.DUMMYFUNCTION("""COMPUTED_VALUE"""),"ADK0000000612")</f>
        <v>ADK0000000612</v>
      </c>
      <c r="B2236" s="153" t="str">
        <f>IFERROR(__xludf.DUMMYFUNCTION("""COMPUTED_VALUE"""),"WES+WMGS")</f>
        <v>WES+WMGS</v>
      </c>
      <c r="C2236" s="154">
        <f>IFERROR(__xludf.DUMMYFUNCTION("""COMPUTED_VALUE"""),46111.0)</f>
        <v>46111</v>
      </c>
      <c r="D2236" s="154">
        <f>IFERROR(__xludf.DUMMYFUNCTION("""COMPUTED_VALUE"""),46130.0)</f>
        <v>46130</v>
      </c>
    </row>
    <row r="2237">
      <c r="A2237" s="153" t="str">
        <f>IFERROR(__xludf.DUMMYFUNCTION("""COMPUTED_VALUE"""),"PH50000006202")</f>
        <v>PH50000006202</v>
      </c>
      <c r="B2237" s="153" t="str">
        <f>IFERROR(__xludf.DUMMYFUNCTION("""COMPUTED_VALUE"""),"WES+WMGS")</f>
        <v>WES+WMGS</v>
      </c>
      <c r="C2237" s="154">
        <f>IFERROR(__xludf.DUMMYFUNCTION("""COMPUTED_VALUE"""),46111.0)</f>
        <v>46111</v>
      </c>
      <c r="D2237" s="154">
        <f>IFERROR(__xludf.DUMMYFUNCTION("""COMPUTED_VALUE"""),46131.0)</f>
        <v>46131</v>
      </c>
    </row>
    <row r="2238">
      <c r="A2238" s="153" t="str">
        <f>IFERROR(__xludf.DUMMYFUNCTION("""COMPUTED_VALUE"""),"HYP0000000731")</f>
        <v>HYP0000000731</v>
      </c>
      <c r="B2238" s="153" t="str">
        <f>IFERROR(__xludf.DUMMYFUNCTION("""COMPUTED_VALUE"""),"ADVAT FOCUS CARRIER SCREENING - NGS")</f>
        <v>ADVAT FOCUS CARRIER SCREENING - NGS</v>
      </c>
      <c r="C2238" s="154">
        <f>IFERROR(__xludf.DUMMYFUNCTION("""COMPUTED_VALUE"""),46111.0)</f>
        <v>46111</v>
      </c>
      <c r="D2238" s="154">
        <f>IFERROR(__xludf.DUMMYFUNCTION("""COMPUTED_VALUE"""),46131.0)</f>
        <v>46131</v>
      </c>
    </row>
    <row r="2239">
      <c r="A2239" s="153" t="str">
        <f>IFERROR(__xludf.DUMMYFUNCTION("""COMPUTED_VALUE"""),"HYP0000000732")</f>
        <v>HYP0000000732</v>
      </c>
      <c r="B2239" s="153" t="str">
        <f>IFERROR(__xludf.DUMMYFUNCTION("""COMPUTED_VALUE"""),"ADVAT FOCUS CARRIER SCREENING - NGS")</f>
        <v>ADVAT FOCUS CARRIER SCREENING - NGS</v>
      </c>
      <c r="C2239" s="154">
        <f>IFERROR(__xludf.DUMMYFUNCTION("""COMPUTED_VALUE"""),46111.0)</f>
        <v>46111</v>
      </c>
      <c r="D2239" s="154">
        <f>IFERROR(__xludf.DUMMYFUNCTION("""COMPUTED_VALUE"""),46131.0)</f>
        <v>46131</v>
      </c>
    </row>
    <row r="2240">
      <c r="A2240" s="153" t="str">
        <f>IFERROR(__xludf.DUMMYFUNCTION("""COMPUTED_VALUE"""),"ADB0000029974")</f>
        <v>ADB0000029974</v>
      </c>
      <c r="B2240" s="153" t="str">
        <f>IFERROR(__xludf.DUMMYFUNCTION("""COMPUTED_VALUE"""),"WES")</f>
        <v>WES</v>
      </c>
      <c r="C2240" s="154">
        <f>IFERROR(__xludf.DUMMYFUNCTION("""COMPUTED_VALUE"""),46111.0)</f>
        <v>46111</v>
      </c>
      <c r="D2240" s="154">
        <f>IFERROR(__xludf.DUMMYFUNCTION("""COMPUTED_VALUE"""),46131.0)</f>
        <v>46131</v>
      </c>
    </row>
    <row r="2241">
      <c r="A2241" s="153"/>
      <c r="B2241" s="153" t="str">
        <f>IFERROR(__xludf.DUMMYFUNCTION("""COMPUTED_VALUE"""),"WGA+Seq")</f>
        <v>WGA+Seq</v>
      </c>
      <c r="C2241" s="153"/>
      <c r="D2241" s="154">
        <f>IFERROR(__xludf.DUMMYFUNCTION("""COMPUTED_VALUE"""),46133.0)</f>
        <v>46133</v>
      </c>
    </row>
    <row r="2242">
      <c r="A2242" s="153"/>
      <c r="B2242" s="153" t="str">
        <f>IFERROR(__xludf.DUMMYFUNCTION("""COMPUTED_VALUE"""),"WGA+Seq")</f>
        <v>WGA+Seq</v>
      </c>
      <c r="C2242" s="153"/>
      <c r="D2242" s="154">
        <f>IFERROR(__xludf.DUMMYFUNCTION("""COMPUTED_VALUE"""),46133.0)</f>
        <v>46133</v>
      </c>
    </row>
    <row r="2243">
      <c r="A2243" s="153"/>
      <c r="B2243" s="153" t="str">
        <f>IFERROR(__xludf.DUMMYFUNCTION("""COMPUTED_VALUE"""),"WGA+Seq")</f>
        <v>WGA+Seq</v>
      </c>
      <c r="C2243" s="153"/>
      <c r="D2243" s="154">
        <f>IFERROR(__xludf.DUMMYFUNCTION("""COMPUTED_VALUE"""),46133.0)</f>
        <v>46133</v>
      </c>
    </row>
    <row r="2244">
      <c r="A2244" s="153"/>
      <c r="B2244" s="153" t="str">
        <f>IFERROR(__xludf.DUMMYFUNCTION("""COMPUTED_VALUE"""),"WGA+Seq")</f>
        <v>WGA+Seq</v>
      </c>
      <c r="C2244" s="153"/>
      <c r="D2244" s="154">
        <f>IFERROR(__xludf.DUMMYFUNCTION("""COMPUTED_VALUE"""),46133.0)</f>
        <v>46133</v>
      </c>
    </row>
    <row r="2245">
      <c r="A2245" s="153" t="str">
        <f>IFERROR(__xludf.DUMMYFUNCTION("""COMPUTED_VALUE"""),"PH50000006458")</f>
        <v>PH50000006458</v>
      </c>
      <c r="B2245" s="153" t="str">
        <f>IFERROR(__xludf.DUMMYFUNCTION("""COMPUTED_VALUE"""),"WES+WMGS")</f>
        <v>WES+WMGS</v>
      </c>
      <c r="C2245" s="154">
        <f>IFERROR(__xludf.DUMMYFUNCTION("""COMPUTED_VALUE"""),46118.0)</f>
        <v>46118</v>
      </c>
      <c r="D2245" s="154">
        <f>IFERROR(__xludf.DUMMYFUNCTION("""COMPUTED_VALUE"""),46132.0)</f>
        <v>46132</v>
      </c>
    </row>
    <row r="2246">
      <c r="A2246" s="153" t="str">
        <f>IFERROR(__xludf.DUMMYFUNCTION("""COMPUTED_VALUE"""),"GRM0000001568")</f>
        <v>GRM0000001568</v>
      </c>
      <c r="B2246" s="153" t="str">
        <f>IFERROR(__xludf.DUMMYFUNCTION("""COMPUTED_VALUE"""),"WES")</f>
        <v>WES</v>
      </c>
      <c r="C2246" s="154">
        <f>IFERROR(__xludf.DUMMYFUNCTION("""COMPUTED_VALUE"""),46118.0)</f>
        <v>46118</v>
      </c>
      <c r="D2246" s="154">
        <f>IFERROR(__xludf.DUMMYFUNCTION("""COMPUTED_VALUE"""),46132.0)</f>
        <v>46132</v>
      </c>
    </row>
    <row r="2247">
      <c r="A2247" s="153" t="str">
        <f>IFERROR(__xludf.DUMMYFUNCTION("""COMPUTED_VALUE"""),"HYP0000000805")</f>
        <v>HYP0000000805</v>
      </c>
      <c r="B2247" s="153" t="str">
        <f>IFERROR(__xludf.DUMMYFUNCTION("""COMPUTED_VALUE"""),"WES")</f>
        <v>WES</v>
      </c>
      <c r="C2247" s="154">
        <f>IFERROR(__xludf.DUMMYFUNCTION("""COMPUTED_VALUE"""),46118.0)</f>
        <v>46118</v>
      </c>
      <c r="D2247" s="154">
        <f>IFERROR(__xludf.DUMMYFUNCTION("""COMPUTED_VALUE"""),46132.0)</f>
        <v>46132</v>
      </c>
    </row>
    <row r="2248">
      <c r="A2248" s="153" t="str">
        <f>IFERROR(__xludf.DUMMYFUNCTION("""COMPUTED_VALUE"""),"ADK0000000607")</f>
        <v>ADK0000000607</v>
      </c>
      <c r="B2248" s="153" t="str">
        <f>IFERROR(__xludf.DUMMYFUNCTION("""COMPUTED_VALUE"""),"WES+WMGS")</f>
        <v>WES+WMGS</v>
      </c>
      <c r="C2248" s="154">
        <f>IFERROR(__xludf.DUMMYFUNCTION("""COMPUTED_VALUE"""),46118.0)</f>
        <v>46118</v>
      </c>
      <c r="D2248" s="154">
        <f>IFERROR(__xludf.DUMMYFUNCTION("""COMPUTED_VALUE"""),46130.0)</f>
        <v>46130</v>
      </c>
    </row>
    <row r="2249">
      <c r="A2249" s="153" t="str">
        <f>IFERROR(__xludf.DUMMYFUNCTION("""COMPUTED_VALUE"""),"ADK0000000610")</f>
        <v>ADK0000000610</v>
      </c>
      <c r="B2249" s="153" t="str">
        <f>IFERROR(__xludf.DUMMYFUNCTION("""COMPUTED_VALUE"""),"WES+WMGS")</f>
        <v>WES+WMGS</v>
      </c>
      <c r="C2249" s="154">
        <f>IFERROR(__xludf.DUMMYFUNCTION("""COMPUTED_VALUE"""),46118.0)</f>
        <v>46118</v>
      </c>
      <c r="D2249" s="154">
        <f>IFERROR(__xludf.DUMMYFUNCTION("""COMPUTED_VALUE"""),46130.0)</f>
        <v>46130</v>
      </c>
    </row>
    <row r="2250">
      <c r="A2250" s="153" t="str">
        <f>IFERROR(__xludf.DUMMYFUNCTION("""COMPUTED_VALUE"""),"ADK0000000611")</f>
        <v>ADK0000000611</v>
      </c>
      <c r="B2250" s="153" t="str">
        <f>IFERROR(__xludf.DUMMYFUNCTION("""COMPUTED_VALUE"""),"WES+WMGS")</f>
        <v>WES+WMGS</v>
      </c>
      <c r="C2250" s="154">
        <f>IFERROR(__xludf.DUMMYFUNCTION("""COMPUTED_VALUE"""),46118.0)</f>
        <v>46118</v>
      </c>
      <c r="D2250" s="154">
        <f>IFERROR(__xludf.DUMMYFUNCTION("""COMPUTED_VALUE"""),46130.0)</f>
        <v>46130</v>
      </c>
    </row>
    <row r="2251">
      <c r="A2251" s="153" t="str">
        <f>IFERROR(__xludf.DUMMYFUNCTION("""COMPUTED_VALUE"""),"AMB0000007563")</f>
        <v>AMB0000007563</v>
      </c>
      <c r="B2251" s="153" t="str">
        <f>IFERROR(__xludf.DUMMYFUNCTION("""COMPUTED_VALUE"""),"WES")</f>
        <v>WES</v>
      </c>
      <c r="C2251" s="154">
        <f>IFERROR(__xludf.DUMMYFUNCTION("""COMPUTED_VALUE"""),46118.0)</f>
        <v>46118</v>
      </c>
      <c r="D2251" s="154">
        <f>IFERROR(__xludf.DUMMYFUNCTION("""COMPUTED_VALUE"""),46132.0)</f>
        <v>46132</v>
      </c>
    </row>
    <row r="2252">
      <c r="A2252" s="153" t="str">
        <f>IFERROR(__xludf.DUMMYFUNCTION("""COMPUTED_VALUE"""),"AMB0000007564")</f>
        <v>AMB0000007564</v>
      </c>
      <c r="B2252" s="153" t="str">
        <f>IFERROR(__xludf.DUMMYFUNCTION("""COMPUTED_VALUE"""),"WES")</f>
        <v>WES</v>
      </c>
      <c r="C2252" s="154">
        <f>IFERROR(__xludf.DUMMYFUNCTION("""COMPUTED_VALUE"""),46118.0)</f>
        <v>46118</v>
      </c>
      <c r="D2252" s="154">
        <f>IFERROR(__xludf.DUMMYFUNCTION("""COMPUTED_VALUE"""),46132.0)</f>
        <v>46132</v>
      </c>
    </row>
    <row r="2253">
      <c r="A2253" s="153" t="str">
        <f>IFERROR(__xludf.DUMMYFUNCTION("""COMPUTED_VALUE"""),"ADK0000000752")</f>
        <v>ADK0000000752</v>
      </c>
      <c r="B2253" s="153" t="str">
        <f>IFERROR(__xludf.DUMMYFUNCTION("""COMPUTED_VALUE"""),"WES+WMGS")</f>
        <v>WES+WMGS</v>
      </c>
      <c r="C2253" s="154">
        <f>IFERROR(__xludf.DUMMYFUNCTION("""COMPUTED_VALUE"""),46118.0)</f>
        <v>46118</v>
      </c>
      <c r="D2253" s="154">
        <f>IFERROR(__xludf.DUMMYFUNCTION("""COMPUTED_VALUE"""),46127.0)</f>
        <v>46127</v>
      </c>
    </row>
    <row r="2254">
      <c r="A2254" s="153" t="str">
        <f>IFERROR(__xludf.DUMMYFUNCTION("""COMPUTED_VALUE"""),"ADK0000000751")</f>
        <v>ADK0000000751</v>
      </c>
      <c r="B2254" s="153" t="str">
        <f>IFERROR(__xludf.DUMMYFUNCTION("""COMPUTED_VALUE"""),"WES")</f>
        <v>WES</v>
      </c>
      <c r="C2254" s="154">
        <f>IFERROR(__xludf.DUMMYFUNCTION("""COMPUTED_VALUE"""),46118.0)</f>
        <v>46118</v>
      </c>
      <c r="D2254" s="154">
        <f>IFERROR(__xludf.DUMMYFUNCTION("""COMPUTED_VALUE"""),46127.0)</f>
        <v>46127</v>
      </c>
    </row>
    <row r="2255">
      <c r="A2255" s="153" t="str">
        <f>IFERROR(__xludf.DUMMYFUNCTION("""COMPUTED_VALUE"""),"GRM0000001703")</f>
        <v>GRM0000001703</v>
      </c>
      <c r="B2255" s="153" t="str">
        <f>IFERROR(__xludf.DUMMYFUNCTION("""COMPUTED_VALUE"""),"WES")</f>
        <v>WES</v>
      </c>
      <c r="C2255" s="154">
        <f>IFERROR(__xludf.DUMMYFUNCTION("""COMPUTED_VALUE"""),46118.0)</f>
        <v>46118</v>
      </c>
      <c r="D2255" s="154">
        <f>IFERROR(__xludf.DUMMYFUNCTION("""COMPUTED_VALUE"""),46133.0)</f>
        <v>46133</v>
      </c>
    </row>
    <row r="2256">
      <c r="A2256" s="153" t="str">
        <f>IFERROR(__xludf.DUMMYFUNCTION("""COMPUTED_VALUE"""),"CBC0000026935")</f>
        <v>CBC0000026935</v>
      </c>
      <c r="B2256" s="153" t="str">
        <f>IFERROR(__xludf.DUMMYFUNCTION("""COMPUTED_VALUE"""),"WES")</f>
        <v>WES</v>
      </c>
      <c r="C2256" s="154">
        <f>IFERROR(__xludf.DUMMYFUNCTION("""COMPUTED_VALUE"""),46118.0)</f>
        <v>46118</v>
      </c>
      <c r="D2256" s="154">
        <f>IFERROR(__xludf.DUMMYFUNCTION("""COMPUTED_VALUE"""),46133.0)</f>
        <v>46133</v>
      </c>
    </row>
    <row r="2257">
      <c r="A2257" s="153" t="str">
        <f>IFERROR(__xludf.DUMMYFUNCTION("""COMPUTED_VALUE"""),"ANG0000003478")</f>
        <v>ANG0000003478</v>
      </c>
      <c r="B2257" s="153" t="str">
        <f>IFERROR(__xludf.DUMMYFUNCTION("""COMPUTED_VALUE"""),"WES")</f>
        <v>WES</v>
      </c>
      <c r="C2257" s="154">
        <f>IFERROR(__xludf.DUMMYFUNCTION("""COMPUTED_VALUE"""),46118.0)</f>
        <v>46118</v>
      </c>
      <c r="D2257" s="154">
        <f>IFERROR(__xludf.DUMMYFUNCTION("""COMPUTED_VALUE"""),46133.0)</f>
        <v>46133</v>
      </c>
    </row>
    <row r="2258">
      <c r="A2258" s="153" t="str">
        <f>IFERROR(__xludf.DUMMYFUNCTION("""COMPUTED_VALUE"""),"MDU0000006583")</f>
        <v>MDU0000006583</v>
      </c>
      <c r="B2258" s="153" t="str">
        <f>IFERROR(__xludf.DUMMYFUNCTION("""COMPUTED_VALUE"""),"WES")</f>
        <v>WES</v>
      </c>
      <c r="C2258" s="154">
        <f>IFERROR(__xludf.DUMMYFUNCTION("""COMPUTED_VALUE"""),46118.0)</f>
        <v>46118</v>
      </c>
      <c r="D2258" s="154">
        <f>IFERROR(__xludf.DUMMYFUNCTION("""COMPUTED_VALUE"""),46134.0)</f>
        <v>46134</v>
      </c>
    </row>
    <row r="2259">
      <c r="A2259" s="153" t="str">
        <f>IFERROR(__xludf.DUMMYFUNCTION("""COMPUTED_VALUE"""),"ATR0000011428")</f>
        <v>ATR0000011428</v>
      </c>
      <c r="B2259" s="153" t="str">
        <f>IFERROR(__xludf.DUMMYFUNCTION("""COMPUTED_VALUE"""),"FEMALE INFERTILITY NGS PANEL")</f>
        <v>FEMALE INFERTILITY NGS PANEL</v>
      </c>
      <c r="C2259" s="154">
        <f>IFERROR(__xludf.DUMMYFUNCTION("""COMPUTED_VALUE"""),46118.0)</f>
        <v>46118</v>
      </c>
      <c r="D2259" s="154">
        <f>IFERROR(__xludf.DUMMYFUNCTION("""COMPUTED_VALUE"""),46123.0)</f>
        <v>46123</v>
      </c>
    </row>
    <row r="2260">
      <c r="A2260" s="153" t="str">
        <f>IFERROR(__xludf.DUMMYFUNCTION("""COMPUTED_VALUE"""),"ATR0000011429")</f>
        <v>ATR0000011429</v>
      </c>
      <c r="B2260" s="153" t="str">
        <f>IFERROR(__xludf.DUMMYFUNCTION("""COMPUTED_VALUE"""),"MALE INFERTILITY NGS PANEL")</f>
        <v>MALE INFERTILITY NGS PANEL</v>
      </c>
      <c r="C2260" s="154">
        <f>IFERROR(__xludf.DUMMYFUNCTION("""COMPUTED_VALUE"""),46118.0)</f>
        <v>46118</v>
      </c>
      <c r="D2260" s="154">
        <f>IFERROR(__xludf.DUMMYFUNCTION("""COMPUTED_VALUE"""),46123.0)</f>
        <v>46123</v>
      </c>
    </row>
    <row r="2261">
      <c r="A2261" s="153" t="str">
        <f>IFERROR(__xludf.DUMMYFUNCTION("""COMPUTED_VALUE"""),"ADB0000030037")</f>
        <v>ADB0000030037</v>
      </c>
      <c r="B2261" s="153" t="str">
        <f>IFERROR(__xludf.DUMMYFUNCTION("""COMPUTED_VALUE"""),"WES")</f>
        <v>WES</v>
      </c>
      <c r="C2261" s="154">
        <f>IFERROR(__xludf.DUMMYFUNCTION("""COMPUTED_VALUE"""),46118.0)</f>
        <v>46118</v>
      </c>
      <c r="D2261" s="154">
        <f>IFERROR(__xludf.DUMMYFUNCTION("""COMPUTED_VALUE"""),46134.0)</f>
        <v>46134</v>
      </c>
    </row>
    <row r="2262">
      <c r="A2262" s="153" t="str">
        <f>IFERROR(__xludf.DUMMYFUNCTION("""COMPUTED_VALUE"""),"FR20000006316")</f>
        <v>FR20000006316</v>
      </c>
      <c r="B2262" s="153" t="str">
        <f>IFERROR(__xludf.DUMMYFUNCTION("""COMPUTED_VALUE"""),"WES")</f>
        <v>WES</v>
      </c>
      <c r="C2262" s="154">
        <f>IFERROR(__xludf.DUMMYFUNCTION("""COMPUTED_VALUE"""),46118.0)</f>
        <v>46118</v>
      </c>
      <c r="D2262" s="154">
        <f>IFERROR(__xludf.DUMMYFUNCTION("""COMPUTED_VALUE"""),46134.0)</f>
        <v>46134</v>
      </c>
    </row>
    <row r="2263">
      <c r="A2263" s="153"/>
      <c r="B2263" s="153" t="str">
        <f>IFERROR(__xludf.DUMMYFUNCTION("""COMPUTED_VALUE"""),"WES")</f>
        <v>WES</v>
      </c>
      <c r="C2263" s="154">
        <f>IFERROR(__xludf.DUMMYFUNCTION("""COMPUTED_VALUE"""),46118.0)</f>
        <v>46118</v>
      </c>
      <c r="D2263" s="154">
        <f>IFERROR(__xludf.DUMMYFUNCTION("""COMPUTED_VALUE"""),46122.0)</f>
        <v>46122</v>
      </c>
    </row>
    <row r="2264">
      <c r="A2264" s="153" t="str">
        <f>IFERROR(__xludf.DUMMYFUNCTION("""COMPUTED_VALUE"""),"ADK0000000750")</f>
        <v>ADK0000000750</v>
      </c>
      <c r="B2264" s="153" t="str">
        <f>IFERROR(__xludf.DUMMYFUNCTION("""COMPUTED_VALUE"""),"WES")</f>
        <v>WES</v>
      </c>
      <c r="C2264" s="154">
        <f>IFERROR(__xludf.DUMMYFUNCTION("""COMPUTED_VALUE"""),46118.0)</f>
        <v>46118</v>
      </c>
      <c r="D2264" s="154">
        <f>IFERROR(__xludf.DUMMYFUNCTION("""COMPUTED_VALUE"""),46128.0)</f>
        <v>46128</v>
      </c>
    </row>
    <row r="2265">
      <c r="A2265" s="153" t="str">
        <f>IFERROR(__xludf.DUMMYFUNCTION("""COMPUTED_VALUE"""),"IDG0000000064")</f>
        <v>IDG0000000064</v>
      </c>
      <c r="B2265" s="153" t="str">
        <f>IFERROR(__xludf.DUMMYFUNCTION("""COMPUTED_VALUE"""),"WES")</f>
        <v>WES</v>
      </c>
      <c r="C2265" s="154">
        <f>IFERROR(__xludf.DUMMYFUNCTION("""COMPUTED_VALUE"""),46118.0)</f>
        <v>46118</v>
      </c>
      <c r="D2265" s="154">
        <f>IFERROR(__xludf.DUMMYFUNCTION("""COMPUTED_VALUE"""),46130.0)</f>
        <v>46130</v>
      </c>
    </row>
    <row r="2266">
      <c r="A2266" s="153" t="str">
        <f>IFERROR(__xludf.DUMMYFUNCTION("""COMPUTED_VALUE"""),"PH50000006925")</f>
        <v>PH50000006925</v>
      </c>
      <c r="B2266" s="153" t="str">
        <f>IFERROR(__xludf.DUMMYFUNCTION("""COMPUTED_VALUE"""),"WES+WMGS")</f>
        <v>WES+WMGS</v>
      </c>
      <c r="C2266" s="154">
        <f>IFERROR(__xludf.DUMMYFUNCTION("""COMPUTED_VALUE"""),46118.0)</f>
        <v>46118</v>
      </c>
      <c r="D2266" s="154">
        <f>IFERROR(__xludf.DUMMYFUNCTION("""COMPUTED_VALUE"""),46134.0)</f>
        <v>46134</v>
      </c>
    </row>
    <row r="2267">
      <c r="A2267" s="153" t="str">
        <f>IFERROR(__xludf.DUMMYFUNCTION("""COMPUTED_VALUE"""),"PH50000006928")</f>
        <v>PH50000006928</v>
      </c>
      <c r="B2267" s="153" t="str">
        <f>IFERROR(__xludf.DUMMYFUNCTION("""COMPUTED_VALUE"""),"WES+WMGS")</f>
        <v>WES+WMGS</v>
      </c>
      <c r="C2267" s="154">
        <f>IFERROR(__xludf.DUMMYFUNCTION("""COMPUTED_VALUE"""),46118.0)</f>
        <v>46118</v>
      </c>
      <c r="D2267" s="154">
        <f>IFERROR(__xludf.DUMMYFUNCTION("""COMPUTED_VALUE"""),46134.0)</f>
        <v>46134</v>
      </c>
    </row>
    <row r="2268">
      <c r="A2268" s="153" t="str">
        <f>IFERROR(__xludf.DUMMYFUNCTION("""COMPUTED_VALUE"""),"ADB0000030179")</f>
        <v>ADB0000030179</v>
      </c>
      <c r="B2268" s="153" t="str">
        <f>IFERROR(__xludf.DUMMYFUNCTION("""COMPUTED_VALUE"""),"WES")</f>
        <v>WES</v>
      </c>
      <c r="C2268" s="154">
        <f>IFERROR(__xludf.DUMMYFUNCTION("""COMPUTED_VALUE"""),46118.0)</f>
        <v>46118</v>
      </c>
      <c r="D2268" s="154">
        <f>IFERROR(__xludf.DUMMYFUNCTION("""COMPUTED_VALUE"""),46134.0)</f>
        <v>46134</v>
      </c>
    </row>
    <row r="2269">
      <c r="A2269" s="153" t="str">
        <f>IFERROR(__xludf.DUMMYFUNCTION("""COMPUTED_VALUE"""),"HYP0000000833")</f>
        <v>HYP0000000833</v>
      </c>
      <c r="B2269" s="153" t="str">
        <f>IFERROR(__xludf.DUMMYFUNCTION("""COMPUTED_VALUE"""),"FEMALE INFERTILITY NGS PANEL (GENETICS)")</f>
        <v>FEMALE INFERTILITY NGS PANEL (GENETICS)</v>
      </c>
      <c r="C2269" s="154">
        <f>IFERROR(__xludf.DUMMYFUNCTION("""COMPUTED_VALUE"""),46118.0)</f>
        <v>46118</v>
      </c>
      <c r="D2269" s="154">
        <f>IFERROR(__xludf.DUMMYFUNCTION("""COMPUTED_VALUE"""),46123.0)</f>
        <v>46123</v>
      </c>
    </row>
    <row r="2270">
      <c r="A2270" s="153" t="str">
        <f>IFERROR(__xludf.DUMMYFUNCTION("""COMPUTED_VALUE"""),"HYP0000000834")</f>
        <v>HYP0000000834</v>
      </c>
      <c r="B2270" s="153" t="str">
        <f>IFERROR(__xludf.DUMMYFUNCTION("""COMPUTED_VALUE"""),"MALE INFERTILITY NGS PANEL (REPRODUCTIVE GENOMICS)")</f>
        <v>MALE INFERTILITY NGS PANEL (REPRODUCTIVE GENOMICS)</v>
      </c>
      <c r="C2270" s="154">
        <f>IFERROR(__xludf.DUMMYFUNCTION("""COMPUTED_VALUE"""),46118.0)</f>
        <v>46118</v>
      </c>
      <c r="D2270" s="154">
        <f>IFERROR(__xludf.DUMMYFUNCTION("""COMPUTED_VALUE"""),46123.0)</f>
        <v>46123</v>
      </c>
    </row>
    <row r="2271">
      <c r="A2271" s="153" t="str">
        <f>IFERROR(__xludf.DUMMYFUNCTION("""COMPUTED_VALUE"""),"CBC0000027671")</f>
        <v>CBC0000027671</v>
      </c>
      <c r="B2271" s="153" t="str">
        <f>IFERROR(__xludf.DUMMYFUNCTION("""COMPUTED_VALUE"""),"CES")</f>
        <v>CES</v>
      </c>
      <c r="C2271" s="154">
        <f>IFERROR(__xludf.DUMMYFUNCTION("""COMPUTED_VALUE"""),46118.0)</f>
        <v>46118</v>
      </c>
      <c r="D2271" s="154">
        <f>IFERROR(__xludf.DUMMYFUNCTION("""COMPUTED_VALUE"""),46134.0)</f>
        <v>46134</v>
      </c>
    </row>
    <row r="2272">
      <c r="A2272" s="153" t="str">
        <f>IFERROR(__xludf.DUMMYFUNCTION("""COMPUTED_VALUE"""),"ADK0000000724")</f>
        <v>ADK0000000724</v>
      </c>
      <c r="B2272" s="153" t="str">
        <f>IFERROR(__xludf.DUMMYFUNCTION("""COMPUTED_VALUE"""),"WES+WMGS")</f>
        <v>WES+WMGS</v>
      </c>
      <c r="C2272" s="154">
        <f>IFERROR(__xludf.DUMMYFUNCTION("""COMPUTED_VALUE"""),46118.0)</f>
        <v>46118</v>
      </c>
      <c r="D2272" s="154">
        <f>IFERROR(__xludf.DUMMYFUNCTION("""COMPUTED_VALUE"""),46134.0)</f>
        <v>46134</v>
      </c>
    </row>
    <row r="2273">
      <c r="A2273" s="153" t="str">
        <f>IFERROR(__xludf.DUMMYFUNCTION("""COMPUTED_VALUE"""),"ADK0000000725")</f>
        <v>ADK0000000725</v>
      </c>
      <c r="B2273" s="153" t="str">
        <f>IFERROR(__xludf.DUMMYFUNCTION("""COMPUTED_VALUE"""),"WES+WMGS")</f>
        <v>WES+WMGS</v>
      </c>
      <c r="C2273" s="154">
        <f>IFERROR(__xludf.DUMMYFUNCTION("""COMPUTED_VALUE"""),46118.0)</f>
        <v>46118</v>
      </c>
      <c r="D2273" s="154">
        <f>IFERROR(__xludf.DUMMYFUNCTION("""COMPUTED_VALUE"""),46134.0)</f>
        <v>46134</v>
      </c>
    </row>
    <row r="2274">
      <c r="A2274" s="153" t="str">
        <f>IFERROR(__xludf.DUMMYFUNCTION("""COMPUTED_VALUE"""),"HYP0000000855")</f>
        <v>HYP0000000855</v>
      </c>
      <c r="B2274" s="153" t="str">
        <f>IFERROR(__xludf.DUMMYFUNCTION("""COMPUTED_VALUE"""),"WES")</f>
        <v>WES</v>
      </c>
      <c r="C2274" s="154">
        <f>IFERROR(__xludf.DUMMYFUNCTION("""COMPUTED_VALUE"""),46118.0)</f>
        <v>46118</v>
      </c>
      <c r="D2274" s="154">
        <f>IFERROR(__xludf.DUMMYFUNCTION("""COMPUTED_VALUE"""),46123.0)</f>
        <v>46123</v>
      </c>
    </row>
    <row r="2275">
      <c r="A2275" s="153" t="str">
        <f>IFERROR(__xludf.DUMMYFUNCTION("""COMPUTED_VALUE"""),"AMB0000006873")</f>
        <v>AMB0000006873</v>
      </c>
      <c r="B2275" s="153" t="str">
        <f>IFERROR(__xludf.DUMMYFUNCTION("""COMPUTED_VALUE"""),"HEREDITARY CANCER GENE PANEL")</f>
        <v>HEREDITARY CANCER GENE PANEL</v>
      </c>
      <c r="C2275" s="154">
        <f>IFERROR(__xludf.DUMMYFUNCTION("""COMPUTED_VALUE"""),46118.0)</f>
        <v>46118</v>
      </c>
      <c r="D2275" s="154">
        <f>IFERROR(__xludf.DUMMYFUNCTION("""COMPUTED_VALUE"""),46120.0)</f>
        <v>46120</v>
      </c>
    </row>
    <row r="2276">
      <c r="A2276" s="153" t="str">
        <f>IFERROR(__xludf.DUMMYFUNCTION("""COMPUTED_VALUE"""),"FR20000006416")</f>
        <v>FR20000006416</v>
      </c>
      <c r="B2276" s="153" t="str">
        <f>IFERROR(__xludf.DUMMYFUNCTION("""COMPUTED_VALUE"""),"HEREDITARY CANCER GENE PANEL")</f>
        <v>HEREDITARY CANCER GENE PANEL</v>
      </c>
      <c r="C2276" s="154">
        <f>IFERROR(__xludf.DUMMYFUNCTION("""COMPUTED_VALUE"""),46118.0)</f>
        <v>46118</v>
      </c>
      <c r="D2276" s="154">
        <f>IFERROR(__xludf.DUMMYFUNCTION("""COMPUTED_VALUE"""),46135.0)</f>
        <v>46135</v>
      </c>
    </row>
    <row r="2277">
      <c r="A2277" s="153" t="str">
        <f>IFERROR(__xludf.DUMMYFUNCTION("""COMPUTED_VALUE"""),"ADB0000030405")</f>
        <v>ADB0000030405</v>
      </c>
      <c r="B2277" s="153" t="str">
        <f>IFERROR(__xludf.DUMMYFUNCTION("""COMPUTED_VALUE"""),"FEMALE INFERTILITY NGS PANEL")</f>
        <v>FEMALE INFERTILITY NGS PANEL</v>
      </c>
      <c r="C2277" s="154">
        <f>IFERROR(__xludf.DUMMYFUNCTION("""COMPUTED_VALUE"""),46118.0)</f>
        <v>46118</v>
      </c>
      <c r="D2277" s="154">
        <f>IFERROR(__xludf.DUMMYFUNCTION("""COMPUTED_VALUE"""),46125.0)</f>
        <v>46125</v>
      </c>
    </row>
    <row r="2278">
      <c r="A2278" s="153" t="str">
        <f>IFERROR(__xludf.DUMMYFUNCTION("""COMPUTED_VALUE"""),"ADB0000030402")</f>
        <v>ADB0000030402</v>
      </c>
      <c r="B2278" s="153" t="str">
        <f>IFERROR(__xludf.DUMMYFUNCTION("""COMPUTED_VALUE"""),"FEMALE INFERTILITY NGS PANEL")</f>
        <v>FEMALE INFERTILITY NGS PANEL</v>
      </c>
      <c r="C2278" s="154">
        <f>IFERROR(__xludf.DUMMYFUNCTION("""COMPUTED_VALUE"""),46118.0)</f>
        <v>46118</v>
      </c>
      <c r="D2278" s="154">
        <f>IFERROR(__xludf.DUMMYFUNCTION("""COMPUTED_VALUE"""),46125.0)</f>
        <v>46125</v>
      </c>
    </row>
    <row r="2279">
      <c r="A2279" s="153" t="str">
        <f>IFERROR(__xludf.DUMMYFUNCTION("""COMPUTED_VALUE"""),"ATN0000003598")</f>
        <v>ATN0000003598</v>
      </c>
      <c r="B2279" s="153" t="str">
        <f>IFERROR(__xludf.DUMMYFUNCTION("""COMPUTED_VALUE"""),"CES")</f>
        <v>CES</v>
      </c>
      <c r="C2279" s="154">
        <f>IFERROR(__xludf.DUMMYFUNCTION("""COMPUTED_VALUE"""),46118.0)</f>
        <v>46118</v>
      </c>
      <c r="D2279" s="154">
        <f>IFERROR(__xludf.DUMMYFUNCTION("""COMPUTED_VALUE"""),46135.0)</f>
        <v>46135</v>
      </c>
    </row>
    <row r="2280">
      <c r="A2280" s="153" t="str">
        <f>IFERROR(__xludf.DUMMYFUNCTION("""COMPUTED_VALUE"""),"CHM0000014293")</f>
        <v>CHM0000014293</v>
      </c>
      <c r="B2280" s="153" t="str">
        <f>IFERROR(__xludf.DUMMYFUNCTION("""COMPUTED_VALUE"""),"WES")</f>
        <v>WES</v>
      </c>
      <c r="C2280" s="154">
        <f>IFERROR(__xludf.DUMMYFUNCTION("""COMPUTED_VALUE"""),46118.0)</f>
        <v>46118</v>
      </c>
      <c r="D2280" s="154">
        <f>IFERROR(__xludf.DUMMYFUNCTION("""COMPUTED_VALUE"""),46135.0)</f>
        <v>46135</v>
      </c>
    </row>
    <row r="2281">
      <c r="A2281" s="153" t="str">
        <f>IFERROR(__xludf.DUMMYFUNCTION("""COMPUTED_VALUE"""),"PH50000007782")</f>
        <v>PH50000007782</v>
      </c>
      <c r="B2281" s="153" t="str">
        <f>IFERROR(__xludf.DUMMYFUNCTION("""COMPUTED_VALUE"""),"WES+WMGS")</f>
        <v>WES+WMGS</v>
      </c>
      <c r="C2281" s="154">
        <f>IFERROR(__xludf.DUMMYFUNCTION("""COMPUTED_VALUE"""),46118.0)</f>
        <v>46118</v>
      </c>
      <c r="D2281" s="154">
        <f>IFERROR(__xludf.DUMMYFUNCTION("""COMPUTED_VALUE"""),46138.0)</f>
        <v>46138</v>
      </c>
    </row>
    <row r="2282">
      <c r="A2282" s="153" t="str">
        <f>IFERROR(__xludf.DUMMYFUNCTION("""COMPUTED_VALUE"""),"PH50000007783")</f>
        <v>PH50000007783</v>
      </c>
      <c r="B2282" s="153" t="str">
        <f>IFERROR(__xludf.DUMMYFUNCTION("""COMPUTED_VALUE"""),"WES+WMGS")</f>
        <v>WES+WMGS</v>
      </c>
      <c r="C2282" s="154">
        <f>IFERROR(__xludf.DUMMYFUNCTION("""COMPUTED_VALUE"""),46118.0)</f>
        <v>46118</v>
      </c>
      <c r="D2282" s="154">
        <f>IFERROR(__xludf.DUMMYFUNCTION("""COMPUTED_VALUE"""),46138.0)</f>
        <v>46138</v>
      </c>
    </row>
    <row r="2283">
      <c r="A2283" s="153" t="str">
        <f>IFERROR(__xludf.DUMMYFUNCTION("""COMPUTED_VALUE"""),"ATR0000011586")</f>
        <v>ATR0000011586</v>
      </c>
      <c r="B2283" s="153" t="str">
        <f>IFERROR(__xludf.DUMMYFUNCTION("""COMPUTED_VALUE"""),"FEMALE INFERTILITY NGS PANEL")</f>
        <v>FEMALE INFERTILITY NGS PANEL</v>
      </c>
      <c r="C2283" s="154">
        <f>IFERROR(__xludf.DUMMYFUNCTION("""COMPUTED_VALUE"""),46118.0)</f>
        <v>46118</v>
      </c>
      <c r="D2283" s="154">
        <f>IFERROR(__xludf.DUMMYFUNCTION("""COMPUTED_VALUE"""),46127.0)</f>
        <v>46127</v>
      </c>
    </row>
    <row r="2284">
      <c r="A2284" s="153" t="str">
        <f>IFERROR(__xludf.DUMMYFUNCTION("""COMPUTED_VALUE"""),"HYP0000000880")</f>
        <v>HYP0000000880</v>
      </c>
      <c r="B2284" s="153" t="str">
        <f>IFERROR(__xludf.DUMMYFUNCTION("""COMPUTED_VALUE"""),"WES")</f>
        <v>WES</v>
      </c>
      <c r="C2284" s="154">
        <f>IFERROR(__xludf.DUMMYFUNCTION("""COMPUTED_VALUE"""),46118.0)</f>
        <v>46118</v>
      </c>
      <c r="D2284" s="154">
        <f>IFERROR(__xludf.DUMMYFUNCTION("""COMPUTED_VALUE"""),46137.0)</f>
        <v>46137</v>
      </c>
    </row>
    <row r="2285">
      <c r="A2285" s="153" t="str">
        <f>IFERROR(__xludf.DUMMYFUNCTION("""COMPUTED_VALUE"""),"HYP0000000899")</f>
        <v>HYP0000000899</v>
      </c>
      <c r="B2285" s="153" t="str">
        <f>IFERROR(__xludf.DUMMYFUNCTION("""COMPUTED_VALUE"""),"WES")</f>
        <v>WES</v>
      </c>
      <c r="C2285" s="154">
        <f>IFERROR(__xludf.DUMMYFUNCTION("""COMPUTED_VALUE"""),46118.0)</f>
        <v>46118</v>
      </c>
      <c r="D2285" s="154">
        <f>IFERROR(__xludf.DUMMYFUNCTION("""COMPUTED_VALUE"""),46137.0)</f>
        <v>46137</v>
      </c>
    </row>
    <row r="2286">
      <c r="A2286" s="153" t="str">
        <f>IFERROR(__xludf.DUMMYFUNCTION("""COMPUTED_VALUE"""),"HYP0000000898")</f>
        <v>HYP0000000898</v>
      </c>
      <c r="B2286" s="153" t="str">
        <f>IFERROR(__xludf.DUMMYFUNCTION("""COMPUTED_VALUE"""),"WES")</f>
        <v>WES</v>
      </c>
      <c r="C2286" s="154">
        <f>IFERROR(__xludf.DUMMYFUNCTION("""COMPUTED_VALUE"""),46118.0)</f>
        <v>46118</v>
      </c>
      <c r="D2286" s="154">
        <f>IFERROR(__xludf.DUMMYFUNCTION("""COMPUTED_VALUE"""),46137.0)</f>
        <v>46137</v>
      </c>
    </row>
    <row r="2287">
      <c r="A2287" s="153" t="str">
        <f>IFERROR(__xludf.DUMMYFUNCTION("""COMPUTED_VALUE"""),"HYP0000000900")</f>
        <v>HYP0000000900</v>
      </c>
      <c r="B2287" s="153" t="str">
        <f>IFERROR(__xludf.DUMMYFUNCTION("""COMPUTED_VALUE"""),"FEMALE INFERTILITY NGS PANEL")</f>
        <v>FEMALE INFERTILITY NGS PANEL</v>
      </c>
      <c r="C2287" s="154">
        <f>IFERROR(__xludf.DUMMYFUNCTION("""COMPUTED_VALUE"""),46118.0)</f>
        <v>46118</v>
      </c>
      <c r="D2287" s="154">
        <f>IFERROR(__xludf.DUMMYFUNCTION("""COMPUTED_VALUE"""),46126.0)</f>
        <v>46126</v>
      </c>
    </row>
    <row r="2288">
      <c r="A2288" s="153" t="str">
        <f>IFERROR(__xludf.DUMMYFUNCTION("""COMPUTED_VALUE"""),"HYP0000000904")</f>
        <v>HYP0000000904</v>
      </c>
      <c r="B2288" s="153" t="str">
        <f>IFERROR(__xludf.DUMMYFUNCTION("""COMPUTED_VALUE"""),"ADVAT FOCUS CARRIER SCREENING - NGS")</f>
        <v>ADVAT FOCUS CARRIER SCREENING - NGS</v>
      </c>
      <c r="C2288" s="154">
        <f>IFERROR(__xludf.DUMMYFUNCTION("""COMPUTED_VALUE"""),46118.0)</f>
        <v>46118</v>
      </c>
      <c r="D2288" s="154">
        <f>IFERROR(__xludf.DUMMYFUNCTION("""COMPUTED_VALUE"""),46138.0)</f>
        <v>46138</v>
      </c>
    </row>
    <row r="2289">
      <c r="A2289" s="153" t="str">
        <f>IFERROR(__xludf.DUMMYFUNCTION("""COMPUTED_VALUE"""),"HYP0000000905")</f>
        <v>HYP0000000905</v>
      </c>
      <c r="B2289" s="153" t="str">
        <f>IFERROR(__xludf.DUMMYFUNCTION("""COMPUTED_VALUE"""),"ADVAT FOCUS CARRIER SCREENING - NGS")</f>
        <v>ADVAT FOCUS CARRIER SCREENING - NGS</v>
      </c>
      <c r="C2289" s="154">
        <f>IFERROR(__xludf.DUMMYFUNCTION("""COMPUTED_VALUE"""),46118.0)</f>
        <v>46118</v>
      </c>
      <c r="D2289" s="154">
        <f>IFERROR(__xludf.DUMMYFUNCTION("""COMPUTED_VALUE"""),46138.0)</f>
        <v>46138</v>
      </c>
    </row>
    <row r="2290">
      <c r="A2290" s="153"/>
      <c r="B2290" s="153"/>
      <c r="C2290" s="154">
        <f>IFERROR(__xludf.DUMMYFUNCTION("""COMPUTED_VALUE"""),46118.0)</f>
        <v>46118</v>
      </c>
      <c r="D2290" s="153"/>
    </row>
    <row r="2291">
      <c r="A2291" s="153"/>
      <c r="B2291" s="153"/>
      <c r="C2291" s="154">
        <f>IFERROR(__xludf.DUMMYFUNCTION("""COMPUTED_VALUE"""),46118.0)</f>
        <v>46118</v>
      </c>
      <c r="D2291" s="153"/>
    </row>
    <row r="2292">
      <c r="A2292" s="153" t="str">
        <f>IFERROR(__xludf.DUMMYFUNCTION("""COMPUTED_VALUE"""),"ADK0000000797")</f>
        <v>ADK0000000797</v>
      </c>
      <c r="B2292" s="153" t="str">
        <f>IFERROR(__xludf.DUMMYFUNCTION("""COMPUTED_VALUE"""),"WES")</f>
        <v>WES</v>
      </c>
      <c r="C2292" s="154">
        <f>IFERROR(__xludf.DUMMYFUNCTION("""COMPUTED_VALUE"""),46118.0)</f>
        <v>46118</v>
      </c>
      <c r="D2292" s="154">
        <f>IFERROR(__xludf.DUMMYFUNCTION("""COMPUTED_VALUE"""),46132.0)</f>
        <v>46132</v>
      </c>
    </row>
    <row r="2293">
      <c r="A2293" s="153" t="str">
        <f>IFERROR(__xludf.DUMMYFUNCTION("""COMPUTED_VALUE"""),"ADK0000000798")</f>
        <v>ADK0000000798</v>
      </c>
      <c r="B2293" s="153" t="str">
        <f>IFERROR(__xludf.DUMMYFUNCTION("""COMPUTED_VALUE"""),"WES")</f>
        <v>WES</v>
      </c>
      <c r="C2293" s="154">
        <f>IFERROR(__xludf.DUMMYFUNCTION("""COMPUTED_VALUE"""),46118.0)</f>
        <v>46118</v>
      </c>
      <c r="D2293" s="154">
        <f>IFERROR(__xludf.DUMMYFUNCTION("""COMPUTED_VALUE"""),46132.0)</f>
        <v>46132</v>
      </c>
    </row>
    <row r="2294">
      <c r="A2294" s="153" t="str">
        <f>IFERROR(__xludf.DUMMYFUNCTION("""COMPUTED_VALUE"""),"ADB0000030930")</f>
        <v>ADB0000030930</v>
      </c>
      <c r="B2294" s="153" t="str">
        <f>IFERROR(__xludf.DUMMYFUNCTION("""COMPUTED_VALUE"""),"WES")</f>
        <v>WES</v>
      </c>
      <c r="C2294" s="154">
        <f>IFERROR(__xludf.DUMMYFUNCTION("""COMPUTED_VALUE"""),46118.0)</f>
        <v>46118</v>
      </c>
      <c r="D2294" s="154">
        <f>IFERROR(__xludf.DUMMYFUNCTION("""COMPUTED_VALUE"""),46134.0)</f>
        <v>46134</v>
      </c>
    </row>
    <row r="2295">
      <c r="A2295" s="153" t="str">
        <f>IFERROR(__xludf.DUMMYFUNCTION("""COMPUTED_VALUE"""),"ADK0000000865")</f>
        <v>ADK0000000865</v>
      </c>
      <c r="B2295" s="153" t="str">
        <f>IFERROR(__xludf.DUMMYFUNCTION("""COMPUTED_VALUE"""),"WES")</f>
        <v>WES</v>
      </c>
      <c r="C2295" s="154">
        <f>IFERROR(__xludf.DUMMYFUNCTION("""COMPUTED_VALUE"""),46118.0)</f>
        <v>46118</v>
      </c>
      <c r="D2295" s="154">
        <f>IFERROR(__xludf.DUMMYFUNCTION("""COMPUTED_VALUE"""),46134.0)</f>
        <v>46134</v>
      </c>
    </row>
    <row r="2296">
      <c r="A2296" s="153" t="str">
        <f>IFERROR(__xludf.DUMMYFUNCTION("""COMPUTED_VALUE"""),"ADK0000000864")</f>
        <v>ADK0000000864</v>
      </c>
      <c r="B2296" s="153" t="str">
        <f>IFERROR(__xludf.DUMMYFUNCTION("""COMPUTED_VALUE"""),"WES")</f>
        <v>WES</v>
      </c>
      <c r="C2296" s="154">
        <f>IFERROR(__xludf.DUMMYFUNCTION("""COMPUTED_VALUE"""),46118.0)</f>
        <v>46118</v>
      </c>
      <c r="D2296" s="154">
        <f>IFERROR(__xludf.DUMMYFUNCTION("""COMPUTED_VALUE"""),46134.0)</f>
        <v>46134</v>
      </c>
    </row>
    <row r="2297">
      <c r="A2297" s="153" t="str">
        <f>IFERROR(__xludf.DUMMYFUNCTION("""COMPUTED_VALUE"""),"ADK0000000866")</f>
        <v>ADK0000000866</v>
      </c>
      <c r="B2297" s="153" t="str">
        <f>IFERROR(__xludf.DUMMYFUNCTION("""COMPUTED_VALUE"""),"WES")</f>
        <v>WES</v>
      </c>
      <c r="C2297" s="154">
        <f>IFERROR(__xludf.DUMMYFUNCTION("""COMPUTED_VALUE"""),46118.0)</f>
        <v>46118</v>
      </c>
      <c r="D2297" s="154">
        <f>IFERROR(__xludf.DUMMYFUNCTION("""COMPUTED_VALUE"""),46134.0)</f>
        <v>46134</v>
      </c>
    </row>
    <row r="2298">
      <c r="A2298" s="153" t="str">
        <f>IFERROR(__xludf.DUMMYFUNCTION("""COMPUTED_VALUE"""),"ADK0000000867")</f>
        <v>ADK0000000867</v>
      </c>
      <c r="B2298" s="153" t="str">
        <f>IFERROR(__xludf.DUMMYFUNCTION("""COMPUTED_VALUE"""),"WES")</f>
        <v>WES</v>
      </c>
      <c r="C2298" s="154">
        <f>IFERROR(__xludf.DUMMYFUNCTION("""COMPUTED_VALUE"""),46118.0)</f>
        <v>46118</v>
      </c>
      <c r="D2298" s="154">
        <f>IFERROR(__xludf.DUMMYFUNCTION("""COMPUTED_VALUE"""),46134.0)</f>
        <v>46134</v>
      </c>
    </row>
    <row r="2299">
      <c r="A2299" s="153" t="str">
        <f>IFERROR(__xludf.DUMMYFUNCTION("""COMPUTED_VALUE"""),"ADK0000000828")</f>
        <v>ADK0000000828</v>
      </c>
      <c r="B2299" s="153" t="str">
        <f>IFERROR(__xludf.DUMMYFUNCTION("""COMPUTED_VALUE"""),"WES")</f>
        <v>WES</v>
      </c>
      <c r="C2299" s="154">
        <f>IFERROR(__xludf.DUMMYFUNCTION("""COMPUTED_VALUE"""),46118.0)</f>
        <v>46118</v>
      </c>
      <c r="D2299" s="154">
        <f>IFERROR(__xludf.DUMMYFUNCTION("""COMPUTED_VALUE"""),46139.0)</f>
        <v>46139</v>
      </c>
    </row>
    <row r="2300">
      <c r="A2300" s="153" t="str">
        <f>IFERROR(__xludf.DUMMYFUNCTION("""COMPUTED_VALUE"""),"ABC0000000630")</f>
        <v>ABC0000000630</v>
      </c>
      <c r="B2300" s="153" t="str">
        <f>IFERROR(__xludf.DUMMYFUNCTION("""COMPUTED_VALUE"""),"CES")</f>
        <v>CES</v>
      </c>
      <c r="C2300" s="154">
        <f>IFERROR(__xludf.DUMMYFUNCTION("""COMPUTED_VALUE"""),46118.0)</f>
        <v>46118</v>
      </c>
      <c r="D2300" s="154">
        <f>IFERROR(__xludf.DUMMYFUNCTION("""COMPUTED_VALUE"""),46139.0)</f>
        <v>46139</v>
      </c>
    </row>
    <row r="2301">
      <c r="A2301" s="153" t="str">
        <f>IFERROR(__xludf.DUMMYFUNCTION("""COMPUTED_VALUE"""),"GRM0000002597")</f>
        <v>GRM0000002597</v>
      </c>
      <c r="B2301" s="153" t="str">
        <f>IFERROR(__xludf.DUMMYFUNCTION("""COMPUTED_VALUE"""),"MALE INFERTILITY NGS PANEL")</f>
        <v>MALE INFERTILITY NGS PANEL</v>
      </c>
      <c r="C2301" s="154">
        <f>IFERROR(__xludf.DUMMYFUNCTION("""COMPUTED_VALUE"""),46122.0)</f>
        <v>46122</v>
      </c>
      <c r="D2301" s="154">
        <f>IFERROR(__xludf.DUMMYFUNCTION("""COMPUTED_VALUE"""),46128.0)</f>
        <v>46128</v>
      </c>
    </row>
    <row r="2302">
      <c r="A2302" s="153" t="str">
        <f>IFERROR(__xludf.DUMMYFUNCTION("""COMPUTED_VALUE"""),"GRM0000002596")</f>
        <v>GRM0000002596</v>
      </c>
      <c r="B2302" s="153" t="str">
        <f>IFERROR(__xludf.DUMMYFUNCTION("""COMPUTED_VALUE"""),"FEMALE INFERTILITY NGS PANEL")</f>
        <v>FEMALE INFERTILITY NGS PANEL</v>
      </c>
      <c r="C2302" s="154">
        <f>IFERROR(__xludf.DUMMYFUNCTION("""COMPUTED_VALUE"""),46122.0)</f>
        <v>46122</v>
      </c>
      <c r="D2302" s="154">
        <f>IFERROR(__xludf.DUMMYFUNCTION("""COMPUTED_VALUE"""),46128.0)</f>
        <v>46128</v>
      </c>
    </row>
    <row r="2303">
      <c r="A2303" s="153" t="str">
        <f>IFERROR(__xludf.DUMMYFUNCTION("""COMPUTED_VALUE"""),"ADK0000000849")</f>
        <v>ADK0000000849</v>
      </c>
      <c r="B2303" s="153" t="str">
        <f>IFERROR(__xludf.DUMMYFUNCTION("""COMPUTED_VALUE"""),"WES+WMGS")</f>
        <v>WES+WMGS</v>
      </c>
      <c r="C2303" s="154">
        <f>IFERROR(__xludf.DUMMYFUNCTION("""COMPUTED_VALUE"""),46122.0)</f>
        <v>46122</v>
      </c>
      <c r="D2303" s="154">
        <f>IFERROR(__xludf.DUMMYFUNCTION("""COMPUTED_VALUE"""),46140.0)</f>
        <v>46140</v>
      </c>
    </row>
    <row r="2304">
      <c r="A2304" s="153" t="str">
        <f>IFERROR(__xludf.DUMMYFUNCTION("""COMPUTED_VALUE"""),"ADK0000000850")</f>
        <v>ADK0000000850</v>
      </c>
      <c r="B2304" s="153" t="str">
        <f>IFERROR(__xludf.DUMMYFUNCTION("""COMPUTED_VALUE"""),"WES+WMGS")</f>
        <v>WES+WMGS</v>
      </c>
      <c r="C2304" s="154">
        <f>IFERROR(__xludf.DUMMYFUNCTION("""COMPUTED_VALUE"""),46122.0)</f>
        <v>46122</v>
      </c>
      <c r="D2304" s="154">
        <f>IFERROR(__xludf.DUMMYFUNCTION("""COMPUTED_VALUE"""),46140.0)</f>
        <v>46140</v>
      </c>
    </row>
    <row r="2305">
      <c r="A2305" s="153" t="str">
        <f>IFERROR(__xludf.DUMMYFUNCTION("""COMPUTED_VALUE"""),"ADK0000000851")</f>
        <v>ADK0000000851</v>
      </c>
      <c r="B2305" s="153" t="str">
        <f>IFERROR(__xludf.DUMMYFUNCTION("""COMPUTED_VALUE"""),"WES+WMGS")</f>
        <v>WES+WMGS</v>
      </c>
      <c r="C2305" s="154">
        <f>IFERROR(__xludf.DUMMYFUNCTION("""COMPUTED_VALUE"""),46122.0)</f>
        <v>46122</v>
      </c>
      <c r="D2305" s="154">
        <f>IFERROR(__xludf.DUMMYFUNCTION("""COMPUTED_VALUE"""),46140.0)</f>
        <v>46140</v>
      </c>
    </row>
    <row r="2306">
      <c r="A2306" s="153" t="str">
        <f>IFERROR(__xludf.DUMMYFUNCTION("""COMPUTED_VALUE"""),"ADK0000000852")</f>
        <v>ADK0000000852</v>
      </c>
      <c r="B2306" s="153" t="str">
        <f>IFERROR(__xludf.DUMMYFUNCTION("""COMPUTED_VALUE"""),"WES+WMGS")</f>
        <v>WES+WMGS</v>
      </c>
      <c r="C2306" s="154">
        <f>IFERROR(__xludf.DUMMYFUNCTION("""COMPUTED_VALUE"""),46122.0)</f>
        <v>46122</v>
      </c>
      <c r="D2306" s="154">
        <f>IFERROR(__xludf.DUMMYFUNCTION("""COMPUTED_VALUE"""),46140.0)</f>
        <v>46140</v>
      </c>
    </row>
    <row r="2307">
      <c r="A2307" s="153" t="str">
        <f>IFERROR(__xludf.DUMMYFUNCTION("""COMPUTED_VALUE"""),"ADK0000000853")</f>
        <v>ADK0000000853</v>
      </c>
      <c r="B2307" s="153" t="str">
        <f>IFERROR(__xludf.DUMMYFUNCTION("""COMPUTED_VALUE"""),"WES+WMGS")</f>
        <v>WES+WMGS</v>
      </c>
      <c r="C2307" s="154">
        <f>IFERROR(__xludf.DUMMYFUNCTION("""COMPUTED_VALUE"""),46122.0)</f>
        <v>46122</v>
      </c>
      <c r="D2307" s="154">
        <f>IFERROR(__xludf.DUMMYFUNCTION("""COMPUTED_VALUE"""),46140.0)</f>
        <v>46140</v>
      </c>
    </row>
    <row r="2308">
      <c r="A2308" s="153" t="str">
        <f>IFERROR(__xludf.DUMMYFUNCTION("""COMPUTED_VALUE"""),"HCC0000005858")</f>
        <v>HCC0000005858</v>
      </c>
      <c r="B2308" s="153" t="str">
        <f>IFERROR(__xludf.DUMMYFUNCTION("""COMPUTED_VALUE"""),"WES")</f>
        <v>WES</v>
      </c>
      <c r="C2308" s="154">
        <f>IFERROR(__xludf.DUMMYFUNCTION("""COMPUTED_VALUE"""),46122.0)</f>
        <v>46122</v>
      </c>
      <c r="D2308" s="154">
        <f>IFERROR(__xludf.DUMMYFUNCTION("""COMPUTED_VALUE"""),46139.0)</f>
        <v>46139</v>
      </c>
    </row>
    <row r="2309">
      <c r="A2309" s="153" t="str">
        <f>IFERROR(__xludf.DUMMYFUNCTION("""COMPUTED_VALUE"""),"ADH0000019224")</f>
        <v>ADH0000019224</v>
      </c>
      <c r="B2309" s="153" t="str">
        <f>IFERROR(__xludf.DUMMYFUNCTION("""COMPUTED_VALUE"""),"WES")</f>
        <v>WES</v>
      </c>
      <c r="C2309" s="154">
        <f>IFERROR(__xludf.DUMMYFUNCTION("""COMPUTED_VALUE"""),46122.0)</f>
        <v>46122</v>
      </c>
      <c r="D2309" s="154">
        <f>IFERROR(__xludf.DUMMYFUNCTION("""COMPUTED_VALUE"""),46139.0)</f>
        <v>46139</v>
      </c>
    </row>
    <row r="2310">
      <c r="A2310" s="153" t="str">
        <f>IFERROR(__xludf.DUMMYFUNCTION("""COMPUTED_VALUE"""),"ADH0000019222")</f>
        <v>ADH0000019222</v>
      </c>
      <c r="B2310" s="153" t="str">
        <f>IFERROR(__xludf.DUMMYFUNCTION("""COMPUTED_VALUE"""),"WES")</f>
        <v>WES</v>
      </c>
      <c r="C2310" s="154">
        <f>IFERROR(__xludf.DUMMYFUNCTION("""COMPUTED_VALUE"""),46122.0)</f>
        <v>46122</v>
      </c>
      <c r="D2310" s="154">
        <f>IFERROR(__xludf.DUMMYFUNCTION("""COMPUTED_VALUE"""),46139.0)</f>
        <v>46139</v>
      </c>
    </row>
    <row r="2311">
      <c r="A2311" s="153" t="str">
        <f>IFERROR(__xludf.DUMMYFUNCTION("""COMPUTED_VALUE"""),"ADH0000019223")</f>
        <v>ADH0000019223</v>
      </c>
      <c r="B2311" s="153" t="str">
        <f>IFERROR(__xludf.DUMMYFUNCTION("""COMPUTED_VALUE"""),"WES")</f>
        <v>WES</v>
      </c>
      <c r="C2311" s="154">
        <f>IFERROR(__xludf.DUMMYFUNCTION("""COMPUTED_VALUE"""),46122.0)</f>
        <v>46122</v>
      </c>
      <c r="D2311" s="154">
        <f>IFERROR(__xludf.DUMMYFUNCTION("""COMPUTED_VALUE"""),46139.0)</f>
        <v>46139</v>
      </c>
    </row>
    <row r="2312">
      <c r="A2312" s="153" t="str">
        <f>IFERROR(__xludf.DUMMYFUNCTION("""COMPUTED_VALUE"""),"ADB0000031023")</f>
        <v>ADB0000031023</v>
      </c>
      <c r="B2312" s="153" t="str">
        <f>IFERROR(__xludf.DUMMYFUNCTION("""COMPUTED_VALUE"""),"WES")</f>
        <v>WES</v>
      </c>
      <c r="C2312" s="154">
        <f>IFERROR(__xludf.DUMMYFUNCTION("""COMPUTED_VALUE"""),46122.0)</f>
        <v>46122</v>
      </c>
      <c r="D2312" s="154">
        <f>IFERROR(__xludf.DUMMYFUNCTION("""COMPUTED_VALUE"""),46138.0)</f>
        <v>46138</v>
      </c>
    </row>
    <row r="2313">
      <c r="A2313" s="153" t="str">
        <f>IFERROR(__xludf.DUMMYFUNCTION("""COMPUTED_VALUE"""),"PH50000008152")</f>
        <v>PH50000008152</v>
      </c>
      <c r="B2313" s="153" t="str">
        <f>IFERROR(__xludf.DUMMYFUNCTION("""COMPUTED_VALUE"""),"WES+WMGS")</f>
        <v>WES+WMGS</v>
      </c>
      <c r="C2313" s="154">
        <f>IFERROR(__xludf.DUMMYFUNCTION("""COMPUTED_VALUE"""),46122.0)</f>
        <v>46122</v>
      </c>
      <c r="D2313" s="154">
        <f>IFERROR(__xludf.DUMMYFUNCTION("""COMPUTED_VALUE"""),46139.0)</f>
        <v>46139</v>
      </c>
    </row>
    <row r="2314">
      <c r="A2314" s="153" t="str">
        <f>IFERROR(__xludf.DUMMYFUNCTION("""COMPUTED_VALUE"""),"PH50000008361")</f>
        <v>PH50000008361</v>
      </c>
      <c r="B2314" s="153" t="str">
        <f>IFERROR(__xludf.DUMMYFUNCTION("""COMPUTED_VALUE"""),"WES+WMGS")</f>
        <v>WES+WMGS</v>
      </c>
      <c r="C2314" s="154">
        <f>IFERROR(__xludf.DUMMYFUNCTION("""COMPUTED_VALUE"""),46122.0)</f>
        <v>46122</v>
      </c>
      <c r="D2314" s="154">
        <f>IFERROR(__xludf.DUMMYFUNCTION("""COMPUTED_VALUE"""),46140.0)</f>
        <v>46140</v>
      </c>
    </row>
    <row r="2315">
      <c r="A2315" s="153" t="str">
        <f>IFERROR(__xludf.DUMMYFUNCTION("""COMPUTED_VALUE"""),"IDG0000000075")</f>
        <v>IDG0000000075</v>
      </c>
      <c r="B2315" s="153" t="str">
        <f>IFERROR(__xludf.DUMMYFUNCTION("""COMPUTED_VALUE"""),"WES")</f>
        <v>WES</v>
      </c>
      <c r="C2315" s="154">
        <f>IFERROR(__xludf.DUMMYFUNCTION("""COMPUTED_VALUE"""),46122.0)</f>
        <v>46122</v>
      </c>
      <c r="D2315" s="154">
        <f>IFERROR(__xludf.DUMMYFUNCTION("""COMPUTED_VALUE"""),46140.0)</f>
        <v>46140</v>
      </c>
    </row>
    <row r="2316">
      <c r="A2316" s="153" t="str">
        <f>IFERROR(__xludf.DUMMYFUNCTION("""COMPUTED_VALUE"""),"IDG0000000076")</f>
        <v>IDG0000000076</v>
      </c>
      <c r="B2316" s="153" t="str">
        <f>IFERROR(__xludf.DUMMYFUNCTION("""COMPUTED_VALUE"""),"WES")</f>
        <v>WES</v>
      </c>
      <c r="C2316" s="154">
        <f>IFERROR(__xludf.DUMMYFUNCTION("""COMPUTED_VALUE"""),46122.0)</f>
        <v>46122</v>
      </c>
      <c r="D2316" s="154">
        <f>IFERROR(__xludf.DUMMYFUNCTION("""COMPUTED_VALUE"""),46140.0)</f>
        <v>46140</v>
      </c>
    </row>
    <row r="2317">
      <c r="A2317" s="153" t="str">
        <f>IFERROR(__xludf.DUMMYFUNCTION("""COMPUTED_VALUE"""),"AMB0000007834")</f>
        <v>AMB0000007834</v>
      </c>
      <c r="B2317" s="153" t="str">
        <f>IFERROR(__xludf.DUMMYFUNCTION("""COMPUTED_VALUE"""),"WES")</f>
        <v>WES</v>
      </c>
      <c r="C2317" s="154">
        <f>IFERROR(__xludf.DUMMYFUNCTION("""COMPUTED_VALUE"""),46122.0)</f>
        <v>46122</v>
      </c>
      <c r="D2317" s="154">
        <f>IFERROR(__xludf.DUMMYFUNCTION("""COMPUTED_VALUE"""),46140.0)</f>
        <v>46140</v>
      </c>
    </row>
    <row r="2318">
      <c r="A2318" s="153" t="str">
        <f>IFERROR(__xludf.DUMMYFUNCTION("""COMPUTED_VALUE"""),"ADH0000019532")</f>
        <v>ADH0000019532</v>
      </c>
      <c r="B2318" s="153" t="str">
        <f>IFERROR(__xludf.DUMMYFUNCTION("""COMPUTED_VALUE"""),"WES")</f>
        <v>WES</v>
      </c>
      <c r="C2318" s="154">
        <f>IFERROR(__xludf.DUMMYFUNCTION("""COMPUTED_VALUE"""),46122.0)</f>
        <v>46122</v>
      </c>
      <c r="D2318" s="154">
        <f>IFERROR(__xludf.DUMMYFUNCTION("""COMPUTED_VALUE"""),46140.0)</f>
        <v>46140</v>
      </c>
    </row>
    <row r="2319">
      <c r="A2319" s="153" t="str">
        <f>IFERROR(__xludf.DUMMYFUNCTION("""COMPUTED_VALUE"""),"ADK0000000877")</f>
        <v>ADK0000000877</v>
      </c>
      <c r="B2319" s="153" t="str">
        <f>IFERROR(__xludf.DUMMYFUNCTION("""COMPUTED_VALUE"""),"WES")</f>
        <v>WES</v>
      </c>
      <c r="C2319" s="154">
        <f>IFERROR(__xludf.DUMMYFUNCTION("""COMPUTED_VALUE"""),46122.0)</f>
        <v>46122</v>
      </c>
      <c r="D2319" s="154">
        <f>IFERROR(__xludf.DUMMYFUNCTION("""COMPUTED_VALUE"""),46140.0)</f>
        <v>46140</v>
      </c>
    </row>
    <row r="2320">
      <c r="A2320" s="153" t="str">
        <f>IFERROR(__xludf.DUMMYFUNCTION("""COMPUTED_VALUE"""),"MDU0000008122")</f>
        <v>MDU0000008122</v>
      </c>
      <c r="B2320" s="153" t="str">
        <f>IFERROR(__xludf.DUMMYFUNCTION("""COMPUTED_VALUE"""),"FEMALE INFERTILITY NGS PANEL")</f>
        <v>FEMALE INFERTILITY NGS PANEL</v>
      </c>
      <c r="C2320" s="154">
        <f>IFERROR(__xludf.DUMMYFUNCTION("""COMPUTED_VALUE"""),46122.0)</f>
        <v>46122</v>
      </c>
      <c r="D2320" s="154">
        <f>IFERROR(__xludf.DUMMYFUNCTION("""COMPUTED_VALUE"""),46129.0)</f>
        <v>46129</v>
      </c>
    </row>
    <row r="2321">
      <c r="A2321" s="153" t="str">
        <f>IFERROR(__xludf.DUMMYFUNCTION("""COMPUTED_VALUE"""),"DCC0000003630")</f>
        <v>DCC0000003630</v>
      </c>
      <c r="B2321" s="153" t="str">
        <f>IFERROR(__xludf.DUMMYFUNCTION("""COMPUTED_VALUE"""),"WES")</f>
        <v>WES</v>
      </c>
      <c r="C2321" s="154">
        <f>IFERROR(__xludf.DUMMYFUNCTION("""COMPUTED_VALUE"""),46122.0)</f>
        <v>46122</v>
      </c>
      <c r="D2321" s="154">
        <f>IFERROR(__xludf.DUMMYFUNCTION("""COMPUTED_VALUE"""),46141.0)</f>
        <v>46141</v>
      </c>
    </row>
    <row r="2322">
      <c r="A2322" s="153" t="str">
        <f>IFERROR(__xludf.DUMMYFUNCTION("""COMPUTED_VALUE"""),"ADK0000000898")</f>
        <v>ADK0000000898</v>
      </c>
      <c r="B2322" s="153" t="str">
        <f>IFERROR(__xludf.DUMMYFUNCTION("""COMPUTED_VALUE"""),"WES")</f>
        <v>WES</v>
      </c>
      <c r="C2322" s="154">
        <f>IFERROR(__xludf.DUMMYFUNCTION("""COMPUTED_VALUE"""),46122.0)</f>
        <v>46122</v>
      </c>
      <c r="D2322" s="154">
        <f>IFERROR(__xludf.DUMMYFUNCTION("""COMPUTED_VALUE"""),46135.0)</f>
        <v>46135</v>
      </c>
    </row>
    <row r="2323">
      <c r="A2323" s="153" t="str">
        <f>IFERROR(__xludf.DUMMYFUNCTION("""COMPUTED_VALUE"""),"ADK0000000895")</f>
        <v>ADK0000000895</v>
      </c>
      <c r="B2323" s="153" t="str">
        <f>IFERROR(__xludf.DUMMYFUNCTION("""COMPUTED_VALUE"""),"WES")</f>
        <v>WES</v>
      </c>
      <c r="C2323" s="154">
        <f>IFERROR(__xludf.DUMMYFUNCTION("""COMPUTED_VALUE"""),46122.0)</f>
        <v>46122</v>
      </c>
      <c r="D2323" s="154">
        <f>IFERROR(__xludf.DUMMYFUNCTION("""COMPUTED_VALUE"""),46135.0)</f>
        <v>46135</v>
      </c>
    </row>
    <row r="2324">
      <c r="A2324" s="153" t="str">
        <f>IFERROR(__xludf.DUMMYFUNCTION("""COMPUTED_VALUE"""),"ADK0000000897")</f>
        <v>ADK0000000897</v>
      </c>
      <c r="B2324" s="153" t="str">
        <f>IFERROR(__xludf.DUMMYFUNCTION("""COMPUTED_VALUE"""),"WES")</f>
        <v>WES</v>
      </c>
      <c r="C2324" s="154">
        <f>IFERROR(__xludf.DUMMYFUNCTION("""COMPUTED_VALUE"""),46122.0)</f>
        <v>46122</v>
      </c>
      <c r="D2324" s="154">
        <f>IFERROR(__xludf.DUMMYFUNCTION("""COMPUTED_VALUE"""),46135.0)</f>
        <v>46135</v>
      </c>
    </row>
    <row r="2325">
      <c r="A2325" s="153" t="str">
        <f>IFERROR(__xludf.DUMMYFUNCTION("""COMPUTED_VALUE"""),"ADB0000031233")</f>
        <v>ADB0000031233</v>
      </c>
      <c r="B2325" s="153" t="str">
        <f>IFERROR(__xludf.DUMMYFUNCTION("""COMPUTED_VALUE"""),"WES")</f>
        <v>WES</v>
      </c>
      <c r="C2325" s="154">
        <f>IFERROR(__xludf.DUMMYFUNCTION("""COMPUTED_VALUE"""),46126.0)</f>
        <v>46126</v>
      </c>
      <c r="D2325" s="154">
        <f>IFERROR(__xludf.DUMMYFUNCTION("""COMPUTED_VALUE"""),46141.0)</f>
        <v>46141</v>
      </c>
    </row>
    <row r="2326">
      <c r="A2326" s="153" t="str">
        <f>IFERROR(__xludf.DUMMYFUNCTION("""COMPUTED_VALUE"""),"ATR0000011795")</f>
        <v>ATR0000011795</v>
      </c>
      <c r="B2326" s="153" t="str">
        <f>IFERROR(__xludf.DUMMYFUNCTION("""COMPUTED_VALUE"""),"MALE INFERTILITY NGS PANEL")</f>
        <v>MALE INFERTILITY NGS PANEL</v>
      </c>
      <c r="C2326" s="154">
        <f>IFERROR(__xludf.DUMMYFUNCTION("""COMPUTED_VALUE"""),46126.0)</f>
        <v>46126</v>
      </c>
      <c r="D2326" s="154">
        <f>IFERROR(__xludf.DUMMYFUNCTION("""COMPUTED_VALUE"""),46130.0)</f>
        <v>46130</v>
      </c>
    </row>
    <row r="2327">
      <c r="A2327" s="153" t="str">
        <f>IFERROR(__xludf.DUMMYFUNCTION("""COMPUTED_VALUE"""),"GRM0000002768")</f>
        <v>GRM0000002768</v>
      </c>
      <c r="B2327" s="153" t="str">
        <f>IFERROR(__xludf.DUMMYFUNCTION("""COMPUTED_VALUE"""),"WES")</f>
        <v>WES</v>
      </c>
      <c r="C2327" s="154">
        <f>IFERROR(__xludf.DUMMYFUNCTION("""COMPUTED_VALUE"""),46126.0)</f>
        <v>46126</v>
      </c>
      <c r="D2327" s="154">
        <f>IFERROR(__xludf.DUMMYFUNCTION("""COMPUTED_VALUE"""),46141.0)</f>
        <v>46141</v>
      </c>
    </row>
    <row r="2328">
      <c r="A2328" s="153" t="str">
        <f>IFERROR(__xludf.DUMMYFUNCTION("""COMPUTED_VALUE"""),"ANV0000000609")</f>
        <v>ANV0000000609</v>
      </c>
      <c r="B2328" s="153" t="str">
        <f>IFERROR(__xludf.DUMMYFUNCTION("""COMPUTED_VALUE"""),"MALE INFERTILITY NGS PANEL")</f>
        <v>MALE INFERTILITY NGS PANEL</v>
      </c>
      <c r="C2328" s="154">
        <f>IFERROR(__xludf.DUMMYFUNCTION("""COMPUTED_VALUE"""),46126.0)</f>
        <v>46126</v>
      </c>
      <c r="D2328" s="154">
        <f>IFERROR(__xludf.DUMMYFUNCTION("""COMPUTED_VALUE"""),46130.0)</f>
        <v>46130</v>
      </c>
    </row>
    <row r="2329">
      <c r="A2329" s="153" t="str">
        <f>IFERROR(__xludf.DUMMYFUNCTION("""COMPUTED_VALUE"""),"CHM0000016748")</f>
        <v>CHM0000016748</v>
      </c>
      <c r="B2329" s="153" t="str">
        <f>IFERROR(__xludf.DUMMYFUNCTION("""COMPUTED_VALUE"""),"MALE INFERTILITY NGS PANEL")</f>
        <v>MALE INFERTILITY NGS PANEL</v>
      </c>
      <c r="C2329" s="154">
        <f>IFERROR(__xludf.DUMMYFUNCTION("""COMPUTED_VALUE"""),46126.0)</f>
        <v>46126</v>
      </c>
      <c r="D2329" s="154">
        <f>IFERROR(__xludf.DUMMYFUNCTION("""COMPUTED_VALUE"""),46132.0)</f>
        <v>46132</v>
      </c>
    </row>
    <row r="2330">
      <c r="A2330" s="153" t="str">
        <f>IFERROR(__xludf.DUMMYFUNCTION("""COMPUTED_VALUE"""),"ATR0000011934")</f>
        <v>ATR0000011934</v>
      </c>
      <c r="B2330" s="153" t="str">
        <f>IFERROR(__xludf.DUMMYFUNCTION("""COMPUTED_VALUE"""),"MALE INFERTILITY NGS PANEL")</f>
        <v>MALE INFERTILITY NGS PANEL</v>
      </c>
      <c r="C2330" s="154">
        <f>IFERROR(__xludf.DUMMYFUNCTION("""COMPUTED_VALUE"""),46126.0)</f>
        <v>46126</v>
      </c>
      <c r="D2330" s="154">
        <f>IFERROR(__xludf.DUMMYFUNCTION("""COMPUTED_VALUE"""),46133.0)</f>
        <v>46133</v>
      </c>
    </row>
    <row r="2331">
      <c r="A2331" s="153" t="str">
        <f>IFERROR(__xludf.DUMMYFUNCTION("""COMPUTED_VALUE"""),"ATR0000011935")</f>
        <v>ATR0000011935</v>
      </c>
      <c r="B2331" s="153" t="str">
        <f>IFERROR(__xludf.DUMMYFUNCTION("""COMPUTED_VALUE"""),"MALE INFERTILITY NGS PANEL")</f>
        <v>MALE INFERTILITY NGS PANEL</v>
      </c>
      <c r="C2331" s="154">
        <f>IFERROR(__xludf.DUMMYFUNCTION("""COMPUTED_VALUE"""),46126.0)</f>
        <v>46126</v>
      </c>
      <c r="D2331" s="154">
        <f>IFERROR(__xludf.DUMMYFUNCTION("""COMPUTED_VALUE"""),46133.0)</f>
        <v>46133</v>
      </c>
    </row>
    <row r="2332">
      <c r="A2332" s="153"/>
      <c r="B2332" s="153"/>
      <c r="C2332" s="153"/>
      <c r="D2332" s="153"/>
    </row>
    <row r="2333">
      <c r="A2333" s="153"/>
      <c r="B2333" s="153"/>
      <c r="C2333" s="153"/>
      <c r="D2333" s="153"/>
    </row>
    <row r="2334">
      <c r="A2334" s="153"/>
      <c r="B2334" s="153"/>
      <c r="C2334" s="153"/>
      <c r="D2334" s="153"/>
    </row>
    <row r="2335">
      <c r="A2335" s="153"/>
      <c r="B2335" s="153"/>
      <c r="C2335" s="153"/>
      <c r="D2335" s="153"/>
    </row>
    <row r="2336">
      <c r="A2336" s="153"/>
      <c r="B2336" s="153"/>
      <c r="C2336" s="153"/>
      <c r="D2336" s="153"/>
    </row>
    <row r="2337">
      <c r="A2337" s="153"/>
      <c r="B2337" s="153"/>
      <c r="C2337" s="153"/>
      <c r="D2337" s="153"/>
    </row>
    <row r="2338">
      <c r="A2338" s="153"/>
      <c r="B2338" s="153"/>
      <c r="C2338" s="153"/>
      <c r="D2338" s="153"/>
    </row>
    <row r="2339">
      <c r="A2339" s="153"/>
      <c r="B2339" s="153"/>
      <c r="C2339" s="153"/>
      <c r="D2339" s="153"/>
    </row>
    <row r="2340">
      <c r="A2340" s="153"/>
      <c r="B2340" s="153"/>
      <c r="C2340" s="153"/>
      <c r="D2340" s="153"/>
    </row>
    <row r="2341">
      <c r="A2341" s="153"/>
      <c r="B2341" s="153"/>
      <c r="C2341" s="153"/>
      <c r="D2341" s="153"/>
    </row>
    <row r="2342">
      <c r="A2342" s="153"/>
      <c r="B2342" s="153"/>
      <c r="C2342" s="153"/>
      <c r="D2342" s="153"/>
    </row>
    <row r="2343">
      <c r="A2343" s="153"/>
      <c r="B2343" s="153"/>
      <c r="C2343" s="153"/>
      <c r="D2343" s="153"/>
    </row>
    <row r="2344">
      <c r="A2344" s="153"/>
      <c r="B2344" s="153"/>
      <c r="C2344" s="153"/>
      <c r="D2344" s="153"/>
    </row>
    <row r="2345">
      <c r="A2345" s="153"/>
      <c r="B2345" s="153"/>
      <c r="C2345" s="153"/>
      <c r="D2345" s="153"/>
    </row>
    <row r="2346">
      <c r="A2346" s="153"/>
      <c r="B2346" s="153"/>
      <c r="C2346" s="153"/>
      <c r="D2346" s="153"/>
    </row>
    <row r="2347">
      <c r="A2347" s="153"/>
      <c r="B2347" s="153"/>
      <c r="C2347" s="153"/>
      <c r="D2347" s="153"/>
    </row>
    <row r="2348">
      <c r="A2348" s="153"/>
      <c r="B2348" s="153"/>
      <c r="C2348" s="153"/>
      <c r="D2348" s="153"/>
    </row>
    <row r="2349">
      <c r="A2349" s="153"/>
      <c r="B2349" s="153"/>
      <c r="C2349" s="153"/>
      <c r="D2349" s="153"/>
    </row>
    <row r="2350">
      <c r="A2350" s="153"/>
      <c r="B2350" s="153"/>
      <c r="C2350" s="153"/>
      <c r="D2350" s="153"/>
    </row>
    <row r="2351">
      <c r="A2351" s="153"/>
      <c r="B2351" s="153"/>
      <c r="C2351" s="153"/>
      <c r="D2351" s="153"/>
    </row>
    <row r="2352">
      <c r="A2352" s="153"/>
      <c r="B2352" s="153"/>
      <c r="C2352" s="153"/>
      <c r="D2352" s="153"/>
    </row>
    <row r="2353">
      <c r="A2353" s="153"/>
      <c r="B2353" s="153"/>
      <c r="C2353" s="153"/>
      <c r="D2353" s="153"/>
    </row>
    <row r="2354">
      <c r="A2354" s="153"/>
      <c r="B2354" s="153"/>
      <c r="C2354" s="153"/>
      <c r="D2354" s="153"/>
    </row>
    <row r="2355">
      <c r="A2355" s="153"/>
      <c r="B2355" s="153"/>
      <c r="C2355" s="153"/>
      <c r="D2355" s="153"/>
    </row>
    <row r="2356">
      <c r="A2356" s="153"/>
      <c r="B2356" s="153"/>
      <c r="C2356" s="153"/>
      <c r="D2356" s="153"/>
    </row>
    <row r="2357">
      <c r="A2357" s="153"/>
      <c r="B2357" s="153"/>
      <c r="C2357" s="153"/>
      <c r="D2357" s="153"/>
    </row>
    <row r="2358">
      <c r="A2358" s="153"/>
      <c r="B2358" s="153"/>
      <c r="C2358" s="153"/>
      <c r="D2358" s="153"/>
    </row>
    <row r="2359">
      <c r="A2359" s="153"/>
      <c r="B2359" s="153"/>
      <c r="C2359" s="153"/>
      <c r="D2359" s="153"/>
    </row>
    <row r="2360">
      <c r="A2360" s="153"/>
      <c r="B2360" s="153"/>
      <c r="C2360" s="153"/>
      <c r="D2360" s="153"/>
    </row>
    <row r="2361">
      <c r="A2361" s="153"/>
      <c r="B2361" s="153"/>
      <c r="C2361" s="153"/>
      <c r="D2361" s="153"/>
    </row>
    <row r="2362">
      <c r="A2362" s="153"/>
      <c r="B2362" s="153"/>
      <c r="C2362" s="153"/>
      <c r="D2362" s="153"/>
    </row>
    <row r="2363">
      <c r="A2363" s="153"/>
      <c r="B2363" s="153"/>
      <c r="C2363" s="153"/>
      <c r="D2363" s="153"/>
    </row>
    <row r="2364">
      <c r="A2364" s="153"/>
      <c r="B2364" s="153"/>
      <c r="C2364" s="153"/>
      <c r="D2364" s="153"/>
    </row>
    <row r="2365">
      <c r="A2365" s="153"/>
      <c r="B2365" s="153"/>
      <c r="C2365" s="153"/>
      <c r="D2365" s="153"/>
    </row>
    <row r="2366">
      <c r="A2366" s="153"/>
      <c r="B2366" s="153"/>
      <c r="C2366" s="153"/>
      <c r="D2366" s="153"/>
    </row>
    <row r="2367">
      <c r="A2367" s="153"/>
      <c r="B2367" s="153"/>
      <c r="C2367" s="153"/>
      <c r="D2367" s="153"/>
    </row>
    <row r="2368">
      <c r="A2368" s="153"/>
      <c r="B2368" s="153"/>
      <c r="C2368" s="153"/>
      <c r="D2368" s="153"/>
    </row>
    <row r="2369">
      <c r="A2369" s="153"/>
      <c r="B2369" s="153"/>
      <c r="C2369" s="153"/>
      <c r="D2369" s="153"/>
    </row>
    <row r="2370">
      <c r="A2370" s="153"/>
      <c r="B2370" s="153"/>
      <c r="C2370" s="153"/>
      <c r="D2370" s="153"/>
    </row>
    <row r="2371">
      <c r="A2371" s="153"/>
      <c r="B2371" s="153"/>
      <c r="C2371" s="153"/>
      <c r="D2371" s="153"/>
    </row>
    <row r="2372">
      <c r="A2372" s="153"/>
      <c r="B2372" s="153"/>
      <c r="C2372" s="153"/>
      <c r="D2372" s="153"/>
    </row>
    <row r="2373">
      <c r="A2373" s="153"/>
      <c r="B2373" s="153"/>
      <c r="C2373" s="153"/>
      <c r="D2373" s="153"/>
    </row>
    <row r="2374">
      <c r="A2374" s="153"/>
      <c r="B2374" s="153"/>
      <c r="C2374" s="153"/>
      <c r="D2374" s="153"/>
    </row>
    <row r="2375">
      <c r="A2375" s="153"/>
      <c r="B2375" s="153"/>
      <c r="C2375" s="153"/>
      <c r="D2375" s="153"/>
    </row>
    <row r="2376">
      <c r="A2376" s="153"/>
      <c r="B2376" s="153"/>
      <c r="C2376" s="153"/>
      <c r="D2376" s="153"/>
    </row>
    <row r="2377">
      <c r="A2377" s="153"/>
      <c r="B2377" s="153"/>
      <c r="C2377" s="153"/>
      <c r="D2377" s="153"/>
    </row>
    <row r="2378">
      <c r="A2378" s="153"/>
      <c r="B2378" s="153"/>
      <c r="C2378" s="153"/>
      <c r="D2378" s="153"/>
    </row>
    <row r="2379">
      <c r="A2379" s="153"/>
      <c r="B2379" s="153"/>
      <c r="C2379" s="153"/>
      <c r="D2379" s="153"/>
    </row>
    <row r="2380">
      <c r="A2380" s="153"/>
      <c r="B2380" s="153"/>
      <c r="C2380" s="153"/>
      <c r="D2380" s="153"/>
    </row>
    <row r="2381">
      <c r="A2381" s="153"/>
      <c r="B2381" s="153"/>
      <c r="C2381" s="153"/>
      <c r="D2381" s="153"/>
    </row>
    <row r="2382">
      <c r="A2382" s="153"/>
      <c r="B2382" s="153"/>
      <c r="C2382" s="153"/>
      <c r="D2382" s="153"/>
    </row>
    <row r="2383">
      <c r="A2383" s="153"/>
      <c r="B2383" s="153"/>
      <c r="C2383" s="153"/>
      <c r="D2383" s="153"/>
    </row>
    <row r="2384">
      <c r="A2384" s="153"/>
      <c r="B2384" s="153"/>
      <c r="C2384" s="153"/>
      <c r="D2384" s="153"/>
    </row>
    <row r="2385">
      <c r="A2385" s="153"/>
      <c r="B2385" s="153"/>
      <c r="C2385" s="153"/>
      <c r="D2385" s="153"/>
    </row>
    <row r="2386">
      <c r="A2386" s="153"/>
      <c r="B2386" s="153"/>
      <c r="C2386" s="153"/>
      <c r="D2386" s="153"/>
    </row>
    <row r="2387">
      <c r="A2387" s="153"/>
      <c r="B2387" s="153"/>
      <c r="C2387" s="153"/>
      <c r="D2387" s="153"/>
    </row>
    <row r="2388">
      <c r="A2388" s="153"/>
      <c r="B2388" s="153"/>
      <c r="C2388" s="153"/>
      <c r="D2388" s="153"/>
    </row>
    <row r="2389">
      <c r="A2389" s="153"/>
      <c r="B2389" s="153"/>
      <c r="C2389" s="153"/>
      <c r="D2389" s="153"/>
    </row>
    <row r="2390">
      <c r="A2390" s="153"/>
      <c r="B2390" s="153"/>
      <c r="C2390" s="153"/>
      <c r="D2390" s="153"/>
    </row>
    <row r="2391">
      <c r="A2391" s="153"/>
      <c r="B2391" s="153"/>
      <c r="C2391" s="153"/>
      <c r="D2391" s="153"/>
    </row>
    <row r="2392">
      <c r="A2392" s="153"/>
      <c r="B2392" s="153"/>
      <c r="C2392" s="153"/>
      <c r="D2392" s="153"/>
    </row>
    <row r="2393">
      <c r="A2393" s="153"/>
      <c r="B2393" s="153"/>
      <c r="C2393" s="153"/>
      <c r="D2393" s="153"/>
    </row>
    <row r="2394">
      <c r="A2394" s="153"/>
      <c r="B2394" s="153"/>
      <c r="C2394" s="153"/>
      <c r="D2394" s="153"/>
    </row>
    <row r="2395">
      <c r="A2395" s="153"/>
      <c r="B2395" s="153"/>
      <c r="C2395" s="153"/>
      <c r="D2395" s="153"/>
    </row>
    <row r="2396">
      <c r="A2396" s="153"/>
      <c r="B2396" s="153"/>
      <c r="C2396" s="153"/>
      <c r="D2396" s="153"/>
    </row>
    <row r="2397">
      <c r="A2397" s="153"/>
      <c r="B2397" s="153"/>
      <c r="C2397" s="153"/>
      <c r="D2397" s="153"/>
    </row>
    <row r="2398">
      <c r="A2398" s="153"/>
      <c r="B2398" s="153"/>
      <c r="C2398" s="153"/>
      <c r="D2398" s="153"/>
    </row>
    <row r="2399">
      <c r="A2399" s="153"/>
      <c r="B2399" s="153"/>
      <c r="C2399" s="153"/>
      <c r="D2399" s="153"/>
    </row>
    <row r="2400">
      <c r="A2400" s="153"/>
      <c r="B2400" s="153"/>
      <c r="C2400" s="153"/>
      <c r="D2400" s="153"/>
    </row>
    <row r="2401">
      <c r="A2401" s="153"/>
      <c r="B2401" s="153"/>
      <c r="C2401" s="153"/>
      <c r="D2401" s="153"/>
    </row>
    <row r="2402">
      <c r="A2402" s="153"/>
      <c r="B2402" s="153"/>
      <c r="C2402" s="153"/>
      <c r="D2402" s="153"/>
    </row>
    <row r="2403">
      <c r="A2403" s="153"/>
      <c r="B2403" s="153"/>
      <c r="C2403" s="153"/>
      <c r="D2403" s="153"/>
    </row>
    <row r="2404">
      <c r="A2404" s="153"/>
      <c r="B2404" s="153"/>
      <c r="C2404" s="153"/>
      <c r="D2404" s="153"/>
    </row>
    <row r="2405">
      <c r="A2405" s="153"/>
      <c r="B2405" s="153"/>
      <c r="C2405" s="153"/>
      <c r="D2405" s="153"/>
    </row>
    <row r="2406">
      <c r="A2406" s="153"/>
      <c r="B2406" s="153"/>
      <c r="C2406" s="153"/>
      <c r="D2406" s="153"/>
    </row>
    <row r="2407">
      <c r="A2407" s="153"/>
      <c r="B2407" s="153"/>
      <c r="C2407" s="153"/>
      <c r="D2407" s="153"/>
    </row>
    <row r="2408">
      <c r="A2408" s="153"/>
      <c r="B2408" s="153"/>
      <c r="C2408" s="153"/>
      <c r="D2408" s="153"/>
    </row>
    <row r="2409">
      <c r="A2409" s="153"/>
      <c r="B2409" s="153"/>
      <c r="C2409" s="153"/>
      <c r="D2409" s="153"/>
    </row>
    <row r="2410">
      <c r="A2410" s="153"/>
      <c r="B2410" s="153"/>
      <c r="C2410" s="153"/>
      <c r="D2410" s="153"/>
    </row>
    <row r="2411">
      <c r="A2411" s="153"/>
      <c r="B2411" s="153"/>
      <c r="C2411" s="153"/>
      <c r="D2411" s="153"/>
    </row>
    <row r="2412">
      <c r="A2412" s="153"/>
      <c r="B2412" s="153"/>
      <c r="C2412" s="153"/>
      <c r="D2412" s="153"/>
    </row>
    <row r="2413">
      <c r="A2413" s="153"/>
      <c r="B2413" s="153"/>
      <c r="C2413" s="153"/>
      <c r="D2413" s="153"/>
    </row>
    <row r="2414">
      <c r="A2414" s="153"/>
      <c r="B2414" s="153"/>
      <c r="C2414" s="153"/>
      <c r="D2414" s="153"/>
    </row>
    <row r="2415">
      <c r="A2415" s="153"/>
      <c r="B2415" s="153"/>
      <c r="C2415" s="153"/>
      <c r="D2415" s="153"/>
    </row>
    <row r="2416">
      <c r="A2416" s="153"/>
      <c r="B2416" s="153"/>
      <c r="C2416" s="153"/>
      <c r="D2416" s="153"/>
    </row>
    <row r="2417">
      <c r="A2417" s="153"/>
      <c r="B2417" s="153"/>
      <c r="C2417" s="153"/>
      <c r="D2417" s="153"/>
    </row>
    <row r="2418">
      <c r="A2418" s="153"/>
      <c r="B2418" s="153"/>
      <c r="C2418" s="153"/>
      <c r="D2418" s="153"/>
    </row>
    <row r="2419">
      <c r="A2419" s="153"/>
      <c r="B2419" s="153"/>
      <c r="C2419" s="153"/>
      <c r="D2419" s="153"/>
    </row>
    <row r="2420">
      <c r="A2420" s="153"/>
      <c r="B2420" s="153"/>
      <c r="C2420" s="153"/>
      <c r="D2420" s="153"/>
    </row>
    <row r="2421">
      <c r="A2421" s="153"/>
      <c r="B2421" s="153"/>
      <c r="C2421" s="153"/>
      <c r="D2421" s="153"/>
    </row>
    <row r="2422">
      <c r="A2422" s="153"/>
      <c r="B2422" s="153"/>
      <c r="C2422" s="153"/>
      <c r="D2422" s="153"/>
    </row>
    <row r="2423">
      <c r="A2423" s="153"/>
      <c r="B2423" s="153"/>
      <c r="C2423" s="153"/>
      <c r="D2423" s="153"/>
    </row>
    <row r="2424">
      <c r="A2424" s="153"/>
      <c r="B2424" s="153"/>
      <c r="C2424" s="153"/>
      <c r="D2424" s="153"/>
    </row>
    <row r="2425">
      <c r="A2425" s="153"/>
      <c r="B2425" s="153"/>
      <c r="C2425" s="153"/>
      <c r="D2425" s="153"/>
    </row>
    <row r="2426">
      <c r="A2426" s="153"/>
      <c r="B2426" s="153"/>
      <c r="C2426" s="153"/>
      <c r="D2426" s="153"/>
    </row>
    <row r="2427">
      <c r="A2427" s="153"/>
      <c r="B2427" s="153"/>
      <c r="C2427" s="153"/>
      <c r="D2427" s="153"/>
    </row>
    <row r="2428">
      <c r="A2428" s="153"/>
      <c r="B2428" s="153"/>
      <c r="C2428" s="153"/>
      <c r="D2428" s="153"/>
    </row>
    <row r="2429">
      <c r="A2429" s="153"/>
      <c r="B2429" s="153"/>
      <c r="C2429" s="153"/>
      <c r="D2429" s="153"/>
    </row>
    <row r="2430">
      <c r="A2430" s="153"/>
      <c r="B2430" s="153"/>
      <c r="C2430" s="153"/>
      <c r="D2430" s="153"/>
    </row>
    <row r="2431">
      <c r="A2431" s="153"/>
      <c r="B2431" s="153"/>
      <c r="C2431" s="153"/>
      <c r="D2431" s="153"/>
    </row>
    <row r="2432">
      <c r="A2432" s="153"/>
      <c r="B2432" s="153"/>
      <c r="C2432" s="153"/>
      <c r="D2432" s="153"/>
    </row>
    <row r="2433">
      <c r="A2433" s="153"/>
      <c r="B2433" s="153"/>
      <c r="C2433" s="153"/>
      <c r="D2433" s="153"/>
    </row>
    <row r="2434">
      <c r="A2434" s="153"/>
      <c r="B2434" s="153"/>
      <c r="C2434" s="153"/>
      <c r="D2434" s="153"/>
    </row>
    <row r="2435">
      <c r="A2435" s="153"/>
      <c r="B2435" s="153"/>
      <c r="C2435" s="153"/>
      <c r="D2435" s="153"/>
    </row>
    <row r="2436">
      <c r="A2436" s="153"/>
      <c r="B2436" s="153"/>
      <c r="C2436" s="153"/>
      <c r="D2436" s="153"/>
    </row>
    <row r="2437">
      <c r="A2437" s="153"/>
      <c r="B2437" s="153"/>
      <c r="C2437" s="153"/>
      <c r="D2437" s="153"/>
    </row>
    <row r="2438">
      <c r="A2438" s="153"/>
      <c r="B2438" s="153"/>
      <c r="C2438" s="153"/>
      <c r="D2438" s="153"/>
    </row>
    <row r="2439">
      <c r="A2439" s="153"/>
      <c r="B2439" s="153"/>
      <c r="C2439" s="153"/>
      <c r="D2439" s="153"/>
    </row>
    <row r="2440">
      <c r="A2440" s="153"/>
      <c r="B2440" s="153"/>
      <c r="C2440" s="153"/>
      <c r="D2440" s="153"/>
    </row>
    <row r="2441">
      <c r="A2441" s="153"/>
      <c r="B2441" s="153"/>
      <c r="C2441" s="153"/>
      <c r="D2441" s="153"/>
    </row>
    <row r="2442">
      <c r="A2442" s="153"/>
      <c r="B2442" s="153"/>
      <c r="C2442" s="153"/>
      <c r="D2442" s="153"/>
    </row>
    <row r="2443">
      <c r="A2443" s="153"/>
      <c r="B2443" s="153"/>
      <c r="C2443" s="153"/>
      <c r="D2443" s="153"/>
    </row>
    <row r="2444">
      <c r="A2444" s="153"/>
      <c r="B2444" s="153"/>
      <c r="C2444" s="153"/>
      <c r="D2444" s="153"/>
    </row>
    <row r="2445">
      <c r="A2445" s="153"/>
      <c r="B2445" s="153"/>
      <c r="C2445" s="153"/>
      <c r="D2445" s="153"/>
    </row>
    <row r="2446">
      <c r="A2446" s="153"/>
      <c r="B2446" s="153"/>
      <c r="C2446" s="153"/>
      <c r="D2446" s="153"/>
    </row>
    <row r="2447">
      <c r="A2447" s="153"/>
      <c r="B2447" s="153"/>
      <c r="C2447" s="153"/>
      <c r="D2447" s="153"/>
    </row>
    <row r="2448">
      <c r="A2448" s="153"/>
      <c r="B2448" s="153"/>
      <c r="C2448" s="153"/>
      <c r="D2448" s="153"/>
    </row>
    <row r="2449">
      <c r="A2449" s="153"/>
      <c r="B2449" s="153"/>
      <c r="C2449" s="153"/>
      <c r="D2449" s="153"/>
    </row>
    <row r="2450">
      <c r="A2450" s="153"/>
      <c r="B2450" s="153"/>
      <c r="C2450" s="153"/>
      <c r="D2450" s="153"/>
    </row>
    <row r="2451">
      <c r="A2451" s="153"/>
      <c r="B2451" s="153"/>
      <c r="C2451" s="153"/>
      <c r="D2451" s="153"/>
    </row>
    <row r="2452">
      <c r="A2452" s="153"/>
      <c r="B2452" s="153"/>
      <c r="C2452" s="153"/>
      <c r="D2452" s="153"/>
    </row>
    <row r="2453">
      <c r="A2453" s="153"/>
      <c r="B2453" s="153"/>
      <c r="C2453" s="153"/>
      <c r="D2453" s="153"/>
    </row>
    <row r="2454">
      <c r="A2454" s="153"/>
      <c r="B2454" s="153"/>
      <c r="C2454" s="153"/>
      <c r="D2454" s="153"/>
    </row>
    <row r="2455">
      <c r="A2455" s="153"/>
      <c r="B2455" s="153"/>
      <c r="C2455" s="153"/>
      <c r="D2455" s="153"/>
    </row>
    <row r="2456">
      <c r="A2456" s="153"/>
      <c r="B2456" s="153"/>
      <c r="C2456" s="153"/>
      <c r="D2456" s="153"/>
    </row>
    <row r="2457">
      <c r="A2457" s="153"/>
      <c r="B2457" s="153"/>
      <c r="C2457" s="153"/>
      <c r="D2457" s="153"/>
    </row>
    <row r="2458">
      <c r="A2458" s="153"/>
      <c r="B2458" s="153"/>
      <c r="C2458" s="153"/>
      <c r="D2458" s="153"/>
    </row>
    <row r="2459">
      <c r="A2459" s="153"/>
      <c r="B2459" s="153"/>
      <c r="C2459" s="153"/>
      <c r="D2459" s="153"/>
    </row>
    <row r="2460">
      <c r="A2460" s="153"/>
      <c r="B2460" s="153"/>
      <c r="C2460" s="153"/>
      <c r="D2460" s="153"/>
    </row>
    <row r="2461">
      <c r="A2461" s="153"/>
      <c r="B2461" s="153"/>
      <c r="C2461" s="153"/>
      <c r="D2461" s="153"/>
    </row>
    <row r="2462">
      <c r="A2462" s="153"/>
      <c r="B2462" s="153"/>
      <c r="C2462" s="153"/>
      <c r="D2462" s="153"/>
    </row>
    <row r="2463">
      <c r="A2463" s="153"/>
      <c r="B2463" s="153"/>
      <c r="C2463" s="153"/>
      <c r="D2463" s="153"/>
    </row>
    <row r="2464">
      <c r="A2464" s="153"/>
      <c r="B2464" s="153"/>
      <c r="C2464" s="153"/>
      <c r="D2464" s="153"/>
    </row>
    <row r="2465">
      <c r="A2465" s="153"/>
      <c r="B2465" s="153"/>
      <c r="C2465" s="153"/>
      <c r="D2465" s="153"/>
    </row>
    <row r="2466">
      <c r="A2466" s="153"/>
      <c r="B2466" s="153"/>
      <c r="C2466" s="153"/>
      <c r="D2466" s="153"/>
    </row>
    <row r="2467">
      <c r="A2467" s="153"/>
      <c r="B2467" s="153"/>
      <c r="C2467" s="153"/>
      <c r="D2467" s="153"/>
    </row>
    <row r="2468">
      <c r="A2468" s="153"/>
      <c r="B2468" s="153"/>
      <c r="C2468" s="153"/>
      <c r="D2468" s="153"/>
    </row>
    <row r="2469">
      <c r="A2469" s="153"/>
      <c r="B2469" s="153"/>
      <c r="C2469" s="153"/>
      <c r="D2469" s="153"/>
    </row>
    <row r="2470">
      <c r="A2470" s="153"/>
      <c r="B2470" s="153"/>
      <c r="C2470" s="153"/>
      <c r="D2470" s="153"/>
    </row>
    <row r="2471">
      <c r="A2471" s="153"/>
      <c r="B2471" s="153"/>
      <c r="C2471" s="153"/>
      <c r="D2471" s="153"/>
    </row>
    <row r="2472">
      <c r="A2472" s="153"/>
      <c r="B2472" s="153"/>
      <c r="C2472" s="153"/>
      <c r="D2472" s="153"/>
    </row>
    <row r="2473">
      <c r="A2473" s="153"/>
      <c r="B2473" s="153"/>
      <c r="C2473" s="153"/>
      <c r="D2473" s="153"/>
    </row>
    <row r="2474">
      <c r="A2474" s="153"/>
      <c r="B2474" s="153"/>
      <c r="C2474" s="153"/>
      <c r="D2474" s="153"/>
    </row>
    <row r="2475">
      <c r="A2475" s="153"/>
      <c r="B2475" s="153"/>
      <c r="C2475" s="153"/>
      <c r="D2475" s="153"/>
    </row>
    <row r="2476">
      <c r="A2476" s="153"/>
      <c r="B2476" s="153"/>
      <c r="C2476" s="153"/>
      <c r="D2476" s="153"/>
    </row>
    <row r="2477">
      <c r="A2477" s="153"/>
      <c r="B2477" s="153"/>
      <c r="C2477" s="153"/>
      <c r="D2477" s="153"/>
    </row>
    <row r="2478">
      <c r="A2478" s="153"/>
      <c r="B2478" s="153"/>
      <c r="C2478" s="153"/>
      <c r="D2478" s="153"/>
    </row>
    <row r="2479">
      <c r="A2479" s="153"/>
      <c r="B2479" s="153"/>
      <c r="C2479" s="153"/>
      <c r="D2479" s="153"/>
    </row>
    <row r="2480">
      <c r="A2480" s="153"/>
      <c r="B2480" s="153"/>
      <c r="C2480" s="153"/>
      <c r="D2480" s="153"/>
    </row>
    <row r="2481">
      <c r="A2481" s="153"/>
      <c r="B2481" s="153"/>
      <c r="C2481" s="153"/>
      <c r="D2481" s="153"/>
    </row>
    <row r="2482">
      <c r="A2482" s="153"/>
      <c r="B2482" s="153"/>
      <c r="C2482" s="153"/>
      <c r="D2482" s="153"/>
    </row>
    <row r="2483">
      <c r="A2483" s="153"/>
      <c r="B2483" s="153"/>
      <c r="C2483" s="153"/>
      <c r="D2483" s="153"/>
    </row>
    <row r="2484">
      <c r="A2484" s="153"/>
      <c r="B2484" s="153"/>
      <c r="C2484" s="153"/>
      <c r="D2484" s="153"/>
    </row>
    <row r="2485">
      <c r="A2485" s="153"/>
      <c r="B2485" s="153"/>
      <c r="C2485" s="153"/>
      <c r="D2485" s="153"/>
    </row>
    <row r="2486">
      <c r="A2486" s="153"/>
      <c r="B2486" s="153"/>
      <c r="C2486" s="153"/>
      <c r="D2486" s="153"/>
    </row>
    <row r="2487">
      <c r="A2487" s="153"/>
      <c r="B2487" s="153"/>
      <c r="C2487" s="153"/>
      <c r="D2487" s="153"/>
    </row>
    <row r="2488">
      <c r="A2488" s="153"/>
      <c r="B2488" s="153"/>
      <c r="C2488" s="153"/>
      <c r="D2488" s="153"/>
    </row>
    <row r="2489">
      <c r="A2489" s="153"/>
      <c r="B2489" s="153"/>
      <c r="C2489" s="153"/>
      <c r="D2489" s="153"/>
    </row>
    <row r="2490">
      <c r="A2490" s="153"/>
      <c r="B2490" s="153"/>
      <c r="C2490" s="153"/>
      <c r="D2490" s="153"/>
    </row>
    <row r="2491">
      <c r="A2491" s="153"/>
      <c r="B2491" s="153"/>
      <c r="C2491" s="153"/>
      <c r="D2491" s="153"/>
    </row>
    <row r="2492">
      <c r="A2492" s="153"/>
      <c r="B2492" s="153"/>
      <c r="C2492" s="153"/>
      <c r="D2492" s="153"/>
    </row>
    <row r="2493">
      <c r="A2493" s="153"/>
      <c r="B2493" s="153"/>
      <c r="C2493" s="153"/>
      <c r="D2493" s="153"/>
    </row>
    <row r="2494">
      <c r="A2494" s="153"/>
      <c r="B2494" s="153"/>
      <c r="C2494" s="153"/>
      <c r="D2494" s="153"/>
    </row>
    <row r="2495">
      <c r="A2495" s="153"/>
      <c r="B2495" s="153"/>
      <c r="C2495" s="153"/>
      <c r="D2495" s="153"/>
    </row>
    <row r="2496">
      <c r="A2496" s="153"/>
      <c r="B2496" s="153"/>
      <c r="C2496" s="153"/>
      <c r="D2496" s="153"/>
    </row>
    <row r="2497">
      <c r="A2497" s="153"/>
      <c r="B2497" s="153"/>
      <c r="C2497" s="153"/>
      <c r="D2497" s="153"/>
    </row>
    <row r="2498">
      <c r="A2498" s="153"/>
      <c r="B2498" s="153"/>
      <c r="C2498" s="153"/>
      <c r="D2498" s="153"/>
    </row>
    <row r="2499">
      <c r="A2499" s="153"/>
      <c r="B2499" s="153"/>
      <c r="C2499" s="153"/>
      <c r="D2499" s="153"/>
    </row>
    <row r="2500">
      <c r="A2500" s="153"/>
      <c r="B2500" s="153"/>
      <c r="C2500" s="153"/>
      <c r="D2500" s="153"/>
    </row>
    <row r="2501">
      <c r="A2501" s="153"/>
      <c r="B2501" s="153"/>
      <c r="C2501" s="153"/>
      <c r="D2501" s="153"/>
    </row>
    <row r="2502">
      <c r="A2502" s="153"/>
      <c r="B2502" s="153"/>
      <c r="C2502" s="153"/>
      <c r="D2502" s="153"/>
    </row>
    <row r="2503">
      <c r="A2503" s="153"/>
      <c r="B2503" s="153"/>
      <c r="C2503" s="153"/>
      <c r="D2503" s="153"/>
    </row>
    <row r="2504">
      <c r="A2504" s="153"/>
      <c r="B2504" s="153"/>
      <c r="C2504" s="153"/>
      <c r="D2504" s="153"/>
    </row>
    <row r="2505">
      <c r="A2505" s="153"/>
      <c r="B2505" s="153"/>
      <c r="C2505" s="153"/>
      <c r="D2505" s="153"/>
    </row>
    <row r="2506">
      <c r="A2506" s="153"/>
      <c r="B2506" s="153"/>
      <c r="C2506" s="153"/>
      <c r="D2506" s="153"/>
    </row>
    <row r="2507">
      <c r="A2507" s="153"/>
      <c r="B2507" s="153"/>
      <c r="C2507" s="153"/>
      <c r="D2507" s="153"/>
    </row>
    <row r="2508">
      <c r="A2508" s="153"/>
      <c r="B2508" s="153"/>
      <c r="C2508" s="153"/>
      <c r="D2508" s="153"/>
    </row>
    <row r="2509">
      <c r="A2509" s="153"/>
      <c r="B2509" s="153"/>
      <c r="C2509" s="153"/>
      <c r="D2509" s="153"/>
    </row>
    <row r="2510">
      <c r="A2510" s="153"/>
      <c r="B2510" s="153"/>
      <c r="C2510" s="153"/>
      <c r="D2510" s="153"/>
    </row>
    <row r="2511">
      <c r="A2511" s="153"/>
      <c r="B2511" s="153"/>
      <c r="C2511" s="153"/>
      <c r="D2511" s="153"/>
    </row>
    <row r="2512">
      <c r="A2512" s="153"/>
      <c r="B2512" s="153"/>
      <c r="C2512" s="153"/>
      <c r="D2512" s="153"/>
    </row>
    <row r="2513">
      <c r="A2513" s="153"/>
      <c r="B2513" s="153"/>
      <c r="C2513" s="153"/>
      <c r="D2513" s="153"/>
    </row>
    <row r="2514">
      <c r="A2514" s="153"/>
      <c r="B2514" s="153"/>
      <c r="C2514" s="153"/>
      <c r="D2514" s="153"/>
    </row>
    <row r="2515">
      <c r="A2515" s="153"/>
      <c r="B2515" s="153"/>
      <c r="C2515" s="153"/>
      <c r="D2515" s="153"/>
    </row>
    <row r="2516">
      <c r="A2516" s="153"/>
      <c r="B2516" s="153"/>
      <c r="C2516" s="153"/>
      <c r="D2516" s="153"/>
    </row>
    <row r="2517">
      <c r="A2517" s="153"/>
      <c r="B2517" s="153"/>
      <c r="C2517" s="153"/>
      <c r="D2517" s="153"/>
    </row>
    <row r="2518">
      <c r="A2518" s="153"/>
      <c r="B2518" s="153"/>
      <c r="C2518" s="153"/>
      <c r="D2518" s="153"/>
    </row>
    <row r="2519">
      <c r="A2519" s="153"/>
      <c r="B2519" s="153"/>
      <c r="C2519" s="153"/>
      <c r="D2519" s="153"/>
    </row>
    <row r="2520">
      <c r="A2520" s="153"/>
      <c r="B2520" s="153"/>
      <c r="C2520" s="153"/>
      <c r="D2520" s="153"/>
    </row>
    <row r="2521">
      <c r="A2521" s="153"/>
      <c r="B2521" s="153"/>
      <c r="C2521" s="153"/>
      <c r="D2521" s="153"/>
    </row>
    <row r="2522">
      <c r="A2522" s="153"/>
      <c r="B2522" s="153"/>
      <c r="C2522" s="153"/>
      <c r="D2522" s="153"/>
    </row>
    <row r="2523">
      <c r="A2523" s="153"/>
      <c r="B2523" s="153"/>
      <c r="C2523" s="153"/>
      <c r="D2523" s="153"/>
    </row>
    <row r="2524">
      <c r="A2524" s="153"/>
      <c r="B2524" s="153"/>
      <c r="C2524" s="153"/>
      <c r="D2524" s="153"/>
    </row>
    <row r="2525">
      <c r="A2525" s="153"/>
      <c r="B2525" s="153"/>
      <c r="C2525" s="153"/>
      <c r="D2525" s="153"/>
    </row>
    <row r="2526">
      <c r="A2526" s="153"/>
      <c r="B2526" s="153"/>
      <c r="C2526" s="153"/>
      <c r="D2526" s="153"/>
    </row>
    <row r="2527">
      <c r="A2527" s="153"/>
      <c r="B2527" s="153"/>
      <c r="C2527" s="153"/>
      <c r="D2527" s="153"/>
    </row>
    <row r="2528">
      <c r="A2528" s="153"/>
      <c r="B2528" s="153"/>
      <c r="C2528" s="153"/>
      <c r="D2528" s="153"/>
    </row>
    <row r="2529">
      <c r="A2529" s="153"/>
      <c r="B2529" s="153"/>
      <c r="C2529" s="153"/>
      <c r="D2529" s="153"/>
    </row>
    <row r="2530">
      <c r="A2530" s="153"/>
      <c r="B2530" s="153"/>
      <c r="C2530" s="153"/>
      <c r="D2530" s="153"/>
    </row>
    <row r="2531">
      <c r="A2531" s="153"/>
      <c r="B2531" s="153"/>
      <c r="C2531" s="153"/>
      <c r="D2531" s="153"/>
    </row>
    <row r="2532">
      <c r="A2532" s="153"/>
      <c r="B2532" s="153"/>
      <c r="C2532" s="153"/>
      <c r="D2532" s="153"/>
    </row>
    <row r="2533">
      <c r="A2533" s="153"/>
      <c r="B2533" s="153"/>
      <c r="C2533" s="153"/>
      <c r="D2533" s="153"/>
    </row>
    <row r="2534">
      <c r="A2534" s="153"/>
      <c r="B2534" s="153"/>
      <c r="C2534" s="153"/>
      <c r="D2534" s="153"/>
    </row>
    <row r="2535">
      <c r="A2535" s="153"/>
      <c r="B2535" s="153"/>
      <c r="C2535" s="153"/>
      <c r="D2535" s="153"/>
    </row>
    <row r="2536">
      <c r="A2536" s="153"/>
      <c r="B2536" s="153"/>
      <c r="C2536" s="153"/>
      <c r="D2536" s="153"/>
    </row>
    <row r="2537">
      <c r="A2537" s="153"/>
      <c r="B2537" s="153"/>
      <c r="C2537" s="153"/>
      <c r="D2537" s="153"/>
    </row>
    <row r="2538">
      <c r="A2538" s="153"/>
      <c r="B2538" s="153"/>
      <c r="C2538" s="153"/>
      <c r="D2538" s="153"/>
    </row>
    <row r="2539">
      <c r="A2539" s="153"/>
      <c r="B2539" s="153"/>
      <c r="C2539" s="153"/>
      <c r="D2539" s="153"/>
    </row>
    <row r="2540">
      <c r="A2540" s="153"/>
      <c r="B2540" s="153"/>
      <c r="C2540" s="153"/>
      <c r="D2540" s="153"/>
    </row>
    <row r="2541">
      <c r="A2541" s="153"/>
      <c r="B2541" s="153"/>
      <c r="C2541" s="153"/>
      <c r="D2541" s="153"/>
    </row>
    <row r="2542">
      <c r="A2542" s="153"/>
      <c r="B2542" s="153"/>
      <c r="C2542" s="153"/>
      <c r="D2542" s="153"/>
    </row>
    <row r="2543">
      <c r="A2543" s="153"/>
      <c r="B2543" s="153"/>
      <c r="C2543" s="153"/>
      <c r="D2543" s="153"/>
    </row>
    <row r="2544">
      <c r="A2544" s="153"/>
      <c r="B2544" s="153"/>
      <c r="C2544" s="153"/>
      <c r="D2544" s="153"/>
    </row>
    <row r="2545">
      <c r="A2545" s="153"/>
      <c r="B2545" s="153"/>
      <c r="C2545" s="153"/>
      <c r="D2545" s="153"/>
    </row>
    <row r="2546">
      <c r="A2546" s="153"/>
      <c r="B2546" s="153"/>
      <c r="C2546" s="153"/>
      <c r="D2546" s="153"/>
    </row>
    <row r="2547">
      <c r="A2547" s="153"/>
      <c r="B2547" s="153"/>
      <c r="C2547" s="153"/>
      <c r="D2547" s="153"/>
    </row>
    <row r="2548">
      <c r="A2548" s="153"/>
      <c r="B2548" s="153"/>
      <c r="C2548" s="153"/>
      <c r="D2548" s="153"/>
    </row>
    <row r="2549">
      <c r="A2549" s="153"/>
      <c r="B2549" s="153"/>
      <c r="C2549" s="153"/>
      <c r="D2549" s="153"/>
    </row>
    <row r="2550">
      <c r="A2550" s="153"/>
      <c r="B2550" s="153"/>
      <c r="C2550" s="153"/>
      <c r="D2550" s="153"/>
    </row>
    <row r="2551">
      <c r="A2551" s="153"/>
      <c r="B2551" s="153"/>
      <c r="C2551" s="153"/>
      <c r="D2551" s="153"/>
    </row>
    <row r="2552">
      <c r="A2552" s="153"/>
      <c r="B2552" s="153"/>
      <c r="C2552" s="153"/>
      <c r="D2552" s="153"/>
    </row>
    <row r="2553">
      <c r="A2553" s="153"/>
      <c r="B2553" s="153"/>
      <c r="C2553" s="153"/>
      <c r="D2553" s="153"/>
    </row>
    <row r="2554">
      <c r="A2554" s="153"/>
      <c r="B2554" s="153"/>
      <c r="C2554" s="153"/>
      <c r="D2554" s="153"/>
    </row>
    <row r="2555">
      <c r="A2555" s="153"/>
      <c r="B2555" s="153"/>
      <c r="C2555" s="153"/>
      <c r="D2555" s="153"/>
    </row>
    <row r="2556">
      <c r="A2556" s="153"/>
      <c r="B2556" s="153"/>
      <c r="C2556" s="153"/>
      <c r="D2556" s="153"/>
    </row>
    <row r="2557">
      <c r="A2557" s="153"/>
      <c r="B2557" s="153"/>
      <c r="C2557" s="153"/>
      <c r="D2557" s="153"/>
    </row>
    <row r="2558">
      <c r="A2558" s="153"/>
      <c r="B2558" s="153"/>
      <c r="C2558" s="153"/>
      <c r="D2558" s="153"/>
    </row>
    <row r="2559">
      <c r="A2559" s="153"/>
      <c r="B2559" s="153"/>
      <c r="C2559" s="153"/>
      <c r="D2559" s="153"/>
    </row>
    <row r="2560">
      <c r="A2560" s="153"/>
      <c r="B2560" s="153"/>
      <c r="C2560" s="153"/>
      <c r="D2560" s="153"/>
    </row>
    <row r="2561">
      <c r="A2561" s="153"/>
      <c r="B2561" s="153"/>
      <c r="C2561" s="153"/>
      <c r="D2561" s="153"/>
    </row>
    <row r="2562">
      <c r="A2562" s="153"/>
      <c r="B2562" s="153"/>
      <c r="C2562" s="153"/>
      <c r="D2562" s="153"/>
    </row>
    <row r="2563">
      <c r="A2563" s="153"/>
      <c r="B2563" s="153"/>
      <c r="C2563" s="153"/>
      <c r="D2563" s="153"/>
    </row>
    <row r="2564">
      <c r="A2564" s="153"/>
      <c r="B2564" s="153"/>
      <c r="C2564" s="153"/>
      <c r="D2564" s="153"/>
    </row>
    <row r="2565">
      <c r="A2565" s="153"/>
      <c r="B2565" s="153"/>
      <c r="C2565" s="153"/>
      <c r="D2565" s="153"/>
    </row>
    <row r="2566">
      <c r="A2566" s="153"/>
      <c r="B2566" s="153"/>
      <c r="C2566" s="153"/>
      <c r="D2566" s="153"/>
    </row>
    <row r="2567">
      <c r="A2567" s="153"/>
      <c r="B2567" s="153"/>
      <c r="C2567" s="153"/>
      <c r="D2567" s="153"/>
    </row>
    <row r="2568">
      <c r="A2568" s="153"/>
      <c r="B2568" s="153"/>
      <c r="C2568" s="153"/>
      <c r="D2568" s="153"/>
    </row>
    <row r="2569">
      <c r="A2569" s="153"/>
      <c r="B2569" s="153"/>
      <c r="C2569" s="153"/>
      <c r="D2569" s="153"/>
    </row>
    <row r="2570">
      <c r="A2570" s="153"/>
      <c r="B2570" s="153"/>
      <c r="C2570" s="153"/>
      <c r="D2570" s="153"/>
    </row>
    <row r="2571">
      <c r="A2571" s="153"/>
      <c r="B2571" s="153"/>
      <c r="C2571" s="153"/>
      <c r="D2571" s="153"/>
    </row>
    <row r="2572">
      <c r="A2572" s="153"/>
      <c r="B2572" s="153"/>
      <c r="C2572" s="153"/>
      <c r="D2572" s="153"/>
    </row>
    <row r="2573">
      <c r="A2573" s="153"/>
      <c r="B2573" s="153"/>
      <c r="C2573" s="153"/>
      <c r="D2573" s="153"/>
    </row>
    <row r="2574">
      <c r="A2574" s="153"/>
      <c r="B2574" s="153"/>
      <c r="C2574" s="153"/>
      <c r="D2574" s="153"/>
    </row>
    <row r="2575">
      <c r="A2575" s="153"/>
      <c r="B2575" s="153"/>
      <c r="C2575" s="153"/>
      <c r="D2575" s="153"/>
    </row>
    <row r="2576">
      <c r="A2576" s="153"/>
      <c r="B2576" s="153"/>
      <c r="C2576" s="153"/>
      <c r="D2576" s="153"/>
    </row>
    <row r="2577">
      <c r="A2577" s="153"/>
      <c r="B2577" s="153"/>
      <c r="C2577" s="153"/>
      <c r="D2577" s="153"/>
    </row>
    <row r="2578">
      <c r="A2578" s="153"/>
      <c r="B2578" s="153"/>
      <c r="C2578" s="153"/>
      <c r="D2578" s="153"/>
    </row>
    <row r="2579">
      <c r="A2579" s="153"/>
      <c r="B2579" s="153"/>
      <c r="C2579" s="153"/>
      <c r="D2579" s="153"/>
    </row>
    <row r="2580">
      <c r="A2580" s="153"/>
      <c r="B2580" s="153"/>
      <c r="C2580" s="153"/>
      <c r="D2580" s="153"/>
    </row>
    <row r="2581">
      <c r="A2581" s="153"/>
      <c r="B2581" s="153"/>
      <c r="C2581" s="153"/>
      <c r="D2581" s="153"/>
    </row>
    <row r="2582">
      <c r="A2582" s="153"/>
      <c r="B2582" s="153"/>
      <c r="C2582" s="153"/>
      <c r="D2582" s="153"/>
    </row>
    <row r="2583">
      <c r="A2583" s="153"/>
      <c r="B2583" s="153"/>
      <c r="C2583" s="153"/>
      <c r="D2583" s="153"/>
    </row>
    <row r="2584">
      <c r="A2584" s="153"/>
      <c r="B2584" s="153"/>
      <c r="C2584" s="153"/>
      <c r="D2584" s="153"/>
    </row>
    <row r="2585">
      <c r="A2585" s="153"/>
      <c r="B2585" s="153"/>
      <c r="C2585" s="153"/>
      <c r="D2585" s="153"/>
    </row>
    <row r="2586">
      <c r="A2586" s="153"/>
      <c r="B2586" s="153"/>
      <c r="C2586" s="153"/>
      <c r="D2586" s="153"/>
    </row>
    <row r="2587">
      <c r="A2587" s="153"/>
      <c r="B2587" s="153"/>
      <c r="C2587" s="153"/>
      <c r="D2587" s="153"/>
    </row>
    <row r="2588">
      <c r="A2588" s="153"/>
      <c r="B2588" s="153"/>
      <c r="C2588" s="153"/>
      <c r="D2588" s="153"/>
    </row>
    <row r="2589">
      <c r="A2589" s="153"/>
      <c r="B2589" s="153"/>
      <c r="C2589" s="153"/>
      <c r="D2589" s="153"/>
    </row>
    <row r="2590">
      <c r="A2590" s="153"/>
      <c r="B2590" s="153"/>
      <c r="C2590" s="153"/>
      <c r="D2590" s="153"/>
    </row>
    <row r="2591">
      <c r="A2591" s="153"/>
      <c r="B2591" s="153"/>
      <c r="C2591" s="153"/>
      <c r="D2591" s="153"/>
    </row>
    <row r="2592">
      <c r="A2592" s="153"/>
      <c r="B2592" s="153"/>
      <c r="C2592" s="153"/>
      <c r="D2592" s="153"/>
    </row>
    <row r="2593">
      <c r="A2593" s="153"/>
      <c r="B2593" s="153"/>
      <c r="C2593" s="153"/>
      <c r="D2593" s="153"/>
    </row>
    <row r="2594">
      <c r="A2594" s="153"/>
      <c r="B2594" s="153"/>
      <c r="C2594" s="153"/>
      <c r="D2594" s="153"/>
    </row>
    <row r="2595">
      <c r="A2595" s="153"/>
      <c r="B2595" s="153"/>
      <c r="C2595" s="153"/>
      <c r="D2595" s="153"/>
    </row>
    <row r="2596">
      <c r="A2596" s="153"/>
      <c r="B2596" s="153"/>
      <c r="C2596" s="153"/>
      <c r="D2596" s="153"/>
    </row>
    <row r="2597">
      <c r="A2597" s="153"/>
      <c r="B2597" s="153"/>
      <c r="C2597" s="153"/>
      <c r="D2597" s="153"/>
    </row>
    <row r="2598">
      <c r="A2598" s="153"/>
      <c r="B2598" s="153"/>
      <c r="C2598" s="153"/>
      <c r="D2598" s="153"/>
    </row>
    <row r="2599">
      <c r="A2599" s="153"/>
      <c r="B2599" s="153"/>
      <c r="C2599" s="153"/>
      <c r="D2599" s="153"/>
    </row>
    <row r="2600">
      <c r="A2600" s="153"/>
      <c r="B2600" s="153"/>
      <c r="C2600" s="153"/>
      <c r="D2600" s="153"/>
    </row>
    <row r="2601">
      <c r="A2601" s="153"/>
      <c r="B2601" s="153"/>
      <c r="C2601" s="153"/>
      <c r="D2601" s="153"/>
    </row>
    <row r="2602">
      <c r="A2602" s="153"/>
      <c r="B2602" s="153"/>
      <c r="C2602" s="153"/>
      <c r="D2602" s="153"/>
    </row>
    <row r="2603">
      <c r="A2603" s="153"/>
      <c r="B2603" s="153"/>
      <c r="C2603" s="153"/>
      <c r="D2603" s="153"/>
    </row>
    <row r="2604">
      <c r="A2604" s="153"/>
      <c r="B2604" s="153"/>
      <c r="C2604" s="153"/>
      <c r="D2604" s="153"/>
    </row>
    <row r="2605">
      <c r="A2605" s="153"/>
      <c r="B2605" s="153"/>
      <c r="C2605" s="153"/>
      <c r="D2605" s="153"/>
    </row>
    <row r="2606">
      <c r="A2606" s="153"/>
      <c r="B2606" s="153"/>
      <c r="C2606" s="153"/>
      <c r="D2606" s="153"/>
    </row>
    <row r="2607">
      <c r="A2607" s="153"/>
      <c r="B2607" s="153"/>
      <c r="C2607" s="153"/>
      <c r="D2607" s="153"/>
    </row>
    <row r="2608">
      <c r="A2608" s="153"/>
      <c r="B2608" s="153"/>
      <c r="C2608" s="153"/>
      <c r="D2608" s="153"/>
    </row>
    <row r="2609">
      <c r="A2609" s="153"/>
      <c r="B2609" s="153"/>
      <c r="C2609" s="153"/>
      <c r="D2609" s="153"/>
    </row>
    <row r="2610">
      <c r="A2610" s="153"/>
      <c r="B2610" s="153"/>
      <c r="C2610" s="153"/>
      <c r="D2610" s="153"/>
    </row>
    <row r="2611">
      <c r="A2611" s="153"/>
      <c r="B2611" s="153"/>
      <c r="C2611" s="153"/>
      <c r="D2611" s="153"/>
    </row>
    <row r="2612">
      <c r="A2612" s="153"/>
      <c r="B2612" s="153"/>
      <c r="C2612" s="153"/>
      <c r="D2612" s="153"/>
    </row>
    <row r="2613">
      <c r="A2613" s="153"/>
      <c r="B2613" s="153"/>
      <c r="C2613" s="153"/>
      <c r="D2613" s="153"/>
    </row>
    <row r="2614">
      <c r="A2614" s="153"/>
      <c r="B2614" s="153"/>
      <c r="C2614" s="153"/>
      <c r="D2614" s="153"/>
    </row>
    <row r="2615">
      <c r="A2615" s="153"/>
      <c r="B2615" s="153"/>
      <c r="C2615" s="153"/>
      <c r="D2615" s="153"/>
    </row>
    <row r="2616">
      <c r="A2616" s="153"/>
      <c r="B2616" s="153"/>
      <c r="C2616" s="153"/>
      <c r="D2616" s="153"/>
    </row>
    <row r="2617">
      <c r="A2617" s="153"/>
      <c r="B2617" s="153"/>
      <c r="C2617" s="153"/>
      <c r="D2617" s="153"/>
    </row>
    <row r="2618">
      <c r="A2618" s="153"/>
      <c r="B2618" s="153"/>
      <c r="C2618" s="153"/>
      <c r="D2618" s="153"/>
    </row>
    <row r="2619">
      <c r="A2619" s="153"/>
      <c r="B2619" s="153"/>
      <c r="C2619" s="153"/>
      <c r="D2619" s="153"/>
    </row>
    <row r="2620">
      <c r="A2620" s="153"/>
      <c r="B2620" s="153"/>
      <c r="C2620" s="153"/>
      <c r="D2620" s="153"/>
    </row>
    <row r="2621">
      <c r="A2621" s="153"/>
      <c r="B2621" s="153"/>
      <c r="C2621" s="153"/>
      <c r="D2621" s="153"/>
    </row>
    <row r="2622">
      <c r="A2622" s="153"/>
      <c r="B2622" s="153"/>
      <c r="C2622" s="153"/>
      <c r="D2622" s="153"/>
    </row>
    <row r="2623">
      <c r="A2623" s="153"/>
      <c r="B2623" s="153"/>
      <c r="C2623" s="153"/>
      <c r="D2623" s="153"/>
    </row>
    <row r="2624">
      <c r="A2624" s="153"/>
      <c r="B2624" s="153"/>
      <c r="C2624" s="153"/>
      <c r="D2624" s="153"/>
    </row>
    <row r="2625">
      <c r="A2625" s="153"/>
      <c r="B2625" s="153"/>
      <c r="C2625" s="153"/>
      <c r="D2625" s="153"/>
    </row>
    <row r="2626">
      <c r="A2626" s="153"/>
      <c r="B2626" s="153"/>
      <c r="C2626" s="153"/>
      <c r="D2626" s="153"/>
    </row>
    <row r="2627">
      <c r="A2627" s="153"/>
      <c r="B2627" s="153"/>
      <c r="C2627" s="153"/>
      <c r="D2627" s="153"/>
    </row>
    <row r="2628">
      <c r="A2628" s="153"/>
      <c r="B2628" s="153"/>
      <c r="C2628" s="153"/>
      <c r="D2628" s="153"/>
    </row>
    <row r="2629">
      <c r="A2629" s="153"/>
      <c r="B2629" s="153"/>
      <c r="C2629" s="153"/>
      <c r="D2629" s="153"/>
    </row>
    <row r="2630">
      <c r="A2630" s="153"/>
      <c r="B2630" s="153"/>
      <c r="C2630" s="153"/>
      <c r="D2630" s="153"/>
    </row>
    <row r="2631">
      <c r="A2631" s="153"/>
      <c r="B2631" s="153"/>
      <c r="C2631" s="153"/>
      <c r="D2631" s="153"/>
    </row>
    <row r="2632">
      <c r="A2632" s="153"/>
      <c r="B2632" s="153"/>
      <c r="C2632" s="153"/>
      <c r="D2632" s="153"/>
    </row>
    <row r="2633">
      <c r="A2633" s="153"/>
      <c r="B2633" s="153"/>
      <c r="C2633" s="153"/>
      <c r="D2633" s="153"/>
    </row>
    <row r="2634">
      <c r="A2634" s="153"/>
      <c r="B2634" s="153"/>
      <c r="C2634" s="153"/>
      <c r="D2634" s="153"/>
    </row>
    <row r="2635">
      <c r="A2635" s="153"/>
      <c r="B2635" s="153"/>
      <c r="C2635" s="153"/>
      <c r="D2635" s="153"/>
    </row>
    <row r="2636">
      <c r="A2636" s="153"/>
      <c r="B2636" s="153"/>
      <c r="C2636" s="153"/>
      <c r="D2636" s="153"/>
    </row>
    <row r="2637">
      <c r="A2637" s="153"/>
      <c r="B2637" s="153"/>
      <c r="C2637" s="153"/>
      <c r="D2637" s="153"/>
    </row>
    <row r="2638">
      <c r="A2638" s="153"/>
      <c r="B2638" s="153"/>
      <c r="C2638" s="153"/>
      <c r="D2638" s="153"/>
    </row>
    <row r="2639">
      <c r="A2639" s="153"/>
      <c r="B2639" s="153"/>
      <c r="C2639" s="153"/>
      <c r="D2639" s="153"/>
    </row>
    <row r="2640">
      <c r="A2640" s="153"/>
      <c r="B2640" s="153"/>
      <c r="C2640" s="153"/>
      <c r="D2640" s="153"/>
    </row>
    <row r="2641">
      <c r="A2641" s="153"/>
      <c r="B2641" s="153"/>
      <c r="C2641" s="153"/>
      <c r="D2641" s="153"/>
    </row>
    <row r="2642">
      <c r="A2642" s="153"/>
      <c r="B2642" s="153"/>
      <c r="C2642" s="153"/>
      <c r="D2642" s="153"/>
    </row>
    <row r="2643">
      <c r="A2643" s="153"/>
      <c r="B2643" s="153"/>
      <c r="C2643" s="153"/>
      <c r="D2643" s="153"/>
    </row>
    <row r="2644">
      <c r="A2644" s="153"/>
      <c r="B2644" s="153"/>
      <c r="C2644" s="153"/>
      <c r="D2644" s="153"/>
    </row>
    <row r="2645">
      <c r="A2645" s="153"/>
      <c r="B2645" s="153"/>
      <c r="C2645" s="153"/>
      <c r="D2645" s="153"/>
    </row>
    <row r="2646">
      <c r="A2646" s="153"/>
      <c r="B2646" s="153"/>
      <c r="C2646" s="153"/>
      <c r="D2646" s="153"/>
    </row>
    <row r="2647">
      <c r="A2647" s="153"/>
      <c r="B2647" s="153"/>
      <c r="C2647" s="153"/>
      <c r="D2647" s="153"/>
    </row>
    <row r="2648">
      <c r="A2648" s="153"/>
      <c r="B2648" s="153"/>
      <c r="C2648" s="153"/>
      <c r="D2648" s="153"/>
    </row>
    <row r="2649">
      <c r="A2649" s="153"/>
      <c r="B2649" s="153"/>
      <c r="C2649" s="153"/>
      <c r="D2649" s="153"/>
    </row>
    <row r="2650">
      <c r="A2650" s="153"/>
      <c r="B2650" s="153"/>
      <c r="C2650" s="153"/>
      <c r="D2650" s="153"/>
    </row>
    <row r="2651">
      <c r="A2651" s="153"/>
      <c r="B2651" s="153"/>
      <c r="C2651" s="153"/>
      <c r="D2651" s="153"/>
    </row>
    <row r="2652">
      <c r="A2652" s="153"/>
      <c r="B2652" s="153"/>
      <c r="C2652" s="153"/>
      <c r="D2652" s="153"/>
    </row>
    <row r="2653">
      <c r="A2653" s="153"/>
      <c r="B2653" s="153"/>
      <c r="C2653" s="153"/>
      <c r="D2653" s="153"/>
    </row>
    <row r="2654">
      <c r="A2654" s="153"/>
      <c r="B2654" s="153"/>
      <c r="C2654" s="153"/>
      <c r="D2654" s="153"/>
    </row>
    <row r="2655">
      <c r="A2655" s="153"/>
      <c r="B2655" s="153"/>
      <c r="C2655" s="153"/>
      <c r="D2655" s="153"/>
    </row>
    <row r="2656">
      <c r="A2656" s="153"/>
      <c r="B2656" s="153"/>
      <c r="C2656" s="153"/>
      <c r="D2656" s="153"/>
    </row>
    <row r="2657">
      <c r="A2657" s="153"/>
      <c r="B2657" s="153"/>
      <c r="C2657" s="153"/>
      <c r="D2657" s="153"/>
    </row>
    <row r="2658">
      <c r="A2658" s="153"/>
      <c r="B2658" s="153"/>
      <c r="C2658" s="153"/>
      <c r="D2658" s="153"/>
    </row>
    <row r="2659">
      <c r="A2659" s="153"/>
      <c r="B2659" s="153"/>
      <c r="C2659" s="153"/>
      <c r="D2659" s="153"/>
    </row>
    <row r="2660">
      <c r="A2660" s="153"/>
      <c r="B2660" s="153"/>
      <c r="C2660" s="153"/>
      <c r="D2660" s="153"/>
    </row>
    <row r="2661">
      <c r="A2661" s="153"/>
      <c r="B2661" s="153"/>
      <c r="C2661" s="153"/>
      <c r="D2661" s="153"/>
    </row>
    <row r="2662">
      <c r="A2662" s="153"/>
      <c r="B2662" s="153"/>
      <c r="C2662" s="153"/>
      <c r="D2662" s="153"/>
    </row>
    <row r="2663">
      <c r="A2663" s="153"/>
      <c r="B2663" s="153"/>
      <c r="C2663" s="153"/>
      <c r="D2663" s="153"/>
    </row>
    <row r="2664">
      <c r="A2664" s="153"/>
      <c r="B2664" s="153"/>
      <c r="C2664" s="153"/>
      <c r="D2664" s="153"/>
    </row>
    <row r="2665">
      <c r="A2665" s="153"/>
      <c r="B2665" s="153"/>
      <c r="C2665" s="153"/>
      <c r="D2665" s="153"/>
    </row>
    <row r="2666">
      <c r="A2666" s="153"/>
      <c r="B2666" s="153"/>
      <c r="C2666" s="153"/>
      <c r="D2666" s="153"/>
    </row>
    <row r="2667">
      <c r="A2667" s="153"/>
      <c r="B2667" s="153"/>
      <c r="C2667" s="153"/>
      <c r="D2667" s="153"/>
    </row>
    <row r="2668">
      <c r="A2668" s="153"/>
      <c r="B2668" s="153"/>
      <c r="C2668" s="153"/>
      <c r="D2668" s="153"/>
    </row>
    <row r="2669">
      <c r="A2669" s="153"/>
      <c r="B2669" s="153"/>
      <c r="C2669" s="153"/>
      <c r="D2669" s="153"/>
    </row>
    <row r="2670">
      <c r="A2670" s="153"/>
      <c r="B2670" s="153"/>
      <c r="C2670" s="153"/>
      <c r="D2670" s="153"/>
    </row>
    <row r="2671">
      <c r="A2671" s="153"/>
      <c r="B2671" s="153"/>
      <c r="C2671" s="153"/>
      <c r="D2671" s="153"/>
    </row>
    <row r="2672">
      <c r="A2672" s="153"/>
      <c r="B2672" s="153"/>
      <c r="C2672" s="153"/>
      <c r="D2672" s="153"/>
    </row>
    <row r="2673">
      <c r="A2673" s="153"/>
      <c r="B2673" s="153"/>
      <c r="C2673" s="153"/>
      <c r="D2673" s="153"/>
    </row>
    <row r="2674">
      <c r="A2674" s="153"/>
      <c r="B2674" s="153"/>
      <c r="C2674" s="153"/>
      <c r="D2674" s="153"/>
    </row>
    <row r="2675">
      <c r="A2675" s="153"/>
      <c r="B2675" s="153"/>
      <c r="C2675" s="153"/>
      <c r="D2675" s="153"/>
    </row>
    <row r="2676">
      <c r="A2676" s="153"/>
      <c r="B2676" s="153"/>
      <c r="C2676" s="153"/>
      <c r="D2676" s="153"/>
    </row>
    <row r="2677">
      <c r="A2677" s="153"/>
      <c r="B2677" s="153"/>
      <c r="C2677" s="153"/>
      <c r="D2677" s="153"/>
    </row>
    <row r="2678">
      <c r="A2678" s="153"/>
      <c r="B2678" s="153"/>
      <c r="C2678" s="153"/>
      <c r="D2678" s="153"/>
    </row>
    <row r="2679">
      <c r="A2679" s="153"/>
      <c r="B2679" s="153"/>
      <c r="C2679" s="153"/>
      <c r="D2679" s="153"/>
    </row>
    <row r="2680">
      <c r="A2680" s="153"/>
      <c r="B2680" s="153"/>
      <c r="C2680" s="153"/>
      <c r="D2680" s="153"/>
    </row>
    <row r="2681">
      <c r="A2681" s="153"/>
      <c r="B2681" s="153"/>
      <c r="C2681" s="153"/>
      <c r="D2681" s="153"/>
    </row>
    <row r="2682">
      <c r="A2682" s="153"/>
      <c r="B2682" s="153"/>
      <c r="C2682" s="153"/>
      <c r="D2682" s="153"/>
    </row>
    <row r="2683">
      <c r="A2683" s="153"/>
      <c r="B2683" s="153"/>
      <c r="C2683" s="153"/>
      <c r="D2683" s="153"/>
    </row>
    <row r="2684">
      <c r="A2684" s="153"/>
      <c r="B2684" s="153"/>
      <c r="C2684" s="153"/>
      <c r="D2684" s="153"/>
    </row>
    <row r="2685">
      <c r="A2685" s="153"/>
      <c r="B2685" s="153"/>
      <c r="C2685" s="153"/>
      <c r="D2685" s="153"/>
    </row>
    <row r="2686">
      <c r="A2686" s="153"/>
      <c r="B2686" s="153"/>
      <c r="C2686" s="153"/>
      <c r="D2686" s="153"/>
    </row>
    <row r="2687">
      <c r="A2687" s="153"/>
      <c r="B2687" s="153"/>
      <c r="C2687" s="153"/>
      <c r="D2687" s="153"/>
    </row>
    <row r="2688">
      <c r="A2688" s="153"/>
      <c r="B2688" s="153"/>
      <c r="C2688" s="153"/>
      <c r="D2688" s="153"/>
    </row>
    <row r="2689">
      <c r="A2689" s="153"/>
      <c r="B2689" s="153"/>
      <c r="C2689" s="153"/>
      <c r="D2689" s="153"/>
    </row>
    <row r="2690">
      <c r="A2690" s="153"/>
      <c r="B2690" s="153"/>
      <c r="C2690" s="153"/>
      <c r="D2690" s="153"/>
    </row>
    <row r="2691">
      <c r="A2691" s="153"/>
      <c r="B2691" s="153"/>
      <c r="C2691" s="153"/>
      <c r="D2691" s="153"/>
    </row>
    <row r="2692">
      <c r="A2692" s="153"/>
      <c r="B2692" s="153"/>
      <c r="C2692" s="153"/>
      <c r="D2692" s="153"/>
    </row>
    <row r="2693">
      <c r="A2693" s="153"/>
      <c r="B2693" s="153"/>
      <c r="C2693" s="153"/>
      <c r="D2693" s="153"/>
    </row>
    <row r="2694">
      <c r="A2694" s="153"/>
      <c r="B2694" s="153"/>
      <c r="C2694" s="153"/>
      <c r="D2694" s="153"/>
    </row>
    <row r="2695">
      <c r="A2695" s="153"/>
      <c r="B2695" s="153"/>
      <c r="C2695" s="153"/>
      <c r="D2695" s="153"/>
    </row>
    <row r="2696">
      <c r="A2696" s="153"/>
      <c r="B2696" s="153"/>
      <c r="C2696" s="153"/>
      <c r="D2696" s="153"/>
    </row>
    <row r="2697">
      <c r="A2697" s="153"/>
      <c r="B2697" s="153"/>
      <c r="C2697" s="153"/>
      <c r="D2697" s="153"/>
    </row>
    <row r="2698">
      <c r="A2698" s="153"/>
      <c r="B2698" s="153"/>
      <c r="C2698" s="153"/>
      <c r="D2698" s="153"/>
    </row>
    <row r="2699">
      <c r="A2699" s="153"/>
      <c r="B2699" s="153"/>
      <c r="C2699" s="153"/>
      <c r="D2699" s="153"/>
    </row>
    <row r="2700">
      <c r="A2700" s="153"/>
      <c r="B2700" s="153"/>
      <c r="C2700" s="153"/>
      <c r="D2700" s="153"/>
    </row>
    <row r="2701">
      <c r="A2701" s="153"/>
      <c r="B2701" s="153"/>
      <c r="C2701" s="153"/>
      <c r="D2701" s="153"/>
    </row>
    <row r="2702">
      <c r="A2702" s="153"/>
      <c r="B2702" s="153"/>
      <c r="C2702" s="153"/>
      <c r="D2702" s="153"/>
    </row>
    <row r="2703">
      <c r="A2703" s="153"/>
      <c r="B2703" s="153"/>
      <c r="C2703" s="153"/>
      <c r="D2703" s="153"/>
    </row>
    <row r="2704">
      <c r="A2704" s="153"/>
      <c r="B2704" s="153"/>
      <c r="C2704" s="153"/>
      <c r="D2704" s="153"/>
    </row>
    <row r="2705">
      <c r="A2705" s="153"/>
      <c r="B2705" s="153"/>
      <c r="C2705" s="153"/>
      <c r="D2705" s="153"/>
    </row>
    <row r="2706">
      <c r="A2706" s="153"/>
      <c r="B2706" s="153"/>
      <c r="C2706" s="153"/>
      <c r="D2706" s="153"/>
    </row>
    <row r="2707">
      <c r="A2707" s="153"/>
      <c r="B2707" s="153"/>
      <c r="C2707" s="153"/>
      <c r="D2707" s="153"/>
    </row>
    <row r="2708">
      <c r="A2708" s="153"/>
      <c r="B2708" s="153"/>
      <c r="C2708" s="153"/>
      <c r="D2708" s="153"/>
    </row>
    <row r="2709">
      <c r="A2709" s="153"/>
      <c r="B2709" s="153"/>
      <c r="C2709" s="153"/>
      <c r="D2709" s="153"/>
    </row>
    <row r="2710">
      <c r="A2710" s="153"/>
      <c r="B2710" s="153"/>
      <c r="C2710" s="153"/>
      <c r="D2710" s="153"/>
    </row>
    <row r="2711">
      <c r="A2711" s="153"/>
      <c r="B2711" s="153"/>
      <c r="C2711" s="153"/>
      <c r="D2711" s="153"/>
    </row>
    <row r="2712">
      <c r="A2712" s="153"/>
      <c r="B2712" s="153"/>
      <c r="C2712" s="153"/>
      <c r="D2712" s="153"/>
    </row>
    <row r="2713">
      <c r="A2713" s="153"/>
      <c r="B2713" s="153"/>
      <c r="C2713" s="153"/>
      <c r="D2713" s="153"/>
    </row>
    <row r="2714">
      <c r="A2714" s="153"/>
      <c r="B2714" s="153"/>
      <c r="C2714" s="153"/>
      <c r="D2714" s="153"/>
    </row>
    <row r="2715">
      <c r="A2715" s="153"/>
      <c r="B2715" s="153"/>
      <c r="C2715" s="153"/>
      <c r="D2715" s="153"/>
    </row>
    <row r="2716">
      <c r="A2716" s="153"/>
      <c r="B2716" s="153"/>
      <c r="C2716" s="153"/>
      <c r="D2716" s="153"/>
    </row>
    <row r="2717">
      <c r="A2717" s="153"/>
      <c r="B2717" s="153"/>
      <c r="C2717" s="153"/>
      <c r="D2717" s="153"/>
    </row>
    <row r="2718">
      <c r="A2718" s="153"/>
      <c r="B2718" s="153"/>
      <c r="C2718" s="153"/>
      <c r="D2718" s="153"/>
    </row>
    <row r="2719">
      <c r="A2719" s="153"/>
      <c r="B2719" s="153"/>
      <c r="C2719" s="153"/>
      <c r="D2719" s="153"/>
    </row>
    <row r="2720">
      <c r="A2720" s="153"/>
      <c r="B2720" s="153"/>
      <c r="C2720" s="153"/>
      <c r="D2720" s="153"/>
    </row>
    <row r="2721">
      <c r="A2721" s="153"/>
      <c r="B2721" s="153"/>
      <c r="C2721" s="153"/>
      <c r="D2721" s="153"/>
    </row>
    <row r="2722">
      <c r="A2722" s="153"/>
      <c r="B2722" s="153"/>
      <c r="C2722" s="153"/>
      <c r="D2722" s="153"/>
    </row>
    <row r="2723">
      <c r="A2723" s="153"/>
      <c r="B2723" s="153"/>
      <c r="C2723" s="153"/>
      <c r="D2723" s="153"/>
    </row>
    <row r="2724">
      <c r="A2724" s="153"/>
      <c r="B2724" s="153"/>
      <c r="C2724" s="153"/>
      <c r="D2724" s="153"/>
    </row>
    <row r="2725">
      <c r="A2725" s="153"/>
      <c r="B2725" s="153"/>
      <c r="C2725" s="153"/>
      <c r="D2725" s="153"/>
    </row>
    <row r="2726">
      <c r="A2726" s="153"/>
      <c r="B2726" s="153"/>
      <c r="C2726" s="153"/>
      <c r="D2726" s="153"/>
    </row>
    <row r="2727">
      <c r="A2727" s="153"/>
      <c r="B2727" s="153"/>
      <c r="C2727" s="153"/>
      <c r="D2727" s="153"/>
    </row>
    <row r="2728">
      <c r="A2728" s="153"/>
      <c r="B2728" s="153"/>
      <c r="C2728" s="153"/>
      <c r="D2728" s="153"/>
    </row>
    <row r="2729">
      <c r="A2729" s="153"/>
      <c r="B2729" s="153"/>
      <c r="C2729" s="153"/>
      <c r="D2729" s="153"/>
    </row>
    <row r="2730">
      <c r="A2730" s="153"/>
      <c r="B2730" s="153"/>
      <c r="C2730" s="153"/>
      <c r="D2730" s="153"/>
    </row>
    <row r="2731">
      <c r="A2731" s="153"/>
      <c r="B2731" s="153"/>
      <c r="C2731" s="153"/>
      <c r="D2731" s="153"/>
    </row>
    <row r="2732">
      <c r="A2732" s="153"/>
      <c r="B2732" s="153"/>
      <c r="C2732" s="153"/>
      <c r="D2732" s="153"/>
    </row>
    <row r="2733">
      <c r="A2733" s="153"/>
      <c r="B2733" s="153"/>
      <c r="C2733" s="153"/>
      <c r="D2733" s="153"/>
    </row>
    <row r="2734">
      <c r="A2734" s="153"/>
      <c r="B2734" s="153"/>
      <c r="C2734" s="153"/>
      <c r="D2734" s="153"/>
    </row>
    <row r="2735">
      <c r="A2735" s="153"/>
      <c r="B2735" s="153"/>
      <c r="C2735" s="153"/>
      <c r="D2735" s="153"/>
    </row>
    <row r="2736">
      <c r="A2736" s="153"/>
      <c r="B2736" s="153"/>
      <c r="C2736" s="153"/>
      <c r="D2736" s="153"/>
    </row>
    <row r="2737">
      <c r="A2737" s="153"/>
      <c r="B2737" s="153"/>
      <c r="C2737" s="153"/>
      <c r="D2737" s="153"/>
    </row>
    <row r="2738">
      <c r="A2738" s="153"/>
      <c r="B2738" s="153"/>
      <c r="C2738" s="153"/>
      <c r="D2738" s="153"/>
    </row>
    <row r="2739">
      <c r="A2739" s="153"/>
      <c r="B2739" s="153"/>
      <c r="C2739" s="153"/>
      <c r="D2739" s="153"/>
    </row>
    <row r="2740">
      <c r="A2740" s="153"/>
      <c r="B2740" s="153"/>
      <c r="C2740" s="153"/>
      <c r="D2740" s="153"/>
    </row>
    <row r="2741">
      <c r="A2741" s="153"/>
      <c r="B2741" s="153"/>
      <c r="C2741" s="153"/>
      <c r="D2741" s="153"/>
    </row>
    <row r="2742">
      <c r="A2742" s="153"/>
      <c r="B2742" s="153"/>
      <c r="C2742" s="153"/>
      <c r="D2742" s="153"/>
    </row>
    <row r="2743">
      <c r="A2743" s="153"/>
      <c r="B2743" s="153"/>
      <c r="C2743" s="153"/>
      <c r="D2743" s="153"/>
    </row>
    <row r="2744">
      <c r="A2744" s="153"/>
      <c r="B2744" s="153"/>
      <c r="C2744" s="153"/>
      <c r="D2744" s="153"/>
    </row>
    <row r="2745">
      <c r="A2745" s="153"/>
      <c r="B2745" s="153"/>
      <c r="C2745" s="153"/>
      <c r="D2745" s="153"/>
    </row>
    <row r="2746">
      <c r="A2746" s="153"/>
      <c r="B2746" s="153"/>
      <c r="C2746" s="153"/>
      <c r="D2746" s="153"/>
    </row>
    <row r="2747">
      <c r="A2747" s="153"/>
      <c r="B2747" s="153"/>
      <c r="C2747" s="153"/>
      <c r="D2747" s="153"/>
    </row>
    <row r="2748">
      <c r="A2748" s="153"/>
      <c r="B2748" s="153"/>
      <c r="C2748" s="153"/>
      <c r="D2748" s="153"/>
    </row>
    <row r="2749">
      <c r="A2749" s="153"/>
      <c r="B2749" s="153"/>
      <c r="C2749" s="153"/>
      <c r="D2749" s="153"/>
    </row>
    <row r="2750">
      <c r="A2750" s="153"/>
      <c r="B2750" s="153"/>
      <c r="C2750" s="153"/>
      <c r="D2750" s="153"/>
    </row>
    <row r="2751">
      <c r="A2751" s="153"/>
      <c r="B2751" s="153"/>
      <c r="C2751" s="153"/>
      <c r="D2751" s="153"/>
    </row>
    <row r="2752">
      <c r="A2752" s="153"/>
      <c r="B2752" s="153"/>
      <c r="C2752" s="153"/>
      <c r="D2752" s="153"/>
    </row>
    <row r="2753">
      <c r="A2753" s="153"/>
      <c r="B2753" s="153"/>
      <c r="C2753" s="153"/>
      <c r="D2753" s="153"/>
    </row>
    <row r="2754">
      <c r="A2754" s="153"/>
      <c r="B2754" s="153"/>
      <c r="C2754" s="153"/>
      <c r="D2754" s="153"/>
    </row>
    <row r="2755">
      <c r="A2755" s="153"/>
      <c r="B2755" s="153"/>
      <c r="C2755" s="153"/>
      <c r="D2755" s="153"/>
    </row>
    <row r="2756">
      <c r="A2756" s="153"/>
      <c r="B2756" s="153"/>
      <c r="C2756" s="153"/>
      <c r="D2756" s="153"/>
    </row>
    <row r="2757">
      <c r="A2757" s="153"/>
      <c r="B2757" s="153"/>
      <c r="C2757" s="153"/>
      <c r="D2757" s="153"/>
    </row>
    <row r="2758">
      <c r="A2758" s="153"/>
      <c r="B2758" s="153"/>
      <c r="C2758" s="153"/>
      <c r="D2758" s="153"/>
    </row>
    <row r="2759">
      <c r="A2759" s="153"/>
      <c r="B2759" s="153"/>
      <c r="C2759" s="153"/>
      <c r="D2759" s="153"/>
    </row>
    <row r="2760">
      <c r="A2760" s="153"/>
      <c r="B2760" s="153"/>
      <c r="C2760" s="153"/>
      <c r="D2760" s="153"/>
    </row>
    <row r="2761">
      <c r="A2761" s="153"/>
      <c r="B2761" s="153"/>
      <c r="C2761" s="153"/>
      <c r="D2761" s="153"/>
    </row>
    <row r="2762">
      <c r="A2762" s="153"/>
      <c r="B2762" s="153"/>
      <c r="C2762" s="153"/>
      <c r="D2762" s="153"/>
    </row>
    <row r="2763">
      <c r="A2763" s="153"/>
      <c r="B2763" s="153"/>
      <c r="C2763" s="153"/>
      <c r="D2763" s="153"/>
    </row>
    <row r="2764">
      <c r="A2764" s="153"/>
      <c r="B2764" s="153"/>
      <c r="C2764" s="153"/>
      <c r="D2764" s="153"/>
    </row>
    <row r="2765">
      <c r="A2765" s="153"/>
      <c r="B2765" s="153"/>
      <c r="C2765" s="153"/>
      <c r="D2765" s="153"/>
    </row>
    <row r="2766">
      <c r="A2766" s="153"/>
      <c r="B2766" s="153"/>
      <c r="C2766" s="153"/>
      <c r="D2766" s="153"/>
    </row>
    <row r="2767">
      <c r="A2767" s="153"/>
      <c r="B2767" s="153"/>
      <c r="C2767" s="153"/>
      <c r="D2767" s="153"/>
    </row>
    <row r="2768">
      <c r="A2768" s="153"/>
      <c r="B2768" s="153"/>
      <c r="C2768" s="153"/>
      <c r="D2768" s="153"/>
    </row>
    <row r="2769">
      <c r="A2769" s="153"/>
      <c r="B2769" s="153"/>
      <c r="C2769" s="153"/>
      <c r="D2769" s="153"/>
    </row>
    <row r="2770">
      <c r="A2770" s="153"/>
      <c r="B2770" s="153"/>
      <c r="C2770" s="153"/>
      <c r="D2770" s="153"/>
    </row>
    <row r="2771">
      <c r="A2771" s="153"/>
      <c r="B2771" s="153"/>
      <c r="C2771" s="153"/>
      <c r="D2771" s="153"/>
    </row>
    <row r="2772">
      <c r="A2772" s="153"/>
      <c r="B2772" s="153"/>
      <c r="C2772" s="153"/>
      <c r="D2772" s="153"/>
    </row>
    <row r="2773">
      <c r="A2773" s="153"/>
      <c r="B2773" s="153"/>
      <c r="C2773" s="153"/>
      <c r="D2773" s="153"/>
    </row>
    <row r="2774">
      <c r="A2774" s="153"/>
      <c r="B2774" s="153"/>
      <c r="C2774" s="153"/>
      <c r="D2774" s="153"/>
    </row>
    <row r="2775">
      <c r="A2775" s="153"/>
      <c r="B2775" s="153"/>
      <c r="C2775" s="153"/>
      <c r="D2775" s="153"/>
    </row>
    <row r="2776">
      <c r="A2776" s="153"/>
      <c r="B2776" s="153"/>
      <c r="C2776" s="153"/>
      <c r="D2776" s="153"/>
    </row>
    <row r="2777">
      <c r="A2777" s="153"/>
      <c r="B2777" s="153"/>
      <c r="C2777" s="153"/>
      <c r="D2777" s="153"/>
    </row>
    <row r="2778">
      <c r="A2778" s="153"/>
      <c r="B2778" s="153"/>
      <c r="C2778" s="153"/>
      <c r="D2778" s="153"/>
    </row>
    <row r="2779">
      <c r="A2779" s="153"/>
      <c r="B2779" s="153"/>
      <c r="C2779" s="153"/>
      <c r="D2779" s="153"/>
    </row>
    <row r="2780">
      <c r="A2780" s="153"/>
      <c r="B2780" s="153"/>
      <c r="C2780" s="153"/>
      <c r="D2780" s="153"/>
    </row>
    <row r="2781">
      <c r="A2781" s="153"/>
      <c r="B2781" s="153"/>
      <c r="C2781" s="153"/>
      <c r="D2781" s="153"/>
    </row>
    <row r="2782">
      <c r="A2782" s="153"/>
      <c r="B2782" s="153"/>
      <c r="C2782" s="153"/>
      <c r="D2782" s="153"/>
    </row>
    <row r="2783">
      <c r="A2783" s="153"/>
      <c r="B2783" s="153"/>
      <c r="C2783" s="153"/>
      <c r="D2783" s="153"/>
    </row>
    <row r="2784">
      <c r="A2784" s="153"/>
      <c r="B2784" s="153"/>
      <c r="C2784" s="153"/>
      <c r="D2784" s="153"/>
    </row>
    <row r="2785">
      <c r="A2785" s="153"/>
      <c r="B2785" s="153"/>
      <c r="C2785" s="153"/>
      <c r="D2785" s="153"/>
    </row>
    <row r="2786">
      <c r="A2786" s="153"/>
      <c r="B2786" s="153"/>
      <c r="C2786" s="153"/>
      <c r="D2786" s="153"/>
    </row>
    <row r="2787">
      <c r="A2787" s="153"/>
      <c r="B2787" s="153"/>
      <c r="C2787" s="153"/>
      <c r="D2787" s="153"/>
    </row>
    <row r="2788">
      <c r="A2788" s="153"/>
      <c r="B2788" s="153"/>
      <c r="C2788" s="153"/>
      <c r="D2788" s="153"/>
    </row>
    <row r="2789">
      <c r="A2789" s="153"/>
      <c r="B2789" s="153"/>
      <c r="C2789" s="153"/>
      <c r="D2789" s="153"/>
    </row>
    <row r="2790">
      <c r="A2790" s="153"/>
      <c r="B2790" s="153"/>
      <c r="C2790" s="153"/>
      <c r="D2790" s="153"/>
    </row>
    <row r="2791">
      <c r="A2791" s="153"/>
      <c r="B2791" s="153"/>
      <c r="C2791" s="153"/>
      <c r="D2791" s="153"/>
    </row>
    <row r="2792">
      <c r="A2792" s="153"/>
      <c r="B2792" s="153"/>
      <c r="C2792" s="153"/>
      <c r="D2792" s="153"/>
    </row>
    <row r="2793">
      <c r="A2793" s="153"/>
      <c r="B2793" s="153"/>
      <c r="C2793" s="153"/>
      <c r="D2793" s="153"/>
    </row>
    <row r="2794">
      <c r="A2794" s="153"/>
      <c r="B2794" s="153"/>
      <c r="C2794" s="153"/>
      <c r="D2794" s="153"/>
    </row>
    <row r="2795">
      <c r="A2795" s="153"/>
      <c r="B2795" s="153"/>
      <c r="C2795" s="153"/>
      <c r="D2795" s="153"/>
    </row>
    <row r="2796">
      <c r="A2796" s="153"/>
      <c r="B2796" s="153"/>
      <c r="C2796" s="153"/>
      <c r="D2796" s="153"/>
    </row>
    <row r="2797">
      <c r="A2797" s="153"/>
      <c r="B2797" s="153"/>
      <c r="C2797" s="153"/>
      <c r="D2797" s="153"/>
    </row>
    <row r="2798">
      <c r="A2798" s="153"/>
      <c r="B2798" s="153"/>
      <c r="C2798" s="153"/>
      <c r="D2798" s="153"/>
    </row>
    <row r="2799">
      <c r="A2799" s="153"/>
      <c r="B2799" s="153"/>
      <c r="C2799" s="153"/>
      <c r="D2799" s="153"/>
    </row>
    <row r="2800">
      <c r="A2800" s="153"/>
      <c r="B2800" s="153"/>
      <c r="C2800" s="153"/>
      <c r="D2800" s="153"/>
    </row>
    <row r="2801">
      <c r="A2801" s="153"/>
      <c r="B2801" s="153"/>
      <c r="C2801" s="153"/>
      <c r="D2801" s="153"/>
    </row>
    <row r="2802">
      <c r="A2802" s="153"/>
      <c r="B2802" s="153"/>
      <c r="C2802" s="153"/>
      <c r="D2802" s="153"/>
    </row>
    <row r="2803">
      <c r="A2803" s="153"/>
      <c r="B2803" s="153"/>
      <c r="C2803" s="153"/>
      <c r="D2803" s="153"/>
    </row>
    <row r="2804">
      <c r="A2804" s="153"/>
      <c r="B2804" s="153"/>
      <c r="C2804" s="153"/>
      <c r="D2804" s="153"/>
    </row>
    <row r="2805">
      <c r="A2805" s="153"/>
      <c r="B2805" s="153"/>
      <c r="C2805" s="153"/>
      <c r="D2805" s="153"/>
    </row>
    <row r="2806">
      <c r="A2806" s="153"/>
      <c r="B2806" s="153"/>
      <c r="C2806" s="153"/>
      <c r="D2806" s="153"/>
    </row>
    <row r="2807">
      <c r="A2807" s="153"/>
      <c r="B2807" s="153"/>
      <c r="C2807" s="153"/>
      <c r="D2807" s="153"/>
    </row>
    <row r="2808">
      <c r="A2808" s="153"/>
      <c r="B2808" s="153"/>
      <c r="C2808" s="153"/>
      <c r="D2808" s="153"/>
    </row>
    <row r="2809">
      <c r="A2809" s="153"/>
      <c r="B2809" s="153"/>
      <c r="C2809" s="153"/>
      <c r="D2809" s="153"/>
    </row>
    <row r="2810">
      <c r="A2810" s="153"/>
      <c r="B2810" s="153"/>
      <c r="C2810" s="153"/>
      <c r="D2810" s="153"/>
    </row>
    <row r="2811">
      <c r="A2811" s="153"/>
      <c r="B2811" s="153"/>
      <c r="C2811" s="153"/>
      <c r="D2811" s="153"/>
    </row>
    <row r="2812">
      <c r="A2812" s="153"/>
      <c r="B2812" s="153"/>
      <c r="C2812" s="153"/>
      <c r="D2812" s="153"/>
    </row>
    <row r="2813">
      <c r="A2813" s="153"/>
      <c r="B2813" s="153"/>
      <c r="C2813" s="153"/>
      <c r="D2813" s="153"/>
    </row>
    <row r="2814">
      <c r="A2814" s="153"/>
      <c r="B2814" s="153"/>
      <c r="C2814" s="153"/>
      <c r="D2814" s="153"/>
    </row>
    <row r="2815">
      <c r="A2815" s="153"/>
      <c r="B2815" s="153"/>
      <c r="C2815" s="153"/>
      <c r="D2815" s="153"/>
    </row>
    <row r="2816">
      <c r="A2816" s="153"/>
      <c r="B2816" s="153"/>
      <c r="C2816" s="153"/>
      <c r="D2816" s="153"/>
    </row>
    <row r="2817">
      <c r="A2817" s="153"/>
      <c r="B2817" s="153"/>
      <c r="C2817" s="153"/>
      <c r="D2817" s="153"/>
    </row>
    <row r="2818">
      <c r="A2818" s="153"/>
      <c r="B2818" s="153"/>
      <c r="C2818" s="153"/>
      <c r="D2818" s="153"/>
    </row>
    <row r="2819">
      <c r="A2819" s="153"/>
      <c r="B2819" s="153"/>
      <c r="C2819" s="153"/>
      <c r="D2819" s="153"/>
    </row>
    <row r="2820">
      <c r="A2820" s="153"/>
      <c r="B2820" s="153"/>
      <c r="C2820" s="153"/>
      <c r="D2820" s="153"/>
    </row>
    <row r="2821">
      <c r="A2821" s="153"/>
      <c r="B2821" s="153"/>
      <c r="C2821" s="153"/>
      <c r="D2821" s="153"/>
    </row>
    <row r="2822">
      <c r="A2822" s="153"/>
      <c r="B2822" s="153"/>
      <c r="C2822" s="153"/>
      <c r="D2822" s="153"/>
    </row>
    <row r="2823">
      <c r="A2823" s="153"/>
      <c r="B2823" s="153"/>
      <c r="C2823" s="153"/>
      <c r="D2823" s="153"/>
    </row>
    <row r="2824">
      <c r="A2824" s="153"/>
      <c r="B2824" s="153"/>
      <c r="C2824" s="153"/>
      <c r="D2824" s="153"/>
    </row>
    <row r="2825">
      <c r="A2825" s="153"/>
      <c r="B2825" s="153"/>
      <c r="C2825" s="153"/>
      <c r="D2825" s="153"/>
    </row>
    <row r="2826">
      <c r="A2826" s="153"/>
      <c r="B2826" s="153"/>
      <c r="C2826" s="153"/>
      <c r="D2826" s="153"/>
    </row>
    <row r="2827">
      <c r="A2827" s="153"/>
      <c r="B2827" s="153"/>
      <c r="C2827" s="153"/>
      <c r="D2827" s="153"/>
    </row>
    <row r="2828">
      <c r="A2828" s="153"/>
      <c r="B2828" s="153"/>
      <c r="C2828" s="153"/>
      <c r="D2828" s="153"/>
    </row>
    <row r="2829">
      <c r="A2829" s="153"/>
      <c r="B2829" s="153"/>
      <c r="C2829" s="153"/>
      <c r="D2829" s="153"/>
    </row>
    <row r="2830">
      <c r="A2830" s="153"/>
      <c r="B2830" s="153"/>
      <c r="C2830" s="153"/>
      <c r="D2830" s="153"/>
    </row>
    <row r="2831">
      <c r="A2831" s="153"/>
      <c r="B2831" s="153"/>
      <c r="C2831" s="153"/>
      <c r="D2831" s="153"/>
    </row>
    <row r="2832">
      <c r="A2832" s="153"/>
      <c r="B2832" s="153"/>
      <c r="C2832" s="153"/>
      <c r="D2832" s="153"/>
    </row>
    <row r="2833">
      <c r="A2833" s="153"/>
      <c r="B2833" s="153"/>
      <c r="C2833" s="153"/>
      <c r="D2833" s="153"/>
    </row>
    <row r="2834">
      <c r="A2834" s="153"/>
      <c r="B2834" s="153"/>
      <c r="C2834" s="153"/>
      <c r="D2834" s="153"/>
    </row>
    <row r="2835">
      <c r="A2835" s="153"/>
      <c r="B2835" s="153"/>
      <c r="C2835" s="153"/>
      <c r="D2835" s="153"/>
    </row>
    <row r="2836">
      <c r="A2836" s="153"/>
      <c r="B2836" s="153"/>
      <c r="C2836" s="153"/>
      <c r="D2836" s="153"/>
    </row>
    <row r="2837">
      <c r="A2837" s="153"/>
      <c r="B2837" s="153"/>
      <c r="C2837" s="153"/>
      <c r="D2837" s="153"/>
    </row>
    <row r="2838">
      <c r="A2838" s="153"/>
      <c r="B2838" s="153"/>
      <c r="C2838" s="153"/>
      <c r="D2838" s="153"/>
    </row>
    <row r="2839">
      <c r="A2839" s="153"/>
      <c r="B2839" s="153"/>
      <c r="C2839" s="153"/>
      <c r="D2839" s="153"/>
    </row>
    <row r="2840">
      <c r="A2840" s="153"/>
      <c r="B2840" s="153"/>
      <c r="C2840" s="153"/>
      <c r="D2840" s="153"/>
    </row>
    <row r="2841">
      <c r="A2841" s="153"/>
      <c r="B2841" s="153"/>
      <c r="C2841" s="153"/>
      <c r="D2841" s="153"/>
    </row>
    <row r="2842">
      <c r="A2842" s="153"/>
      <c r="B2842" s="153"/>
      <c r="C2842" s="153"/>
      <c r="D2842" s="153"/>
    </row>
    <row r="2843">
      <c r="A2843" s="153"/>
      <c r="B2843" s="153"/>
      <c r="C2843" s="153"/>
      <c r="D2843" s="153"/>
    </row>
    <row r="2844">
      <c r="A2844" s="153"/>
      <c r="B2844" s="153"/>
      <c r="C2844" s="153"/>
      <c r="D2844" s="153"/>
    </row>
    <row r="2845">
      <c r="A2845" s="153"/>
      <c r="B2845" s="153"/>
      <c r="C2845" s="153"/>
      <c r="D2845" s="153"/>
    </row>
    <row r="2846">
      <c r="A2846" s="153"/>
      <c r="B2846" s="153"/>
      <c r="C2846" s="153"/>
      <c r="D2846" s="153"/>
    </row>
    <row r="2847">
      <c r="A2847" s="153"/>
      <c r="B2847" s="153"/>
      <c r="C2847" s="153"/>
      <c r="D2847" s="153"/>
    </row>
    <row r="2848">
      <c r="A2848" s="153"/>
      <c r="B2848" s="153"/>
      <c r="C2848" s="153"/>
      <c r="D2848" s="153"/>
    </row>
    <row r="2849">
      <c r="A2849" s="153"/>
      <c r="B2849" s="153"/>
      <c r="C2849" s="153"/>
      <c r="D2849" s="153"/>
    </row>
    <row r="2850">
      <c r="A2850" s="153"/>
      <c r="B2850" s="153"/>
      <c r="C2850" s="153"/>
      <c r="D2850" s="153"/>
    </row>
    <row r="2851">
      <c r="A2851" s="153"/>
      <c r="B2851" s="153"/>
      <c r="C2851" s="153"/>
      <c r="D2851" s="153"/>
    </row>
    <row r="2852">
      <c r="A2852" s="153"/>
      <c r="B2852" s="153"/>
      <c r="C2852" s="153"/>
      <c r="D2852" s="153"/>
    </row>
    <row r="2853">
      <c r="A2853" s="153"/>
      <c r="B2853" s="153"/>
      <c r="C2853" s="153"/>
      <c r="D2853" s="153"/>
    </row>
    <row r="2854">
      <c r="A2854" s="153"/>
      <c r="B2854" s="153"/>
      <c r="C2854" s="153"/>
      <c r="D2854" s="153"/>
    </row>
    <row r="2855">
      <c r="A2855" s="153"/>
      <c r="B2855" s="153"/>
      <c r="C2855" s="153"/>
      <c r="D2855" s="153"/>
    </row>
    <row r="2856">
      <c r="A2856" s="153"/>
      <c r="B2856" s="153"/>
      <c r="C2856" s="153"/>
      <c r="D2856" s="153"/>
    </row>
    <row r="2857">
      <c r="A2857" s="153"/>
      <c r="B2857" s="153"/>
      <c r="C2857" s="153"/>
      <c r="D2857" s="153"/>
    </row>
    <row r="2858">
      <c r="A2858" s="153"/>
      <c r="B2858" s="153"/>
      <c r="C2858" s="153"/>
      <c r="D2858" s="153"/>
    </row>
    <row r="2859">
      <c r="A2859" s="153"/>
      <c r="B2859" s="153"/>
      <c r="C2859" s="153"/>
      <c r="D2859" s="153"/>
    </row>
    <row r="2860">
      <c r="A2860" s="153"/>
      <c r="B2860" s="153"/>
      <c r="C2860" s="153"/>
      <c r="D2860" s="153"/>
    </row>
    <row r="2861">
      <c r="A2861" s="153"/>
      <c r="B2861" s="153"/>
      <c r="C2861" s="153"/>
      <c r="D2861" s="153"/>
    </row>
    <row r="2862">
      <c r="A2862" s="153"/>
      <c r="B2862" s="153"/>
      <c r="C2862" s="153"/>
      <c r="D2862" s="153"/>
    </row>
    <row r="2863">
      <c r="A2863" s="153"/>
      <c r="B2863" s="153"/>
      <c r="C2863" s="153"/>
      <c r="D2863" s="153"/>
    </row>
    <row r="2864">
      <c r="A2864" s="153"/>
      <c r="B2864" s="153"/>
      <c r="C2864" s="153"/>
      <c r="D2864" s="153"/>
    </row>
    <row r="2865">
      <c r="A2865" s="153"/>
      <c r="B2865" s="153"/>
      <c r="C2865" s="153"/>
      <c r="D2865" s="153"/>
    </row>
    <row r="2866">
      <c r="A2866" s="153"/>
      <c r="B2866" s="153"/>
      <c r="C2866" s="153"/>
      <c r="D2866" s="153"/>
    </row>
    <row r="2867">
      <c r="A2867" s="153"/>
      <c r="B2867" s="153"/>
      <c r="C2867" s="153"/>
      <c r="D2867" s="153"/>
    </row>
    <row r="2868">
      <c r="A2868" s="153"/>
      <c r="B2868" s="153"/>
      <c r="C2868" s="153"/>
      <c r="D2868" s="153"/>
    </row>
    <row r="2869">
      <c r="A2869" s="153"/>
      <c r="B2869" s="153"/>
      <c r="C2869" s="153"/>
      <c r="D2869" s="153"/>
    </row>
    <row r="2870">
      <c r="A2870" s="153"/>
      <c r="B2870" s="153"/>
      <c r="C2870" s="153"/>
      <c r="D2870" s="153"/>
    </row>
    <row r="2871">
      <c r="A2871" s="153"/>
      <c r="B2871" s="153"/>
      <c r="C2871" s="153"/>
      <c r="D2871" s="153"/>
    </row>
    <row r="2872">
      <c r="A2872" s="153"/>
      <c r="B2872" s="153"/>
      <c r="C2872" s="153"/>
      <c r="D2872" s="153"/>
    </row>
    <row r="2873">
      <c r="A2873" s="153"/>
      <c r="B2873" s="153"/>
      <c r="C2873" s="153"/>
      <c r="D2873" s="153"/>
    </row>
    <row r="2874">
      <c r="A2874" s="153"/>
      <c r="B2874" s="153"/>
      <c r="C2874" s="153"/>
      <c r="D2874" s="153"/>
    </row>
    <row r="2875">
      <c r="A2875" s="153"/>
      <c r="B2875" s="153"/>
      <c r="C2875" s="153"/>
      <c r="D2875" s="153"/>
    </row>
    <row r="2876">
      <c r="A2876" s="153"/>
      <c r="B2876" s="153"/>
      <c r="C2876" s="153"/>
      <c r="D2876" s="153"/>
    </row>
    <row r="2877">
      <c r="A2877" s="153"/>
      <c r="B2877" s="153"/>
      <c r="C2877" s="153"/>
      <c r="D2877" s="153"/>
    </row>
    <row r="2878">
      <c r="A2878" s="153"/>
      <c r="B2878" s="153"/>
      <c r="C2878" s="153"/>
      <c r="D2878" s="153"/>
    </row>
    <row r="2879">
      <c r="A2879" s="153"/>
      <c r="B2879" s="153"/>
      <c r="C2879" s="153"/>
      <c r="D2879" s="153"/>
    </row>
    <row r="2880">
      <c r="A2880" s="153"/>
      <c r="B2880" s="153"/>
      <c r="C2880" s="153"/>
      <c r="D2880" s="153"/>
    </row>
    <row r="2881">
      <c r="A2881" s="153"/>
      <c r="B2881" s="153"/>
      <c r="C2881" s="153"/>
      <c r="D2881" s="153"/>
    </row>
    <row r="2882">
      <c r="A2882" s="153"/>
      <c r="B2882" s="153"/>
      <c r="C2882" s="153"/>
      <c r="D2882" s="153"/>
    </row>
    <row r="2883">
      <c r="A2883" s="153"/>
      <c r="B2883" s="153"/>
      <c r="C2883" s="153"/>
      <c r="D2883" s="153"/>
    </row>
    <row r="2884">
      <c r="A2884" s="153"/>
      <c r="B2884" s="153"/>
      <c r="C2884" s="153"/>
      <c r="D2884" s="153"/>
    </row>
    <row r="2885">
      <c r="A2885" s="153"/>
      <c r="B2885" s="153"/>
      <c r="C2885" s="153"/>
      <c r="D2885" s="153"/>
    </row>
    <row r="2886">
      <c r="A2886" s="153"/>
      <c r="B2886" s="153"/>
      <c r="C2886" s="153"/>
      <c r="D2886" s="153"/>
    </row>
    <row r="2887">
      <c r="A2887" s="153"/>
      <c r="B2887" s="153"/>
      <c r="C2887" s="153"/>
      <c r="D2887" s="153"/>
    </row>
    <row r="2888">
      <c r="A2888" s="153"/>
      <c r="B2888" s="153"/>
      <c r="C2888" s="153"/>
      <c r="D2888" s="153"/>
    </row>
    <row r="2889">
      <c r="A2889" s="153"/>
      <c r="B2889" s="153"/>
      <c r="C2889" s="153"/>
      <c r="D2889" s="153"/>
    </row>
    <row r="2890">
      <c r="A2890" s="153"/>
      <c r="B2890" s="153"/>
      <c r="C2890" s="153"/>
      <c r="D2890" s="153"/>
    </row>
    <row r="2891">
      <c r="A2891" s="153"/>
      <c r="B2891" s="153"/>
      <c r="C2891" s="153"/>
      <c r="D2891" s="153"/>
    </row>
    <row r="2892">
      <c r="A2892" s="153"/>
      <c r="B2892" s="153"/>
      <c r="C2892" s="153"/>
      <c r="D2892" s="153"/>
    </row>
    <row r="2893">
      <c r="A2893" s="153"/>
      <c r="B2893" s="153"/>
      <c r="C2893" s="153"/>
      <c r="D2893" s="153"/>
    </row>
    <row r="2894">
      <c r="A2894" s="153"/>
      <c r="B2894" s="153"/>
      <c r="C2894" s="153"/>
      <c r="D2894" s="153"/>
    </row>
    <row r="2895">
      <c r="A2895" s="153"/>
      <c r="B2895" s="153"/>
      <c r="C2895" s="153"/>
      <c r="D2895" s="153"/>
    </row>
    <row r="2896">
      <c r="A2896" s="153"/>
      <c r="B2896" s="153"/>
      <c r="C2896" s="153"/>
      <c r="D2896" s="153"/>
    </row>
    <row r="2897">
      <c r="A2897" s="153"/>
      <c r="B2897" s="153"/>
      <c r="C2897" s="153"/>
      <c r="D2897" s="153"/>
    </row>
    <row r="2898">
      <c r="A2898" s="153"/>
      <c r="B2898" s="153"/>
      <c r="C2898" s="153"/>
      <c r="D2898" s="153"/>
    </row>
    <row r="2899">
      <c r="A2899" s="153"/>
      <c r="B2899" s="153"/>
      <c r="C2899" s="153"/>
      <c r="D2899" s="153"/>
    </row>
    <row r="2900">
      <c r="A2900" s="153"/>
      <c r="B2900" s="153"/>
      <c r="C2900" s="153"/>
      <c r="D2900" s="153"/>
    </row>
    <row r="2901">
      <c r="A2901" s="153"/>
      <c r="B2901" s="153"/>
      <c r="C2901" s="153"/>
      <c r="D2901" s="153"/>
    </row>
    <row r="2902">
      <c r="A2902" s="153"/>
      <c r="B2902" s="153"/>
      <c r="C2902" s="153"/>
      <c r="D2902" s="153"/>
    </row>
    <row r="2903">
      <c r="A2903" s="153"/>
      <c r="B2903" s="153"/>
      <c r="C2903" s="153"/>
      <c r="D2903" s="153"/>
    </row>
    <row r="2904">
      <c r="A2904" s="153"/>
      <c r="B2904" s="153"/>
      <c r="C2904" s="153"/>
      <c r="D2904" s="153"/>
    </row>
    <row r="2905">
      <c r="A2905" s="153"/>
      <c r="B2905" s="153"/>
      <c r="C2905" s="153"/>
      <c r="D2905" s="153"/>
    </row>
    <row r="2906">
      <c r="A2906" s="153"/>
      <c r="B2906" s="153"/>
      <c r="C2906" s="153"/>
      <c r="D2906" s="153"/>
    </row>
    <row r="2907">
      <c r="A2907" s="153"/>
      <c r="B2907" s="153"/>
      <c r="C2907" s="153"/>
      <c r="D2907" s="153"/>
    </row>
    <row r="2908">
      <c r="A2908" s="153"/>
      <c r="B2908" s="153"/>
      <c r="C2908" s="153"/>
      <c r="D2908" s="153"/>
    </row>
    <row r="2909">
      <c r="A2909" s="153"/>
      <c r="B2909" s="153"/>
      <c r="C2909" s="153"/>
      <c r="D2909" s="153"/>
    </row>
    <row r="2910">
      <c r="A2910" s="153"/>
      <c r="B2910" s="153"/>
      <c r="C2910" s="153"/>
      <c r="D2910" s="153"/>
    </row>
    <row r="2911">
      <c r="A2911" s="153"/>
      <c r="B2911" s="153"/>
      <c r="C2911" s="153"/>
      <c r="D2911" s="153"/>
    </row>
    <row r="2912">
      <c r="A2912" s="153"/>
      <c r="B2912" s="153"/>
      <c r="C2912" s="153"/>
      <c r="D2912" s="153"/>
    </row>
    <row r="2913">
      <c r="A2913" s="153"/>
      <c r="B2913" s="153"/>
      <c r="C2913" s="153"/>
      <c r="D2913" s="153"/>
    </row>
    <row r="2914">
      <c r="A2914" s="153"/>
      <c r="B2914" s="153"/>
      <c r="C2914" s="153"/>
      <c r="D2914" s="153"/>
    </row>
    <row r="2915">
      <c r="A2915" s="153"/>
      <c r="B2915" s="153"/>
      <c r="C2915" s="153"/>
      <c r="D2915" s="153"/>
    </row>
    <row r="2916">
      <c r="A2916" s="153"/>
      <c r="B2916" s="153"/>
      <c r="C2916" s="153"/>
      <c r="D2916" s="153"/>
    </row>
    <row r="2917">
      <c r="A2917" s="153"/>
      <c r="B2917" s="153"/>
      <c r="C2917" s="153"/>
      <c r="D2917" s="153"/>
    </row>
    <row r="2918">
      <c r="A2918" s="153"/>
      <c r="B2918" s="153"/>
      <c r="C2918" s="153"/>
      <c r="D2918" s="153"/>
    </row>
    <row r="2919">
      <c r="A2919" s="153"/>
      <c r="B2919" s="153"/>
      <c r="C2919" s="153"/>
      <c r="D2919" s="153"/>
    </row>
    <row r="2920">
      <c r="A2920" s="153"/>
      <c r="B2920" s="153"/>
      <c r="C2920" s="153"/>
      <c r="D2920" s="153"/>
    </row>
    <row r="2921">
      <c r="A2921" s="153"/>
      <c r="B2921" s="153"/>
      <c r="C2921" s="153"/>
      <c r="D2921" s="153"/>
    </row>
    <row r="2922">
      <c r="A2922" s="153"/>
      <c r="B2922" s="153"/>
      <c r="C2922" s="153"/>
      <c r="D2922" s="153"/>
    </row>
    <row r="2923">
      <c r="A2923" s="153"/>
      <c r="B2923" s="153"/>
      <c r="C2923" s="153"/>
      <c r="D2923" s="153"/>
    </row>
    <row r="2924">
      <c r="A2924" s="153"/>
      <c r="B2924" s="153"/>
      <c r="C2924" s="153"/>
      <c r="D2924" s="153"/>
    </row>
    <row r="2925">
      <c r="A2925" s="153"/>
      <c r="B2925" s="153"/>
      <c r="C2925" s="153"/>
      <c r="D2925" s="153"/>
    </row>
    <row r="2926">
      <c r="A2926" s="153"/>
      <c r="B2926" s="153"/>
      <c r="C2926" s="153"/>
      <c r="D2926" s="153"/>
    </row>
    <row r="2927">
      <c r="A2927" s="153"/>
      <c r="B2927" s="153"/>
      <c r="C2927" s="153"/>
      <c r="D2927" s="153"/>
    </row>
    <row r="2928">
      <c r="A2928" s="153"/>
      <c r="B2928" s="153"/>
      <c r="C2928" s="153"/>
      <c r="D2928" s="153"/>
    </row>
    <row r="2929">
      <c r="A2929" s="153"/>
      <c r="B2929" s="153"/>
      <c r="C2929" s="153"/>
      <c r="D2929" s="153"/>
    </row>
    <row r="2930">
      <c r="A2930" s="153"/>
      <c r="B2930" s="153"/>
      <c r="C2930" s="153"/>
      <c r="D2930" s="153"/>
    </row>
    <row r="2931">
      <c r="A2931" s="153"/>
      <c r="B2931" s="153"/>
      <c r="C2931" s="153"/>
      <c r="D2931" s="153"/>
    </row>
    <row r="2932">
      <c r="A2932" s="153"/>
      <c r="B2932" s="153"/>
      <c r="C2932" s="153"/>
      <c r="D2932" s="153"/>
    </row>
    <row r="2933">
      <c r="A2933" s="153"/>
      <c r="B2933" s="153"/>
      <c r="C2933" s="153"/>
      <c r="D2933" s="153"/>
    </row>
    <row r="2934">
      <c r="A2934" s="153"/>
      <c r="B2934" s="153"/>
      <c r="C2934" s="153"/>
      <c r="D2934" s="153"/>
    </row>
    <row r="2935">
      <c r="A2935" s="153"/>
      <c r="B2935" s="153"/>
      <c r="C2935" s="153"/>
      <c r="D2935" s="153"/>
    </row>
    <row r="2936">
      <c r="A2936" s="153"/>
      <c r="B2936" s="153"/>
      <c r="C2936" s="153"/>
      <c r="D2936" s="153"/>
    </row>
    <row r="2937">
      <c r="A2937" s="153"/>
      <c r="B2937" s="153"/>
      <c r="C2937" s="153"/>
      <c r="D2937" s="153"/>
    </row>
    <row r="2938">
      <c r="A2938" s="153"/>
      <c r="B2938" s="153"/>
      <c r="C2938" s="153"/>
      <c r="D2938" s="153"/>
    </row>
    <row r="2939">
      <c r="A2939" s="153"/>
      <c r="B2939" s="153"/>
      <c r="C2939" s="153"/>
      <c r="D2939" s="153"/>
    </row>
    <row r="2940">
      <c r="A2940" s="153"/>
      <c r="B2940" s="153"/>
      <c r="C2940" s="153"/>
      <c r="D2940" s="153"/>
    </row>
    <row r="2941">
      <c r="A2941" s="153"/>
      <c r="B2941" s="153"/>
      <c r="C2941" s="153"/>
      <c r="D2941" s="153"/>
    </row>
    <row r="2942">
      <c r="A2942" s="153"/>
      <c r="B2942" s="153"/>
      <c r="C2942" s="153"/>
      <c r="D2942" s="153"/>
    </row>
    <row r="2943">
      <c r="A2943" s="153"/>
      <c r="B2943" s="153"/>
      <c r="C2943" s="153"/>
      <c r="D2943" s="153"/>
    </row>
    <row r="2944">
      <c r="A2944" s="153"/>
      <c r="B2944" s="153"/>
      <c r="C2944" s="153"/>
      <c r="D2944" s="153"/>
    </row>
    <row r="2945">
      <c r="A2945" s="153"/>
      <c r="B2945" s="153"/>
      <c r="C2945" s="153"/>
      <c r="D2945" s="153"/>
    </row>
    <row r="2946">
      <c r="A2946" s="153"/>
      <c r="B2946" s="153"/>
      <c r="C2946" s="153"/>
      <c r="D2946" s="153"/>
    </row>
    <row r="2947">
      <c r="A2947" s="153"/>
      <c r="B2947" s="153"/>
      <c r="C2947" s="153"/>
      <c r="D2947" s="153"/>
    </row>
    <row r="2948">
      <c r="A2948" s="153"/>
      <c r="B2948" s="153"/>
      <c r="C2948" s="153"/>
      <c r="D2948" s="153"/>
    </row>
    <row r="2949">
      <c r="A2949" s="153"/>
      <c r="B2949" s="153"/>
      <c r="C2949" s="153"/>
      <c r="D2949" s="153"/>
    </row>
    <row r="2950">
      <c r="A2950" s="153"/>
      <c r="B2950" s="153"/>
      <c r="C2950" s="153"/>
      <c r="D2950" s="153"/>
    </row>
    <row r="2951">
      <c r="A2951" s="153"/>
      <c r="B2951" s="153"/>
      <c r="C2951" s="153"/>
      <c r="D2951" s="153"/>
    </row>
    <row r="2952">
      <c r="A2952" s="153"/>
      <c r="B2952" s="153"/>
      <c r="C2952" s="153"/>
      <c r="D2952" s="153"/>
    </row>
    <row r="2953">
      <c r="A2953" s="153"/>
      <c r="B2953" s="153"/>
      <c r="C2953" s="153"/>
      <c r="D2953" s="153"/>
    </row>
    <row r="2954">
      <c r="A2954" s="153"/>
      <c r="B2954" s="153"/>
      <c r="C2954" s="153"/>
      <c r="D2954" s="153"/>
    </row>
    <row r="2955">
      <c r="A2955" s="153"/>
      <c r="B2955" s="153"/>
      <c r="C2955" s="153"/>
      <c r="D2955" s="153"/>
    </row>
    <row r="2956">
      <c r="A2956" s="153"/>
      <c r="B2956" s="153"/>
      <c r="C2956" s="153"/>
      <c r="D2956" s="153"/>
    </row>
    <row r="2957">
      <c r="A2957" s="153"/>
      <c r="B2957" s="153"/>
      <c r="C2957" s="153"/>
      <c r="D2957" s="153"/>
    </row>
    <row r="2958">
      <c r="A2958" s="153"/>
      <c r="B2958" s="153"/>
      <c r="C2958" s="153"/>
      <c r="D2958" s="153"/>
    </row>
    <row r="2959">
      <c r="A2959" s="153"/>
      <c r="B2959" s="153"/>
      <c r="C2959" s="153"/>
      <c r="D2959" s="153"/>
    </row>
    <row r="2960">
      <c r="A2960" s="153"/>
      <c r="B2960" s="153"/>
      <c r="C2960" s="153"/>
      <c r="D2960" s="153"/>
    </row>
    <row r="2961">
      <c r="A2961" s="153"/>
      <c r="B2961" s="153"/>
      <c r="C2961" s="153"/>
      <c r="D2961" s="153"/>
    </row>
    <row r="2962">
      <c r="A2962" s="153"/>
      <c r="B2962" s="153"/>
      <c r="C2962" s="153"/>
      <c r="D2962" s="153"/>
    </row>
    <row r="2963">
      <c r="A2963" s="153"/>
      <c r="B2963" s="153"/>
      <c r="C2963" s="153"/>
      <c r="D2963" s="153"/>
    </row>
    <row r="2964">
      <c r="A2964" s="153"/>
      <c r="B2964" s="153"/>
      <c r="C2964" s="153"/>
      <c r="D2964" s="153"/>
    </row>
    <row r="2965">
      <c r="A2965" s="153"/>
      <c r="B2965" s="153"/>
      <c r="C2965" s="153"/>
      <c r="D2965" s="153"/>
    </row>
    <row r="2966">
      <c r="A2966" s="153"/>
      <c r="B2966" s="153"/>
      <c r="C2966" s="153"/>
      <c r="D2966" s="153"/>
    </row>
    <row r="2967">
      <c r="A2967" s="153"/>
      <c r="B2967" s="153"/>
      <c r="C2967" s="153"/>
      <c r="D2967" s="153"/>
    </row>
    <row r="2968">
      <c r="A2968" s="153"/>
      <c r="B2968" s="153"/>
      <c r="C2968" s="153"/>
      <c r="D2968" s="153"/>
    </row>
    <row r="2969">
      <c r="A2969" s="153"/>
      <c r="B2969" s="153"/>
      <c r="C2969" s="153"/>
      <c r="D2969" s="153"/>
    </row>
    <row r="2970">
      <c r="A2970" s="153"/>
      <c r="B2970" s="153"/>
      <c r="C2970" s="153"/>
      <c r="D2970" s="153"/>
    </row>
    <row r="2971">
      <c r="A2971" s="153"/>
      <c r="B2971" s="153"/>
      <c r="C2971" s="153"/>
      <c r="D2971" s="153"/>
    </row>
    <row r="2972">
      <c r="A2972" s="153"/>
      <c r="B2972" s="153"/>
      <c r="C2972" s="153"/>
      <c r="D2972" s="153"/>
    </row>
    <row r="2973">
      <c r="A2973" s="153"/>
      <c r="B2973" s="153"/>
      <c r="C2973" s="153"/>
      <c r="D2973" s="153"/>
    </row>
    <row r="2974">
      <c r="A2974" s="153"/>
      <c r="B2974" s="153"/>
      <c r="C2974" s="153"/>
      <c r="D2974" s="153"/>
    </row>
    <row r="2975">
      <c r="A2975" s="153"/>
      <c r="B2975" s="153"/>
      <c r="C2975" s="153"/>
      <c r="D2975" s="153"/>
    </row>
    <row r="2976">
      <c r="A2976" s="153"/>
      <c r="B2976" s="153"/>
      <c r="C2976" s="153"/>
      <c r="D2976" s="153"/>
    </row>
    <row r="2977">
      <c r="A2977" s="153"/>
      <c r="B2977" s="153"/>
      <c r="C2977" s="153"/>
      <c r="D2977" s="153"/>
    </row>
    <row r="2978">
      <c r="A2978" s="153"/>
      <c r="B2978" s="153"/>
      <c r="C2978" s="153"/>
      <c r="D2978" s="153"/>
    </row>
    <row r="2979">
      <c r="A2979" s="153"/>
      <c r="B2979" s="153"/>
      <c r="C2979" s="153"/>
      <c r="D2979" s="153"/>
    </row>
    <row r="2980">
      <c r="A2980" s="153"/>
      <c r="B2980" s="153"/>
      <c r="C2980" s="153"/>
      <c r="D2980" s="153"/>
    </row>
    <row r="2981">
      <c r="A2981" s="153"/>
      <c r="B2981" s="153"/>
      <c r="C2981" s="153"/>
      <c r="D2981" s="153"/>
    </row>
    <row r="2982">
      <c r="A2982" s="153"/>
      <c r="B2982" s="153"/>
      <c r="C2982" s="153"/>
      <c r="D2982" s="153"/>
    </row>
    <row r="2983">
      <c r="A2983" s="153"/>
      <c r="B2983" s="153"/>
      <c r="C2983" s="153"/>
      <c r="D2983" s="153"/>
    </row>
    <row r="2984">
      <c r="A2984" s="153"/>
      <c r="B2984" s="153"/>
      <c r="C2984" s="153"/>
      <c r="D2984" s="153"/>
    </row>
    <row r="2985">
      <c r="A2985" s="153"/>
      <c r="B2985" s="153"/>
      <c r="C2985" s="153"/>
      <c r="D2985" s="153"/>
    </row>
    <row r="2986">
      <c r="A2986" s="153"/>
      <c r="B2986" s="153"/>
      <c r="C2986" s="153"/>
      <c r="D2986" s="153"/>
    </row>
    <row r="2987">
      <c r="A2987" s="153"/>
      <c r="B2987" s="153"/>
      <c r="C2987" s="153"/>
      <c r="D2987" s="153"/>
    </row>
    <row r="2988">
      <c r="A2988" s="153"/>
      <c r="B2988" s="153"/>
      <c r="C2988" s="153"/>
      <c r="D2988" s="153"/>
    </row>
    <row r="2989">
      <c r="A2989" s="153"/>
      <c r="B2989" s="153"/>
      <c r="C2989" s="153"/>
      <c r="D2989" s="153"/>
    </row>
    <row r="2990">
      <c r="A2990" s="153"/>
      <c r="B2990" s="153"/>
      <c r="C2990" s="153"/>
      <c r="D2990" s="153"/>
    </row>
    <row r="2991">
      <c r="A2991" s="153"/>
      <c r="B2991" s="153"/>
      <c r="C2991" s="153"/>
      <c r="D2991" s="153"/>
    </row>
    <row r="2992">
      <c r="A2992" s="153"/>
      <c r="B2992" s="153"/>
      <c r="C2992" s="153"/>
      <c r="D2992" s="153"/>
    </row>
    <row r="2993">
      <c r="A2993" s="153"/>
      <c r="B2993" s="153"/>
      <c r="C2993" s="153"/>
      <c r="D2993" s="153"/>
    </row>
    <row r="2994">
      <c r="A2994" s="153"/>
      <c r="B2994" s="153"/>
      <c r="C2994" s="153"/>
      <c r="D2994" s="153"/>
    </row>
    <row r="2995">
      <c r="A2995" s="153"/>
      <c r="B2995" s="153"/>
      <c r="C2995" s="153"/>
      <c r="D2995" s="153"/>
    </row>
    <row r="2996">
      <c r="A2996" s="153"/>
      <c r="B2996" s="153"/>
      <c r="C2996" s="153"/>
      <c r="D2996" s="153"/>
    </row>
    <row r="2997">
      <c r="A2997" s="153"/>
      <c r="B2997" s="153"/>
      <c r="C2997" s="153"/>
      <c r="D2997" s="153"/>
    </row>
    <row r="2998">
      <c r="A2998" s="153" t="str">
        <f>IFERROR(__xludf.DUMMYFUNCTION("""COMPUTED_VALUE"""),"ANDERSON ID")</f>
        <v>ANDERSON ID</v>
      </c>
      <c r="B2998" s="153" t="str">
        <f>IFERROR(__xludf.DUMMYFUNCTION("""COMPUTED_VALUE"""),"CATEGORY")</f>
        <v>CATEGORY</v>
      </c>
      <c r="C2998" s="153" t="str">
        <f>IFERROR(__xludf.DUMMYFUNCTION("""COMPUTED_VALUE"""),"RAW DATA RECEIVED")</f>
        <v>RAW DATA RECEIVED</v>
      </c>
      <c r="D2998" s="153" t="str">
        <f>IFERROR(__xludf.DUMMYFUNCTION("""COMPUTED_VALUE"""),"ANDERSON TAT")</f>
        <v>ANDERSON TAT</v>
      </c>
    </row>
    <row r="2999">
      <c r="A2999" s="153" t="str">
        <f>IFERROR(__xludf.DUMMYFUNCTION("""COMPUTED_VALUE"""),"ANL0000005467")</f>
        <v>ANL0000005467</v>
      </c>
      <c r="B2999" s="153" t="str">
        <f>IFERROR(__xludf.DUMMYFUNCTION("""COMPUTED_VALUE"""),"WES+WMGS")</f>
        <v>WES+WMGS</v>
      </c>
      <c r="C2999" s="154">
        <f>IFERROR(__xludf.DUMMYFUNCTION("""COMPUTED_VALUE"""),46126.0)</f>
        <v>46126</v>
      </c>
      <c r="D2999" s="154">
        <f>IFERROR(__xludf.DUMMYFUNCTION("""COMPUTED_VALUE"""),46144.0)</f>
        <v>46144</v>
      </c>
    </row>
    <row r="3000">
      <c r="A3000" s="153" t="str">
        <f>IFERROR(__xludf.DUMMYFUNCTION("""COMPUTED_VALUE"""),"HYP0000001046")</f>
        <v>HYP0000001046</v>
      </c>
      <c r="B3000" s="153" t="str">
        <f>IFERROR(__xludf.DUMMYFUNCTION("""COMPUTED_VALUE"""),"ADVAT FOCUS CARRIER SCREENING - NGS")</f>
        <v>ADVAT FOCUS CARRIER SCREENING - NGS</v>
      </c>
      <c r="C3000" s="154">
        <f>IFERROR(__xludf.DUMMYFUNCTION("""COMPUTED_VALUE"""),46126.0)</f>
        <v>46126</v>
      </c>
      <c r="D3000" s="154">
        <f>IFERROR(__xludf.DUMMYFUNCTION("""COMPUTED_VALUE"""),46144.0)</f>
        <v>46144</v>
      </c>
    </row>
    <row r="3001">
      <c r="A3001" s="153" t="str">
        <f>IFERROR(__xludf.DUMMYFUNCTION("""COMPUTED_VALUE"""),"HYP0000001127")</f>
        <v>HYP0000001127</v>
      </c>
      <c r="B3001" s="153" t="str">
        <f>IFERROR(__xludf.DUMMYFUNCTION("""COMPUTED_VALUE"""),"ADVAT FOCUS CARRIER SCREENING - NGS")</f>
        <v>ADVAT FOCUS CARRIER SCREENING - NGS</v>
      </c>
      <c r="C3001" s="154">
        <f>IFERROR(__xludf.DUMMYFUNCTION("""COMPUTED_VALUE"""),46126.0)</f>
        <v>46126</v>
      </c>
      <c r="D3001" s="154">
        <f>IFERROR(__xludf.DUMMYFUNCTION("""COMPUTED_VALUE"""),46144.0)</f>
        <v>46144</v>
      </c>
    </row>
    <row r="3002">
      <c r="A3002" s="153" t="str">
        <f>IFERROR(__xludf.DUMMYFUNCTION("""COMPUTED_VALUE"""),"HYP0000001023")</f>
        <v>HYP0000001023</v>
      </c>
      <c r="B3002" s="153" t="str">
        <f>IFERROR(__xludf.DUMMYFUNCTION("""COMPUTED_VALUE"""),"ADVAT FOCUS CARRIER SCREENING - NGS")</f>
        <v>ADVAT FOCUS CARRIER SCREENING - NGS</v>
      </c>
      <c r="C3002" s="154">
        <f>IFERROR(__xludf.DUMMYFUNCTION("""COMPUTED_VALUE"""),46126.0)</f>
        <v>46126</v>
      </c>
      <c r="D3002" s="154">
        <f>IFERROR(__xludf.DUMMYFUNCTION("""COMPUTED_VALUE"""),46144.0)</f>
        <v>46144</v>
      </c>
    </row>
    <row r="3003">
      <c r="A3003" s="153" t="str">
        <f>IFERROR(__xludf.DUMMYFUNCTION("""COMPUTED_VALUE"""),"HYP0000001024")</f>
        <v>HYP0000001024</v>
      </c>
      <c r="B3003" s="153" t="str">
        <f>IFERROR(__xludf.DUMMYFUNCTION("""COMPUTED_VALUE"""),"ADVAT FOCUS CARRIER SCREENING - NGS")</f>
        <v>ADVAT FOCUS CARRIER SCREENING - NGS</v>
      </c>
      <c r="C3003" s="154">
        <f>IFERROR(__xludf.DUMMYFUNCTION("""COMPUTED_VALUE"""),46126.0)</f>
        <v>46126</v>
      </c>
      <c r="D3003" s="154">
        <f>IFERROR(__xludf.DUMMYFUNCTION("""COMPUTED_VALUE"""),46144.0)</f>
        <v>46144</v>
      </c>
    </row>
    <row r="3004">
      <c r="A3004" s="153" t="str">
        <f>IFERROR(__xludf.DUMMYFUNCTION("""COMPUTED_VALUE"""),"ADB0000031238")</f>
        <v>ADB0000031238</v>
      </c>
      <c r="B3004" s="153" t="str">
        <f>IFERROR(__xludf.DUMMYFUNCTION("""COMPUTED_VALUE"""),"WES")</f>
        <v>WES</v>
      </c>
      <c r="C3004" s="154">
        <f>IFERROR(__xludf.DUMMYFUNCTION("""COMPUTED_VALUE"""),46126.0)</f>
        <v>46126</v>
      </c>
      <c r="D3004" s="154">
        <f>IFERROR(__xludf.DUMMYFUNCTION("""COMPUTED_VALUE"""),46129.0)</f>
        <v>46129</v>
      </c>
    </row>
    <row r="3005">
      <c r="A3005" s="153" t="str">
        <f>IFERROR(__xludf.DUMMYFUNCTION("""COMPUTED_VALUE"""),"ADB0000031236")</f>
        <v>ADB0000031236</v>
      </c>
      <c r="B3005" s="153" t="str">
        <f>IFERROR(__xludf.DUMMYFUNCTION("""COMPUTED_VALUE"""),"WES")</f>
        <v>WES</v>
      </c>
      <c r="C3005" s="154">
        <f>IFERROR(__xludf.DUMMYFUNCTION("""COMPUTED_VALUE"""),46126.0)</f>
        <v>46126</v>
      </c>
      <c r="D3005" s="154">
        <f>IFERROR(__xludf.DUMMYFUNCTION("""COMPUTED_VALUE"""),46129.0)</f>
        <v>46129</v>
      </c>
    </row>
    <row r="3006">
      <c r="A3006" s="153" t="str">
        <f>IFERROR(__xludf.DUMMYFUNCTION("""COMPUTED_VALUE"""),"ADB0000031237")</f>
        <v>ADB0000031237</v>
      </c>
      <c r="B3006" s="153" t="str">
        <f>IFERROR(__xludf.DUMMYFUNCTION("""COMPUTED_VALUE"""),"WES")</f>
        <v>WES</v>
      </c>
      <c r="C3006" s="154">
        <f>IFERROR(__xludf.DUMMYFUNCTION("""COMPUTED_VALUE"""),46126.0)</f>
        <v>46126</v>
      </c>
      <c r="D3006" s="154">
        <f>IFERROR(__xludf.DUMMYFUNCTION("""COMPUTED_VALUE"""),46130.0)</f>
        <v>46130</v>
      </c>
    </row>
    <row r="3007">
      <c r="A3007" s="153" t="str">
        <f>IFERROR(__xludf.DUMMYFUNCTION("""COMPUTED_VALUE"""),"ADK0000001005")</f>
        <v>ADK0000001005</v>
      </c>
      <c r="B3007" s="153" t="str">
        <f>IFERROR(__xludf.DUMMYFUNCTION("""COMPUTED_VALUE"""),"WES")</f>
        <v>WES</v>
      </c>
      <c r="C3007" s="154">
        <f>IFERROR(__xludf.DUMMYFUNCTION("""COMPUTED_VALUE"""),46126.0)</f>
        <v>46126</v>
      </c>
      <c r="D3007" s="154">
        <f>IFERROR(__xludf.DUMMYFUNCTION("""COMPUTED_VALUE"""),46138.0)</f>
        <v>46138</v>
      </c>
    </row>
    <row r="3008">
      <c r="A3008" s="153" t="str">
        <f>IFERROR(__xludf.DUMMYFUNCTION("""COMPUTED_VALUE"""),"AMB0000008192")</f>
        <v>AMB0000008192</v>
      </c>
      <c r="B3008" s="153" t="str">
        <f>IFERROR(__xludf.DUMMYFUNCTION("""COMPUTED_VALUE"""),"COMPREHENSIVE CARRIER SCREENING")</f>
        <v>COMPREHENSIVE CARRIER SCREENING</v>
      </c>
      <c r="C3008" s="154">
        <f>IFERROR(__xludf.DUMMYFUNCTION("""COMPUTED_VALUE"""),46126.0)</f>
        <v>46126</v>
      </c>
      <c r="D3008" s="154">
        <f>IFERROR(__xludf.DUMMYFUNCTION("""COMPUTED_VALUE"""),46142.0)</f>
        <v>46142</v>
      </c>
    </row>
    <row r="3009">
      <c r="A3009" s="153" t="str">
        <f>IFERROR(__xludf.DUMMYFUNCTION("""COMPUTED_VALUE"""),"HYP0000001053 
")</f>
        <v>HYP0000001053 
</v>
      </c>
      <c r="B3009" s="153" t="str">
        <f>IFERROR(__xludf.DUMMYFUNCTION("""COMPUTED_VALUE"""),"FEMALE INFERTILITY NGS PANEL")</f>
        <v>FEMALE INFERTILITY NGS PANEL</v>
      </c>
      <c r="C3009" s="154">
        <f>IFERROR(__xludf.DUMMYFUNCTION("""COMPUTED_VALUE"""),46126.0)</f>
        <v>46126</v>
      </c>
      <c r="D3009" s="154">
        <f>IFERROR(__xludf.DUMMYFUNCTION("""COMPUTED_VALUE"""),46134.0)</f>
        <v>46134</v>
      </c>
    </row>
    <row r="3010">
      <c r="A3010" s="153" t="str">
        <f>IFERROR(__xludf.DUMMYFUNCTION("""COMPUTED_VALUE"""),"ADK0000001037")</f>
        <v>ADK0000001037</v>
      </c>
      <c r="B3010" s="153" t="str">
        <f>IFERROR(__xludf.DUMMYFUNCTION("""COMPUTED_VALUE"""),"WES")</f>
        <v>WES</v>
      </c>
      <c r="C3010" s="154">
        <f>IFERROR(__xludf.DUMMYFUNCTION("""COMPUTED_VALUE"""),46126.0)</f>
        <v>46126</v>
      </c>
      <c r="D3010" s="154">
        <f>IFERROR(__xludf.DUMMYFUNCTION("""COMPUTED_VALUE"""),46140.0)</f>
        <v>46140</v>
      </c>
    </row>
    <row r="3011">
      <c r="A3011" s="153" t="str">
        <f>IFERROR(__xludf.DUMMYFUNCTION("""COMPUTED_VALUE"""),"ADK0000001039")</f>
        <v>ADK0000001039</v>
      </c>
      <c r="B3011" s="153" t="str">
        <f>IFERROR(__xludf.DUMMYFUNCTION("""COMPUTED_VALUE"""),"WES")</f>
        <v>WES</v>
      </c>
      <c r="C3011" s="154">
        <f>IFERROR(__xludf.DUMMYFUNCTION("""COMPUTED_VALUE"""),46126.0)</f>
        <v>46126</v>
      </c>
      <c r="D3011" s="154">
        <f>IFERROR(__xludf.DUMMYFUNCTION("""COMPUTED_VALUE"""),46140.0)</f>
        <v>46140</v>
      </c>
    </row>
    <row r="3012">
      <c r="A3012" s="153" t="str">
        <f>IFERROR(__xludf.DUMMYFUNCTION("""COMPUTED_VALUE"""),"ADK0000001038")</f>
        <v>ADK0000001038</v>
      </c>
      <c r="B3012" s="153" t="str">
        <f>IFERROR(__xludf.DUMMYFUNCTION("""COMPUTED_VALUE"""),"WES")</f>
        <v>WES</v>
      </c>
      <c r="C3012" s="154">
        <f>IFERROR(__xludf.DUMMYFUNCTION("""COMPUTED_VALUE"""),46126.0)</f>
        <v>46126</v>
      </c>
      <c r="D3012" s="154">
        <f>IFERROR(__xludf.DUMMYFUNCTION("""COMPUTED_VALUE"""),46140.0)</f>
        <v>46140</v>
      </c>
    </row>
    <row r="3013">
      <c r="A3013" s="153" t="str">
        <f>IFERROR(__xludf.DUMMYFUNCTION("""COMPUTED_VALUE"""),"ADK0000001040")</f>
        <v>ADK0000001040</v>
      </c>
      <c r="B3013" s="153" t="str">
        <f>IFERROR(__xludf.DUMMYFUNCTION("""COMPUTED_VALUE"""),"WES")</f>
        <v>WES</v>
      </c>
      <c r="C3013" s="154">
        <f>IFERROR(__xludf.DUMMYFUNCTION("""COMPUTED_VALUE"""),46126.0)</f>
        <v>46126</v>
      </c>
      <c r="D3013" s="154">
        <f>IFERROR(__xludf.DUMMYFUNCTION("""COMPUTED_VALUE"""),46140.0)</f>
        <v>46140</v>
      </c>
    </row>
    <row r="3014">
      <c r="A3014" s="153" t="str">
        <f>IFERROR(__xludf.DUMMYFUNCTION("""COMPUTED_VALUE"""),"ADK0000001013")</f>
        <v>ADK0000001013</v>
      </c>
      <c r="B3014" s="153" t="str">
        <f>IFERROR(__xludf.DUMMYFUNCTION("""COMPUTED_VALUE"""),"WES")</f>
        <v>WES</v>
      </c>
      <c r="C3014" s="154">
        <f>IFERROR(__xludf.DUMMYFUNCTION("""COMPUTED_VALUE"""),46126.0)</f>
        <v>46126</v>
      </c>
      <c r="D3014" s="154">
        <f>IFERROR(__xludf.DUMMYFUNCTION("""COMPUTED_VALUE"""),46141.0)</f>
        <v>46141</v>
      </c>
    </row>
    <row r="3015">
      <c r="A3015" s="153" t="str">
        <f>IFERROR(__xludf.DUMMYFUNCTION("""COMPUTED_VALUE"""),"ADK0000001014")</f>
        <v>ADK0000001014</v>
      </c>
      <c r="B3015" s="153" t="str">
        <f>IFERROR(__xludf.DUMMYFUNCTION("""COMPUTED_VALUE"""),"WES")</f>
        <v>WES</v>
      </c>
      <c r="C3015" s="154">
        <f>IFERROR(__xludf.DUMMYFUNCTION("""COMPUTED_VALUE"""),46126.0)</f>
        <v>46126</v>
      </c>
      <c r="D3015" s="154">
        <f>IFERROR(__xludf.DUMMYFUNCTION("""COMPUTED_VALUE"""),46141.0)</f>
        <v>46141</v>
      </c>
    </row>
    <row r="3016">
      <c r="A3016" s="153" t="str">
        <f>IFERROR(__xludf.DUMMYFUNCTION("""COMPUTED_VALUE"""),"ADK0000001015")</f>
        <v>ADK0000001015</v>
      </c>
      <c r="B3016" s="153" t="str">
        <f>IFERROR(__xludf.DUMMYFUNCTION("""COMPUTED_VALUE"""),"WES")</f>
        <v>WES</v>
      </c>
      <c r="C3016" s="154">
        <f>IFERROR(__xludf.DUMMYFUNCTION("""COMPUTED_VALUE"""),46126.0)</f>
        <v>46126</v>
      </c>
      <c r="D3016" s="154">
        <f>IFERROR(__xludf.DUMMYFUNCTION("""COMPUTED_VALUE"""),46141.0)</f>
        <v>46141</v>
      </c>
    </row>
    <row r="3017">
      <c r="A3017" s="153" t="str">
        <f>IFERROR(__xludf.DUMMYFUNCTION("""COMPUTED_VALUE"""),"ADK0000001017")</f>
        <v>ADK0000001017</v>
      </c>
      <c r="B3017" s="153" t="str">
        <f>IFERROR(__xludf.DUMMYFUNCTION("""COMPUTED_VALUE"""),"WES")</f>
        <v>WES</v>
      </c>
      <c r="C3017" s="154">
        <f>IFERROR(__xludf.DUMMYFUNCTION("""COMPUTED_VALUE"""),46126.0)</f>
        <v>46126</v>
      </c>
      <c r="D3017" s="154">
        <f>IFERROR(__xludf.DUMMYFUNCTION("""COMPUTED_VALUE"""),46141.0)</f>
        <v>46141</v>
      </c>
    </row>
    <row r="3018">
      <c r="A3018" s="153" t="str">
        <f>IFERROR(__xludf.DUMMYFUNCTION("""COMPUTED_VALUE"""),"ADK0000001018")</f>
        <v>ADK0000001018</v>
      </c>
      <c r="B3018" s="153" t="str">
        <f>IFERROR(__xludf.DUMMYFUNCTION("""COMPUTED_VALUE"""),"WES")</f>
        <v>WES</v>
      </c>
      <c r="C3018" s="154">
        <f>IFERROR(__xludf.DUMMYFUNCTION("""COMPUTED_VALUE"""),46126.0)</f>
        <v>46126</v>
      </c>
      <c r="D3018" s="154">
        <f>IFERROR(__xludf.DUMMYFUNCTION("""COMPUTED_VALUE"""),46141.0)</f>
        <v>46141</v>
      </c>
    </row>
    <row r="3019">
      <c r="A3019" s="153" t="str">
        <f>IFERROR(__xludf.DUMMYFUNCTION("""COMPUTED_VALUE"""),"ADK0000001020")</f>
        <v>ADK0000001020</v>
      </c>
      <c r="B3019" s="153" t="str">
        <f>IFERROR(__xludf.DUMMYFUNCTION("""COMPUTED_VALUE"""),"WES")</f>
        <v>WES</v>
      </c>
      <c r="C3019" s="154">
        <f>IFERROR(__xludf.DUMMYFUNCTION("""COMPUTED_VALUE"""),46126.0)</f>
        <v>46126</v>
      </c>
      <c r="D3019" s="154">
        <f>IFERROR(__xludf.DUMMYFUNCTION("""COMPUTED_VALUE"""),46141.0)</f>
        <v>46141</v>
      </c>
    </row>
    <row r="3020">
      <c r="A3020" s="153" t="str">
        <f>IFERROR(__xludf.DUMMYFUNCTION("""COMPUTED_VALUE"""),"ADK0000001021")</f>
        <v>ADK0000001021</v>
      </c>
      <c r="B3020" s="153" t="str">
        <f>IFERROR(__xludf.DUMMYFUNCTION("""COMPUTED_VALUE"""),"WES")</f>
        <v>WES</v>
      </c>
      <c r="C3020" s="154">
        <f>IFERROR(__xludf.DUMMYFUNCTION("""COMPUTED_VALUE"""),46126.0)</f>
        <v>46126</v>
      </c>
      <c r="D3020" s="154">
        <f>IFERROR(__xludf.DUMMYFUNCTION("""COMPUTED_VALUE"""),46141.0)</f>
        <v>46141</v>
      </c>
    </row>
    <row r="3021">
      <c r="A3021" s="153" t="str">
        <f>IFERROR(__xludf.DUMMYFUNCTION("""COMPUTED_VALUE"""),"ADK0000001022")</f>
        <v>ADK0000001022</v>
      </c>
      <c r="B3021" s="153" t="str">
        <f>IFERROR(__xludf.DUMMYFUNCTION("""COMPUTED_VALUE"""),"WES")</f>
        <v>WES</v>
      </c>
      <c r="C3021" s="154">
        <f>IFERROR(__xludf.DUMMYFUNCTION("""COMPUTED_VALUE"""),46126.0)</f>
        <v>46126</v>
      </c>
      <c r="D3021" s="154">
        <f>IFERROR(__xludf.DUMMYFUNCTION("""COMPUTED_VALUE"""),46141.0)</f>
        <v>46141</v>
      </c>
    </row>
    <row r="3022">
      <c r="A3022" s="153" t="str">
        <f>IFERROR(__xludf.DUMMYFUNCTION("""COMPUTED_VALUE"""),"ADK0000001023")</f>
        <v>ADK0000001023</v>
      </c>
      <c r="B3022" s="153" t="str">
        <f>IFERROR(__xludf.DUMMYFUNCTION("""COMPUTED_VALUE"""),"WES")</f>
        <v>WES</v>
      </c>
      <c r="C3022" s="154">
        <f>IFERROR(__xludf.DUMMYFUNCTION("""COMPUTED_VALUE"""),46126.0)</f>
        <v>46126</v>
      </c>
      <c r="D3022" s="154">
        <f>IFERROR(__xludf.DUMMYFUNCTION("""COMPUTED_VALUE"""),46141.0)</f>
        <v>46141</v>
      </c>
    </row>
    <row r="3023">
      <c r="A3023" s="153" t="str">
        <f>IFERROR(__xludf.DUMMYFUNCTION("""COMPUTED_VALUE"""),"PH50000010031")</f>
        <v>PH50000010031</v>
      </c>
      <c r="B3023" s="153" t="str">
        <f>IFERROR(__xludf.DUMMYFUNCTION("""COMPUTED_VALUE"""),"WES+WMGS")</f>
        <v>WES+WMGS</v>
      </c>
      <c r="C3023" s="154">
        <f>IFERROR(__xludf.DUMMYFUNCTION("""COMPUTED_VALUE"""),46129.0)</f>
        <v>46129</v>
      </c>
      <c r="D3023" s="154">
        <f>IFERROR(__xludf.DUMMYFUNCTION("""COMPUTED_VALUE"""),46147.0)</f>
        <v>46147</v>
      </c>
    </row>
    <row r="3024">
      <c r="A3024" s="153" t="str">
        <f>IFERROR(__xludf.DUMMYFUNCTION("""COMPUTED_VALUE"""),"PH50000010625")</f>
        <v>PH50000010625</v>
      </c>
      <c r="B3024" s="153" t="str">
        <f>IFERROR(__xludf.DUMMYFUNCTION("""COMPUTED_VALUE"""),"WES+WMGS")</f>
        <v>WES+WMGS</v>
      </c>
      <c r="C3024" s="154">
        <f>IFERROR(__xludf.DUMMYFUNCTION("""COMPUTED_VALUE"""),46129.0)</f>
        <v>46129</v>
      </c>
      <c r="D3024" s="154">
        <f>IFERROR(__xludf.DUMMYFUNCTION("""COMPUTED_VALUE"""),46149.0)</f>
        <v>46149</v>
      </c>
    </row>
    <row r="3025">
      <c r="A3025" s="153" t="str">
        <f>IFERROR(__xludf.DUMMYFUNCTION("""COMPUTED_VALUE"""),"AND0000006312")</f>
        <v>AND0000006312</v>
      </c>
      <c r="B3025" s="153" t="str">
        <f>IFERROR(__xludf.DUMMYFUNCTION("""COMPUTED_VALUE"""),"WES+WMGS")</f>
        <v>WES+WMGS</v>
      </c>
      <c r="C3025" s="154">
        <f>IFERROR(__xludf.DUMMYFUNCTION("""COMPUTED_VALUE"""),46129.0)</f>
        <v>46129</v>
      </c>
      <c r="D3025" s="154">
        <f>IFERROR(__xludf.DUMMYFUNCTION("""COMPUTED_VALUE"""),46145.0)</f>
        <v>46145</v>
      </c>
    </row>
    <row r="3026">
      <c r="A3026" s="153" t="str">
        <f>IFERROR(__xludf.DUMMYFUNCTION("""COMPUTED_VALUE"""),"HYP0000001049")</f>
        <v>HYP0000001049</v>
      </c>
      <c r="B3026" s="153" t="str">
        <f>IFERROR(__xludf.DUMMYFUNCTION("""COMPUTED_VALUE"""),"ADVAT FOCUS CARRIER SCREENING - NGS")</f>
        <v>ADVAT FOCUS CARRIER SCREENING - NGS</v>
      </c>
      <c r="C3026" s="154">
        <f>IFERROR(__xludf.DUMMYFUNCTION("""COMPUTED_VALUE"""),46129.0)</f>
        <v>46129</v>
      </c>
      <c r="D3026" s="154">
        <f>IFERROR(__xludf.DUMMYFUNCTION("""COMPUTED_VALUE"""),46145.0)</f>
        <v>46145</v>
      </c>
    </row>
    <row r="3027">
      <c r="A3027" s="153" t="str">
        <f>IFERROR(__xludf.DUMMYFUNCTION("""COMPUTED_VALUE"""),"HYP0000001126")</f>
        <v>HYP0000001126</v>
      </c>
      <c r="B3027" s="153" t="str">
        <f>IFERROR(__xludf.DUMMYFUNCTION("""COMPUTED_VALUE"""),"ADVAT FOCUS CARRIER SCREENING - NGS")</f>
        <v>ADVAT FOCUS CARRIER SCREENING - NGS</v>
      </c>
      <c r="C3027" s="154">
        <f>IFERROR(__xludf.DUMMYFUNCTION("""COMPUTED_VALUE"""),46129.0)</f>
        <v>46129</v>
      </c>
      <c r="D3027" s="154">
        <f>IFERROR(__xludf.DUMMYFUNCTION("""COMPUTED_VALUE"""),46145.0)</f>
        <v>46145</v>
      </c>
    </row>
    <row r="3028">
      <c r="A3028" s="153" t="str">
        <f>IFERROR(__xludf.DUMMYFUNCTION("""COMPUTED_VALUE"""),"SKC0000000229")</f>
        <v>SKC0000000229</v>
      </c>
      <c r="B3028" s="153" t="str">
        <f>IFERROR(__xludf.DUMMYFUNCTION("""COMPUTED_VALUE"""),"WES")</f>
        <v>WES</v>
      </c>
      <c r="C3028" s="154">
        <f>IFERROR(__xludf.DUMMYFUNCTION("""COMPUTED_VALUE"""),46129.0)</f>
        <v>46129</v>
      </c>
      <c r="D3028" s="154">
        <f>IFERROR(__xludf.DUMMYFUNCTION("""COMPUTED_VALUE"""),46146.0)</f>
        <v>46146</v>
      </c>
    </row>
    <row r="3029">
      <c r="A3029" s="153" t="str">
        <f>IFERROR(__xludf.DUMMYFUNCTION("""COMPUTED_VALUE"""),"ADN0000019444")</f>
        <v>ADN0000019444</v>
      </c>
      <c r="B3029" s="153" t="str">
        <f>IFERROR(__xludf.DUMMYFUNCTION("""COMPUTED_VALUE"""),"WES")</f>
        <v>WES</v>
      </c>
      <c r="C3029" s="154">
        <f>IFERROR(__xludf.DUMMYFUNCTION("""COMPUTED_VALUE"""),46129.0)</f>
        <v>46129</v>
      </c>
      <c r="D3029" s="154">
        <f>IFERROR(__xludf.DUMMYFUNCTION("""COMPUTED_VALUE"""),46146.0)</f>
        <v>46146</v>
      </c>
    </row>
    <row r="3030">
      <c r="A3030" s="153" t="str">
        <f>IFERROR(__xludf.DUMMYFUNCTION("""COMPUTED_VALUE"""),"ADB0000032193")</f>
        <v>ADB0000032193</v>
      </c>
      <c r="B3030" s="153" t="str">
        <f>IFERROR(__xludf.DUMMYFUNCTION("""COMPUTED_VALUE"""),"WES")</f>
        <v>WES</v>
      </c>
      <c r="C3030" s="154">
        <f>IFERROR(__xludf.DUMMYFUNCTION("""COMPUTED_VALUE"""),46129.0)</f>
        <v>46129</v>
      </c>
      <c r="D3030" s="154">
        <f>IFERROR(__xludf.DUMMYFUNCTION("""COMPUTED_VALUE"""),46147.0)</f>
        <v>46147</v>
      </c>
    </row>
    <row r="3031">
      <c r="A3031" s="153" t="str">
        <f>IFERROR(__xludf.DUMMYFUNCTION("""COMPUTED_VALUE"""),"ATR0000012079")</f>
        <v>ATR0000012079</v>
      </c>
      <c r="B3031" s="153" t="str">
        <f>IFERROR(__xludf.DUMMYFUNCTION("""COMPUTED_VALUE"""),"MALE INFERTILITY NGS PANEL")</f>
        <v>MALE INFERTILITY NGS PANEL</v>
      </c>
      <c r="C3031" s="154">
        <f>IFERROR(__xludf.DUMMYFUNCTION("""COMPUTED_VALUE"""),46129.0)</f>
        <v>46129</v>
      </c>
      <c r="D3031" s="154">
        <f>IFERROR(__xludf.DUMMYFUNCTION("""COMPUTED_VALUE"""),46136.0)</f>
        <v>46136</v>
      </c>
    </row>
    <row r="3032">
      <c r="A3032" s="153" t="str">
        <f>IFERROR(__xludf.DUMMYFUNCTION("""COMPUTED_VALUE"""),"ATR0000012078")</f>
        <v>ATR0000012078</v>
      </c>
      <c r="B3032" s="153" t="str">
        <f>IFERROR(__xludf.DUMMYFUNCTION("""COMPUTED_VALUE"""),"FEMALE INFERTILITY NGS PANEL")</f>
        <v>FEMALE INFERTILITY NGS PANEL</v>
      </c>
      <c r="C3032" s="154">
        <f>IFERROR(__xludf.DUMMYFUNCTION("""COMPUTED_VALUE"""),46129.0)</f>
        <v>46129</v>
      </c>
      <c r="D3032" s="154">
        <f>IFERROR(__xludf.DUMMYFUNCTION("""COMPUTED_VALUE"""),46136.0)</f>
        <v>46136</v>
      </c>
    </row>
    <row r="3033">
      <c r="A3033" s="153" t="str">
        <f>IFERROR(__xludf.DUMMYFUNCTION("""COMPUTED_VALUE"""),"ATR0000012098")</f>
        <v>ATR0000012098</v>
      </c>
      <c r="B3033" s="153" t="str">
        <f>IFERROR(__xludf.DUMMYFUNCTION("""COMPUTED_VALUE"""),"WES")</f>
        <v>WES</v>
      </c>
      <c r="C3033" s="154">
        <f>IFERROR(__xludf.DUMMYFUNCTION("""COMPUTED_VALUE"""),46129.0)</f>
        <v>46129</v>
      </c>
      <c r="D3033" s="154">
        <f>IFERROR(__xludf.DUMMYFUNCTION("""COMPUTED_VALUE"""),46147.0)</f>
        <v>46147</v>
      </c>
    </row>
    <row r="3034">
      <c r="A3034" s="153" t="str">
        <f>IFERROR(__xludf.DUMMYFUNCTION("""COMPUTED_VALUE"""),"ATN0000004628")</f>
        <v>ATN0000004628</v>
      </c>
      <c r="B3034" s="153" t="str">
        <f>IFERROR(__xludf.DUMMYFUNCTION("""COMPUTED_VALUE"""),"WES")</f>
        <v>WES</v>
      </c>
      <c r="C3034" s="154">
        <f>IFERROR(__xludf.DUMMYFUNCTION("""COMPUTED_VALUE"""),46129.0)</f>
        <v>46129</v>
      </c>
      <c r="D3034" s="154">
        <f>IFERROR(__xludf.DUMMYFUNCTION("""COMPUTED_VALUE"""),46141.0)</f>
        <v>46141</v>
      </c>
    </row>
    <row r="3035">
      <c r="A3035" s="153" t="str">
        <f>IFERROR(__xludf.DUMMYFUNCTION("""COMPUTED_VALUE"""),"AMB0000008193")</f>
        <v>AMB0000008193</v>
      </c>
      <c r="B3035" s="153" t="str">
        <f>IFERROR(__xludf.DUMMYFUNCTION("""COMPUTED_VALUE"""),"COMPREHENSIVE CARRIER SCREENING")</f>
        <v>COMPREHENSIVE CARRIER SCREENING</v>
      </c>
      <c r="C3035" s="154">
        <f>IFERROR(__xludf.DUMMYFUNCTION("""COMPUTED_VALUE"""),46129.0)</f>
        <v>46129</v>
      </c>
      <c r="D3035" s="154">
        <f>IFERROR(__xludf.DUMMYFUNCTION("""COMPUTED_VALUE"""),46146.0)</f>
        <v>46146</v>
      </c>
    </row>
    <row r="3036">
      <c r="A3036" s="153" t="str">
        <f>IFERROR(__xludf.DUMMYFUNCTION("""COMPUTED_VALUE"""),"PH50000009936")</f>
        <v>PH50000009936</v>
      </c>
      <c r="B3036" s="153" t="str">
        <f>IFERROR(__xludf.DUMMYFUNCTION("""COMPUTED_VALUE"""),"CLINICAL EXOME SEQUENCING")</f>
        <v>CLINICAL EXOME SEQUENCING</v>
      </c>
      <c r="C3036" s="154">
        <f>IFERROR(__xludf.DUMMYFUNCTION("""COMPUTED_VALUE"""),46129.0)</f>
        <v>46129</v>
      </c>
      <c r="D3036" s="154">
        <f>IFERROR(__xludf.DUMMYFUNCTION("""COMPUTED_VALUE"""),46147.0)</f>
        <v>46147</v>
      </c>
    </row>
    <row r="3037">
      <c r="A3037" s="153" t="str">
        <f>IFERROR(__xludf.DUMMYFUNCTION("""COMPUTED_VALUE"""),"ABC0000000770")</f>
        <v>ABC0000000770</v>
      </c>
      <c r="B3037" s="153" t="str">
        <f>IFERROR(__xludf.DUMMYFUNCTION("""COMPUTED_VALUE"""),"WES")</f>
        <v>WES</v>
      </c>
      <c r="C3037" s="154">
        <f>IFERROR(__xludf.DUMMYFUNCTION("""COMPUTED_VALUE"""),46129.0)</f>
        <v>46129</v>
      </c>
      <c r="D3037" s="154">
        <f>IFERROR(__xludf.DUMMYFUNCTION("""COMPUTED_VALUE"""),46147.0)</f>
        <v>46147</v>
      </c>
    </row>
    <row r="3038">
      <c r="A3038" s="153" t="str">
        <f>IFERROR(__xludf.DUMMYFUNCTION("""COMPUTED_VALUE"""),"ABC0000000771")</f>
        <v>ABC0000000771</v>
      </c>
      <c r="B3038" s="153" t="str">
        <f>IFERROR(__xludf.DUMMYFUNCTION("""COMPUTED_VALUE"""),"WES")</f>
        <v>WES</v>
      </c>
      <c r="C3038" s="154">
        <f>IFERROR(__xludf.DUMMYFUNCTION("""COMPUTED_VALUE"""),46129.0)</f>
        <v>46129</v>
      </c>
      <c r="D3038" s="154">
        <f>IFERROR(__xludf.DUMMYFUNCTION("""COMPUTED_VALUE"""),46147.0)</f>
        <v>46147</v>
      </c>
    </row>
    <row r="3039">
      <c r="A3039" s="153" t="str">
        <f>IFERROR(__xludf.DUMMYFUNCTION("""COMPUTED_VALUE"""),"ADK0000001067")</f>
        <v>ADK0000001067</v>
      </c>
      <c r="B3039" s="153" t="str">
        <f>IFERROR(__xludf.DUMMYFUNCTION("""COMPUTED_VALUE"""),"WES")</f>
        <v>WES</v>
      </c>
      <c r="C3039" s="154">
        <f>IFERROR(__xludf.DUMMYFUNCTION("""COMPUTED_VALUE"""),46129.0)</f>
        <v>46129</v>
      </c>
      <c r="D3039" s="154">
        <f>IFERROR(__xludf.DUMMYFUNCTION("""COMPUTED_VALUE"""),46142.0)</f>
        <v>46142</v>
      </c>
    </row>
    <row r="3040">
      <c r="A3040" s="153" t="str">
        <f>IFERROR(__xludf.DUMMYFUNCTION("""COMPUTED_VALUE"""),"ADK0000001069")</f>
        <v>ADK0000001069</v>
      </c>
      <c r="B3040" s="153" t="str">
        <f>IFERROR(__xludf.DUMMYFUNCTION("""COMPUTED_VALUE"""),"WES")</f>
        <v>WES</v>
      </c>
      <c r="C3040" s="154">
        <f>IFERROR(__xludf.DUMMYFUNCTION("""COMPUTED_VALUE"""),46129.0)</f>
        <v>46129</v>
      </c>
      <c r="D3040" s="154">
        <f>IFERROR(__xludf.DUMMYFUNCTION("""COMPUTED_VALUE"""),46142.0)</f>
        <v>46142</v>
      </c>
    </row>
    <row r="3041">
      <c r="A3041" s="153" t="str">
        <f>IFERROR(__xludf.DUMMYFUNCTION("""COMPUTED_VALUE"""),"ADK0000001071")</f>
        <v>ADK0000001071</v>
      </c>
      <c r="B3041" s="153" t="str">
        <f>IFERROR(__xludf.DUMMYFUNCTION("""COMPUTED_VALUE"""),"WES")</f>
        <v>WES</v>
      </c>
      <c r="C3041" s="154">
        <f>IFERROR(__xludf.DUMMYFUNCTION("""COMPUTED_VALUE"""),46129.0)</f>
        <v>46129</v>
      </c>
      <c r="D3041" s="154">
        <f>IFERROR(__xludf.DUMMYFUNCTION("""COMPUTED_VALUE"""),46142.0)</f>
        <v>46142</v>
      </c>
    </row>
    <row r="3042">
      <c r="A3042" s="153" t="str">
        <f>IFERROR(__xludf.DUMMYFUNCTION("""COMPUTED_VALUE"""),"ADK0000001068")</f>
        <v>ADK0000001068</v>
      </c>
      <c r="B3042" s="153" t="str">
        <f>IFERROR(__xludf.DUMMYFUNCTION("""COMPUTED_VALUE"""),"WES+WMGS")</f>
        <v>WES+WMGS</v>
      </c>
      <c r="C3042" s="154">
        <f>IFERROR(__xludf.DUMMYFUNCTION("""COMPUTED_VALUE"""),46129.0)</f>
        <v>46129</v>
      </c>
      <c r="D3042" s="154">
        <f>IFERROR(__xludf.DUMMYFUNCTION("""COMPUTED_VALUE"""),46142.0)</f>
        <v>46142</v>
      </c>
    </row>
    <row r="3043">
      <c r="A3043" s="153" t="str">
        <f>IFERROR(__xludf.DUMMYFUNCTION("""COMPUTED_VALUE"""),"ADK0000001070")</f>
        <v>ADK0000001070</v>
      </c>
      <c r="B3043" s="153" t="str">
        <f>IFERROR(__xludf.DUMMYFUNCTION("""COMPUTED_VALUE"""),"WES+WMGS")</f>
        <v>WES+WMGS</v>
      </c>
      <c r="C3043" s="154">
        <f>IFERROR(__xludf.DUMMYFUNCTION("""COMPUTED_VALUE"""),46129.0)</f>
        <v>46129</v>
      </c>
      <c r="D3043" s="154">
        <f>IFERROR(__xludf.DUMMYFUNCTION("""COMPUTED_VALUE"""),46142.0)</f>
        <v>46142</v>
      </c>
    </row>
    <row r="3044">
      <c r="A3044" s="153" t="str">
        <f>IFERROR(__xludf.DUMMYFUNCTION("""COMPUTED_VALUE"""),"ADK0000001072 
")</f>
        <v>ADK0000001072 
</v>
      </c>
      <c r="B3044" s="153" t="str">
        <f>IFERROR(__xludf.DUMMYFUNCTION("""COMPUTED_VALUE"""),"WES+WMGS")</f>
        <v>WES+WMGS</v>
      </c>
      <c r="C3044" s="154">
        <f>IFERROR(__xludf.DUMMYFUNCTION("""COMPUTED_VALUE"""),46129.0)</f>
        <v>46129</v>
      </c>
      <c r="D3044" s="154">
        <f>IFERROR(__xludf.DUMMYFUNCTION("""COMPUTED_VALUE"""),46142.0)</f>
        <v>46142</v>
      </c>
    </row>
    <row r="3045">
      <c r="A3045" s="153" t="str">
        <f>IFERROR(__xludf.DUMMYFUNCTION("""COMPUTED_VALUE"""),"ADK0000001052")</f>
        <v>ADK0000001052</v>
      </c>
      <c r="B3045" s="153" t="str">
        <f>IFERROR(__xludf.DUMMYFUNCTION("""COMPUTED_VALUE"""),"WES")</f>
        <v>WES</v>
      </c>
      <c r="C3045" s="154">
        <f>IFERROR(__xludf.DUMMYFUNCTION("""COMPUTED_VALUE"""),46129.0)</f>
        <v>46129</v>
      </c>
      <c r="D3045" s="154">
        <f>IFERROR(__xludf.DUMMYFUNCTION("""COMPUTED_VALUE"""),46148.0)</f>
        <v>46148</v>
      </c>
    </row>
    <row r="3046">
      <c r="A3046" s="153" t="str">
        <f>IFERROR(__xludf.DUMMYFUNCTION("""COMPUTED_VALUE"""),"ADK0000001053")</f>
        <v>ADK0000001053</v>
      </c>
      <c r="B3046" s="153" t="str">
        <f>IFERROR(__xludf.DUMMYFUNCTION("""COMPUTED_VALUE"""),"WES")</f>
        <v>WES</v>
      </c>
      <c r="C3046" s="154">
        <f>IFERROR(__xludf.DUMMYFUNCTION("""COMPUTED_VALUE"""),46129.0)</f>
        <v>46129</v>
      </c>
      <c r="D3046" s="154">
        <f>IFERROR(__xludf.DUMMYFUNCTION("""COMPUTED_VALUE"""),46148.0)</f>
        <v>46148</v>
      </c>
    </row>
    <row r="3047">
      <c r="A3047" s="153" t="str">
        <f>IFERROR(__xludf.DUMMYFUNCTION("""COMPUTED_VALUE"""),"ADN0000019828")</f>
        <v>ADN0000019828</v>
      </c>
      <c r="B3047" s="153" t="str">
        <f>IFERROR(__xludf.DUMMYFUNCTION("""COMPUTED_VALUE"""),"WES")</f>
        <v>WES</v>
      </c>
      <c r="C3047" s="154">
        <f>IFERROR(__xludf.DUMMYFUNCTION("""COMPUTED_VALUE"""),46129.0)</f>
        <v>46129</v>
      </c>
      <c r="D3047" s="154">
        <f>IFERROR(__xludf.DUMMYFUNCTION("""COMPUTED_VALUE"""),46148.0)</f>
        <v>46148</v>
      </c>
    </row>
    <row r="3048">
      <c r="A3048" s="153" t="str">
        <f>IFERROR(__xludf.DUMMYFUNCTION("""COMPUTED_VALUE"""),"ADN0000019829")</f>
        <v>ADN0000019829</v>
      </c>
      <c r="B3048" s="153" t="str">
        <f>IFERROR(__xludf.DUMMYFUNCTION("""COMPUTED_VALUE"""),"WES")</f>
        <v>WES</v>
      </c>
      <c r="C3048" s="154">
        <f>IFERROR(__xludf.DUMMYFUNCTION("""COMPUTED_VALUE"""),46129.0)</f>
        <v>46129</v>
      </c>
      <c r="D3048" s="154">
        <f>IFERROR(__xludf.DUMMYFUNCTION("""COMPUTED_VALUE"""),46148.0)</f>
        <v>46148</v>
      </c>
    </row>
    <row r="3049">
      <c r="A3049" s="153" t="str">
        <f>IFERROR(__xludf.DUMMYFUNCTION("""COMPUTED_VALUE"""),"ADK0000001124")</f>
        <v>ADK0000001124</v>
      </c>
      <c r="B3049" s="153" t="str">
        <f>IFERROR(__xludf.DUMMYFUNCTION("""COMPUTED_VALUE"""),"WES")</f>
        <v>WES</v>
      </c>
      <c r="C3049" s="154">
        <f>IFERROR(__xludf.DUMMYFUNCTION("""COMPUTED_VALUE"""),46129.0)</f>
        <v>46129</v>
      </c>
      <c r="D3049" s="154">
        <f>IFERROR(__xludf.DUMMYFUNCTION("""COMPUTED_VALUE"""),46144.0)</f>
        <v>46144</v>
      </c>
    </row>
    <row r="3050">
      <c r="A3050" s="153" t="str">
        <f>IFERROR(__xludf.DUMMYFUNCTION("""COMPUTED_VALUE"""),"ADK0000001125")</f>
        <v>ADK0000001125</v>
      </c>
      <c r="B3050" s="153" t="str">
        <f>IFERROR(__xludf.DUMMYFUNCTION("""COMPUTED_VALUE"""),"WES")</f>
        <v>WES</v>
      </c>
      <c r="C3050" s="154">
        <f>IFERROR(__xludf.DUMMYFUNCTION("""COMPUTED_VALUE"""),46129.0)</f>
        <v>46129</v>
      </c>
      <c r="D3050" s="154">
        <f>IFERROR(__xludf.DUMMYFUNCTION("""COMPUTED_VALUE"""),46144.0)</f>
        <v>46144</v>
      </c>
    </row>
    <row r="3051">
      <c r="A3051" s="153" t="str">
        <f>IFERROR(__xludf.DUMMYFUNCTION("""COMPUTED_VALUE"""),"ADK0000001126")</f>
        <v>ADK0000001126</v>
      </c>
      <c r="B3051" s="153" t="str">
        <f>IFERROR(__xludf.DUMMYFUNCTION("""COMPUTED_VALUE"""),"WES")</f>
        <v>WES</v>
      </c>
      <c r="C3051" s="154">
        <f>IFERROR(__xludf.DUMMYFUNCTION("""COMPUTED_VALUE"""),46129.0)</f>
        <v>46129</v>
      </c>
      <c r="D3051" s="154">
        <f>IFERROR(__xludf.DUMMYFUNCTION("""COMPUTED_VALUE"""),46144.0)</f>
        <v>46144</v>
      </c>
    </row>
    <row r="3052">
      <c r="A3052" s="153" t="str">
        <f>IFERROR(__xludf.DUMMYFUNCTION("""COMPUTED_VALUE"""),"ADK0000001127")</f>
        <v>ADK0000001127</v>
      </c>
      <c r="B3052" s="153" t="str">
        <f>IFERROR(__xludf.DUMMYFUNCTION("""COMPUTED_VALUE"""),"WES")</f>
        <v>WES</v>
      </c>
      <c r="C3052" s="154">
        <f>IFERROR(__xludf.DUMMYFUNCTION("""COMPUTED_VALUE"""),46129.0)</f>
        <v>46129</v>
      </c>
      <c r="D3052" s="154">
        <f>IFERROR(__xludf.DUMMYFUNCTION("""COMPUTED_VALUE"""),46144.0)</f>
        <v>46144</v>
      </c>
    </row>
    <row r="3053">
      <c r="A3053" s="153" t="str">
        <f>IFERROR(__xludf.DUMMYFUNCTION("""COMPUTED_VALUE"""),"ADK0000001128")</f>
        <v>ADK0000001128</v>
      </c>
      <c r="B3053" s="153" t="str">
        <f>IFERROR(__xludf.DUMMYFUNCTION("""COMPUTED_VALUE"""),"WES")</f>
        <v>WES</v>
      </c>
      <c r="C3053" s="154">
        <f>IFERROR(__xludf.DUMMYFUNCTION("""COMPUTED_VALUE"""),46129.0)</f>
        <v>46129</v>
      </c>
      <c r="D3053" s="154">
        <f>IFERROR(__xludf.DUMMYFUNCTION("""COMPUTED_VALUE"""),46144.0)</f>
        <v>46144</v>
      </c>
    </row>
    <row r="3054">
      <c r="A3054" s="153" t="str">
        <f>IFERROR(__xludf.DUMMYFUNCTION("""COMPUTED_VALUE"""),"ADK0000001129")</f>
        <v>ADK0000001129</v>
      </c>
      <c r="B3054" s="153" t="str">
        <f>IFERROR(__xludf.DUMMYFUNCTION("""COMPUTED_VALUE"""),"WES")</f>
        <v>WES</v>
      </c>
      <c r="C3054" s="154">
        <f>IFERROR(__xludf.DUMMYFUNCTION("""COMPUTED_VALUE"""),46129.0)</f>
        <v>46129</v>
      </c>
      <c r="D3054" s="154">
        <f>IFERROR(__xludf.DUMMYFUNCTION("""COMPUTED_VALUE"""),46144.0)</f>
        <v>46144</v>
      </c>
    </row>
    <row r="3055">
      <c r="A3055" s="153" t="str">
        <f>IFERROR(__xludf.DUMMYFUNCTION("""COMPUTED_VALUE"""),"ADK0000001130")</f>
        <v>ADK0000001130</v>
      </c>
      <c r="B3055" s="153" t="str">
        <f>IFERROR(__xludf.DUMMYFUNCTION("""COMPUTED_VALUE"""),"WES")</f>
        <v>WES</v>
      </c>
      <c r="C3055" s="154">
        <f>IFERROR(__xludf.DUMMYFUNCTION("""COMPUTED_VALUE"""),46129.0)</f>
        <v>46129</v>
      </c>
      <c r="D3055" s="154">
        <f>IFERROR(__xludf.DUMMYFUNCTION("""COMPUTED_VALUE"""),46144.0)</f>
        <v>46144</v>
      </c>
    </row>
    <row r="3056">
      <c r="A3056" s="153" t="str">
        <f>IFERROR(__xludf.DUMMYFUNCTION("""COMPUTED_VALUE"""),"ADK0000001133")</f>
        <v>ADK0000001133</v>
      </c>
      <c r="B3056" s="153" t="str">
        <f>IFERROR(__xludf.DUMMYFUNCTION("""COMPUTED_VALUE"""),"WES")</f>
        <v>WES</v>
      </c>
      <c r="C3056" s="154">
        <f>IFERROR(__xludf.DUMMYFUNCTION("""COMPUTED_VALUE"""),46129.0)</f>
        <v>46129</v>
      </c>
      <c r="D3056" s="154">
        <f>IFERROR(__xludf.DUMMYFUNCTION("""COMPUTED_VALUE"""),46144.0)</f>
        <v>46144</v>
      </c>
    </row>
    <row r="3057">
      <c r="A3057" s="153" t="str">
        <f>IFERROR(__xludf.DUMMYFUNCTION("""COMPUTED_VALUE"""),"ADK0000001134")</f>
        <v>ADK0000001134</v>
      </c>
      <c r="B3057" s="153" t="str">
        <f>IFERROR(__xludf.DUMMYFUNCTION("""COMPUTED_VALUE"""),"WES")</f>
        <v>WES</v>
      </c>
      <c r="C3057" s="154">
        <f>IFERROR(__xludf.DUMMYFUNCTION("""COMPUTED_VALUE"""),46129.0)</f>
        <v>46129</v>
      </c>
      <c r="D3057" s="154">
        <f>IFERROR(__xludf.DUMMYFUNCTION("""COMPUTED_VALUE"""),46144.0)</f>
        <v>46144</v>
      </c>
    </row>
    <row r="3058">
      <c r="A3058" s="153" t="str">
        <f>IFERROR(__xludf.DUMMYFUNCTION("""COMPUTED_VALUE"""),"ADK0000001135")</f>
        <v>ADK0000001135</v>
      </c>
      <c r="B3058" s="153" t="str">
        <f>IFERROR(__xludf.DUMMYFUNCTION("""COMPUTED_VALUE"""),"WES")</f>
        <v>WES</v>
      </c>
      <c r="C3058" s="154">
        <f>IFERROR(__xludf.DUMMYFUNCTION("""COMPUTED_VALUE"""),46129.0)</f>
        <v>46129</v>
      </c>
      <c r="D3058" s="154">
        <f>IFERROR(__xludf.DUMMYFUNCTION("""COMPUTED_VALUE"""),46144.0)</f>
        <v>46144</v>
      </c>
    </row>
    <row r="3059">
      <c r="A3059" s="153" t="str">
        <f>IFERROR(__xludf.DUMMYFUNCTION("""COMPUTED_VALUE"""),"ADK0000001136")</f>
        <v>ADK0000001136</v>
      </c>
      <c r="B3059" s="153" t="str">
        <f>IFERROR(__xludf.DUMMYFUNCTION("""COMPUTED_VALUE"""),"WES")</f>
        <v>WES</v>
      </c>
      <c r="C3059" s="154">
        <f>IFERROR(__xludf.DUMMYFUNCTION("""COMPUTED_VALUE"""),46129.0)</f>
        <v>46129</v>
      </c>
      <c r="D3059" s="154">
        <f>IFERROR(__xludf.DUMMYFUNCTION("""COMPUTED_VALUE"""),46144.0)</f>
        <v>46144</v>
      </c>
    </row>
    <row r="3060">
      <c r="A3060" s="153" t="str">
        <f>IFERROR(__xludf.DUMMYFUNCTION("""COMPUTED_VALUE"""),"ADK0000001137")</f>
        <v>ADK0000001137</v>
      </c>
      <c r="B3060" s="153" t="str">
        <f>IFERROR(__xludf.DUMMYFUNCTION("""COMPUTED_VALUE"""),"WES")</f>
        <v>WES</v>
      </c>
      <c r="C3060" s="154">
        <f>IFERROR(__xludf.DUMMYFUNCTION("""COMPUTED_VALUE"""),46129.0)</f>
        <v>46129</v>
      </c>
      <c r="D3060" s="154">
        <f>IFERROR(__xludf.DUMMYFUNCTION("""COMPUTED_VALUE"""),46144.0)</f>
        <v>46144</v>
      </c>
    </row>
    <row r="3061">
      <c r="A3061" s="153" t="str">
        <f>IFERROR(__xludf.DUMMYFUNCTION("""COMPUTED_VALUE"""),"ADK0000001138")</f>
        <v>ADK0000001138</v>
      </c>
      <c r="B3061" s="153" t="str">
        <f>IFERROR(__xludf.DUMMYFUNCTION("""COMPUTED_VALUE"""),"WES")</f>
        <v>WES</v>
      </c>
      <c r="C3061" s="154">
        <f>IFERROR(__xludf.DUMMYFUNCTION("""COMPUTED_VALUE"""),46129.0)</f>
        <v>46129</v>
      </c>
      <c r="D3061" s="154">
        <f>IFERROR(__xludf.DUMMYFUNCTION("""COMPUTED_VALUE"""),46144.0)</f>
        <v>46144</v>
      </c>
    </row>
    <row r="3062">
      <c r="A3062" s="153" t="str">
        <f>IFERROR(__xludf.DUMMYFUNCTION("""COMPUTED_VALUE"""),"ADK0000001139")</f>
        <v>ADK0000001139</v>
      </c>
      <c r="B3062" s="153" t="str">
        <f>IFERROR(__xludf.DUMMYFUNCTION("""COMPUTED_VALUE"""),"WES")</f>
        <v>WES</v>
      </c>
      <c r="C3062" s="154">
        <f>IFERROR(__xludf.DUMMYFUNCTION("""COMPUTED_VALUE"""),46129.0)</f>
        <v>46129</v>
      </c>
      <c r="D3062" s="154">
        <f>IFERROR(__xludf.DUMMYFUNCTION("""COMPUTED_VALUE"""),46144.0)</f>
        <v>46144</v>
      </c>
    </row>
    <row r="3063">
      <c r="A3063" s="153" t="str">
        <f>IFERROR(__xludf.DUMMYFUNCTION("""COMPUTED_VALUE"""),"ADK0000001140")</f>
        <v>ADK0000001140</v>
      </c>
      <c r="B3063" s="153" t="str">
        <f>IFERROR(__xludf.DUMMYFUNCTION("""COMPUTED_VALUE"""),"WES")</f>
        <v>WES</v>
      </c>
      <c r="C3063" s="154">
        <f>IFERROR(__xludf.DUMMYFUNCTION("""COMPUTED_VALUE"""),46129.0)</f>
        <v>46129</v>
      </c>
      <c r="D3063" s="154">
        <f>IFERROR(__xludf.DUMMYFUNCTION("""COMPUTED_VALUE"""),46144.0)</f>
        <v>46144</v>
      </c>
    </row>
    <row r="3064">
      <c r="A3064" s="153" t="str">
        <f>IFERROR(__xludf.DUMMYFUNCTION("""COMPUTED_VALUE"""),"ADK0000001141")</f>
        <v>ADK0000001141</v>
      </c>
      <c r="B3064" s="153" t="str">
        <f>IFERROR(__xludf.DUMMYFUNCTION("""COMPUTED_VALUE"""),"WES")</f>
        <v>WES</v>
      </c>
      <c r="C3064" s="154">
        <f>IFERROR(__xludf.DUMMYFUNCTION("""COMPUTED_VALUE"""),46129.0)</f>
        <v>46129</v>
      </c>
      <c r="D3064" s="154">
        <f>IFERROR(__xludf.DUMMYFUNCTION("""COMPUTED_VALUE"""),46144.0)</f>
        <v>46144</v>
      </c>
    </row>
    <row r="3065">
      <c r="A3065" s="153" t="str">
        <f>IFERROR(__xludf.DUMMYFUNCTION("""COMPUTED_VALUE"""),"ADK0000001142")</f>
        <v>ADK0000001142</v>
      </c>
      <c r="B3065" s="153" t="str">
        <f>IFERROR(__xludf.DUMMYFUNCTION("""COMPUTED_VALUE"""),"WES")</f>
        <v>WES</v>
      </c>
      <c r="C3065" s="154">
        <f>IFERROR(__xludf.DUMMYFUNCTION("""COMPUTED_VALUE"""),46129.0)</f>
        <v>46129</v>
      </c>
      <c r="D3065" s="154">
        <f>IFERROR(__xludf.DUMMYFUNCTION("""COMPUTED_VALUE"""),46144.0)</f>
        <v>46144</v>
      </c>
    </row>
    <row r="3066">
      <c r="A3066" s="153" t="str">
        <f>IFERROR(__xludf.DUMMYFUNCTION("""COMPUTED_VALUE"""),"ADK0000001169")</f>
        <v>ADK0000001169</v>
      </c>
      <c r="B3066" s="153" t="str">
        <f>IFERROR(__xludf.DUMMYFUNCTION("""COMPUTED_VALUE"""),"WES")</f>
        <v>WES</v>
      </c>
      <c r="C3066" s="154">
        <f>IFERROR(__xludf.DUMMYFUNCTION("""COMPUTED_VALUE"""),46129.0)</f>
        <v>46129</v>
      </c>
      <c r="D3066" s="154">
        <f>IFERROR(__xludf.DUMMYFUNCTION("""COMPUTED_VALUE"""),46144.0)</f>
        <v>46144</v>
      </c>
    </row>
    <row r="3067">
      <c r="A3067" s="153" t="str">
        <f>IFERROR(__xludf.DUMMYFUNCTION("""COMPUTED_VALUE"""),"ADK0000001327")</f>
        <v>ADK0000001327</v>
      </c>
      <c r="B3067" s="153" t="str">
        <f>IFERROR(__xludf.DUMMYFUNCTION("""COMPUTED_VALUE"""),"WES")</f>
        <v>WES</v>
      </c>
      <c r="C3067" s="154">
        <f>IFERROR(__xludf.DUMMYFUNCTION("""COMPUTED_VALUE"""),46129.0)</f>
        <v>46129</v>
      </c>
      <c r="D3067" s="154">
        <f>IFERROR(__xludf.DUMMYFUNCTION("""COMPUTED_VALUE"""),46144.0)</f>
        <v>46144</v>
      </c>
    </row>
    <row r="3068">
      <c r="A3068" s="153" t="str">
        <f>IFERROR(__xludf.DUMMYFUNCTION("""COMPUTED_VALUE"""),"ADK0000001328")</f>
        <v>ADK0000001328</v>
      </c>
      <c r="B3068" s="153" t="str">
        <f>IFERROR(__xludf.DUMMYFUNCTION("""COMPUTED_VALUE"""),"WES")</f>
        <v>WES</v>
      </c>
      <c r="C3068" s="154">
        <f>IFERROR(__xludf.DUMMYFUNCTION("""COMPUTED_VALUE"""),46129.0)</f>
        <v>46129</v>
      </c>
      <c r="D3068" s="154">
        <f>IFERROR(__xludf.DUMMYFUNCTION("""COMPUTED_VALUE"""),46144.0)</f>
        <v>46144</v>
      </c>
    </row>
    <row r="3069">
      <c r="A3069" s="153" t="str">
        <f>IFERROR(__xludf.DUMMYFUNCTION("""COMPUTED_VALUE"""),"ADK0000001329")</f>
        <v>ADK0000001329</v>
      </c>
      <c r="B3069" s="153" t="str">
        <f>IFERROR(__xludf.DUMMYFUNCTION("""COMPUTED_VALUE"""),"WES")</f>
        <v>WES</v>
      </c>
      <c r="C3069" s="154">
        <f>IFERROR(__xludf.DUMMYFUNCTION("""COMPUTED_VALUE"""),46129.0)</f>
        <v>46129</v>
      </c>
      <c r="D3069" s="154">
        <f>IFERROR(__xludf.DUMMYFUNCTION("""COMPUTED_VALUE"""),46144.0)</f>
        <v>46144</v>
      </c>
    </row>
    <row r="3070">
      <c r="A3070" s="153" t="str">
        <f>IFERROR(__xludf.DUMMYFUNCTION("""COMPUTED_VALUE"""),"ADK0000001149 
")</f>
        <v>ADK0000001149 
</v>
      </c>
      <c r="B3070" s="153" t="str">
        <f>IFERROR(__xludf.DUMMYFUNCTION("""COMPUTED_VALUE"""),"WES")</f>
        <v>WES</v>
      </c>
      <c r="C3070" s="154">
        <f>IFERROR(__xludf.DUMMYFUNCTION("""COMPUTED_VALUE"""),46132.0)</f>
        <v>46132</v>
      </c>
      <c r="D3070" s="154">
        <f>IFERROR(__xludf.DUMMYFUNCTION("""COMPUTED_VALUE"""),46144.0)</f>
        <v>46144</v>
      </c>
    </row>
    <row r="3071">
      <c r="A3071" s="153" t="str">
        <f>IFERROR(__xludf.DUMMYFUNCTION("""COMPUTED_VALUE"""),"ADK0000001189")</f>
        <v>ADK0000001189</v>
      </c>
      <c r="B3071" s="153" t="str">
        <f>IFERROR(__xludf.DUMMYFUNCTION("""COMPUTED_VALUE"""),"WES")</f>
        <v>WES</v>
      </c>
      <c r="C3071" s="154">
        <f>IFERROR(__xludf.DUMMYFUNCTION("""COMPUTED_VALUE"""),46132.0)</f>
        <v>46132</v>
      </c>
      <c r="D3071" s="154">
        <f>IFERROR(__xludf.DUMMYFUNCTION("""COMPUTED_VALUE"""),46154.0)</f>
        <v>46154</v>
      </c>
    </row>
    <row r="3072">
      <c r="A3072" s="153" t="str">
        <f>IFERROR(__xludf.DUMMYFUNCTION("""COMPUTED_VALUE"""),"PH50000011217")</f>
        <v>PH50000011217</v>
      </c>
      <c r="B3072" s="153" t="str">
        <f>IFERROR(__xludf.DUMMYFUNCTION("""COMPUTED_VALUE"""),"WES+WMGS")</f>
        <v>WES+WMGS</v>
      </c>
      <c r="C3072" s="154">
        <f>IFERROR(__xludf.DUMMYFUNCTION("""COMPUTED_VALUE"""),46132.0)</f>
        <v>46132</v>
      </c>
      <c r="D3072" s="154">
        <f>IFERROR(__xludf.DUMMYFUNCTION("""COMPUTED_VALUE"""),46152.0)</f>
        <v>46152</v>
      </c>
    </row>
    <row r="3073">
      <c r="A3073" s="153" t="str">
        <f>IFERROR(__xludf.DUMMYFUNCTION("""COMPUTED_VALUE"""),"ADB0000032481")</f>
        <v>ADB0000032481</v>
      </c>
      <c r="B3073" s="153" t="str">
        <f>IFERROR(__xludf.DUMMYFUNCTION("""COMPUTED_VALUE"""),"FEMALE INFERTILITY NGS PANEL")</f>
        <v>FEMALE INFERTILITY NGS PANEL</v>
      </c>
      <c r="C3073" s="154">
        <f>IFERROR(__xludf.DUMMYFUNCTION("""COMPUTED_VALUE"""),46132.0)</f>
        <v>46132</v>
      </c>
      <c r="D3073" s="154">
        <f>IFERROR(__xludf.DUMMYFUNCTION("""COMPUTED_VALUE"""),46138.0)</f>
        <v>46138</v>
      </c>
    </row>
    <row r="3074">
      <c r="A3074" s="153" t="str">
        <f>IFERROR(__xludf.DUMMYFUNCTION("""COMPUTED_VALUE"""),"ADB0000032531")</f>
        <v>ADB0000032531</v>
      </c>
      <c r="B3074" s="153" t="str">
        <f>IFERROR(__xludf.DUMMYFUNCTION("""COMPUTED_VALUE"""),"WES")</f>
        <v>WES</v>
      </c>
      <c r="C3074" s="154">
        <f>IFERROR(__xludf.DUMMYFUNCTION("""COMPUTED_VALUE"""),46132.0)</f>
        <v>46132</v>
      </c>
      <c r="D3074" s="154">
        <f>IFERROR(__xludf.DUMMYFUNCTION("""COMPUTED_VALUE"""),46149.0)</f>
        <v>46149</v>
      </c>
    </row>
    <row r="3075">
      <c r="A3075" s="153" t="str">
        <f>IFERROR(__xludf.DUMMYFUNCTION("""COMPUTED_VALUE"""),"CHM0000019231")</f>
        <v>CHM0000019231</v>
      </c>
      <c r="B3075" s="153" t="str">
        <f>IFERROR(__xludf.DUMMYFUNCTION("""COMPUTED_VALUE"""),"WES+WMGS")</f>
        <v>WES+WMGS</v>
      </c>
      <c r="C3075" s="154">
        <f>IFERROR(__xludf.DUMMYFUNCTION("""COMPUTED_VALUE"""),46132.0)</f>
        <v>46132</v>
      </c>
      <c r="D3075" s="154">
        <f>IFERROR(__xludf.DUMMYFUNCTION("""COMPUTED_VALUE"""),46149.0)</f>
        <v>46149</v>
      </c>
    </row>
    <row r="3076">
      <c r="A3076" s="153" t="str">
        <f>IFERROR(__xludf.DUMMYFUNCTION("""COMPUTED_VALUE"""),"HYP0000001095")</f>
        <v>HYP0000001095</v>
      </c>
      <c r="B3076" s="153" t="str">
        <f>IFERROR(__xludf.DUMMYFUNCTION("""COMPUTED_VALUE"""),"WES")</f>
        <v>WES</v>
      </c>
      <c r="C3076" s="154">
        <f>IFERROR(__xludf.DUMMYFUNCTION("""COMPUTED_VALUE"""),46132.0)</f>
        <v>46132</v>
      </c>
      <c r="D3076" s="154">
        <f>IFERROR(__xludf.DUMMYFUNCTION("""COMPUTED_VALUE"""),46146.0)</f>
        <v>46146</v>
      </c>
    </row>
    <row r="3077">
      <c r="A3077" s="153" t="str">
        <f>IFERROR(__xludf.DUMMYFUNCTION("""COMPUTED_VALUE"""),"ADH0000020429")</f>
        <v>ADH0000020429</v>
      </c>
      <c r="B3077" s="153" t="str">
        <f>IFERROR(__xludf.DUMMYFUNCTION("""COMPUTED_VALUE"""),"WES")</f>
        <v>WES</v>
      </c>
      <c r="C3077" s="154">
        <f>IFERROR(__xludf.DUMMYFUNCTION("""COMPUTED_VALUE"""),46132.0)</f>
        <v>46132</v>
      </c>
      <c r="D3077" s="154">
        <f>IFERROR(__xludf.DUMMYFUNCTION("""COMPUTED_VALUE"""),46147.0)</f>
        <v>46147</v>
      </c>
    </row>
    <row r="3078">
      <c r="A3078" s="153" t="str">
        <f>IFERROR(__xludf.DUMMYFUNCTION("""COMPUTED_VALUE"""),"ADH0000020428")</f>
        <v>ADH0000020428</v>
      </c>
      <c r="B3078" s="153" t="str">
        <f>IFERROR(__xludf.DUMMYFUNCTION("""COMPUTED_VALUE"""),"WES")</f>
        <v>WES</v>
      </c>
      <c r="C3078" s="154">
        <f>IFERROR(__xludf.DUMMYFUNCTION("""COMPUTED_VALUE"""),46132.0)</f>
        <v>46132</v>
      </c>
      <c r="D3078" s="154">
        <f>IFERROR(__xludf.DUMMYFUNCTION("""COMPUTED_VALUE"""),46147.0)</f>
        <v>46147</v>
      </c>
    </row>
    <row r="3079">
      <c r="A3079" s="153" t="str">
        <f>IFERROR(__xludf.DUMMYFUNCTION("""COMPUTED_VALUE"""),"ADH0000020432")</f>
        <v>ADH0000020432</v>
      </c>
      <c r="B3079" s="153" t="str">
        <f>IFERROR(__xludf.DUMMYFUNCTION("""COMPUTED_VALUE"""),"WES")</f>
        <v>WES</v>
      </c>
      <c r="C3079" s="154">
        <f>IFERROR(__xludf.DUMMYFUNCTION("""COMPUTED_VALUE"""),46132.0)</f>
        <v>46132</v>
      </c>
      <c r="D3079" s="154">
        <f>IFERROR(__xludf.DUMMYFUNCTION("""COMPUTED_VALUE"""),46147.0)</f>
        <v>46147</v>
      </c>
    </row>
    <row r="3080">
      <c r="A3080" s="153" t="str">
        <f>IFERROR(__xludf.DUMMYFUNCTION("""COMPUTED_VALUE"""),"IDG0000000088")</f>
        <v>IDG0000000088</v>
      </c>
      <c r="B3080" s="153" t="str">
        <f>IFERROR(__xludf.DUMMYFUNCTION("""COMPUTED_VALUE"""),"WES")</f>
        <v>WES</v>
      </c>
      <c r="C3080" s="154">
        <f>IFERROR(__xludf.DUMMYFUNCTION("""COMPUTED_VALUE"""),46132.0)</f>
        <v>46132</v>
      </c>
      <c r="D3080" s="154">
        <f>IFERROR(__xludf.DUMMYFUNCTION("""COMPUTED_VALUE"""),46142.0)</f>
        <v>46142</v>
      </c>
    </row>
    <row r="3081">
      <c r="A3081" s="153" t="str">
        <f>IFERROR(__xludf.DUMMYFUNCTION("""COMPUTED_VALUE"""),"ADH0000020693")</f>
        <v>ADH0000020693</v>
      </c>
      <c r="B3081" s="153" t="str">
        <f>IFERROR(__xludf.DUMMYFUNCTION("""COMPUTED_VALUE"""),"WES")</f>
        <v>WES</v>
      </c>
      <c r="C3081" s="154">
        <f>IFERROR(__xludf.DUMMYFUNCTION("""COMPUTED_VALUE"""),46132.0)</f>
        <v>46132</v>
      </c>
      <c r="D3081" s="154">
        <f>IFERROR(__xludf.DUMMYFUNCTION("""COMPUTED_VALUE"""),46144.0)</f>
        <v>46144</v>
      </c>
    </row>
    <row r="3082">
      <c r="A3082" s="153" t="str">
        <f>IFERROR(__xludf.DUMMYFUNCTION("""COMPUTED_VALUE"""),"AMB0000008342")</f>
        <v>AMB0000008342</v>
      </c>
      <c r="B3082" s="153" t="str">
        <f>IFERROR(__xludf.DUMMYFUNCTION("""COMPUTED_VALUE"""),"WES")</f>
        <v>WES</v>
      </c>
      <c r="C3082" s="154">
        <f>IFERROR(__xludf.DUMMYFUNCTION("""COMPUTED_VALUE"""),46132.0)</f>
        <v>46132</v>
      </c>
      <c r="D3082" s="154">
        <f>IFERROR(__xludf.DUMMYFUNCTION("""COMPUTED_VALUE"""),46149.0)</f>
        <v>46149</v>
      </c>
    </row>
    <row r="3083">
      <c r="A3083" s="153" t="str">
        <f>IFERROR(__xludf.DUMMYFUNCTION("""COMPUTED_VALUE"""),"AMB0000008343")</f>
        <v>AMB0000008343</v>
      </c>
      <c r="B3083" s="153" t="str">
        <f>IFERROR(__xludf.DUMMYFUNCTION("""COMPUTED_VALUE"""),"WES")</f>
        <v>WES</v>
      </c>
      <c r="C3083" s="154">
        <f>IFERROR(__xludf.DUMMYFUNCTION("""COMPUTED_VALUE"""),46132.0)</f>
        <v>46132</v>
      </c>
      <c r="D3083" s="154">
        <f>IFERROR(__xludf.DUMMYFUNCTION("""COMPUTED_VALUE"""),46149.0)</f>
        <v>46149</v>
      </c>
    </row>
    <row r="3084">
      <c r="A3084" s="153" t="str">
        <f>IFERROR(__xludf.DUMMYFUNCTION("""COMPUTED_VALUE"""),"ADK0000001059")</f>
        <v>ADK0000001059</v>
      </c>
      <c r="B3084" s="153" t="str">
        <f>IFERROR(__xludf.DUMMYFUNCTION("""COMPUTED_VALUE"""),"WES")</f>
        <v>WES</v>
      </c>
      <c r="C3084" s="154">
        <f>IFERROR(__xludf.DUMMYFUNCTION("""COMPUTED_VALUE"""),46132.0)</f>
        <v>46132</v>
      </c>
      <c r="D3084" s="154">
        <f>IFERROR(__xludf.DUMMYFUNCTION("""COMPUTED_VALUE"""),46148.0)</f>
        <v>46148</v>
      </c>
    </row>
    <row r="3085">
      <c r="A3085" s="153" t="str">
        <f>IFERROR(__xludf.DUMMYFUNCTION("""COMPUTED_VALUE"""),"ADK0000001060")</f>
        <v>ADK0000001060</v>
      </c>
      <c r="B3085" s="153" t="str">
        <f>IFERROR(__xludf.DUMMYFUNCTION("""COMPUTED_VALUE"""),"WES")</f>
        <v>WES</v>
      </c>
      <c r="C3085" s="154">
        <f>IFERROR(__xludf.DUMMYFUNCTION("""COMPUTED_VALUE"""),46132.0)</f>
        <v>46132</v>
      </c>
      <c r="D3085" s="154">
        <f>IFERROR(__xludf.DUMMYFUNCTION("""COMPUTED_VALUE"""),46148.0)</f>
        <v>46148</v>
      </c>
    </row>
    <row r="3086">
      <c r="A3086" s="153" t="str">
        <f>IFERROR(__xludf.DUMMYFUNCTION("""COMPUTED_VALUE"""),"ADB0000032900")</f>
        <v>ADB0000032900</v>
      </c>
      <c r="B3086" s="153" t="str">
        <f>IFERROR(__xludf.DUMMYFUNCTION("""COMPUTED_VALUE"""),"WES")</f>
        <v>WES</v>
      </c>
      <c r="C3086" s="154">
        <f>IFERROR(__xludf.DUMMYFUNCTION("""COMPUTED_VALUE"""),46132.0)</f>
        <v>46132</v>
      </c>
      <c r="D3086" s="154">
        <f>IFERROR(__xludf.DUMMYFUNCTION("""COMPUTED_VALUE"""),46150.0)</f>
        <v>46150</v>
      </c>
    </row>
    <row r="3087">
      <c r="A3087" s="153" t="str">
        <f>IFERROR(__xludf.DUMMYFUNCTION("""COMPUTED_VALUE"""),"AKP0000016141")</f>
        <v>AKP0000016141</v>
      </c>
      <c r="B3087" s="153" t="str">
        <f>IFERROR(__xludf.DUMMYFUNCTION("""COMPUTED_VALUE"""),"WES")</f>
        <v>WES</v>
      </c>
      <c r="C3087" s="154">
        <f>IFERROR(__xludf.DUMMYFUNCTION("""COMPUTED_VALUE"""),46132.0)</f>
        <v>46132</v>
      </c>
      <c r="D3087" s="154">
        <f>IFERROR(__xludf.DUMMYFUNCTION("""COMPUTED_VALUE"""),46151.0)</f>
        <v>46151</v>
      </c>
    </row>
    <row r="3088">
      <c r="A3088" s="153" t="str">
        <f>IFERROR(__xludf.DUMMYFUNCTION("""COMPUTED_VALUE"""),"ABC0000000819")</f>
        <v>ABC0000000819</v>
      </c>
      <c r="B3088" s="153" t="str">
        <f>IFERROR(__xludf.DUMMYFUNCTION("""COMPUTED_VALUE"""),"CES")</f>
        <v>CES</v>
      </c>
      <c r="C3088" s="154">
        <f>IFERROR(__xludf.DUMMYFUNCTION("""COMPUTED_VALUE"""),46132.0)</f>
        <v>46132</v>
      </c>
      <c r="D3088" s="154">
        <f>IFERROR(__xludf.DUMMYFUNCTION("""COMPUTED_VALUE"""),46151.0)</f>
        <v>46151</v>
      </c>
    </row>
    <row r="3089">
      <c r="A3089" s="153" t="str">
        <f>IFERROR(__xludf.DUMMYFUNCTION("""COMPUTED_VALUE"""),"HYP0000001192")</f>
        <v>HYP0000001192</v>
      </c>
      <c r="B3089" s="153" t="str">
        <f>IFERROR(__xludf.DUMMYFUNCTION("""COMPUTED_VALUE"""),"FEMALE INFERTILITY NGS PANEL")</f>
        <v>FEMALE INFERTILITY NGS PANEL</v>
      </c>
      <c r="C3089" s="154">
        <f>IFERROR(__xludf.DUMMYFUNCTION("""COMPUTED_VALUE"""),46132.0)</f>
        <v>46132</v>
      </c>
      <c r="D3089" s="154">
        <f>IFERROR(__xludf.DUMMYFUNCTION("""COMPUTED_VALUE"""),46139.0)</f>
        <v>46139</v>
      </c>
    </row>
    <row r="3090">
      <c r="A3090" s="153" t="str">
        <f>IFERROR(__xludf.DUMMYFUNCTION("""COMPUTED_VALUE"""),"AND0000009617")</f>
        <v>AND0000009617</v>
      </c>
      <c r="B3090" s="153" t="str">
        <f>IFERROR(__xludf.DUMMYFUNCTION("""COMPUTED_VALUE"""),"WES")</f>
        <v>WES</v>
      </c>
      <c r="C3090" s="154">
        <f>IFERROR(__xludf.DUMMYFUNCTION("""COMPUTED_VALUE"""),46132.0)</f>
        <v>46132</v>
      </c>
      <c r="D3090" s="154">
        <f>IFERROR(__xludf.DUMMYFUNCTION("""COMPUTED_VALUE"""),46149.0)</f>
        <v>46149</v>
      </c>
    </row>
    <row r="3091">
      <c r="A3091" s="153" t="str">
        <f>IFERROR(__xludf.DUMMYFUNCTION("""COMPUTED_VALUE"""),"AND0000009619")</f>
        <v>AND0000009619</v>
      </c>
      <c r="B3091" s="153" t="str">
        <f>IFERROR(__xludf.DUMMYFUNCTION("""COMPUTED_VALUE"""),"WES")</f>
        <v>WES</v>
      </c>
      <c r="C3091" s="154">
        <f>IFERROR(__xludf.DUMMYFUNCTION("""COMPUTED_VALUE"""),46132.0)</f>
        <v>46132</v>
      </c>
      <c r="D3091" s="154">
        <f>IFERROR(__xludf.DUMMYFUNCTION("""COMPUTED_VALUE"""),46149.0)</f>
        <v>46149</v>
      </c>
    </row>
    <row r="3092">
      <c r="A3092" s="153" t="str">
        <f>IFERROR(__xludf.DUMMYFUNCTION("""COMPUTED_VALUE"""),"MDU0000010297")</f>
        <v>MDU0000010297</v>
      </c>
      <c r="B3092" s="153" t="str">
        <f>IFERROR(__xludf.DUMMYFUNCTION("""COMPUTED_VALUE"""),"WES")</f>
        <v>WES</v>
      </c>
      <c r="C3092" s="154">
        <f>IFERROR(__xludf.DUMMYFUNCTION("""COMPUTED_VALUE"""),46132.0)</f>
        <v>46132</v>
      </c>
      <c r="D3092" s="154">
        <f>IFERROR(__xludf.DUMMYFUNCTION("""COMPUTED_VALUE"""),46146.0)</f>
        <v>46146</v>
      </c>
    </row>
    <row r="3093">
      <c r="A3093" s="153" t="str">
        <f>IFERROR(__xludf.DUMMYFUNCTION("""COMPUTED_VALUE"""),"ADH0000021129")</f>
        <v>ADH0000021129</v>
      </c>
      <c r="B3093" s="153" t="str">
        <f>IFERROR(__xludf.DUMMYFUNCTION("""COMPUTED_VALUE"""),"WES")</f>
        <v>WES</v>
      </c>
      <c r="C3093" s="154">
        <f>IFERROR(__xludf.DUMMYFUNCTION("""COMPUTED_VALUE"""),46132.0)</f>
        <v>46132</v>
      </c>
      <c r="D3093" s="154">
        <f>IFERROR(__xludf.DUMMYFUNCTION("""COMPUTED_VALUE"""),46146.0)</f>
        <v>46146</v>
      </c>
    </row>
    <row r="3094">
      <c r="A3094" s="153" t="str">
        <f>IFERROR(__xludf.DUMMYFUNCTION("""COMPUTED_VALUE"""),"HYP0000001191")</f>
        <v>HYP0000001191</v>
      </c>
      <c r="B3094" s="153" t="str">
        <f>IFERROR(__xludf.DUMMYFUNCTION("""COMPUTED_VALUE"""),"MALE INFERTILITY NGS PANEL")</f>
        <v>MALE INFERTILITY NGS PANEL</v>
      </c>
      <c r="C3094" s="154">
        <f>IFERROR(__xludf.DUMMYFUNCTION("""COMPUTED_VALUE"""),46132.0)</f>
        <v>46132</v>
      </c>
      <c r="D3094" s="154">
        <f>IFERROR(__xludf.DUMMYFUNCTION("""COMPUTED_VALUE"""),46139.0)</f>
        <v>46139</v>
      </c>
    </row>
    <row r="3095">
      <c r="A3095" s="153" t="str">
        <f>IFERROR(__xludf.DUMMYFUNCTION("""COMPUTED_VALUE"""),"ADK0000001171")</f>
        <v>ADK0000001171</v>
      </c>
      <c r="B3095" s="153" t="str">
        <f>IFERROR(__xludf.DUMMYFUNCTION("""COMPUTED_VALUE"""),"WES")</f>
        <v>WES</v>
      </c>
      <c r="C3095" s="154">
        <f>IFERROR(__xludf.DUMMYFUNCTION("""COMPUTED_VALUE"""),46132.0)</f>
        <v>46132</v>
      </c>
      <c r="D3095" s="154">
        <f>IFERROR(__xludf.DUMMYFUNCTION("""COMPUTED_VALUE"""),46146.0)</f>
        <v>46146</v>
      </c>
    </row>
    <row r="3096">
      <c r="A3096" s="153" t="str">
        <f>IFERROR(__xludf.DUMMYFUNCTION("""COMPUTED_VALUE"""),"ADK0000001172")</f>
        <v>ADK0000001172</v>
      </c>
      <c r="B3096" s="153" t="str">
        <f>IFERROR(__xludf.DUMMYFUNCTION("""COMPUTED_VALUE"""),"WES")</f>
        <v>WES</v>
      </c>
      <c r="C3096" s="154">
        <f>IFERROR(__xludf.DUMMYFUNCTION("""COMPUTED_VALUE"""),46132.0)</f>
        <v>46132</v>
      </c>
      <c r="D3096" s="154">
        <f>IFERROR(__xludf.DUMMYFUNCTION("""COMPUTED_VALUE"""),46146.0)</f>
        <v>46146</v>
      </c>
    </row>
    <row r="3097">
      <c r="A3097" s="153" t="str">
        <f>IFERROR(__xludf.DUMMYFUNCTION("""COMPUTED_VALUE"""),"ADK0000001173")</f>
        <v>ADK0000001173</v>
      </c>
      <c r="B3097" s="153" t="str">
        <f>IFERROR(__xludf.DUMMYFUNCTION("""COMPUTED_VALUE"""),"WES")</f>
        <v>WES</v>
      </c>
      <c r="C3097" s="154">
        <f>IFERROR(__xludf.DUMMYFUNCTION("""COMPUTED_VALUE"""),46132.0)</f>
        <v>46132</v>
      </c>
      <c r="D3097" s="154">
        <f>IFERROR(__xludf.DUMMYFUNCTION("""COMPUTED_VALUE"""),46146.0)</f>
        <v>46146</v>
      </c>
    </row>
    <row r="3098">
      <c r="A3098" s="153" t="str">
        <f>IFERROR(__xludf.DUMMYFUNCTION("""COMPUTED_VALUE"""),"ADK0000001174")</f>
        <v>ADK0000001174</v>
      </c>
      <c r="B3098" s="153" t="str">
        <f>IFERROR(__xludf.DUMMYFUNCTION("""COMPUTED_VALUE"""),"WES")</f>
        <v>WES</v>
      </c>
      <c r="C3098" s="154">
        <f>IFERROR(__xludf.DUMMYFUNCTION("""COMPUTED_VALUE"""),46132.0)</f>
        <v>46132</v>
      </c>
      <c r="D3098" s="154">
        <f>IFERROR(__xludf.DUMMYFUNCTION("""COMPUTED_VALUE"""),46146.0)</f>
        <v>46146</v>
      </c>
    </row>
    <row r="3099">
      <c r="A3099" s="153" t="str">
        <f>IFERROR(__xludf.DUMMYFUNCTION("""COMPUTED_VALUE"""),"ADK0000001175")</f>
        <v>ADK0000001175</v>
      </c>
      <c r="B3099" s="153" t="str">
        <f>IFERROR(__xludf.DUMMYFUNCTION("""COMPUTED_VALUE"""),"WES")</f>
        <v>WES</v>
      </c>
      <c r="C3099" s="154">
        <f>IFERROR(__xludf.DUMMYFUNCTION("""COMPUTED_VALUE"""),46132.0)</f>
        <v>46132</v>
      </c>
      <c r="D3099" s="154">
        <f>IFERROR(__xludf.DUMMYFUNCTION("""COMPUTED_VALUE"""),46146.0)</f>
        <v>46146</v>
      </c>
    </row>
    <row r="3100">
      <c r="A3100" s="153" t="str">
        <f>IFERROR(__xludf.DUMMYFUNCTION("""COMPUTED_VALUE"""),"ADK0000001112")</f>
        <v>ADK0000001112</v>
      </c>
      <c r="B3100" s="153" t="str">
        <f>IFERROR(__xludf.DUMMYFUNCTION("""COMPUTED_VALUE"""),"WES")</f>
        <v>WES</v>
      </c>
      <c r="C3100" s="154">
        <f>IFERROR(__xludf.DUMMYFUNCTION("""COMPUTED_VALUE"""),46132.0)</f>
        <v>46132</v>
      </c>
      <c r="D3100" s="154">
        <f>IFERROR(__xludf.DUMMYFUNCTION("""COMPUTED_VALUE"""),46149.0)</f>
        <v>46149</v>
      </c>
    </row>
    <row r="3101">
      <c r="A3101" s="153" t="str">
        <f>IFERROR(__xludf.DUMMYFUNCTION("""COMPUTED_VALUE"""),"ADK0000001113")</f>
        <v>ADK0000001113</v>
      </c>
      <c r="B3101" s="153" t="str">
        <f>IFERROR(__xludf.DUMMYFUNCTION("""COMPUTED_VALUE"""),"WES")</f>
        <v>WES</v>
      </c>
      <c r="C3101" s="154">
        <f>IFERROR(__xludf.DUMMYFUNCTION("""COMPUTED_VALUE"""),46132.0)</f>
        <v>46132</v>
      </c>
      <c r="D3101" s="154">
        <f>IFERROR(__xludf.DUMMYFUNCTION("""COMPUTED_VALUE"""),46149.0)</f>
        <v>46149</v>
      </c>
    </row>
    <row r="3102">
      <c r="A3102" s="153" t="str">
        <f>IFERROR(__xludf.DUMMYFUNCTION("""COMPUTED_VALUE"""),"ADK0000001114")</f>
        <v>ADK0000001114</v>
      </c>
      <c r="B3102" s="153" t="str">
        <f>IFERROR(__xludf.DUMMYFUNCTION("""COMPUTED_VALUE"""),"WES")</f>
        <v>WES</v>
      </c>
      <c r="C3102" s="154">
        <f>IFERROR(__xludf.DUMMYFUNCTION("""COMPUTED_VALUE"""),46132.0)</f>
        <v>46132</v>
      </c>
      <c r="D3102" s="154">
        <f>IFERROR(__xludf.DUMMYFUNCTION("""COMPUTED_VALUE"""),46149.0)</f>
        <v>46149</v>
      </c>
    </row>
    <row r="3103">
      <c r="A3103" s="153" t="str">
        <f>IFERROR(__xludf.DUMMYFUNCTION("""COMPUTED_VALUE"""),"ADK0000001277")</f>
        <v>ADK0000001277</v>
      </c>
      <c r="B3103" s="153" t="str">
        <f>IFERROR(__xludf.DUMMYFUNCTION("""COMPUTED_VALUE"""),"WES")</f>
        <v>WES</v>
      </c>
      <c r="C3103" s="154">
        <f>IFERROR(__xludf.DUMMYFUNCTION("""COMPUTED_VALUE"""),46132.0)</f>
        <v>46132</v>
      </c>
      <c r="D3103" s="154">
        <f>IFERROR(__xludf.DUMMYFUNCTION("""COMPUTED_VALUE"""),46153.0)</f>
        <v>46153</v>
      </c>
    </row>
    <row r="3104">
      <c r="A3104" s="153" t="str">
        <f>IFERROR(__xludf.DUMMYFUNCTION("""COMPUTED_VALUE"""),"HYP0000001212")</f>
        <v>HYP0000001212</v>
      </c>
      <c r="B3104" s="153" t="str">
        <f>IFERROR(__xludf.DUMMYFUNCTION("""COMPUTED_VALUE"""),"WES")</f>
        <v>WES</v>
      </c>
      <c r="C3104" s="154">
        <f>IFERROR(__xludf.DUMMYFUNCTION("""COMPUTED_VALUE"""),46132.0)</f>
        <v>46132</v>
      </c>
      <c r="D3104" s="154">
        <f>IFERROR(__xludf.DUMMYFUNCTION("""COMPUTED_VALUE"""),46152.0)</f>
        <v>46152</v>
      </c>
    </row>
    <row r="3105">
      <c r="A3105" s="153" t="str">
        <f>IFERROR(__xludf.DUMMYFUNCTION("""COMPUTED_VALUE"""),"HYP0000001217")</f>
        <v>HYP0000001217</v>
      </c>
      <c r="B3105" s="153" t="str">
        <f>IFERROR(__xludf.DUMMYFUNCTION("""COMPUTED_VALUE"""),"WES")</f>
        <v>WES</v>
      </c>
      <c r="C3105" s="154">
        <f>IFERROR(__xludf.DUMMYFUNCTION("""COMPUTED_VALUE"""),46132.0)</f>
        <v>46132</v>
      </c>
      <c r="D3105" s="154">
        <f>IFERROR(__xludf.DUMMYFUNCTION("""COMPUTED_VALUE"""),46152.0)</f>
        <v>46152</v>
      </c>
    </row>
    <row r="3106">
      <c r="A3106" s="153" t="str">
        <f>IFERROR(__xludf.DUMMYFUNCTION("""COMPUTED_VALUE"""),"HYP0000001222")</f>
        <v>HYP0000001222</v>
      </c>
      <c r="B3106" s="153" t="str">
        <f>IFERROR(__xludf.DUMMYFUNCTION("""COMPUTED_VALUE"""),"WES")</f>
        <v>WES</v>
      </c>
      <c r="C3106" s="154">
        <f>IFERROR(__xludf.DUMMYFUNCTION("""COMPUTED_VALUE"""),46132.0)</f>
        <v>46132</v>
      </c>
      <c r="D3106" s="154">
        <f>IFERROR(__xludf.DUMMYFUNCTION("""COMPUTED_VALUE"""),46152.0)</f>
        <v>46152</v>
      </c>
    </row>
    <row r="3107">
      <c r="A3107" s="153" t="str">
        <f>IFERROR(__xludf.DUMMYFUNCTION("""COMPUTED_VALUE"""),"ADK0000001176")</f>
        <v>ADK0000001176</v>
      </c>
      <c r="B3107" s="153" t="str">
        <f>IFERROR(__xludf.DUMMYFUNCTION("""COMPUTED_VALUE"""),"WES")</f>
        <v>WES</v>
      </c>
      <c r="C3107" s="154">
        <f>IFERROR(__xludf.DUMMYFUNCTION("""COMPUTED_VALUE"""),46132.0)</f>
        <v>46132</v>
      </c>
      <c r="D3107" s="154">
        <f>IFERROR(__xludf.DUMMYFUNCTION("""COMPUTED_VALUE"""),46152.0)</f>
        <v>46152</v>
      </c>
    </row>
    <row r="3108">
      <c r="A3108" s="153" t="str">
        <f>IFERROR(__xludf.DUMMYFUNCTION("""COMPUTED_VALUE"""),"ADK0000001177")</f>
        <v>ADK0000001177</v>
      </c>
      <c r="B3108" s="153" t="str">
        <f>IFERROR(__xludf.DUMMYFUNCTION("""COMPUTED_VALUE"""),"WES")</f>
        <v>WES</v>
      </c>
      <c r="C3108" s="154">
        <f>IFERROR(__xludf.DUMMYFUNCTION("""COMPUTED_VALUE"""),46132.0)</f>
        <v>46132</v>
      </c>
      <c r="D3108" s="154">
        <f>IFERROR(__xludf.DUMMYFUNCTION("""COMPUTED_VALUE"""),46152.0)</f>
        <v>46152</v>
      </c>
    </row>
    <row r="3109">
      <c r="A3109" s="153" t="str">
        <f>IFERROR(__xludf.DUMMYFUNCTION("""COMPUTED_VALUE"""),"ADK0000001178")</f>
        <v>ADK0000001178</v>
      </c>
      <c r="B3109" s="153" t="str">
        <f>IFERROR(__xludf.DUMMYFUNCTION("""COMPUTED_VALUE"""),"WES")</f>
        <v>WES</v>
      </c>
      <c r="C3109" s="154">
        <f>IFERROR(__xludf.DUMMYFUNCTION("""COMPUTED_VALUE"""),46132.0)</f>
        <v>46132</v>
      </c>
      <c r="D3109" s="154">
        <f>IFERROR(__xludf.DUMMYFUNCTION("""COMPUTED_VALUE"""),46152.0)</f>
        <v>46152</v>
      </c>
    </row>
    <row r="3110">
      <c r="A3110" s="153" t="str">
        <f>IFERROR(__xludf.DUMMYFUNCTION("""COMPUTED_VALUE"""),"ADK0000001179")</f>
        <v>ADK0000001179</v>
      </c>
      <c r="B3110" s="153" t="str">
        <f>IFERROR(__xludf.DUMMYFUNCTION("""COMPUTED_VALUE"""),"WES")</f>
        <v>WES</v>
      </c>
      <c r="C3110" s="154">
        <f>IFERROR(__xludf.DUMMYFUNCTION("""COMPUTED_VALUE"""),46132.0)</f>
        <v>46132</v>
      </c>
      <c r="D3110" s="154">
        <f>IFERROR(__xludf.DUMMYFUNCTION("""COMPUTED_VALUE"""),46152.0)</f>
        <v>46152</v>
      </c>
    </row>
    <row r="3111">
      <c r="A3111" s="153" t="str">
        <f>IFERROR(__xludf.DUMMYFUNCTION("""COMPUTED_VALUE"""),"ADK0000001180")</f>
        <v>ADK0000001180</v>
      </c>
      <c r="B3111" s="153" t="str">
        <f>IFERROR(__xludf.DUMMYFUNCTION("""COMPUTED_VALUE"""),"WES")</f>
        <v>WES</v>
      </c>
      <c r="C3111" s="154">
        <f>IFERROR(__xludf.DUMMYFUNCTION("""COMPUTED_VALUE"""),46139.0)</f>
        <v>46139</v>
      </c>
      <c r="D3111" s="154">
        <f>IFERROR(__xludf.DUMMYFUNCTION("""COMPUTED_VALUE"""),46152.0)</f>
        <v>46152</v>
      </c>
    </row>
    <row r="3112">
      <c r="A3112" s="153" t="str">
        <f>IFERROR(__xludf.DUMMYFUNCTION("""COMPUTED_VALUE"""),"ADK0000001181")</f>
        <v>ADK0000001181</v>
      </c>
      <c r="B3112" s="153" t="str">
        <f>IFERROR(__xludf.DUMMYFUNCTION("""COMPUTED_VALUE"""),"WES")</f>
        <v>WES</v>
      </c>
      <c r="C3112" s="154">
        <f>IFERROR(__xludf.DUMMYFUNCTION("""COMPUTED_VALUE"""),46139.0)</f>
        <v>46139</v>
      </c>
      <c r="D3112" s="154">
        <f>IFERROR(__xludf.DUMMYFUNCTION("""COMPUTED_VALUE"""),46152.0)</f>
        <v>46152</v>
      </c>
    </row>
    <row r="3113">
      <c r="A3113" s="153" t="str">
        <f>IFERROR(__xludf.DUMMYFUNCTION("""COMPUTED_VALUE"""),"ADK0000001182")</f>
        <v>ADK0000001182</v>
      </c>
      <c r="B3113" s="153" t="str">
        <f>IFERROR(__xludf.DUMMYFUNCTION("""COMPUTED_VALUE"""),"WES+WMGS")</f>
        <v>WES+WMGS</v>
      </c>
      <c r="C3113" s="154">
        <f>IFERROR(__xludf.DUMMYFUNCTION("""COMPUTED_VALUE"""),46139.0)</f>
        <v>46139</v>
      </c>
      <c r="D3113" s="154">
        <f>IFERROR(__xludf.DUMMYFUNCTION("""COMPUTED_VALUE"""),46152.0)</f>
        <v>46152</v>
      </c>
    </row>
    <row r="3114">
      <c r="A3114" s="153" t="str">
        <f>IFERROR(__xludf.DUMMYFUNCTION("""COMPUTED_VALUE"""),"ADK0000001183")</f>
        <v>ADK0000001183</v>
      </c>
      <c r="B3114" s="153" t="str">
        <f>IFERROR(__xludf.DUMMYFUNCTION("""COMPUTED_VALUE"""),"WES")</f>
        <v>WES</v>
      </c>
      <c r="C3114" s="154">
        <f>IFERROR(__xludf.DUMMYFUNCTION("""COMPUTED_VALUE"""),46139.0)</f>
        <v>46139</v>
      </c>
      <c r="D3114" s="154">
        <f>IFERROR(__xludf.DUMMYFUNCTION("""COMPUTED_VALUE"""),46152.0)</f>
        <v>46152</v>
      </c>
    </row>
    <row r="3115">
      <c r="A3115" s="153" t="str">
        <f>IFERROR(__xludf.DUMMYFUNCTION("""COMPUTED_VALUE"""),"ADK0000001184")</f>
        <v>ADK0000001184</v>
      </c>
      <c r="B3115" s="153" t="str">
        <f>IFERROR(__xludf.DUMMYFUNCTION("""COMPUTED_VALUE"""),"WES")</f>
        <v>WES</v>
      </c>
      <c r="C3115" s="154">
        <f>IFERROR(__xludf.DUMMYFUNCTION("""COMPUTED_VALUE"""),46139.0)</f>
        <v>46139</v>
      </c>
      <c r="D3115" s="154">
        <f>IFERROR(__xludf.DUMMYFUNCTION("""COMPUTED_VALUE"""),46152.0)</f>
        <v>46152</v>
      </c>
    </row>
    <row r="3116">
      <c r="A3116" s="153" t="str">
        <f>IFERROR(__xludf.DUMMYFUNCTION("""COMPUTED_VALUE"""),"ADK0000001279")</f>
        <v>ADK0000001279</v>
      </c>
      <c r="B3116" s="153" t="str">
        <f>IFERROR(__xludf.DUMMYFUNCTION("""COMPUTED_VALUE"""),"WES")</f>
        <v>WES</v>
      </c>
      <c r="C3116" s="154">
        <f>IFERROR(__xludf.DUMMYFUNCTION("""COMPUTED_VALUE"""),46139.0)</f>
        <v>46139</v>
      </c>
      <c r="D3116" s="154">
        <f>IFERROR(__xludf.DUMMYFUNCTION("""COMPUTED_VALUE"""),46148.0)</f>
        <v>46148</v>
      </c>
    </row>
    <row r="3117">
      <c r="A3117" s="153" t="str">
        <f>IFERROR(__xludf.DUMMYFUNCTION("""COMPUTED_VALUE"""),"ADK0000001280")</f>
        <v>ADK0000001280</v>
      </c>
      <c r="B3117" s="153" t="str">
        <f>IFERROR(__xludf.DUMMYFUNCTION("""COMPUTED_VALUE"""),"WES")</f>
        <v>WES</v>
      </c>
      <c r="C3117" s="154">
        <f>IFERROR(__xludf.DUMMYFUNCTION("""COMPUTED_VALUE"""),46139.0)</f>
        <v>46139</v>
      </c>
      <c r="D3117" s="154">
        <f>IFERROR(__xludf.DUMMYFUNCTION("""COMPUTED_VALUE"""),46148.0)</f>
        <v>46148</v>
      </c>
    </row>
    <row r="3118">
      <c r="A3118" s="153" t="str">
        <f>IFERROR(__xludf.DUMMYFUNCTION("""COMPUTED_VALUE"""),"ADK0000001281")</f>
        <v>ADK0000001281</v>
      </c>
      <c r="B3118" s="153" t="str">
        <f>IFERROR(__xludf.DUMMYFUNCTION("""COMPUTED_VALUE"""),"WES")</f>
        <v>WES</v>
      </c>
      <c r="C3118" s="154">
        <f>IFERROR(__xludf.DUMMYFUNCTION("""COMPUTED_VALUE"""),46139.0)</f>
        <v>46139</v>
      </c>
      <c r="D3118" s="154">
        <f>IFERROR(__xludf.DUMMYFUNCTION("""COMPUTED_VALUE"""),46148.0)</f>
        <v>46148</v>
      </c>
    </row>
    <row r="3119">
      <c r="A3119" s="153" t="str">
        <f>IFERROR(__xludf.DUMMYFUNCTION("""COMPUTED_VALUE"""),"ADK0000001282")</f>
        <v>ADK0000001282</v>
      </c>
      <c r="B3119" s="153" t="str">
        <f>IFERROR(__xludf.DUMMYFUNCTION("""COMPUTED_VALUE"""),"WES")</f>
        <v>WES</v>
      </c>
      <c r="C3119" s="154">
        <f>IFERROR(__xludf.DUMMYFUNCTION("""COMPUTED_VALUE"""),46137.0)</f>
        <v>46137</v>
      </c>
      <c r="D3119" s="154">
        <f>IFERROR(__xludf.DUMMYFUNCTION("""COMPUTED_VALUE"""),46148.0)</f>
        <v>46148</v>
      </c>
    </row>
    <row r="3120">
      <c r="A3120" s="153" t="str">
        <f>IFERROR(__xludf.DUMMYFUNCTION("""COMPUTED_VALUE"""),"ADK0000001283")</f>
        <v>ADK0000001283</v>
      </c>
      <c r="B3120" s="153" t="str">
        <f>IFERROR(__xludf.DUMMYFUNCTION("""COMPUTED_VALUE"""),"WES")</f>
        <v>WES</v>
      </c>
      <c r="C3120" s="154">
        <f>IFERROR(__xludf.DUMMYFUNCTION("""COMPUTED_VALUE"""),46137.0)</f>
        <v>46137</v>
      </c>
      <c r="D3120" s="154">
        <f>IFERROR(__xludf.DUMMYFUNCTION("""COMPUTED_VALUE"""),46148.0)</f>
        <v>46148</v>
      </c>
    </row>
    <row r="3121">
      <c r="A3121" s="153" t="str">
        <f>IFERROR(__xludf.DUMMYFUNCTION("""COMPUTED_VALUE"""),"ADK0000001284")</f>
        <v>ADK0000001284</v>
      </c>
      <c r="B3121" s="153" t="str">
        <f>IFERROR(__xludf.DUMMYFUNCTION("""COMPUTED_VALUE"""),"WES")</f>
        <v>WES</v>
      </c>
      <c r="C3121" s="154">
        <f>IFERROR(__xludf.DUMMYFUNCTION("""COMPUTED_VALUE"""),46137.0)</f>
        <v>46137</v>
      </c>
      <c r="D3121" s="154">
        <f>IFERROR(__xludf.DUMMYFUNCTION("""COMPUTED_VALUE"""),46148.0)</f>
        <v>46148</v>
      </c>
    </row>
    <row r="3122">
      <c r="A3122" s="153" t="str">
        <f>IFERROR(__xludf.DUMMYFUNCTION("""COMPUTED_VALUE"""),"ADK0000001285")</f>
        <v>ADK0000001285</v>
      </c>
      <c r="B3122" s="153" t="str">
        <f>IFERROR(__xludf.DUMMYFUNCTION("""COMPUTED_VALUE"""),"WES")</f>
        <v>WES</v>
      </c>
      <c r="C3122" s="154">
        <f>IFERROR(__xludf.DUMMYFUNCTION("""COMPUTED_VALUE"""),46137.0)</f>
        <v>46137</v>
      </c>
      <c r="D3122" s="154">
        <f>IFERROR(__xludf.DUMMYFUNCTION("""COMPUTED_VALUE"""),46148.0)</f>
        <v>46148</v>
      </c>
    </row>
    <row r="3123">
      <c r="A3123" s="153" t="str">
        <f>IFERROR(__xludf.DUMMYFUNCTION("""COMPUTED_VALUE"""),"ADK0000001286")</f>
        <v>ADK0000001286</v>
      </c>
      <c r="B3123" s="153" t="str">
        <f>IFERROR(__xludf.DUMMYFUNCTION("""COMPUTED_VALUE"""),"WES")</f>
        <v>WES</v>
      </c>
      <c r="C3123" s="154">
        <f>IFERROR(__xludf.DUMMYFUNCTION("""COMPUTED_VALUE"""),46137.0)</f>
        <v>46137</v>
      </c>
      <c r="D3123" s="154">
        <f>IFERROR(__xludf.DUMMYFUNCTION("""COMPUTED_VALUE"""),46148.0)</f>
        <v>46148</v>
      </c>
    </row>
    <row r="3124">
      <c r="A3124" s="153" t="str">
        <f>IFERROR(__xludf.DUMMYFUNCTION("""COMPUTED_VALUE"""),"ADK0000001287")</f>
        <v>ADK0000001287</v>
      </c>
      <c r="B3124" s="153" t="str">
        <f>IFERROR(__xludf.DUMMYFUNCTION("""COMPUTED_VALUE"""),"WES")</f>
        <v>WES</v>
      </c>
      <c r="C3124" s="154">
        <f>IFERROR(__xludf.DUMMYFUNCTION("""COMPUTED_VALUE"""),46137.0)</f>
        <v>46137</v>
      </c>
      <c r="D3124" s="154">
        <f>IFERROR(__xludf.DUMMYFUNCTION("""COMPUTED_VALUE"""),46148.0)</f>
        <v>46148</v>
      </c>
    </row>
    <row r="3125">
      <c r="A3125" s="153" t="str">
        <f>IFERROR(__xludf.DUMMYFUNCTION("""COMPUTED_VALUE"""),"ADK0000001288")</f>
        <v>ADK0000001288</v>
      </c>
      <c r="B3125" s="153" t="str">
        <f>IFERROR(__xludf.DUMMYFUNCTION("""COMPUTED_VALUE"""),"WES")</f>
        <v>WES</v>
      </c>
      <c r="C3125" s="154">
        <f>IFERROR(__xludf.DUMMYFUNCTION("""COMPUTED_VALUE"""),46137.0)</f>
        <v>46137</v>
      </c>
      <c r="D3125" s="154">
        <f>IFERROR(__xludf.DUMMYFUNCTION("""COMPUTED_VALUE"""),46148.0)</f>
        <v>46148</v>
      </c>
    </row>
    <row r="3126">
      <c r="A3126" s="153" t="str">
        <f>IFERROR(__xludf.DUMMYFUNCTION("""COMPUTED_VALUE"""),"ADK0000001289")</f>
        <v>ADK0000001289</v>
      </c>
      <c r="B3126" s="153" t="str">
        <f>IFERROR(__xludf.DUMMYFUNCTION("""COMPUTED_VALUE"""),"WES")</f>
        <v>WES</v>
      </c>
      <c r="C3126" s="154">
        <f>IFERROR(__xludf.DUMMYFUNCTION("""COMPUTED_VALUE"""),46137.0)</f>
        <v>46137</v>
      </c>
      <c r="D3126" s="154">
        <f>IFERROR(__xludf.DUMMYFUNCTION("""COMPUTED_VALUE"""),46148.0)</f>
        <v>46148</v>
      </c>
    </row>
    <row r="3127">
      <c r="A3127" s="153" t="str">
        <f>IFERROR(__xludf.DUMMYFUNCTION("""COMPUTED_VALUE"""),"ADK0000001290")</f>
        <v>ADK0000001290</v>
      </c>
      <c r="B3127" s="153" t="str">
        <f>IFERROR(__xludf.DUMMYFUNCTION("""COMPUTED_VALUE"""),"WES")</f>
        <v>WES</v>
      </c>
      <c r="C3127" s="154">
        <f>IFERROR(__xludf.DUMMYFUNCTION("""COMPUTED_VALUE"""),46137.0)</f>
        <v>46137</v>
      </c>
      <c r="D3127" s="154">
        <f>IFERROR(__xludf.DUMMYFUNCTION("""COMPUTED_VALUE"""),46148.0)</f>
        <v>46148</v>
      </c>
    </row>
    <row r="3128">
      <c r="A3128" s="153" t="str">
        <f>IFERROR(__xludf.DUMMYFUNCTION("""COMPUTED_VALUE"""),"ADK0000001291")</f>
        <v>ADK0000001291</v>
      </c>
      <c r="B3128" s="153" t="str">
        <f>IFERROR(__xludf.DUMMYFUNCTION("""COMPUTED_VALUE"""),"WES")</f>
        <v>WES</v>
      </c>
      <c r="C3128" s="154">
        <f>IFERROR(__xludf.DUMMYFUNCTION("""COMPUTED_VALUE"""),46137.0)</f>
        <v>46137</v>
      </c>
      <c r="D3128" s="154">
        <f>IFERROR(__xludf.DUMMYFUNCTION("""COMPUTED_VALUE"""),46148.0)</f>
        <v>46148</v>
      </c>
    </row>
    <row r="3129">
      <c r="A3129" s="153" t="str">
        <f>IFERROR(__xludf.DUMMYFUNCTION("""COMPUTED_VALUE"""),"ADK0000001292")</f>
        <v>ADK0000001292</v>
      </c>
      <c r="B3129" s="153" t="str">
        <f>IFERROR(__xludf.DUMMYFUNCTION("""COMPUTED_VALUE"""),"WES")</f>
        <v>WES</v>
      </c>
      <c r="C3129" s="154">
        <f>IFERROR(__xludf.DUMMYFUNCTION("""COMPUTED_VALUE"""),46137.0)</f>
        <v>46137</v>
      </c>
      <c r="D3129" s="154">
        <f>IFERROR(__xludf.DUMMYFUNCTION("""COMPUTED_VALUE"""),46148.0)</f>
        <v>46148</v>
      </c>
    </row>
    <row r="3130">
      <c r="A3130" s="153" t="str">
        <f>IFERROR(__xludf.DUMMYFUNCTION("""COMPUTED_VALUE"""),"ADK0000001293")</f>
        <v>ADK0000001293</v>
      </c>
      <c r="B3130" s="153" t="str">
        <f>IFERROR(__xludf.DUMMYFUNCTION("""COMPUTED_VALUE"""),"WES")</f>
        <v>WES</v>
      </c>
      <c r="C3130" s="154">
        <f>IFERROR(__xludf.DUMMYFUNCTION("""COMPUTED_VALUE"""),46137.0)</f>
        <v>46137</v>
      </c>
      <c r="D3130" s="154">
        <f>IFERROR(__xludf.DUMMYFUNCTION("""COMPUTED_VALUE"""),46148.0)</f>
        <v>46148</v>
      </c>
    </row>
    <row r="3131">
      <c r="A3131" s="153" t="str">
        <f>IFERROR(__xludf.DUMMYFUNCTION("""COMPUTED_VALUE"""),"ADK0000001294")</f>
        <v>ADK0000001294</v>
      </c>
      <c r="B3131" s="153" t="str">
        <f>IFERROR(__xludf.DUMMYFUNCTION("""COMPUTED_VALUE"""),"WES")</f>
        <v>WES</v>
      </c>
      <c r="C3131" s="154">
        <f>IFERROR(__xludf.DUMMYFUNCTION("""COMPUTED_VALUE"""),46137.0)</f>
        <v>46137</v>
      </c>
      <c r="D3131" s="154">
        <f>IFERROR(__xludf.DUMMYFUNCTION("""COMPUTED_VALUE"""),46148.0)</f>
        <v>46148</v>
      </c>
    </row>
    <row r="3132">
      <c r="A3132" s="153" t="str">
        <f>IFERROR(__xludf.DUMMYFUNCTION("""COMPUTED_VALUE"""),"ADK0000001295")</f>
        <v>ADK0000001295</v>
      </c>
      <c r="B3132" s="153" t="str">
        <f>IFERROR(__xludf.DUMMYFUNCTION("""COMPUTED_VALUE"""),"WES")</f>
        <v>WES</v>
      </c>
      <c r="C3132" s="154">
        <f>IFERROR(__xludf.DUMMYFUNCTION("""COMPUTED_VALUE"""),46137.0)</f>
        <v>46137</v>
      </c>
      <c r="D3132" s="154">
        <f>IFERROR(__xludf.DUMMYFUNCTION("""COMPUTED_VALUE"""),46148.0)</f>
        <v>46148</v>
      </c>
    </row>
    <row r="3133">
      <c r="A3133" s="153" t="str">
        <f>IFERROR(__xludf.DUMMYFUNCTION("""COMPUTED_VALUE"""),"ADK0000001296")</f>
        <v>ADK0000001296</v>
      </c>
      <c r="B3133" s="153" t="str">
        <f>IFERROR(__xludf.DUMMYFUNCTION("""COMPUTED_VALUE"""),"WES")</f>
        <v>WES</v>
      </c>
      <c r="C3133" s="154">
        <f>IFERROR(__xludf.DUMMYFUNCTION("""COMPUTED_VALUE"""),46137.0)</f>
        <v>46137</v>
      </c>
      <c r="D3133" s="154">
        <f>IFERROR(__xludf.DUMMYFUNCTION("""COMPUTED_VALUE"""),46148.0)</f>
        <v>46148</v>
      </c>
    </row>
    <row r="3134">
      <c r="A3134" s="153" t="str">
        <f>IFERROR(__xludf.DUMMYFUNCTION("""COMPUTED_VALUE"""),"ADK0000001297")</f>
        <v>ADK0000001297</v>
      </c>
      <c r="B3134" s="153" t="str">
        <f>IFERROR(__xludf.DUMMYFUNCTION("""COMPUTED_VALUE"""),"WES")</f>
        <v>WES</v>
      </c>
      <c r="C3134" s="154">
        <f>IFERROR(__xludf.DUMMYFUNCTION("""COMPUTED_VALUE"""),46137.0)</f>
        <v>46137</v>
      </c>
      <c r="D3134" s="154">
        <f>IFERROR(__xludf.DUMMYFUNCTION("""COMPUTED_VALUE"""),46148.0)</f>
        <v>46148</v>
      </c>
    </row>
    <row r="3135">
      <c r="A3135" s="153" t="str">
        <f>IFERROR(__xludf.DUMMYFUNCTION("""COMPUTED_VALUE"""),"ADH0000021194")</f>
        <v>ADH0000021194</v>
      </c>
      <c r="B3135" s="153" t="str">
        <f>IFERROR(__xludf.DUMMYFUNCTION("""COMPUTED_VALUE"""),"WES")</f>
        <v>WES</v>
      </c>
      <c r="C3135" s="154">
        <f>IFERROR(__xludf.DUMMYFUNCTION("""COMPUTED_VALUE"""),46139.0)</f>
        <v>46139</v>
      </c>
      <c r="D3135" s="154">
        <f>IFERROR(__xludf.DUMMYFUNCTION("""COMPUTED_VALUE"""),46147.0)</f>
        <v>46147</v>
      </c>
    </row>
    <row r="3136">
      <c r="A3136" s="153" t="str">
        <f>IFERROR(__xludf.DUMMYFUNCTION("""COMPUTED_VALUE"""),"ADH0000021366")</f>
        <v>ADH0000021366</v>
      </c>
      <c r="B3136" s="153" t="str">
        <f>IFERROR(__xludf.DUMMYFUNCTION("""COMPUTED_VALUE"""),"WES")</f>
        <v>WES</v>
      </c>
      <c r="C3136" s="154">
        <f>IFERROR(__xludf.DUMMYFUNCTION("""COMPUTED_VALUE"""),46139.0)</f>
        <v>46139</v>
      </c>
      <c r="D3136" s="154">
        <f>IFERROR(__xludf.DUMMYFUNCTION("""COMPUTED_VALUE"""),46152.0)</f>
        <v>46152</v>
      </c>
    </row>
    <row r="3137">
      <c r="A3137" s="153" t="str">
        <f>IFERROR(__xludf.DUMMYFUNCTION("""COMPUTED_VALUE"""),"ADK0000001188")</f>
        <v>ADK0000001188</v>
      </c>
      <c r="B3137" s="153" t="str">
        <f>IFERROR(__xludf.DUMMYFUNCTION("""COMPUTED_VALUE"""),"WES+WMGS")</f>
        <v>WES+WMGS</v>
      </c>
      <c r="C3137" s="154">
        <f>IFERROR(__xludf.DUMMYFUNCTION("""COMPUTED_VALUE"""),46139.0)</f>
        <v>46139</v>
      </c>
      <c r="D3137" s="154">
        <f>IFERROR(__xludf.DUMMYFUNCTION("""COMPUTED_VALUE"""),46153.0)</f>
        <v>46153</v>
      </c>
    </row>
    <row r="3138">
      <c r="A3138" s="153" t="str">
        <f>IFERROR(__xludf.DUMMYFUNCTION("""COMPUTED_VALUE"""),"HYP0000001262")</f>
        <v>HYP0000001262</v>
      </c>
      <c r="B3138" s="153" t="str">
        <f>IFERROR(__xludf.DUMMYFUNCTION("""COMPUTED_VALUE"""),"WES")</f>
        <v>WES</v>
      </c>
      <c r="C3138" s="154">
        <f>IFERROR(__xludf.DUMMYFUNCTION("""COMPUTED_VALUE"""),46139.0)</f>
        <v>46139</v>
      </c>
      <c r="D3138" s="154">
        <f>IFERROR(__xludf.DUMMYFUNCTION("""COMPUTED_VALUE"""),46148.0)</f>
        <v>46148</v>
      </c>
    </row>
    <row r="3139">
      <c r="A3139" s="153" t="str">
        <f>IFERROR(__xludf.DUMMYFUNCTION("""COMPUTED_VALUE"""),"ABC0000000868")</f>
        <v>ABC0000000868</v>
      </c>
      <c r="B3139" s="153" t="str">
        <f>IFERROR(__xludf.DUMMYFUNCTION("""COMPUTED_VALUE"""),"WES")</f>
        <v>WES</v>
      </c>
      <c r="C3139" s="154">
        <f>IFERROR(__xludf.DUMMYFUNCTION("""COMPUTED_VALUE"""),46139.0)</f>
        <v>46139</v>
      </c>
      <c r="D3139" s="154">
        <f>IFERROR(__xludf.DUMMYFUNCTION("""COMPUTED_VALUE"""),46153.0)</f>
        <v>46153</v>
      </c>
    </row>
    <row r="3140">
      <c r="A3140" s="153" t="str">
        <f>IFERROR(__xludf.DUMMYFUNCTION("""COMPUTED_VALUE"""),"ABC0000000869")</f>
        <v>ABC0000000869</v>
      </c>
      <c r="B3140" s="153" t="str">
        <f>IFERROR(__xludf.DUMMYFUNCTION("""COMPUTED_VALUE"""),"WES")</f>
        <v>WES</v>
      </c>
      <c r="C3140" s="154">
        <f>IFERROR(__xludf.DUMMYFUNCTION("""COMPUTED_VALUE"""),46139.0)</f>
        <v>46139</v>
      </c>
      <c r="D3140" s="154">
        <f>IFERROR(__xludf.DUMMYFUNCTION("""COMPUTED_VALUE"""),46153.0)</f>
        <v>46153</v>
      </c>
    </row>
    <row r="3141">
      <c r="A3141" s="153" t="str">
        <f>IFERROR(__xludf.DUMMYFUNCTION("""COMPUTED_VALUE"""),"AND0000012312
")</f>
        <v>AND0000012312
</v>
      </c>
      <c r="B3141" s="153" t="str">
        <f>IFERROR(__xludf.DUMMYFUNCTION("""COMPUTED_VALUE"""),"WES")</f>
        <v>WES</v>
      </c>
      <c r="C3141" s="154">
        <f>IFERROR(__xludf.DUMMYFUNCTION("""COMPUTED_VALUE"""),46139.0)</f>
        <v>46139</v>
      </c>
      <c r="D3141" s="154">
        <f>IFERROR(__xludf.DUMMYFUNCTION("""COMPUTED_VALUE"""),46153.0)</f>
        <v>46153</v>
      </c>
    </row>
    <row r="3142">
      <c r="A3142" s="153" t="str">
        <f>IFERROR(__xludf.DUMMYFUNCTION("""COMPUTED_VALUE"""),"ADK0000001223")</f>
        <v>ADK0000001223</v>
      </c>
      <c r="B3142" s="153" t="str">
        <f>IFERROR(__xludf.DUMMYFUNCTION("""COMPUTED_VALUE"""),"WES")</f>
        <v>WES</v>
      </c>
      <c r="C3142" s="154">
        <f>IFERROR(__xludf.DUMMYFUNCTION("""COMPUTED_VALUE"""),46139.0)</f>
        <v>46139</v>
      </c>
      <c r="D3142" s="154">
        <f>IFERROR(__xludf.DUMMYFUNCTION("""COMPUTED_VALUE"""),46148.0)</f>
        <v>46148</v>
      </c>
    </row>
    <row r="3143">
      <c r="A3143" s="153" t="str">
        <f>IFERROR(__xludf.DUMMYFUNCTION("""COMPUTED_VALUE"""),"ABC0000000870")</f>
        <v>ABC0000000870</v>
      </c>
      <c r="B3143" s="153" t="str">
        <f>IFERROR(__xludf.DUMMYFUNCTION("""COMPUTED_VALUE"""),"CES")</f>
        <v>CES</v>
      </c>
      <c r="C3143" s="154">
        <f>IFERROR(__xludf.DUMMYFUNCTION("""COMPUTED_VALUE"""),46139.0)</f>
        <v>46139</v>
      </c>
      <c r="D3143" s="154">
        <f>IFERROR(__xludf.DUMMYFUNCTION("""COMPUTED_VALUE"""),46153.0)</f>
        <v>46153</v>
      </c>
    </row>
    <row r="3144">
      <c r="A3144" s="153" t="str">
        <f>IFERROR(__xludf.DUMMYFUNCTION("""COMPUTED_VALUE"""),"ABC0000000871")</f>
        <v>ABC0000000871</v>
      </c>
      <c r="B3144" s="153" t="str">
        <f>IFERROR(__xludf.DUMMYFUNCTION("""COMPUTED_VALUE"""),"CES")</f>
        <v>CES</v>
      </c>
      <c r="C3144" s="154">
        <f>IFERROR(__xludf.DUMMYFUNCTION("""COMPUTED_VALUE"""),46139.0)</f>
        <v>46139</v>
      </c>
      <c r="D3144" s="154">
        <f>IFERROR(__xludf.DUMMYFUNCTION("""COMPUTED_VALUE"""),46153.0)</f>
        <v>46153</v>
      </c>
    </row>
    <row r="3145">
      <c r="A3145" s="153" t="str">
        <f>IFERROR(__xludf.DUMMYFUNCTION("""COMPUTED_VALUE"""),"ADB0000033320")</f>
        <v>ADB0000033320</v>
      </c>
      <c r="B3145" s="153" t="str">
        <f>IFERROR(__xludf.DUMMYFUNCTION("""COMPUTED_VALUE"""),"FEMALE INFERTILITY NGS PANEL")</f>
        <v>FEMALE INFERTILITY NGS PANEL</v>
      </c>
      <c r="C3145" s="154">
        <f>IFERROR(__xludf.DUMMYFUNCTION("""COMPUTED_VALUE"""),46139.0)</f>
        <v>46139</v>
      </c>
      <c r="D3145" s="154">
        <f>IFERROR(__xludf.DUMMYFUNCTION("""COMPUTED_VALUE"""),46143.0)</f>
        <v>46143</v>
      </c>
    </row>
    <row r="3146">
      <c r="A3146" s="153" t="str">
        <f>IFERROR(__xludf.DUMMYFUNCTION("""COMPUTED_VALUE"""),"HYP0000001247 
")</f>
        <v>HYP0000001247 
</v>
      </c>
      <c r="B3146" s="153" t="str">
        <f>IFERROR(__xludf.DUMMYFUNCTION("""COMPUTED_VALUE"""),"ADVAT FOCUS CARRIER SCREENING - NGS")</f>
        <v>ADVAT FOCUS CARRIER SCREENING - NGS</v>
      </c>
      <c r="C3146" s="154">
        <f>IFERROR(__xludf.DUMMYFUNCTION("""COMPUTED_VALUE"""),46139.0)</f>
        <v>46139</v>
      </c>
      <c r="D3146" s="154">
        <f>IFERROR(__xludf.DUMMYFUNCTION("""COMPUTED_VALUE"""),46153.0)</f>
        <v>46153</v>
      </c>
    </row>
    <row r="3147">
      <c r="A3147" s="153" t="str">
        <f>IFERROR(__xludf.DUMMYFUNCTION("""COMPUTED_VALUE"""),"HYP0000001248")</f>
        <v>HYP0000001248</v>
      </c>
      <c r="B3147" s="153" t="str">
        <f>IFERROR(__xludf.DUMMYFUNCTION("""COMPUTED_VALUE"""),"ADVAT FOCUS CARRIER SCREENING - NGS")</f>
        <v>ADVAT FOCUS CARRIER SCREENING - NGS</v>
      </c>
      <c r="C3147" s="154">
        <f>IFERROR(__xludf.DUMMYFUNCTION("""COMPUTED_VALUE"""),46139.0)</f>
        <v>46139</v>
      </c>
      <c r="D3147" s="154">
        <f>IFERROR(__xludf.DUMMYFUNCTION("""COMPUTED_VALUE"""),46153.0)</f>
        <v>46153</v>
      </c>
    </row>
    <row r="3148">
      <c r="A3148" s="153" t="str">
        <f>IFERROR(__xludf.DUMMYFUNCTION("""COMPUTED_VALUE"""),"TPJ0000011565")</f>
        <v>TPJ0000011565</v>
      </c>
      <c r="B3148" s="153" t="str">
        <f>IFERROR(__xludf.DUMMYFUNCTION("""COMPUTED_VALUE"""),"HEREDITARY CANCER GENE PANEL")</f>
        <v>HEREDITARY CANCER GENE PANEL</v>
      </c>
      <c r="C3148" s="154">
        <f>IFERROR(__xludf.DUMMYFUNCTION("""COMPUTED_VALUE"""),46139.0)</f>
        <v>46139</v>
      </c>
      <c r="D3148" s="154">
        <f>IFERROR(__xludf.DUMMYFUNCTION("""COMPUTED_VALUE"""),46154.0)</f>
        <v>46154</v>
      </c>
    </row>
    <row r="3149">
      <c r="A3149" s="153" t="str">
        <f>IFERROR(__xludf.DUMMYFUNCTION("""COMPUTED_VALUE"""),"PLD0000000773")</f>
        <v>PLD0000000773</v>
      </c>
      <c r="B3149" s="153" t="str">
        <f>IFERROR(__xludf.DUMMYFUNCTION("""COMPUTED_VALUE"""),"HEREDITARY CANCER GENE PANEL")</f>
        <v>HEREDITARY CANCER GENE PANEL</v>
      </c>
      <c r="C3149" s="154">
        <f>IFERROR(__xludf.DUMMYFUNCTION("""COMPUTED_VALUE"""),46139.0)</f>
        <v>46139</v>
      </c>
      <c r="D3149" s="154">
        <f>IFERROR(__xludf.DUMMYFUNCTION("""COMPUTED_VALUE"""),46153.0)</f>
        <v>46153</v>
      </c>
    </row>
    <row r="3150">
      <c r="A3150" s="153" t="str">
        <f>IFERROR(__xludf.DUMMYFUNCTION("""COMPUTED_VALUE"""),"HYP0000001272")</f>
        <v>HYP0000001272</v>
      </c>
      <c r="B3150" s="153" t="str">
        <f>IFERROR(__xludf.DUMMYFUNCTION("""COMPUTED_VALUE"""),"FEMALE INFERTILITY NGS PANEL")</f>
        <v>FEMALE INFERTILITY NGS PANEL</v>
      </c>
      <c r="C3150" s="154">
        <f>IFERROR(__xludf.DUMMYFUNCTION("""COMPUTED_VALUE"""),46139.0)</f>
        <v>46139</v>
      </c>
      <c r="D3150" s="154">
        <f>IFERROR(__xludf.DUMMYFUNCTION("""COMPUTED_VALUE"""),46143.0)</f>
        <v>46143</v>
      </c>
    </row>
    <row r="3151">
      <c r="A3151" s="153" t="str">
        <f>IFERROR(__xludf.DUMMYFUNCTION("""COMPUTED_VALUE"""),"AND0000012742")</f>
        <v>AND0000012742</v>
      </c>
      <c r="B3151" s="153" t="str">
        <f>IFERROR(__xludf.DUMMYFUNCTION("""COMPUTED_VALUE"""),"WES")</f>
        <v>WES</v>
      </c>
      <c r="C3151" s="154">
        <f>IFERROR(__xludf.DUMMYFUNCTION("""COMPUTED_VALUE"""),46139.0)</f>
        <v>46139</v>
      </c>
      <c r="D3151" s="154">
        <f>IFERROR(__xludf.DUMMYFUNCTION("""COMPUTED_VALUE"""),46154.0)</f>
        <v>46154</v>
      </c>
    </row>
    <row r="3152">
      <c r="A3152" s="153" t="str">
        <f>IFERROR(__xludf.DUMMYFUNCTION("""COMPUTED_VALUE"""),"AND0000012741")</f>
        <v>AND0000012741</v>
      </c>
      <c r="B3152" s="153" t="str">
        <f>IFERROR(__xludf.DUMMYFUNCTION("""COMPUTED_VALUE"""),"WES")</f>
        <v>WES</v>
      </c>
      <c r="C3152" s="154">
        <f>IFERROR(__xludf.DUMMYFUNCTION("""COMPUTED_VALUE"""),46139.0)</f>
        <v>46139</v>
      </c>
      <c r="D3152" s="154">
        <f>IFERROR(__xludf.DUMMYFUNCTION("""COMPUTED_VALUE"""),46154.0)</f>
        <v>46154</v>
      </c>
    </row>
    <row r="3153">
      <c r="A3153" s="153" t="str">
        <f>IFERROR(__xludf.DUMMYFUNCTION("""COMPUTED_VALUE"""),"PH50000011912")</f>
        <v>PH50000011912</v>
      </c>
      <c r="B3153" s="153" t="str">
        <f>IFERROR(__xludf.DUMMYFUNCTION("""COMPUTED_VALUE"""),"WES+WMGS")</f>
        <v>WES+WMGS</v>
      </c>
      <c r="C3153" s="154">
        <f>IFERROR(__xludf.DUMMYFUNCTION("""COMPUTED_VALUE"""),46139.0)</f>
        <v>46139</v>
      </c>
      <c r="D3153" s="154">
        <f>IFERROR(__xludf.DUMMYFUNCTION("""COMPUTED_VALUE"""),46155.0)</f>
        <v>46155</v>
      </c>
    </row>
    <row r="3154">
      <c r="A3154" s="153" t="str">
        <f>IFERROR(__xludf.DUMMYFUNCTION("""COMPUTED_VALUE"""),"ADK0000001325")</f>
        <v>ADK0000001325</v>
      </c>
      <c r="B3154" s="153" t="str">
        <f>IFERROR(__xludf.DUMMYFUNCTION("""COMPUTED_VALUE"""),"WES")</f>
        <v>WES</v>
      </c>
      <c r="C3154" s="154">
        <f>IFERROR(__xludf.DUMMYFUNCTION("""COMPUTED_VALUE"""),46139.0)</f>
        <v>46139</v>
      </c>
      <c r="D3154" s="154">
        <f>IFERROR(__xludf.DUMMYFUNCTION("""COMPUTED_VALUE"""),46149.0)</f>
        <v>46149</v>
      </c>
    </row>
    <row r="3155">
      <c r="A3155" s="153" t="str">
        <f>IFERROR(__xludf.DUMMYFUNCTION("""COMPUTED_VALUE"""),"HCC0000008081")</f>
        <v>HCC0000008081</v>
      </c>
      <c r="B3155" s="153" t="str">
        <f>IFERROR(__xludf.DUMMYFUNCTION("""COMPUTED_VALUE"""),"MALE INFERTILITY NGS PANEL")</f>
        <v>MALE INFERTILITY NGS PANEL</v>
      </c>
      <c r="C3155" s="154">
        <f>IFERROR(__xludf.DUMMYFUNCTION("""COMPUTED_VALUE"""),46139.0)</f>
        <v>46139</v>
      </c>
      <c r="D3155" s="154">
        <f>IFERROR(__xludf.DUMMYFUNCTION("""COMPUTED_VALUE"""),46144.0)</f>
        <v>46144</v>
      </c>
    </row>
    <row r="3156">
      <c r="A3156" s="153" t="str">
        <f>IFERROR(__xludf.DUMMYFUNCTION("""COMPUTED_VALUE"""),"HYP0000001286")</f>
        <v>HYP0000001286</v>
      </c>
      <c r="B3156" s="153" t="str">
        <f>IFERROR(__xludf.DUMMYFUNCTION("""COMPUTED_VALUE"""),"COMPREHENSIVE CARRIER SCREENING")</f>
        <v>COMPREHENSIVE CARRIER SCREENING</v>
      </c>
      <c r="C3156" s="154">
        <f>IFERROR(__xludf.DUMMYFUNCTION("""COMPUTED_VALUE"""),46139.0)</f>
        <v>46139</v>
      </c>
      <c r="D3156" s="154">
        <f>IFERROR(__xludf.DUMMYFUNCTION("""COMPUTED_VALUE"""),46155.0)</f>
        <v>46155</v>
      </c>
    </row>
    <row r="3157">
      <c r="A3157" s="153" t="str">
        <f>IFERROR(__xludf.DUMMYFUNCTION("""COMPUTED_VALUE"""),"HYP0000001287")</f>
        <v>HYP0000001287</v>
      </c>
      <c r="B3157" s="153" t="str">
        <f>IFERROR(__xludf.DUMMYFUNCTION("""COMPUTED_VALUE"""),"WES")</f>
        <v>WES</v>
      </c>
      <c r="C3157" s="154">
        <f>IFERROR(__xludf.DUMMYFUNCTION("""COMPUTED_VALUE"""),46139.0)</f>
        <v>46139</v>
      </c>
      <c r="D3157" s="154">
        <f>IFERROR(__xludf.DUMMYFUNCTION("""COMPUTED_VALUE"""),46155.0)</f>
        <v>46155</v>
      </c>
    </row>
    <row r="3158">
      <c r="A3158" s="153" t="str">
        <f>IFERROR(__xludf.DUMMYFUNCTION("""COMPUTED_VALUE"""),"PH50000011910 
")</f>
        <v>PH50000011910 
</v>
      </c>
      <c r="B3158" s="153" t="str">
        <f>IFERROR(__xludf.DUMMYFUNCTION("""COMPUTED_VALUE"""),"WES+WMGS")</f>
        <v>WES+WMGS</v>
      </c>
      <c r="C3158" s="154">
        <f>IFERROR(__xludf.DUMMYFUNCTION("""COMPUTED_VALUE"""),46139.0)</f>
        <v>46139</v>
      </c>
      <c r="D3158" s="154">
        <f>IFERROR(__xludf.DUMMYFUNCTION("""COMPUTED_VALUE"""),46155.0)</f>
        <v>46155</v>
      </c>
    </row>
    <row r="3159">
      <c r="A3159" s="153" t="str">
        <f>IFERROR(__xludf.DUMMYFUNCTION("""COMPUTED_VALUE"""),"ABC0000000904")</f>
        <v>ABC0000000904</v>
      </c>
      <c r="B3159" s="153" t="str">
        <f>IFERROR(__xludf.DUMMYFUNCTION("""COMPUTED_VALUE"""),"CES")</f>
        <v>CES</v>
      </c>
      <c r="C3159" s="154">
        <f>IFERROR(__xludf.DUMMYFUNCTION("""COMPUTED_VALUE"""),46139.0)</f>
        <v>46139</v>
      </c>
      <c r="D3159" s="154">
        <f>IFERROR(__xludf.DUMMYFUNCTION("""COMPUTED_VALUE"""),46155.0)</f>
        <v>46155</v>
      </c>
    </row>
    <row r="3160">
      <c r="A3160" s="153" t="str">
        <f>IFERROR(__xludf.DUMMYFUNCTION("""COMPUTED_VALUE"""),"PH50000011913")</f>
        <v>PH50000011913</v>
      </c>
      <c r="B3160" s="153" t="str">
        <f>IFERROR(__xludf.DUMMYFUNCTION("""COMPUTED_VALUE"""),"COMPREHENSIVE HEREDITARY CANCER PANEL (NGS+MLPA)")</f>
        <v>COMPREHENSIVE HEREDITARY CANCER PANEL (NGS+MLPA)</v>
      </c>
      <c r="C3160" s="154">
        <f>IFERROR(__xludf.DUMMYFUNCTION("""COMPUTED_VALUE"""),46139.0)</f>
        <v>46139</v>
      </c>
      <c r="D3160" s="154">
        <f>IFERROR(__xludf.DUMMYFUNCTION("""COMPUTED_VALUE"""),46155.0)</f>
        <v>46155</v>
      </c>
    </row>
    <row r="3161">
      <c r="A3161" s="153" t="str">
        <f>IFERROR(__xludf.DUMMYFUNCTION("""COMPUTED_VALUE"""),"ADK0000001372")</f>
        <v>ADK0000001372</v>
      </c>
      <c r="B3161" s="153" t="str">
        <f>IFERROR(__xludf.DUMMYFUNCTION("""COMPUTED_VALUE"""),"WES")</f>
        <v>WES</v>
      </c>
      <c r="C3161" s="154">
        <f>IFERROR(__xludf.DUMMYFUNCTION("""COMPUTED_VALUE"""),46139.0)</f>
        <v>46139</v>
      </c>
      <c r="D3161" s="154">
        <f>IFERROR(__xludf.DUMMYFUNCTION("""COMPUTED_VALUE"""),46150.0)</f>
        <v>46150</v>
      </c>
    </row>
    <row r="3162">
      <c r="A3162" s="153" t="str">
        <f>IFERROR(__xludf.DUMMYFUNCTION("""COMPUTED_VALUE"""),"ADK0000001321")</f>
        <v>ADK0000001321</v>
      </c>
      <c r="B3162" s="153" t="str">
        <f>IFERROR(__xludf.DUMMYFUNCTION("""COMPUTED_VALUE"""),"WES")</f>
        <v>WES</v>
      </c>
      <c r="C3162" s="154">
        <f>IFERROR(__xludf.DUMMYFUNCTION("""COMPUTED_VALUE"""),46139.0)</f>
        <v>46139</v>
      </c>
      <c r="D3162" s="154">
        <f>IFERROR(__xludf.DUMMYFUNCTION("""COMPUTED_VALUE"""),46149.0)</f>
        <v>46149</v>
      </c>
    </row>
    <row r="3163">
      <c r="A3163" s="153" t="str">
        <f>IFERROR(__xludf.DUMMYFUNCTION("""COMPUTED_VALUE"""),"ADK0000001322")</f>
        <v>ADK0000001322</v>
      </c>
      <c r="B3163" s="153" t="str">
        <f>IFERROR(__xludf.DUMMYFUNCTION("""COMPUTED_VALUE"""),"WES")</f>
        <v>WES</v>
      </c>
      <c r="C3163" s="154">
        <f>IFERROR(__xludf.DUMMYFUNCTION("""COMPUTED_VALUE"""),46139.0)</f>
        <v>46139</v>
      </c>
      <c r="D3163" s="154">
        <f>IFERROR(__xludf.DUMMYFUNCTION("""COMPUTED_VALUE"""),46149.0)</f>
        <v>46149</v>
      </c>
    </row>
    <row r="3164">
      <c r="A3164" s="153" t="str">
        <f>IFERROR(__xludf.DUMMYFUNCTION("""COMPUTED_VALUE"""),"ADK0000001323")</f>
        <v>ADK0000001323</v>
      </c>
      <c r="B3164" s="153" t="str">
        <f>IFERROR(__xludf.DUMMYFUNCTION("""COMPUTED_VALUE"""),"WES")</f>
        <v>WES</v>
      </c>
      <c r="C3164" s="154">
        <f>IFERROR(__xludf.DUMMYFUNCTION("""COMPUTED_VALUE"""),46139.0)</f>
        <v>46139</v>
      </c>
      <c r="D3164" s="154">
        <f>IFERROR(__xludf.DUMMYFUNCTION("""COMPUTED_VALUE"""),46149.0)</f>
        <v>46149</v>
      </c>
    </row>
    <row r="3165">
      <c r="A3165" s="153" t="str">
        <f>IFERROR(__xludf.DUMMYFUNCTION("""COMPUTED_VALUE"""),"ADK0000001324")</f>
        <v>ADK0000001324</v>
      </c>
      <c r="B3165" s="153" t="str">
        <f>IFERROR(__xludf.DUMMYFUNCTION("""COMPUTED_VALUE"""),"WES")</f>
        <v>WES</v>
      </c>
      <c r="C3165" s="154">
        <f>IFERROR(__xludf.DUMMYFUNCTION("""COMPUTED_VALUE"""),46139.0)</f>
        <v>46139</v>
      </c>
      <c r="D3165" s="154">
        <f>IFERROR(__xludf.DUMMYFUNCTION("""COMPUTED_VALUE"""),46149.0)</f>
        <v>46149</v>
      </c>
    </row>
    <row r="3166">
      <c r="A3166" s="153" t="str">
        <f>IFERROR(__xludf.DUMMYFUNCTION("""COMPUTED_VALUE"""),"ADK0000001370")</f>
        <v>ADK0000001370</v>
      </c>
      <c r="B3166" s="153" t="str">
        <f>IFERROR(__xludf.DUMMYFUNCTION("""COMPUTED_VALUE"""),"WES+WMGS")</f>
        <v>WES+WMGS</v>
      </c>
      <c r="C3166" s="154">
        <f>IFERROR(__xludf.DUMMYFUNCTION("""COMPUTED_VALUE"""),46139.0)</f>
        <v>46139</v>
      </c>
      <c r="D3166" s="154">
        <f>IFERROR(__xludf.DUMMYFUNCTION("""COMPUTED_VALUE"""),46151.0)</f>
        <v>46151</v>
      </c>
    </row>
    <row r="3167">
      <c r="A3167" s="153" t="str">
        <f>IFERROR(__xludf.DUMMYFUNCTION("""COMPUTED_VALUE"""),"ADK0000001369")</f>
        <v>ADK0000001369</v>
      </c>
      <c r="B3167" s="153" t="str">
        <f>IFERROR(__xludf.DUMMYFUNCTION("""COMPUTED_VALUE"""),"WES+WMGS")</f>
        <v>WES+WMGS</v>
      </c>
      <c r="C3167" s="154">
        <f>IFERROR(__xludf.DUMMYFUNCTION("""COMPUTED_VALUE"""),46143.0)</f>
        <v>46143</v>
      </c>
      <c r="D3167" s="154">
        <f>IFERROR(__xludf.DUMMYFUNCTION("""COMPUTED_VALUE"""),46125.0)</f>
        <v>46125</v>
      </c>
    </row>
    <row r="3168">
      <c r="A3168" s="153" t="str">
        <f>IFERROR(__xludf.DUMMYFUNCTION("""COMPUTED_VALUE"""),"ADK0000001366")</f>
        <v>ADK0000001366</v>
      </c>
      <c r="B3168" s="153" t="str">
        <f>IFERROR(__xludf.DUMMYFUNCTION("""COMPUTED_VALUE"""),"WES+WMGS")</f>
        <v>WES+WMGS</v>
      </c>
      <c r="C3168" s="154">
        <f>IFERROR(__xludf.DUMMYFUNCTION("""COMPUTED_VALUE"""),46143.0)</f>
        <v>46143</v>
      </c>
      <c r="D3168" s="154">
        <f>IFERROR(__xludf.DUMMYFUNCTION("""COMPUTED_VALUE"""),46157.0)</f>
        <v>46157</v>
      </c>
    </row>
    <row r="3169">
      <c r="A3169" s="153" t="str">
        <f>IFERROR(__xludf.DUMMYFUNCTION("""COMPUTED_VALUE"""),"ADK0000001367")</f>
        <v>ADK0000001367</v>
      </c>
      <c r="B3169" s="153" t="str">
        <f>IFERROR(__xludf.DUMMYFUNCTION("""COMPUTED_VALUE"""),"WES+WMGS")</f>
        <v>WES+WMGS</v>
      </c>
      <c r="C3169" s="154">
        <f>IFERROR(__xludf.DUMMYFUNCTION("""COMPUTED_VALUE"""),46143.0)</f>
        <v>46143</v>
      </c>
      <c r="D3169" s="154">
        <f>IFERROR(__xludf.DUMMYFUNCTION("""COMPUTED_VALUE"""),46157.0)</f>
        <v>46157</v>
      </c>
    </row>
    <row r="3170">
      <c r="A3170" s="153" t="str">
        <f>IFERROR(__xludf.DUMMYFUNCTION("""COMPUTED_VALUE"""),"ADK0000001368")</f>
        <v>ADK0000001368</v>
      </c>
      <c r="B3170" s="153" t="str">
        <f>IFERROR(__xludf.DUMMYFUNCTION("""COMPUTED_VALUE"""),"WES+WMGS")</f>
        <v>WES+WMGS</v>
      </c>
      <c r="C3170" s="154">
        <f>IFERROR(__xludf.DUMMYFUNCTION("""COMPUTED_VALUE"""),46143.0)</f>
        <v>46143</v>
      </c>
      <c r="D3170" s="154">
        <f>IFERROR(__xludf.DUMMYFUNCTION("""COMPUTED_VALUE"""),46157.0)</f>
        <v>46157</v>
      </c>
    </row>
    <row r="3171">
      <c r="A3171" s="153" t="str">
        <f>IFERROR(__xludf.DUMMYFUNCTION("""COMPUTED_VALUE"""),"ADB0000033905")</f>
        <v>ADB0000033905</v>
      </c>
      <c r="B3171" s="153" t="str">
        <f>IFERROR(__xludf.DUMMYFUNCTION("""COMPUTED_VALUE"""),"FEMALE INFERTILITY NGS PANEL")</f>
        <v>FEMALE INFERTILITY NGS PANEL</v>
      </c>
      <c r="C3171" s="154">
        <f>IFERROR(__xludf.DUMMYFUNCTION("""COMPUTED_VALUE"""),46143.0)</f>
        <v>46143</v>
      </c>
      <c r="D3171" s="154">
        <f>IFERROR(__xludf.DUMMYFUNCTION("""COMPUTED_VALUE"""),46146.0)</f>
        <v>46146</v>
      </c>
    </row>
    <row r="3172">
      <c r="A3172" s="153" t="str">
        <f>IFERROR(__xludf.DUMMYFUNCTION("""COMPUTED_VALUE"""),"ANL0000006495")</f>
        <v>ANL0000006495</v>
      </c>
      <c r="B3172" s="153" t="str">
        <f>IFERROR(__xludf.DUMMYFUNCTION("""COMPUTED_VALUE"""),"WES")</f>
        <v>WES</v>
      </c>
      <c r="C3172" s="154">
        <f>IFERROR(__xludf.DUMMYFUNCTION("""COMPUTED_VALUE"""),46143.0)</f>
        <v>46143</v>
      </c>
      <c r="D3172" s="154">
        <f>IFERROR(__xludf.DUMMYFUNCTION("""COMPUTED_VALUE"""),46157.0)</f>
        <v>46157</v>
      </c>
    </row>
    <row r="3173">
      <c r="A3173" s="153" t="str">
        <f>IFERROR(__xludf.DUMMYFUNCTION("""COMPUTED_VALUE"""),"ADK0000001373")</f>
        <v>ADK0000001373</v>
      </c>
      <c r="B3173" s="153" t="str">
        <f>IFERROR(__xludf.DUMMYFUNCTION("""COMPUTED_VALUE"""),"WES")</f>
        <v>WES</v>
      </c>
      <c r="C3173" s="154">
        <f>IFERROR(__xludf.DUMMYFUNCTION("""COMPUTED_VALUE"""),46143.0)</f>
        <v>46143</v>
      </c>
      <c r="D3173" s="154">
        <f>IFERROR(__xludf.DUMMYFUNCTION("""COMPUTED_VALUE"""),46157.0)</f>
        <v>46157</v>
      </c>
    </row>
    <row r="3174">
      <c r="A3174" s="153" t="str">
        <f>IFERROR(__xludf.DUMMYFUNCTION("""COMPUTED_VALUE"""),"CHM0000022263")</f>
        <v>CHM0000022263</v>
      </c>
      <c r="B3174" s="153" t="str">
        <f>IFERROR(__xludf.DUMMYFUNCTION("""COMPUTED_VALUE"""),"WES")</f>
        <v>WES</v>
      </c>
      <c r="C3174" s="154">
        <f>IFERROR(__xludf.DUMMYFUNCTION("""COMPUTED_VALUE"""),46143.0)</f>
        <v>46143</v>
      </c>
      <c r="D3174" s="154">
        <f>IFERROR(__xludf.DUMMYFUNCTION("""COMPUTED_VALUE"""),46157.0)</f>
        <v>46157</v>
      </c>
    </row>
    <row r="3175">
      <c r="A3175" s="153" t="str">
        <f>IFERROR(__xludf.DUMMYFUNCTION("""COMPUTED_VALUE"""),"ADK0000001417")</f>
        <v>ADK0000001417</v>
      </c>
      <c r="B3175" s="153" t="str">
        <f>IFERROR(__xludf.DUMMYFUNCTION("""COMPUTED_VALUE"""),"WES")</f>
        <v>WES</v>
      </c>
      <c r="C3175" s="154">
        <f>IFERROR(__xludf.DUMMYFUNCTION("""COMPUTED_VALUE"""),46141.0)</f>
        <v>46141</v>
      </c>
      <c r="D3175" s="154">
        <f>IFERROR(__xludf.DUMMYFUNCTION("""COMPUTED_VALUE"""),46153.0)</f>
        <v>46153</v>
      </c>
    </row>
    <row r="3176">
      <c r="A3176" s="153" t="str">
        <f>IFERROR(__xludf.DUMMYFUNCTION("""COMPUTED_VALUE"""),"ADK0000001418")</f>
        <v>ADK0000001418</v>
      </c>
      <c r="B3176" s="153" t="str">
        <f>IFERROR(__xludf.DUMMYFUNCTION("""COMPUTED_VALUE"""),"WES")</f>
        <v>WES</v>
      </c>
      <c r="C3176" s="154">
        <f>IFERROR(__xludf.DUMMYFUNCTION("""COMPUTED_VALUE"""),46141.0)</f>
        <v>46141</v>
      </c>
      <c r="D3176" s="154">
        <f>IFERROR(__xludf.DUMMYFUNCTION("""COMPUTED_VALUE"""),46153.0)</f>
        <v>46153</v>
      </c>
    </row>
    <row r="3177">
      <c r="A3177" s="153" t="str">
        <f>IFERROR(__xludf.DUMMYFUNCTION("""COMPUTED_VALUE"""),"ADK0000001416")</f>
        <v>ADK0000001416</v>
      </c>
      <c r="B3177" s="153" t="str">
        <f>IFERROR(__xludf.DUMMYFUNCTION("""COMPUTED_VALUE"""),"WES")</f>
        <v>WES</v>
      </c>
      <c r="C3177" s="154">
        <f>IFERROR(__xludf.DUMMYFUNCTION("""COMPUTED_VALUE"""),46141.0)</f>
        <v>46141</v>
      </c>
      <c r="D3177" s="154">
        <f>IFERROR(__xludf.DUMMYFUNCTION("""COMPUTED_VALUE"""),46153.0)</f>
        <v>46153</v>
      </c>
    </row>
    <row r="3178">
      <c r="A3178" s="153" t="str">
        <f>IFERROR(__xludf.DUMMYFUNCTION("""COMPUTED_VALUE"""),"ADK0000001419")</f>
        <v>ADK0000001419</v>
      </c>
      <c r="B3178" s="153" t="str">
        <f>IFERROR(__xludf.DUMMYFUNCTION("""COMPUTED_VALUE"""),"WES+WMGS")</f>
        <v>WES+WMGS</v>
      </c>
      <c r="C3178" s="154">
        <f>IFERROR(__xludf.DUMMYFUNCTION("""COMPUTED_VALUE"""),46141.0)</f>
        <v>46141</v>
      </c>
      <c r="D3178" s="154">
        <f>IFERROR(__xludf.DUMMYFUNCTION("""COMPUTED_VALUE"""),46153.0)</f>
        <v>46153</v>
      </c>
    </row>
    <row r="3179">
      <c r="A3179" s="153" t="str">
        <f>IFERROR(__xludf.DUMMYFUNCTION("""COMPUTED_VALUE"""),"ADK0000001420")</f>
        <v>ADK0000001420</v>
      </c>
      <c r="B3179" s="153" t="str">
        <f>IFERROR(__xludf.DUMMYFUNCTION("""COMPUTED_VALUE"""),"WES")</f>
        <v>WES</v>
      </c>
      <c r="C3179" s="154">
        <f>IFERROR(__xludf.DUMMYFUNCTION("""COMPUTED_VALUE"""),46141.0)</f>
        <v>46141</v>
      </c>
      <c r="D3179" s="154">
        <f>IFERROR(__xludf.DUMMYFUNCTION("""COMPUTED_VALUE"""),46153.0)</f>
        <v>46153</v>
      </c>
    </row>
    <row r="3180">
      <c r="A3180" s="153" t="str">
        <f>IFERROR(__xludf.DUMMYFUNCTION("""COMPUTED_VALUE"""),"PH50000011885")</f>
        <v>PH50000011885</v>
      </c>
      <c r="B3180" s="153" t="str">
        <f>IFERROR(__xludf.DUMMYFUNCTION("""COMPUTED_VALUE"""),"WES")</f>
        <v>WES</v>
      </c>
      <c r="C3180" s="154">
        <f>IFERROR(__xludf.DUMMYFUNCTION("""COMPUTED_VALUE"""),46141.0)</f>
        <v>46141</v>
      </c>
      <c r="D3180" s="154">
        <f>IFERROR(__xludf.DUMMYFUNCTION("""COMPUTED_VALUE"""),46150.0)</f>
        <v>46150</v>
      </c>
    </row>
    <row r="3181">
      <c r="A3181" s="153" t="str">
        <f>IFERROR(__xludf.DUMMYFUNCTION("""COMPUTED_VALUE"""),"ADB0000033742")</f>
        <v>ADB0000033742</v>
      </c>
      <c r="B3181" s="153" t="str">
        <f>IFERROR(__xludf.DUMMYFUNCTION("""COMPUTED_VALUE"""),"WES")</f>
        <v>WES</v>
      </c>
      <c r="C3181" s="154">
        <f>IFERROR(__xludf.DUMMYFUNCTION("""COMPUTED_VALUE"""),46141.0)</f>
        <v>46141</v>
      </c>
      <c r="D3181" s="154">
        <f>IFERROR(__xludf.DUMMYFUNCTION("""COMPUTED_VALUE"""),46151.0)</f>
        <v>46151</v>
      </c>
    </row>
    <row r="3182">
      <c r="A3182" s="153" t="str">
        <f>IFERROR(__xludf.DUMMYFUNCTION("""COMPUTED_VALUE"""),"AMB0000008046")</f>
        <v>AMB0000008046</v>
      </c>
      <c r="B3182" s="153" t="str">
        <f>IFERROR(__xludf.DUMMYFUNCTION("""COMPUTED_VALUE"""),"WES")</f>
        <v>WES</v>
      </c>
      <c r="C3182" s="154">
        <f>IFERROR(__xludf.DUMMYFUNCTION("""COMPUTED_VALUE"""),46141.0)</f>
        <v>46141</v>
      </c>
      <c r="D3182" s="154">
        <f>IFERROR(__xludf.DUMMYFUNCTION("""COMPUTED_VALUE"""),46139.0)</f>
        <v>46139</v>
      </c>
    </row>
    <row r="3183">
      <c r="A3183" s="153" t="str">
        <f>IFERROR(__xludf.DUMMYFUNCTION("""COMPUTED_VALUE"""),"ADK0000001397")</f>
        <v>ADK0000001397</v>
      </c>
      <c r="B3183" s="153" t="str">
        <f>IFERROR(__xludf.DUMMYFUNCTION("""COMPUTED_VALUE"""),"WES")</f>
        <v>WES</v>
      </c>
      <c r="C3183" s="154">
        <f>IFERROR(__xludf.DUMMYFUNCTION("""COMPUTED_VALUE"""),46141.0)</f>
        <v>46141</v>
      </c>
      <c r="D3183" s="154">
        <f>IFERROR(__xludf.DUMMYFUNCTION("""COMPUTED_VALUE"""),46153.0)</f>
        <v>46153</v>
      </c>
    </row>
    <row r="3184">
      <c r="A3184" s="153" t="str">
        <f>IFERROR(__xludf.DUMMYFUNCTION("""COMPUTED_VALUE"""),"ADK0000001398")</f>
        <v>ADK0000001398</v>
      </c>
      <c r="B3184" s="153" t="str">
        <f>IFERROR(__xludf.DUMMYFUNCTION("""COMPUTED_VALUE"""),"WES")</f>
        <v>WES</v>
      </c>
      <c r="C3184" s="154">
        <f>IFERROR(__xludf.DUMMYFUNCTION("""COMPUTED_VALUE"""),46141.0)</f>
        <v>46141</v>
      </c>
      <c r="D3184" s="154">
        <f>IFERROR(__xludf.DUMMYFUNCTION("""COMPUTED_VALUE"""),46153.0)</f>
        <v>46153</v>
      </c>
    </row>
    <row r="3185">
      <c r="A3185" s="153" t="str">
        <f>IFERROR(__xludf.DUMMYFUNCTION("""COMPUTED_VALUE"""),"ADK0000001399")</f>
        <v>ADK0000001399</v>
      </c>
      <c r="B3185" s="153" t="str">
        <f>IFERROR(__xludf.DUMMYFUNCTION("""COMPUTED_VALUE"""),"WES")</f>
        <v>WES</v>
      </c>
      <c r="C3185" s="154">
        <f>IFERROR(__xludf.DUMMYFUNCTION("""COMPUTED_VALUE"""),46141.0)</f>
        <v>46141</v>
      </c>
      <c r="D3185" s="154">
        <f>IFERROR(__xludf.DUMMYFUNCTION("""COMPUTED_VALUE"""),46153.0)</f>
        <v>46153</v>
      </c>
    </row>
    <row r="3186">
      <c r="A3186" s="153" t="str">
        <f>IFERROR(__xludf.DUMMYFUNCTION("""COMPUTED_VALUE"""),"ADK0000001400")</f>
        <v>ADK0000001400</v>
      </c>
      <c r="B3186" s="153" t="str">
        <f>IFERROR(__xludf.DUMMYFUNCTION("""COMPUTED_VALUE"""),"WES")</f>
        <v>WES</v>
      </c>
      <c r="C3186" s="154">
        <f>IFERROR(__xludf.DUMMYFUNCTION("""COMPUTED_VALUE"""),46141.0)</f>
        <v>46141</v>
      </c>
      <c r="D3186" s="154">
        <f>IFERROR(__xludf.DUMMYFUNCTION("""COMPUTED_VALUE"""),46153.0)</f>
        <v>46153</v>
      </c>
    </row>
    <row r="3187">
      <c r="A3187" s="153" t="str">
        <f>IFERROR(__xludf.DUMMYFUNCTION("""COMPUTED_VALUE"""),"ADK0000001401")</f>
        <v>ADK0000001401</v>
      </c>
      <c r="B3187" s="153" t="str">
        <f>IFERROR(__xludf.DUMMYFUNCTION("""COMPUTED_VALUE"""),"WES")</f>
        <v>WES</v>
      </c>
      <c r="C3187" s="154">
        <f>IFERROR(__xludf.DUMMYFUNCTION("""COMPUTED_VALUE"""),46141.0)</f>
        <v>46141</v>
      </c>
      <c r="D3187" s="154">
        <f>IFERROR(__xludf.DUMMYFUNCTION("""COMPUTED_VALUE"""),46153.0)</f>
        <v>46153</v>
      </c>
    </row>
    <row r="3188">
      <c r="A3188" s="153" t="str">
        <f>IFERROR(__xludf.DUMMYFUNCTION("""COMPUTED_VALUE"""),"ADK0000001402")</f>
        <v>ADK0000001402</v>
      </c>
      <c r="B3188" s="153" t="str">
        <f>IFERROR(__xludf.DUMMYFUNCTION("""COMPUTED_VALUE"""),"WES")</f>
        <v>WES</v>
      </c>
      <c r="C3188" s="154">
        <f>IFERROR(__xludf.DUMMYFUNCTION("""COMPUTED_VALUE"""),46141.0)</f>
        <v>46141</v>
      </c>
      <c r="D3188" s="154">
        <f>IFERROR(__xludf.DUMMYFUNCTION("""COMPUTED_VALUE"""),46153.0)</f>
        <v>46153</v>
      </c>
    </row>
    <row r="3189">
      <c r="A3189" s="153" t="str">
        <f>IFERROR(__xludf.DUMMYFUNCTION("""COMPUTED_VALUE"""),"ADK0000001403")</f>
        <v>ADK0000001403</v>
      </c>
      <c r="B3189" s="153" t="str">
        <f>IFERROR(__xludf.DUMMYFUNCTION("""COMPUTED_VALUE"""),"WES")</f>
        <v>WES</v>
      </c>
      <c r="C3189" s="154">
        <f>IFERROR(__xludf.DUMMYFUNCTION("""COMPUTED_VALUE"""),46141.0)</f>
        <v>46141</v>
      </c>
      <c r="D3189" s="154">
        <f>IFERROR(__xludf.DUMMYFUNCTION("""COMPUTED_VALUE"""),46153.0)</f>
        <v>46153</v>
      </c>
    </row>
    <row r="3190">
      <c r="A3190" s="153"/>
      <c r="B3190" s="153"/>
      <c r="C3190" s="154">
        <f>IFERROR(__xludf.DUMMYFUNCTION("""COMPUTED_VALUE"""),46141.0)</f>
        <v>46141</v>
      </c>
      <c r="D3190" s="154">
        <f>IFERROR(__xludf.DUMMYFUNCTION("""COMPUTED_VALUE"""),20.0)</f>
        <v>20</v>
      </c>
    </row>
    <row r="3191">
      <c r="A3191" s="153" t="str">
        <f>IFERROR(__xludf.DUMMYFUNCTION("""COMPUTED_VALUE"""),"ADK0000001579")</f>
        <v>ADK0000001579</v>
      </c>
      <c r="B3191" s="153" t="str">
        <f>IFERROR(__xludf.DUMMYFUNCTION("""COMPUTED_VALUE"""),"WES")</f>
        <v>WES</v>
      </c>
      <c r="C3191" s="154">
        <f>IFERROR(__xludf.DUMMYFUNCTION("""COMPUTED_VALUE"""),46143.0)</f>
        <v>46143</v>
      </c>
      <c r="D3191" s="154">
        <f>IFERROR(__xludf.DUMMYFUNCTION("""COMPUTED_VALUE"""),46157.0)</f>
        <v>46157</v>
      </c>
    </row>
    <row r="3192">
      <c r="A3192" s="153" t="str">
        <f>IFERROR(__xludf.DUMMYFUNCTION("""COMPUTED_VALUE"""),"ADK0000001580")</f>
        <v>ADK0000001580</v>
      </c>
      <c r="B3192" s="153" t="str">
        <f>IFERROR(__xludf.DUMMYFUNCTION("""COMPUTED_VALUE"""),"WES")</f>
        <v>WES</v>
      </c>
      <c r="C3192" s="154">
        <f>IFERROR(__xludf.DUMMYFUNCTION("""COMPUTED_VALUE"""),46143.0)</f>
        <v>46143</v>
      </c>
      <c r="D3192" s="154">
        <f>IFERROR(__xludf.DUMMYFUNCTION("""COMPUTED_VALUE"""),46157.0)</f>
        <v>46157</v>
      </c>
    </row>
    <row r="3193">
      <c r="A3193" s="153" t="str">
        <f>IFERROR(__xludf.DUMMYFUNCTION("""COMPUTED_VALUE"""),"ADK0000001581")</f>
        <v>ADK0000001581</v>
      </c>
      <c r="B3193" s="153" t="str">
        <f>IFERROR(__xludf.DUMMYFUNCTION("""COMPUTED_VALUE"""),"WES")</f>
        <v>WES</v>
      </c>
      <c r="C3193" s="154">
        <f>IFERROR(__xludf.DUMMYFUNCTION("""COMPUTED_VALUE"""),46143.0)</f>
        <v>46143</v>
      </c>
      <c r="D3193" s="154">
        <f>IFERROR(__xludf.DUMMYFUNCTION("""COMPUTED_VALUE"""),46157.0)</f>
        <v>46157</v>
      </c>
    </row>
    <row r="3194">
      <c r="A3194" s="153" t="str">
        <f>IFERROR(__xludf.DUMMYFUNCTION("""COMPUTED_VALUE"""),"ADK0000001582")</f>
        <v>ADK0000001582</v>
      </c>
      <c r="B3194" s="153" t="str">
        <f>IFERROR(__xludf.DUMMYFUNCTION("""COMPUTED_VALUE"""),"WES")</f>
        <v>WES</v>
      </c>
      <c r="C3194" s="154">
        <f>IFERROR(__xludf.DUMMYFUNCTION("""COMPUTED_VALUE"""),46143.0)</f>
        <v>46143</v>
      </c>
      <c r="D3194" s="154">
        <f>IFERROR(__xludf.DUMMYFUNCTION("""COMPUTED_VALUE"""),46157.0)</f>
        <v>46157</v>
      </c>
    </row>
    <row r="3195">
      <c r="A3195" s="153" t="str">
        <f>IFERROR(__xludf.DUMMYFUNCTION("""COMPUTED_VALUE"""),"ADK0000001583")</f>
        <v>ADK0000001583</v>
      </c>
      <c r="B3195" s="153" t="str">
        <f>IFERROR(__xludf.DUMMYFUNCTION("""COMPUTED_VALUE"""),"WES")</f>
        <v>WES</v>
      </c>
      <c r="C3195" s="154">
        <f>IFERROR(__xludf.DUMMYFUNCTION("""COMPUTED_VALUE"""),46143.0)</f>
        <v>46143</v>
      </c>
      <c r="D3195" s="154">
        <f>IFERROR(__xludf.DUMMYFUNCTION("""COMPUTED_VALUE"""),46157.0)</f>
        <v>46157</v>
      </c>
    </row>
    <row r="3196">
      <c r="A3196" s="153" t="str">
        <f>IFERROR(__xludf.DUMMYFUNCTION("""COMPUTED_VALUE"""),"ADK0000001584")</f>
        <v>ADK0000001584</v>
      </c>
      <c r="B3196" s="153" t="str">
        <f>IFERROR(__xludf.DUMMYFUNCTION("""COMPUTED_VALUE"""),"WES")</f>
        <v>WES</v>
      </c>
      <c r="C3196" s="154">
        <f>IFERROR(__xludf.DUMMYFUNCTION("""COMPUTED_VALUE"""),46143.0)</f>
        <v>46143</v>
      </c>
      <c r="D3196" s="154">
        <f>IFERROR(__xludf.DUMMYFUNCTION("""COMPUTED_VALUE"""),46157.0)</f>
        <v>46157</v>
      </c>
    </row>
    <row r="3197">
      <c r="A3197" s="153" t="str">
        <f>IFERROR(__xludf.DUMMYFUNCTION("""COMPUTED_VALUE"""),"ABC0000000959")</f>
        <v>ABC0000000959</v>
      </c>
      <c r="B3197" s="153" t="str">
        <f>IFERROR(__xludf.DUMMYFUNCTION("""COMPUTED_VALUE"""),"CES")</f>
        <v>CES</v>
      </c>
      <c r="C3197" s="154">
        <f>IFERROR(__xludf.DUMMYFUNCTION("""COMPUTED_VALUE"""),46143.0)</f>
        <v>46143</v>
      </c>
      <c r="D3197" s="154">
        <f>IFERROR(__xludf.DUMMYFUNCTION("""COMPUTED_VALUE"""),46159.0)</f>
        <v>46159</v>
      </c>
    </row>
    <row r="3198">
      <c r="A3198" s="153" t="str">
        <f>IFERROR(__xludf.DUMMYFUNCTION("""COMPUTED_VALUE"""),"ACO0000006176")</f>
        <v>ACO0000006176</v>
      </c>
      <c r="B3198" s="153" t="str">
        <f>IFERROR(__xludf.DUMMYFUNCTION("""COMPUTED_VALUE"""),"FEMALE INFERTILITY NGS PANEL")</f>
        <v>FEMALE INFERTILITY NGS PANEL</v>
      </c>
      <c r="C3198" s="154">
        <f>IFERROR(__xludf.DUMMYFUNCTION("""COMPUTED_VALUE"""),46143.0)</f>
        <v>46143</v>
      </c>
      <c r="D3198" s="154">
        <f>IFERROR(__xludf.DUMMYFUNCTION("""COMPUTED_VALUE"""),46148.0)</f>
        <v>46148</v>
      </c>
    </row>
    <row r="3199">
      <c r="A3199" s="153" t="str">
        <f>IFERROR(__xludf.DUMMYFUNCTION("""COMPUTED_VALUE"""),"ABC0000000964")</f>
        <v>ABC0000000964</v>
      </c>
      <c r="B3199" s="153" t="str">
        <f>IFERROR(__xludf.DUMMYFUNCTION("""COMPUTED_VALUE"""),"WES")</f>
        <v>WES</v>
      </c>
      <c r="C3199" s="154">
        <f>IFERROR(__xludf.DUMMYFUNCTION("""COMPUTED_VALUE"""),46143.0)</f>
        <v>46143</v>
      </c>
      <c r="D3199" s="154">
        <f>IFERROR(__xludf.DUMMYFUNCTION("""COMPUTED_VALUE"""),46159.0)</f>
        <v>46159</v>
      </c>
    </row>
    <row r="3200">
      <c r="A3200" s="153" t="str">
        <f>IFERROR(__xludf.DUMMYFUNCTION("""COMPUTED_VALUE"""),"ABC0000000965")</f>
        <v>ABC0000000965</v>
      </c>
      <c r="B3200" s="153" t="str">
        <f>IFERROR(__xludf.DUMMYFUNCTION("""COMPUTED_VALUE"""),"WES")</f>
        <v>WES</v>
      </c>
      <c r="C3200" s="154">
        <f>IFERROR(__xludf.DUMMYFUNCTION("""COMPUTED_VALUE"""),46143.0)</f>
        <v>46143</v>
      </c>
      <c r="D3200" s="154">
        <f>IFERROR(__xludf.DUMMYFUNCTION("""COMPUTED_VALUE"""),46159.0)</f>
        <v>46159</v>
      </c>
    </row>
    <row r="3201">
      <c r="A3201" s="153" t="str">
        <f>IFERROR(__xludf.DUMMYFUNCTION("""COMPUTED_VALUE"""),"HYP0000001382")</f>
        <v>HYP0000001382</v>
      </c>
      <c r="B3201" s="153" t="str">
        <f>IFERROR(__xludf.DUMMYFUNCTION("""COMPUTED_VALUE"""),"WES")</f>
        <v>WES</v>
      </c>
      <c r="C3201" s="154">
        <f>IFERROR(__xludf.DUMMYFUNCTION("""COMPUTED_VALUE"""),46143.0)</f>
        <v>46143</v>
      </c>
      <c r="D3201" s="154">
        <f>IFERROR(__xludf.DUMMYFUNCTION("""COMPUTED_VALUE"""),46159.0)</f>
        <v>46159</v>
      </c>
    </row>
    <row r="3202">
      <c r="A3202" s="153" t="str">
        <f>IFERROR(__xludf.DUMMYFUNCTION("""COMPUTED_VALUE"""),"HYP0000001383")</f>
        <v>HYP0000001383</v>
      </c>
      <c r="B3202" s="153" t="str">
        <f>IFERROR(__xludf.DUMMYFUNCTION("""COMPUTED_VALUE"""),"WES")</f>
        <v>WES</v>
      </c>
      <c r="C3202" s="154">
        <f>IFERROR(__xludf.DUMMYFUNCTION("""COMPUTED_VALUE"""),46143.0)</f>
        <v>46143</v>
      </c>
      <c r="D3202" s="154">
        <f>IFERROR(__xludf.DUMMYFUNCTION("""COMPUTED_VALUE"""),46159.0)</f>
        <v>46159</v>
      </c>
    </row>
    <row r="3203">
      <c r="A3203" s="153" t="str">
        <f>IFERROR(__xludf.DUMMYFUNCTION("""COMPUTED_VALUE"""),"CHM0000018836")</f>
        <v>CHM0000018836</v>
      </c>
      <c r="B3203" s="153" t="str">
        <f>IFERROR(__xludf.DUMMYFUNCTION("""COMPUTED_VALUE"""),"CES")</f>
        <v>CES</v>
      </c>
      <c r="C3203" s="154">
        <f>IFERROR(__xludf.DUMMYFUNCTION("""COMPUTED_VALUE"""),46143.0)</f>
        <v>46143</v>
      </c>
      <c r="D3203" s="154">
        <f>IFERROR(__xludf.DUMMYFUNCTION("""COMPUTED_VALUE"""),46159.0)</f>
        <v>46159</v>
      </c>
    </row>
    <row r="3204">
      <c r="A3204" s="153" t="str">
        <f>IFERROR(__xludf.DUMMYFUNCTION("""COMPUTED_VALUE"""),"PH60000005818")</f>
        <v>PH60000005818</v>
      </c>
      <c r="B3204" s="153" t="str">
        <f>IFERROR(__xludf.DUMMYFUNCTION("""COMPUTED_VALUE"""),"WES+WMGS")</f>
        <v>WES+WMGS</v>
      </c>
      <c r="C3204" s="154">
        <f>IFERROR(__xludf.DUMMYFUNCTION("""COMPUTED_VALUE"""),46143.0)</f>
        <v>46143</v>
      </c>
      <c r="D3204" s="154">
        <f>IFERROR(__xludf.DUMMYFUNCTION("""COMPUTED_VALUE"""),46152.0)</f>
        <v>46152</v>
      </c>
    </row>
    <row r="3205">
      <c r="A3205" s="153"/>
      <c r="B3205" s="153"/>
      <c r="C3205" s="154">
        <f>IFERROR(__xludf.DUMMYFUNCTION("""COMPUTED_VALUE"""),46143.0)</f>
        <v>46143</v>
      </c>
      <c r="D3205" s="153"/>
    </row>
    <row r="3206">
      <c r="A3206" s="153" t="str">
        <f>IFERROR(__xludf.DUMMYFUNCTION("""COMPUTED_VALUE"""),"FR20000008186")</f>
        <v>FR20000008186</v>
      </c>
      <c r="B3206" s="153" t="str">
        <f>IFERROR(__xludf.DUMMYFUNCTION("""COMPUTED_VALUE"""),"DYSTONIA DISEASE NGS PANEL GENES (REPRODUCTIVE GENOMICS)")</f>
        <v>DYSTONIA DISEASE NGS PANEL GENES (REPRODUCTIVE GENOMICS)</v>
      </c>
      <c r="C3206" s="154">
        <f>IFERROR(__xludf.DUMMYFUNCTION("""COMPUTED_VALUE"""),46143.0)</f>
        <v>46143</v>
      </c>
      <c r="D3206" s="154">
        <f>IFERROR(__xludf.DUMMYFUNCTION("""COMPUTED_VALUE"""),46159.0)</f>
        <v>46159</v>
      </c>
    </row>
    <row r="3207">
      <c r="A3207" s="153" t="str">
        <f>IFERROR(__xludf.DUMMYFUNCTION("""COMPUTED_VALUE"""),"ADK0000001446")</f>
        <v>ADK0000001446</v>
      </c>
      <c r="B3207" s="153" t="str">
        <f>IFERROR(__xludf.DUMMYFUNCTION("""COMPUTED_VALUE"""),"WES+WMGS")</f>
        <v>WES+WMGS</v>
      </c>
      <c r="C3207" s="154">
        <f>IFERROR(__xludf.DUMMYFUNCTION("""COMPUTED_VALUE"""),46143.0)</f>
        <v>46143</v>
      </c>
      <c r="D3207" s="154">
        <f>IFERROR(__xludf.DUMMYFUNCTION("""COMPUTED_VALUE"""),46160.0)</f>
        <v>46160</v>
      </c>
    </row>
    <row r="3208">
      <c r="A3208" s="153" t="str">
        <f>IFERROR(__xludf.DUMMYFUNCTION("""COMPUTED_VALUE"""),"ADK0000001447")</f>
        <v>ADK0000001447</v>
      </c>
      <c r="B3208" s="153" t="str">
        <f>IFERROR(__xludf.DUMMYFUNCTION("""COMPUTED_VALUE"""),"WES+WMGS")</f>
        <v>WES+WMGS</v>
      </c>
      <c r="C3208" s="154">
        <f>IFERROR(__xludf.DUMMYFUNCTION("""COMPUTED_VALUE"""),46143.0)</f>
        <v>46143</v>
      </c>
      <c r="D3208" s="154">
        <f>IFERROR(__xludf.DUMMYFUNCTION("""COMPUTED_VALUE"""),46160.0)</f>
        <v>46160</v>
      </c>
    </row>
    <row r="3209">
      <c r="A3209" s="153" t="str">
        <f>IFERROR(__xludf.DUMMYFUNCTION("""COMPUTED_VALUE"""),"HYP0000001379")</f>
        <v>HYP0000001379</v>
      </c>
      <c r="B3209" s="153" t="str">
        <f>IFERROR(__xludf.DUMMYFUNCTION("""COMPUTED_VALUE"""),"WES")</f>
        <v>WES</v>
      </c>
      <c r="C3209" s="154">
        <f>IFERROR(__xludf.DUMMYFUNCTION("""COMPUTED_VALUE"""),46143.0)</f>
        <v>46143</v>
      </c>
      <c r="D3209" s="154">
        <f>IFERROR(__xludf.DUMMYFUNCTION("""COMPUTED_VALUE"""),46160.0)</f>
        <v>46160</v>
      </c>
    </row>
    <row r="3210">
      <c r="A3210" s="153" t="str">
        <f>IFERROR(__xludf.DUMMYFUNCTION("""COMPUTED_VALUE"""),"HYP0000001380")</f>
        <v>HYP0000001380</v>
      </c>
      <c r="B3210" s="153" t="str">
        <f>IFERROR(__xludf.DUMMYFUNCTION("""COMPUTED_VALUE"""),"WES")</f>
        <v>WES</v>
      </c>
      <c r="C3210" s="154">
        <f>IFERROR(__xludf.DUMMYFUNCTION("""COMPUTED_VALUE"""),46143.0)</f>
        <v>46143</v>
      </c>
      <c r="D3210" s="154">
        <f>IFERROR(__xludf.DUMMYFUNCTION("""COMPUTED_VALUE"""),46160.0)</f>
        <v>46160</v>
      </c>
    </row>
    <row r="3211">
      <c r="A3211" s="153" t="str">
        <f>IFERROR(__xludf.DUMMYFUNCTION("""COMPUTED_VALUE"""),"HYP0000001384")</f>
        <v>HYP0000001384</v>
      </c>
      <c r="B3211" s="153" t="str">
        <f>IFERROR(__xludf.DUMMYFUNCTION("""COMPUTED_VALUE"""),"WES")</f>
        <v>WES</v>
      </c>
      <c r="C3211" s="154">
        <f>IFERROR(__xludf.DUMMYFUNCTION("""COMPUTED_VALUE"""),46143.0)</f>
        <v>46143</v>
      </c>
      <c r="D3211" s="154">
        <f>IFERROR(__xludf.DUMMYFUNCTION("""COMPUTED_VALUE"""),46160.0)</f>
        <v>46160</v>
      </c>
    </row>
    <row r="3212">
      <c r="A3212" s="153" t="str">
        <f>IFERROR(__xludf.DUMMYFUNCTION("""COMPUTED_VALUE"""),"HYP0000001385")</f>
        <v>HYP0000001385</v>
      </c>
      <c r="B3212" s="153" t="str">
        <f>IFERROR(__xludf.DUMMYFUNCTION("""COMPUTED_VALUE"""),"WES")</f>
        <v>WES</v>
      </c>
      <c r="C3212" s="154">
        <f>IFERROR(__xludf.DUMMYFUNCTION("""COMPUTED_VALUE"""),46143.0)</f>
        <v>46143</v>
      </c>
      <c r="D3212" s="154">
        <f>IFERROR(__xludf.DUMMYFUNCTION("""COMPUTED_VALUE"""),46160.0)</f>
        <v>46160</v>
      </c>
    </row>
    <row r="3213">
      <c r="A3213" s="153" t="str">
        <f>IFERROR(__xludf.DUMMYFUNCTION("""COMPUTED_VALUE"""),"HYP0000001388")</f>
        <v>HYP0000001388</v>
      </c>
      <c r="B3213" s="153" t="str">
        <f>IFERROR(__xludf.DUMMYFUNCTION("""COMPUTED_VALUE"""),"WES")</f>
        <v>WES</v>
      </c>
      <c r="C3213" s="154">
        <f>IFERROR(__xludf.DUMMYFUNCTION("""COMPUTED_VALUE"""),46143.0)</f>
        <v>46143</v>
      </c>
      <c r="D3213" s="154">
        <f>IFERROR(__xludf.DUMMYFUNCTION("""COMPUTED_VALUE"""),46160.0)</f>
        <v>46160</v>
      </c>
    </row>
    <row r="3214">
      <c r="A3214" s="153" t="str">
        <f>IFERROR(__xludf.DUMMYFUNCTION("""COMPUTED_VALUE"""),"HYP0000001389")</f>
        <v>HYP0000001389</v>
      </c>
      <c r="B3214" s="153" t="str">
        <f>IFERROR(__xludf.DUMMYFUNCTION("""COMPUTED_VALUE"""),"WES")</f>
        <v>WES</v>
      </c>
      <c r="C3214" s="154">
        <f>IFERROR(__xludf.DUMMYFUNCTION("""COMPUTED_VALUE"""),46143.0)</f>
        <v>46143</v>
      </c>
      <c r="D3214" s="154">
        <f>IFERROR(__xludf.DUMMYFUNCTION("""COMPUTED_VALUE"""),46160.0)</f>
        <v>46160</v>
      </c>
    </row>
    <row r="3215">
      <c r="A3215" s="153" t="str">
        <f>IFERROR(__xludf.DUMMYFUNCTION("""COMPUTED_VALUE"""),"ADK0000001493")</f>
        <v>ADK0000001493</v>
      </c>
      <c r="B3215" s="153" t="str">
        <f>IFERROR(__xludf.DUMMYFUNCTION("""COMPUTED_VALUE"""),"WES")</f>
        <v>WES</v>
      </c>
      <c r="C3215" s="154">
        <f>IFERROR(__xludf.DUMMYFUNCTION("""COMPUTED_VALUE"""),46143.0)</f>
        <v>46143</v>
      </c>
      <c r="D3215" s="154">
        <f>IFERROR(__xludf.DUMMYFUNCTION("""COMPUTED_VALUE"""),46148.0)</f>
        <v>46148</v>
      </c>
    </row>
    <row r="3216">
      <c r="A3216" s="153" t="str">
        <f>IFERROR(__xludf.DUMMYFUNCTION("""COMPUTED_VALUE"""),"ADS0000008017")</f>
        <v>ADS0000008017</v>
      </c>
      <c r="B3216" s="153" t="str">
        <f>IFERROR(__xludf.DUMMYFUNCTION("""COMPUTED_VALUE"""),"MODY PANEL")</f>
        <v>MODY PANEL</v>
      </c>
      <c r="C3216" s="154">
        <f>IFERROR(__xludf.DUMMYFUNCTION("""COMPUTED_VALUE"""),46143.0)</f>
        <v>46143</v>
      </c>
      <c r="D3216" s="154">
        <f>IFERROR(__xludf.DUMMYFUNCTION("""COMPUTED_VALUE"""),46159.0)</f>
        <v>46159</v>
      </c>
    </row>
    <row r="3217">
      <c r="A3217" s="153" t="str">
        <f>IFERROR(__xludf.DUMMYFUNCTION("""COMPUTED_VALUE"""),"PH50000013035")</f>
        <v>PH50000013035</v>
      </c>
      <c r="B3217" s="153" t="str">
        <f>IFERROR(__xludf.DUMMYFUNCTION("""COMPUTED_VALUE"""),"WES")</f>
        <v>WES</v>
      </c>
      <c r="C3217" s="154">
        <f>IFERROR(__xludf.DUMMYFUNCTION("""COMPUTED_VALUE"""),46143.0)</f>
        <v>46143</v>
      </c>
      <c r="D3217" s="154">
        <f>IFERROR(__xludf.DUMMYFUNCTION("""COMPUTED_VALUE"""),46160.0)</f>
        <v>46160</v>
      </c>
    </row>
    <row r="3218">
      <c r="A3218" s="153" t="str">
        <f>IFERROR(__xludf.DUMMYFUNCTION("""COMPUTED_VALUE"""),"AMB0000008995")</f>
        <v>AMB0000008995</v>
      </c>
      <c r="B3218" s="153" t="str">
        <f>IFERROR(__xludf.DUMMYFUNCTION("""COMPUTED_VALUE"""),"WES")</f>
        <v>WES</v>
      </c>
      <c r="C3218" s="154">
        <f>IFERROR(__xludf.DUMMYFUNCTION("""COMPUTED_VALUE"""),46143.0)</f>
        <v>46143</v>
      </c>
      <c r="D3218" s="154">
        <f>IFERROR(__xludf.DUMMYFUNCTION("""COMPUTED_VALUE"""),46155.0)</f>
        <v>46155</v>
      </c>
    </row>
    <row r="3219">
      <c r="A3219" s="153" t="str">
        <f>IFERROR(__xludf.DUMMYFUNCTION("""COMPUTED_VALUE"""),"ABC0000001004")</f>
        <v>ABC0000001004</v>
      </c>
      <c r="B3219" s="153" t="str">
        <f>IFERROR(__xludf.DUMMYFUNCTION("""COMPUTED_VALUE"""),"CES")</f>
        <v>CES</v>
      </c>
      <c r="C3219" s="154">
        <f>IFERROR(__xludf.DUMMYFUNCTION("""COMPUTED_VALUE"""),46143.0)</f>
        <v>46143</v>
      </c>
      <c r="D3219" s="154">
        <f>IFERROR(__xludf.DUMMYFUNCTION("""COMPUTED_VALUE"""),46161.0)</f>
        <v>46161</v>
      </c>
    </row>
    <row r="3220">
      <c r="A3220" s="153" t="str">
        <f>IFERROR(__xludf.DUMMYFUNCTION("""COMPUTED_VALUE"""),"ABC0000001002")</f>
        <v>ABC0000001002</v>
      </c>
      <c r="B3220" s="153" t="str">
        <f>IFERROR(__xludf.DUMMYFUNCTION("""COMPUTED_VALUE"""),"CES")</f>
        <v>CES</v>
      </c>
      <c r="C3220" s="154">
        <f>IFERROR(__xludf.DUMMYFUNCTION("""COMPUTED_VALUE"""),46143.0)</f>
        <v>46143</v>
      </c>
      <c r="D3220" s="154">
        <f>IFERROR(__xludf.DUMMYFUNCTION("""COMPUTED_VALUE"""),46161.0)</f>
        <v>46161</v>
      </c>
    </row>
    <row r="3221">
      <c r="A3221" s="153" t="str">
        <f>IFERROR(__xludf.DUMMYFUNCTION("""COMPUTED_VALUE"""),"AND0000017420")</f>
        <v>AND0000017420</v>
      </c>
      <c r="B3221" s="153" t="str">
        <f>IFERROR(__xludf.DUMMYFUNCTION("""COMPUTED_VALUE"""),"WES")</f>
        <v>WES</v>
      </c>
      <c r="C3221" s="154">
        <f>IFERROR(__xludf.DUMMYFUNCTION("""COMPUTED_VALUE"""),46143.0)</f>
        <v>46143</v>
      </c>
      <c r="D3221" s="154">
        <f>IFERROR(__xludf.DUMMYFUNCTION("""COMPUTED_VALUE"""),46162.0)</f>
        <v>46162</v>
      </c>
    </row>
    <row r="3222">
      <c r="A3222" s="153" t="str">
        <f>IFERROR(__xludf.DUMMYFUNCTION("""COMPUTED_VALUE"""),"AND0000017421")</f>
        <v>AND0000017421</v>
      </c>
      <c r="B3222" s="153" t="str">
        <f>IFERROR(__xludf.DUMMYFUNCTION("""COMPUTED_VALUE"""),"WES")</f>
        <v>WES</v>
      </c>
      <c r="C3222" s="154">
        <f>IFERROR(__xludf.DUMMYFUNCTION("""COMPUTED_VALUE"""),46143.0)</f>
        <v>46143</v>
      </c>
      <c r="D3222" s="154">
        <f>IFERROR(__xludf.DUMMYFUNCTION("""COMPUTED_VALUE"""),46162.0)</f>
        <v>46162</v>
      </c>
    </row>
    <row r="3223">
      <c r="A3223" s="153" t="str">
        <f>IFERROR(__xludf.DUMMYFUNCTION("""COMPUTED_VALUE"""),"HCC0000008910")</f>
        <v>HCC0000008910</v>
      </c>
      <c r="B3223" s="153" t="str">
        <f>IFERROR(__xludf.DUMMYFUNCTION("""COMPUTED_VALUE"""),"WES")</f>
        <v>WES</v>
      </c>
      <c r="C3223" s="154">
        <f>IFERROR(__xludf.DUMMYFUNCTION("""COMPUTED_VALUE"""),46145.0)</f>
        <v>46145</v>
      </c>
      <c r="D3223" s="154">
        <f>IFERROR(__xludf.DUMMYFUNCTION("""COMPUTED_VALUE"""),46161.0)</f>
        <v>46161</v>
      </c>
    </row>
    <row r="3224">
      <c r="A3224" s="153" t="str">
        <f>IFERROR(__xludf.DUMMYFUNCTION("""COMPUTED_VALUE"""),"PH50000012997")</f>
        <v>PH50000012997</v>
      </c>
      <c r="B3224" s="153" t="str">
        <f>IFERROR(__xludf.DUMMYFUNCTION("""COMPUTED_VALUE"""),"WES+WMGS")</f>
        <v>WES+WMGS</v>
      </c>
      <c r="C3224" s="154">
        <f>IFERROR(__xludf.DUMMYFUNCTION("""COMPUTED_VALUE"""),46145.0)</f>
        <v>46145</v>
      </c>
      <c r="D3224" s="154">
        <f>IFERROR(__xludf.DUMMYFUNCTION("""COMPUTED_VALUE"""),46161.0)</f>
        <v>46161</v>
      </c>
    </row>
    <row r="3225">
      <c r="A3225" s="153" t="str">
        <f>IFERROR(__xludf.DUMMYFUNCTION("""COMPUTED_VALUE"""),"ADB0000034607")</f>
        <v>ADB0000034607</v>
      </c>
      <c r="B3225" s="153" t="str">
        <f>IFERROR(__xludf.DUMMYFUNCTION("""COMPUTED_VALUE"""),"WES")</f>
        <v>WES</v>
      </c>
      <c r="C3225" s="154">
        <f>IFERROR(__xludf.DUMMYFUNCTION("""COMPUTED_VALUE"""),46145.0)</f>
        <v>46145</v>
      </c>
      <c r="D3225" s="154">
        <f>IFERROR(__xludf.DUMMYFUNCTION("""COMPUTED_VALUE"""),46162.0)</f>
        <v>46162</v>
      </c>
    </row>
    <row r="3226">
      <c r="A3226" s="153" t="str">
        <f>IFERROR(__xludf.DUMMYFUNCTION("""COMPUTED_VALUE"""),"ADH0000022897")</f>
        <v>ADH0000022897</v>
      </c>
      <c r="B3226" s="153" t="str">
        <f>IFERROR(__xludf.DUMMYFUNCTION("""COMPUTED_VALUE"""),"WES")</f>
        <v>WES</v>
      </c>
      <c r="C3226" s="154">
        <f>IFERROR(__xludf.DUMMYFUNCTION("""COMPUTED_VALUE"""),46145.0)</f>
        <v>46145</v>
      </c>
      <c r="D3226" s="154">
        <f>IFERROR(__xludf.DUMMYFUNCTION("""COMPUTED_VALUE"""),46163.0)</f>
        <v>46163</v>
      </c>
    </row>
    <row r="3227">
      <c r="A3227" s="153" t="str">
        <f>IFERROR(__xludf.DUMMYFUNCTION("""COMPUTED_VALUE"""),"ADH0000022898")</f>
        <v>ADH0000022898</v>
      </c>
      <c r="B3227" s="153" t="str">
        <f>IFERROR(__xludf.DUMMYFUNCTION("""COMPUTED_VALUE"""),"WES")</f>
        <v>WES</v>
      </c>
      <c r="C3227" s="154">
        <f>IFERROR(__xludf.DUMMYFUNCTION("""COMPUTED_VALUE"""),46145.0)</f>
        <v>46145</v>
      </c>
      <c r="D3227" s="154">
        <f>IFERROR(__xludf.DUMMYFUNCTION("""COMPUTED_VALUE"""),46163.0)</f>
        <v>46163</v>
      </c>
    </row>
    <row r="3228">
      <c r="A3228" s="153" t="str">
        <f>IFERROR(__xludf.DUMMYFUNCTION("""COMPUTED_VALUE"""),"AND0000018207")</f>
        <v>AND0000018207</v>
      </c>
      <c r="B3228" s="153" t="str">
        <f>IFERROR(__xludf.DUMMYFUNCTION("""COMPUTED_VALUE"""),"WES")</f>
        <v>WES</v>
      </c>
      <c r="C3228" s="154">
        <f>IFERROR(__xludf.DUMMYFUNCTION("""COMPUTED_VALUE"""),46145.0)</f>
        <v>46145</v>
      </c>
      <c r="D3228" s="154">
        <f>IFERROR(__xludf.DUMMYFUNCTION("""COMPUTED_VALUE"""),46163.0)</f>
        <v>46163</v>
      </c>
    </row>
    <row r="3229">
      <c r="A3229" s="153" t="str">
        <f>IFERROR(__xludf.DUMMYFUNCTION("""COMPUTED_VALUE"""),"AND0000018209")</f>
        <v>AND0000018209</v>
      </c>
      <c r="B3229" s="153" t="str">
        <f>IFERROR(__xludf.DUMMYFUNCTION("""COMPUTED_VALUE"""),"WES")</f>
        <v>WES</v>
      </c>
      <c r="C3229" s="154">
        <f>IFERROR(__xludf.DUMMYFUNCTION("""COMPUTED_VALUE"""),46145.0)</f>
        <v>46145</v>
      </c>
      <c r="D3229" s="154">
        <f>IFERROR(__xludf.DUMMYFUNCTION("""COMPUTED_VALUE"""),46163.0)</f>
        <v>46163</v>
      </c>
    </row>
    <row r="3230">
      <c r="A3230" s="153" t="str">
        <f>IFERROR(__xludf.DUMMYFUNCTION("""COMPUTED_VALUE"""),"TSI0000020123")</f>
        <v>TSI0000020123</v>
      </c>
      <c r="B3230" s="153" t="str">
        <f>IFERROR(__xludf.DUMMYFUNCTION("""COMPUTED_VALUE"""),"FAMILIAL HYPERCHOLESTREMIA GENE PANEL")</f>
        <v>FAMILIAL HYPERCHOLESTREMIA GENE PANEL</v>
      </c>
      <c r="C3230" s="154">
        <f>IFERROR(__xludf.DUMMYFUNCTION("""COMPUTED_VALUE"""),46145.0)</f>
        <v>46145</v>
      </c>
      <c r="D3230" s="154">
        <f>IFERROR(__xludf.DUMMYFUNCTION("""COMPUTED_VALUE"""),46163.0)</f>
        <v>46163</v>
      </c>
    </row>
    <row r="3231">
      <c r="A3231" s="153" t="str">
        <f>IFERROR(__xludf.DUMMYFUNCTION("""COMPUTED_VALUE"""),"PH50000013248")</f>
        <v>PH50000013248</v>
      </c>
      <c r="B3231" s="153" t="str">
        <f>IFERROR(__xludf.DUMMYFUNCTION("""COMPUTED_VALUE"""),"WHOLE EXOME SEQUENCING")</f>
        <v>WHOLE EXOME SEQUENCING</v>
      </c>
      <c r="C3231" s="154">
        <f>IFERROR(__xludf.DUMMYFUNCTION("""COMPUTED_VALUE"""),46146.0)</f>
        <v>46146</v>
      </c>
      <c r="D3231" s="345">
        <f>IFERROR(__xludf.DUMMYFUNCTION("""COMPUTED_VALUE"""),46158.0)</f>
        <v>46158</v>
      </c>
    </row>
    <row r="3232">
      <c r="A3232" s="153" t="str">
        <f>IFERROR(__xludf.DUMMYFUNCTION("""COMPUTED_VALUE"""),"ADH0000023064")</f>
        <v>ADH0000023064</v>
      </c>
      <c r="B3232" s="153" t="str">
        <f>IFERROR(__xludf.DUMMYFUNCTION("""COMPUTED_VALUE"""),"WHOLE EXOME SEQUENCING")</f>
        <v>WHOLE EXOME SEQUENCING</v>
      </c>
      <c r="C3232" s="154">
        <f>IFERROR(__xludf.DUMMYFUNCTION("""COMPUTED_VALUE"""),46146.0)</f>
        <v>46146</v>
      </c>
      <c r="D3232" s="345">
        <f>IFERROR(__xludf.DUMMYFUNCTION("""COMPUTED_VALUE"""),46159.0)</f>
        <v>46159</v>
      </c>
    </row>
    <row r="3233">
      <c r="A3233" s="153" t="str">
        <f>IFERROR(__xludf.DUMMYFUNCTION("""COMPUTED_VALUE"""),"ADH0000023065")</f>
        <v>ADH0000023065</v>
      </c>
      <c r="B3233" s="153" t="str">
        <f>IFERROR(__xludf.DUMMYFUNCTION("""COMPUTED_VALUE"""),"WHOLE EXOME SEQUENCING")</f>
        <v>WHOLE EXOME SEQUENCING</v>
      </c>
      <c r="C3233" s="154">
        <f>IFERROR(__xludf.DUMMYFUNCTION("""COMPUTED_VALUE"""),46146.0)</f>
        <v>46146</v>
      </c>
      <c r="D3233" s="345">
        <f>IFERROR(__xludf.DUMMYFUNCTION("""COMPUTED_VALUE"""),46159.0)</f>
        <v>46159</v>
      </c>
    </row>
    <row r="3234">
      <c r="A3234" s="153" t="str">
        <f>IFERROR(__xludf.DUMMYFUNCTION("""COMPUTED_VALUE"""),"ADK0000001521")</f>
        <v>ADK0000001521</v>
      </c>
      <c r="B3234" s="153" t="str">
        <f>IFERROR(__xludf.DUMMYFUNCTION("""COMPUTED_VALUE"""),"WHOLE EXOME SEQUENCING")</f>
        <v>WHOLE EXOME SEQUENCING</v>
      </c>
      <c r="C3234" s="154">
        <f>IFERROR(__xludf.DUMMYFUNCTION("""COMPUTED_VALUE"""),46146.0)</f>
        <v>46146</v>
      </c>
      <c r="D3234" s="345">
        <f>IFERROR(__xludf.DUMMYFUNCTION("""COMPUTED_VALUE"""),46163.0)</f>
        <v>46163</v>
      </c>
    </row>
    <row r="3235">
      <c r="A3235" s="153" t="str">
        <f>IFERROR(__xludf.DUMMYFUNCTION("""COMPUTED_VALUE"""),"ADK0000001522")</f>
        <v>ADK0000001522</v>
      </c>
      <c r="B3235" s="153" t="str">
        <f>IFERROR(__xludf.DUMMYFUNCTION("""COMPUTED_VALUE"""),"WHOLE EXOME SEQUENCING")</f>
        <v>WHOLE EXOME SEQUENCING</v>
      </c>
      <c r="C3235" s="154">
        <f>IFERROR(__xludf.DUMMYFUNCTION("""COMPUTED_VALUE"""),46146.0)</f>
        <v>46146</v>
      </c>
      <c r="D3235" s="345">
        <f>IFERROR(__xludf.DUMMYFUNCTION("""COMPUTED_VALUE"""),46163.0)</f>
        <v>46163</v>
      </c>
    </row>
    <row r="3236">
      <c r="A3236" s="153" t="str">
        <f>IFERROR(__xludf.DUMMYFUNCTION("""COMPUTED_VALUE"""),"ADK0000001523")</f>
        <v>ADK0000001523</v>
      </c>
      <c r="B3236" s="153" t="str">
        <f>IFERROR(__xludf.DUMMYFUNCTION("""COMPUTED_VALUE"""),"WHOLE EXOME SEQUENCING")</f>
        <v>WHOLE EXOME SEQUENCING</v>
      </c>
      <c r="C3236" s="154">
        <f>IFERROR(__xludf.DUMMYFUNCTION("""COMPUTED_VALUE"""),46146.0)</f>
        <v>46146</v>
      </c>
      <c r="D3236" s="345">
        <f>IFERROR(__xludf.DUMMYFUNCTION("""COMPUTED_VALUE"""),46163.0)</f>
        <v>46163</v>
      </c>
    </row>
    <row r="3237">
      <c r="A3237" s="153" t="str">
        <f>IFERROR(__xludf.DUMMYFUNCTION("""COMPUTED_VALUE"""),"ADK0000001524")</f>
        <v>ADK0000001524</v>
      </c>
      <c r="B3237" s="153" t="str">
        <f>IFERROR(__xludf.DUMMYFUNCTION("""COMPUTED_VALUE"""),"WHOLE EXOME SEQUENCING")</f>
        <v>WHOLE EXOME SEQUENCING</v>
      </c>
      <c r="C3237" s="154">
        <f>IFERROR(__xludf.DUMMYFUNCTION("""COMPUTED_VALUE"""),46146.0)</f>
        <v>46146</v>
      </c>
      <c r="D3237" s="345">
        <f>IFERROR(__xludf.DUMMYFUNCTION("""COMPUTED_VALUE"""),46163.0)</f>
        <v>46163</v>
      </c>
    </row>
    <row r="3238">
      <c r="A3238" s="153" t="str">
        <f>IFERROR(__xludf.DUMMYFUNCTION("""COMPUTED_VALUE"""),"TPJ0000013421")</f>
        <v>TPJ0000013421</v>
      </c>
      <c r="B3238" s="153" t="str">
        <f>IFERROR(__xludf.DUMMYFUNCTION("""COMPUTED_VALUE"""),"WHOLE EXOME SEQUENCING")</f>
        <v>WHOLE EXOME SEQUENCING</v>
      </c>
      <c r="C3238" s="154">
        <f>IFERROR(__xludf.DUMMYFUNCTION("""COMPUTED_VALUE"""),46146.0)</f>
        <v>46146</v>
      </c>
      <c r="D3238" s="345">
        <f>IFERROR(__xludf.DUMMYFUNCTION("""COMPUTED_VALUE"""),46164.0)</f>
        <v>46164</v>
      </c>
    </row>
    <row r="3239">
      <c r="A3239" s="153" t="str">
        <f>IFERROR(__xludf.DUMMYFUNCTION("""COMPUTED_VALUE"""),"ADB0000034792")</f>
        <v>ADB0000034792</v>
      </c>
      <c r="B3239" s="153" t="str">
        <f>IFERROR(__xludf.DUMMYFUNCTION("""COMPUTED_VALUE"""),"WHOLE EXOME SEQUENCING")</f>
        <v>WHOLE EXOME SEQUENCING</v>
      </c>
      <c r="C3239" s="154">
        <f>IFERROR(__xludf.DUMMYFUNCTION("""COMPUTED_VALUE"""),46146.0)</f>
        <v>46146</v>
      </c>
      <c r="D3239" s="345">
        <f>IFERROR(__xludf.DUMMYFUNCTION("""COMPUTED_VALUE"""),46164.0)</f>
        <v>46164</v>
      </c>
    </row>
    <row r="3240">
      <c r="A3240" s="153" t="str">
        <f>IFERROR(__xludf.DUMMYFUNCTION("""COMPUTED_VALUE"""),"AMB0000009140")</f>
        <v>AMB0000009140</v>
      </c>
      <c r="B3240" s="153" t="str">
        <f>IFERROR(__xludf.DUMMYFUNCTION("""COMPUTED_VALUE"""),"WHOLE EXOME SEQUENCING")</f>
        <v>WHOLE EXOME SEQUENCING</v>
      </c>
      <c r="C3240" s="154">
        <f>IFERROR(__xludf.DUMMYFUNCTION("""COMPUTED_VALUE"""),46146.0)</f>
        <v>46146</v>
      </c>
      <c r="D3240" s="345">
        <f>IFERROR(__xludf.DUMMYFUNCTION("""COMPUTED_VALUE"""),46164.0)</f>
        <v>46164</v>
      </c>
    </row>
    <row r="3241">
      <c r="A3241" s="153" t="str">
        <f>IFERROR(__xludf.DUMMYFUNCTION("""COMPUTED_VALUE"""),"AND0000018512")</f>
        <v>AND0000018512</v>
      </c>
      <c r="B3241" s="153" t="str">
        <f>IFERROR(__xludf.DUMMYFUNCTION("""COMPUTED_VALUE"""),"WHOLE EXOME SEQUENCING")</f>
        <v>WHOLE EXOME SEQUENCING</v>
      </c>
      <c r="C3241" s="154">
        <f>IFERROR(__xludf.DUMMYFUNCTION("""COMPUTED_VALUE"""),46146.0)</f>
        <v>46146</v>
      </c>
      <c r="D3241" s="345">
        <f>IFERROR(__xludf.DUMMYFUNCTION("""COMPUTED_VALUE"""),46163.0)</f>
        <v>46163</v>
      </c>
    </row>
    <row r="3242">
      <c r="A3242" s="153" t="str">
        <f>IFERROR(__xludf.DUMMYFUNCTION("""COMPUTED_VALUE"""),"AND0000018513")</f>
        <v>AND0000018513</v>
      </c>
      <c r="B3242" s="153" t="str">
        <f>IFERROR(__xludf.DUMMYFUNCTION("""COMPUTED_VALUE"""),"WHOLE EXOME SEQUENCING")</f>
        <v>WHOLE EXOME SEQUENCING</v>
      </c>
      <c r="C3242" s="154">
        <f>IFERROR(__xludf.DUMMYFUNCTION("""COMPUTED_VALUE"""),46146.0)</f>
        <v>46146</v>
      </c>
      <c r="D3242" s="345">
        <f>IFERROR(__xludf.DUMMYFUNCTION("""COMPUTED_VALUE"""),46163.0)</f>
        <v>46163</v>
      </c>
    </row>
    <row r="3243">
      <c r="A3243" s="153" t="str">
        <f>IFERROR(__xludf.DUMMYFUNCTION("""COMPUTED_VALUE"""),"AND0000018517")</f>
        <v>AND0000018517</v>
      </c>
      <c r="B3243" s="153" t="str">
        <f>IFERROR(__xludf.DUMMYFUNCTION("""COMPUTED_VALUE"""),"WHOLE EXOME SEQUENCING")</f>
        <v>WHOLE EXOME SEQUENCING</v>
      </c>
      <c r="C3243" s="154">
        <f>IFERROR(__xludf.DUMMYFUNCTION("""COMPUTED_VALUE"""),46146.0)</f>
        <v>46146</v>
      </c>
      <c r="D3243" s="345">
        <f>IFERROR(__xludf.DUMMYFUNCTION("""COMPUTED_VALUE"""),46163.0)</f>
        <v>46163</v>
      </c>
    </row>
    <row r="3244">
      <c r="A3244" s="153" t="str">
        <f>IFERROR(__xludf.DUMMYFUNCTION("""COMPUTED_VALUE"""),"ADB0000034881")</f>
        <v>ADB0000034881</v>
      </c>
      <c r="B3244" s="153" t="str">
        <f>IFERROR(__xludf.DUMMYFUNCTION("""COMPUTED_VALUE"""),"WHOLE EXOME SEQUENCING")</f>
        <v>WHOLE EXOME SEQUENCING</v>
      </c>
      <c r="C3244" s="154">
        <f>IFERROR(__xludf.DUMMYFUNCTION("""COMPUTED_VALUE"""),46146.0)</f>
        <v>46146</v>
      </c>
      <c r="D3244" s="345">
        <f>IFERROR(__xludf.DUMMYFUNCTION("""COMPUTED_VALUE"""),46165.0)</f>
        <v>46165</v>
      </c>
    </row>
    <row r="3245">
      <c r="A3245" s="153" t="str">
        <f>IFERROR(__xludf.DUMMYFUNCTION("""COMPUTED_VALUE"""),"ADB0000034882")</f>
        <v>ADB0000034882</v>
      </c>
      <c r="B3245" s="153" t="str">
        <f>IFERROR(__xludf.DUMMYFUNCTION("""COMPUTED_VALUE"""),"WHOLE EXOME SEQUENCING")</f>
        <v>WHOLE EXOME SEQUENCING</v>
      </c>
      <c r="C3245" s="154">
        <f>IFERROR(__xludf.DUMMYFUNCTION("""COMPUTED_VALUE"""),46146.0)</f>
        <v>46146</v>
      </c>
      <c r="D3245" s="345">
        <f>IFERROR(__xludf.DUMMYFUNCTION("""COMPUTED_VALUE"""),46165.0)</f>
        <v>46165</v>
      </c>
    </row>
    <row r="3246">
      <c r="A3246" s="153" t="str">
        <f>IFERROR(__xludf.DUMMYFUNCTION("""COMPUTED_VALUE"""),"ATR0000012998")</f>
        <v>ATR0000012998</v>
      </c>
      <c r="B3246" s="153" t="str">
        <f>IFERROR(__xludf.DUMMYFUNCTION("""COMPUTED_VALUE"""),"FEMALE INFERTILITY NGS PANEL")</f>
        <v>FEMALE INFERTILITY NGS PANEL</v>
      </c>
      <c r="C3246" s="154">
        <f>IFERROR(__xludf.DUMMYFUNCTION("""COMPUTED_VALUE"""),46150.0)</f>
        <v>46150</v>
      </c>
      <c r="D3246" s="345">
        <f>IFERROR(__xludf.DUMMYFUNCTION("""COMPUTED_VALUE"""),46154.0)</f>
        <v>46154</v>
      </c>
    </row>
    <row r="3247">
      <c r="A3247" s="153" t="str">
        <f>IFERROR(__xludf.DUMMYFUNCTION("""COMPUTED_VALUE"""),"ATR0000012999")</f>
        <v>ATR0000012999</v>
      </c>
      <c r="B3247" s="153" t="str">
        <f>IFERROR(__xludf.DUMMYFUNCTION("""COMPUTED_VALUE"""),"MALE INFERTILITY NGS PANEL")</f>
        <v>MALE INFERTILITY NGS PANEL</v>
      </c>
      <c r="C3247" s="154">
        <f>IFERROR(__xludf.DUMMYFUNCTION("""COMPUTED_VALUE"""),46150.0)</f>
        <v>46150</v>
      </c>
      <c r="D3247" s="345">
        <f>IFERROR(__xludf.DUMMYFUNCTION("""COMPUTED_VALUE"""),46154.0)</f>
        <v>46154</v>
      </c>
    </row>
    <row r="3248">
      <c r="A3248" s="153" t="str">
        <f>IFERROR(__xludf.DUMMYFUNCTION("""COMPUTED_VALUE"""),"SCF0000000520")</f>
        <v>SCF0000000520</v>
      </c>
      <c r="B3248" s="153" t="str">
        <f>IFERROR(__xludf.DUMMYFUNCTION("""COMPUTED_VALUE"""),"WHOLE EXOME SEQUENCING")</f>
        <v>WHOLE EXOME SEQUENCING</v>
      </c>
      <c r="C3248" s="154">
        <f>IFERROR(__xludf.DUMMYFUNCTION("""COMPUTED_VALUE"""),46150.0)</f>
        <v>46150</v>
      </c>
      <c r="D3248" s="345">
        <f>IFERROR(__xludf.DUMMYFUNCTION("""COMPUTED_VALUE"""),46165.0)</f>
        <v>46165</v>
      </c>
    </row>
    <row r="3249">
      <c r="A3249" s="153" t="str">
        <f>IFERROR(__xludf.DUMMYFUNCTION("""COMPUTED_VALUE"""),"HYP0000001465")</f>
        <v>HYP0000001465</v>
      </c>
      <c r="B3249" s="153" t="str">
        <f>IFERROR(__xludf.DUMMYFUNCTION("""COMPUTED_VALUE"""),"WHOLE EXOME SEQUENCING")</f>
        <v>WHOLE EXOME SEQUENCING</v>
      </c>
      <c r="C3249" s="154">
        <f>IFERROR(__xludf.DUMMYFUNCTION("""COMPUTED_VALUE"""),46150.0)</f>
        <v>46150</v>
      </c>
      <c r="D3249" s="345">
        <f>IFERROR(__xludf.DUMMYFUNCTION("""COMPUTED_VALUE"""),46163.0)</f>
        <v>46163</v>
      </c>
    </row>
    <row r="3250">
      <c r="A3250" s="153" t="str">
        <f>IFERROR(__xludf.DUMMYFUNCTION("""COMPUTED_VALUE"""),"ABC0000001055")</f>
        <v>ABC0000001055</v>
      </c>
      <c r="B3250" s="153" t="str">
        <f>IFERROR(__xludf.DUMMYFUNCTION("""COMPUTED_VALUE"""),"CLINICAL EXOME SEQUENCING")</f>
        <v>CLINICAL EXOME SEQUENCING</v>
      </c>
      <c r="C3250" s="154">
        <f>IFERROR(__xludf.DUMMYFUNCTION("""COMPUTED_VALUE"""),46150.0)</f>
        <v>46150</v>
      </c>
      <c r="D3250" s="345">
        <f>IFERROR(__xludf.DUMMYFUNCTION("""COMPUTED_VALUE"""),46164.0)</f>
        <v>46164</v>
      </c>
    </row>
    <row r="3251">
      <c r="A3251" s="153" t="str">
        <f>IFERROR(__xludf.DUMMYFUNCTION("""COMPUTED_VALUE"""),"PH50000013512")</f>
        <v>PH50000013512</v>
      </c>
      <c r="B3251" s="153" t="str">
        <f>IFERROR(__xludf.DUMMYFUNCTION("""COMPUTED_VALUE"""),"WHOLE EXOME SEQUENCING")</f>
        <v>WHOLE EXOME SEQUENCING</v>
      </c>
      <c r="C3251" s="154">
        <f>IFERROR(__xludf.DUMMYFUNCTION("""COMPUTED_VALUE"""),46150.0)</f>
        <v>46150</v>
      </c>
      <c r="D3251" s="345">
        <f>IFERROR(__xludf.DUMMYFUNCTION("""COMPUTED_VALUE"""),46159.0)</f>
        <v>46159</v>
      </c>
    </row>
    <row r="3252">
      <c r="A3252" s="153" t="str">
        <f>IFERROR(__xludf.DUMMYFUNCTION("""COMPUTED_VALUE"""),"ADB0000034981")</f>
        <v>ADB0000034981</v>
      </c>
      <c r="B3252" s="153" t="str">
        <f>IFERROR(__xludf.DUMMYFUNCTION("""COMPUTED_VALUE"""),"WHOLE EXOME SEQUENCING")</f>
        <v>WHOLE EXOME SEQUENCING</v>
      </c>
      <c r="C3252" s="154">
        <f>IFERROR(__xludf.DUMMYFUNCTION("""COMPUTED_VALUE"""),46150.0)</f>
        <v>46150</v>
      </c>
      <c r="D3252" s="345">
        <f>IFERROR(__xludf.DUMMYFUNCTION("""COMPUTED_VALUE"""),46166.0)</f>
        <v>46166</v>
      </c>
    </row>
    <row r="3253">
      <c r="A3253" s="153" t="str">
        <f>IFERROR(__xludf.DUMMYFUNCTION("""COMPUTED_VALUE"""),"ADB0000034983")</f>
        <v>ADB0000034983</v>
      </c>
      <c r="B3253" s="153" t="str">
        <f>IFERROR(__xludf.DUMMYFUNCTION("""COMPUTED_VALUE"""),"WHOLE EXOME SEQUENCING")</f>
        <v>WHOLE EXOME SEQUENCING</v>
      </c>
      <c r="C3253" s="154">
        <f>IFERROR(__xludf.DUMMYFUNCTION("""COMPUTED_VALUE"""),46150.0)</f>
        <v>46150</v>
      </c>
      <c r="D3253" s="345">
        <f>IFERROR(__xludf.DUMMYFUNCTION("""COMPUTED_VALUE"""),46166.0)</f>
        <v>46166</v>
      </c>
    </row>
    <row r="3254">
      <c r="A3254" s="153" t="str">
        <f>IFERROR(__xludf.DUMMYFUNCTION("""COMPUTED_VALUE"""),"HCC0000009449")</f>
        <v>HCC0000009449</v>
      </c>
      <c r="B3254" s="153" t="str">
        <f>IFERROR(__xludf.DUMMYFUNCTION("""COMPUTED_VALUE"""),"FEMALE INFERTILITY NGS PANEL")</f>
        <v>FEMALE INFERTILITY NGS PANEL</v>
      </c>
      <c r="C3254" s="154">
        <f>IFERROR(__xludf.DUMMYFUNCTION("""COMPUTED_VALUE"""),46146.0)</f>
        <v>46146</v>
      </c>
      <c r="D3254" s="345">
        <f>IFERROR(__xludf.DUMMYFUNCTION("""COMPUTED_VALUE"""),46155.0)</f>
        <v>46155</v>
      </c>
    </row>
    <row r="3255">
      <c r="A3255" s="153" t="str">
        <f>IFERROR(__xludf.DUMMYFUNCTION("""COMPUTED_VALUE"""),"ABC0000001064")</f>
        <v>ABC0000001064</v>
      </c>
      <c r="B3255" s="153" t="str">
        <f>IFERROR(__xludf.DUMMYFUNCTION("""COMPUTED_VALUE"""),"CLINICAL EXOME SEQUENCING")</f>
        <v>CLINICAL EXOME SEQUENCING</v>
      </c>
      <c r="C3255" s="154">
        <f>IFERROR(__xludf.DUMMYFUNCTION("""COMPUTED_VALUE"""),46146.0)</f>
        <v>46146</v>
      </c>
      <c r="D3255" s="345">
        <f>IFERROR(__xludf.DUMMYFUNCTION("""COMPUTED_VALUE"""),46167.0)</f>
        <v>46167</v>
      </c>
    </row>
    <row r="3256">
      <c r="A3256" s="153" t="str">
        <f>IFERROR(__xludf.DUMMYFUNCTION("""COMPUTED_VALUE"""),"ADK0000001652")</f>
        <v>ADK0000001652</v>
      </c>
      <c r="B3256" s="153" t="str">
        <f>IFERROR(__xludf.DUMMYFUNCTION("""COMPUTED_VALUE"""),"WHOLE EXOME SEQUENCING")</f>
        <v>WHOLE EXOME SEQUENCING</v>
      </c>
      <c r="C3256" s="154">
        <f>IFERROR(__xludf.DUMMYFUNCTION("""COMPUTED_VALUE"""),46146.0)</f>
        <v>46146</v>
      </c>
      <c r="D3256" s="345">
        <f>IFERROR(__xludf.DUMMYFUNCTION("""COMPUTED_VALUE"""),46167.0)</f>
        <v>46167</v>
      </c>
    </row>
    <row r="3257">
      <c r="A3257" s="153" t="str">
        <f>IFERROR(__xludf.DUMMYFUNCTION("""COMPUTED_VALUE"""),"ADH0000023516")</f>
        <v>ADH0000023516</v>
      </c>
      <c r="B3257" s="153" t="str">
        <f>IFERROR(__xludf.DUMMYFUNCTION("""COMPUTED_VALUE"""),"WHOLE EXOME SEQUENCING")</f>
        <v>WHOLE EXOME SEQUENCING</v>
      </c>
      <c r="C3257" s="154">
        <f>IFERROR(__xludf.DUMMYFUNCTION("""COMPUTED_VALUE"""),46146.0)</f>
        <v>46146</v>
      </c>
      <c r="D3257" s="345">
        <f>IFERROR(__xludf.DUMMYFUNCTION("""COMPUTED_VALUE"""),46167.0)</f>
        <v>46167</v>
      </c>
    </row>
    <row r="3258">
      <c r="A3258" s="153" t="str">
        <f>IFERROR(__xludf.DUMMYFUNCTION("""COMPUTED_VALUE"""),"ADB0000031339 
")</f>
        <v>ADB0000031339 
</v>
      </c>
      <c r="B3258" s="153" t="str">
        <f>IFERROR(__xludf.DUMMYFUNCTION("""COMPUTED_VALUE"""),"WHOLE EXOME SEQUENCING")</f>
        <v>WHOLE EXOME SEQUENCING</v>
      </c>
      <c r="C3258" s="154">
        <f>IFERROR(__xludf.DUMMYFUNCTION("""COMPUTED_VALUE"""),46146.0)</f>
        <v>46146</v>
      </c>
      <c r="D3258" s="345">
        <f>IFERROR(__xludf.DUMMYFUNCTION("""COMPUTED_VALUE"""),46137.0)</f>
        <v>46137</v>
      </c>
    </row>
    <row r="3259">
      <c r="A3259" s="153" t="str">
        <f>IFERROR(__xludf.DUMMYFUNCTION("""COMPUTED_VALUE"""),"SKC0000000372")</f>
        <v>SKC0000000372</v>
      </c>
      <c r="B3259" s="153" t="str">
        <f>IFERROR(__xludf.DUMMYFUNCTION("""COMPUTED_VALUE"""),"WHOLE EXOME SEQUENCING")</f>
        <v>WHOLE EXOME SEQUENCING</v>
      </c>
      <c r="C3259" s="154">
        <f>IFERROR(__xludf.DUMMYFUNCTION("""COMPUTED_VALUE"""),46146.0)</f>
        <v>46146</v>
      </c>
      <c r="D3259" s="345">
        <f>IFERROR(__xludf.DUMMYFUNCTION("""COMPUTED_VALUE"""),46167.0)</f>
        <v>46167</v>
      </c>
    </row>
    <row r="3260">
      <c r="A3260" s="153" t="str">
        <f>IFERROR(__xludf.DUMMYFUNCTION("""COMPUTED_VALUE"""),"ADK0000001585")</f>
        <v>ADK0000001585</v>
      </c>
      <c r="B3260" s="153" t="str">
        <f>IFERROR(__xludf.DUMMYFUNCTION("""COMPUTED_VALUE"""),"WHOLE EXOME SEQUENCING")</f>
        <v>WHOLE EXOME SEQUENCING</v>
      </c>
      <c r="C3260" s="154">
        <f>IFERROR(__xludf.DUMMYFUNCTION("""COMPUTED_VALUE"""),46146.0)</f>
        <v>46146</v>
      </c>
      <c r="D3260" s="154">
        <f>IFERROR(__xludf.DUMMYFUNCTION("""COMPUTED_VALUE"""),46158.0)</f>
        <v>46158</v>
      </c>
    </row>
    <row r="3261">
      <c r="A3261" s="153" t="str">
        <f>IFERROR(__xludf.DUMMYFUNCTION("""COMPUTED_VALUE"""),"ADK0000001676")</f>
        <v>ADK0000001676</v>
      </c>
      <c r="B3261" s="153" t="str">
        <f>IFERROR(__xludf.DUMMYFUNCTION("""COMPUTED_VALUE"""),"WHOLE EXOME SEQUENCING")</f>
        <v>WHOLE EXOME SEQUENCING</v>
      </c>
      <c r="C3261" s="154">
        <f>IFERROR(__xludf.DUMMYFUNCTION("""COMPUTED_VALUE"""),46146.0)</f>
        <v>46146</v>
      </c>
      <c r="D3261" s="154">
        <f>IFERROR(__xludf.DUMMYFUNCTION("""COMPUTED_VALUE"""),46160.0)</f>
        <v>46160</v>
      </c>
    </row>
    <row r="3262">
      <c r="A3262" s="153" t="str">
        <f>IFERROR(__xludf.DUMMYFUNCTION("""COMPUTED_VALUE"""),"ADK0000001715 ")</f>
        <v>ADK0000001715 </v>
      </c>
      <c r="B3262" s="153" t="str">
        <f>IFERROR(__xludf.DUMMYFUNCTION("""COMPUTED_VALUE"""),"WHOLE EXOME SEQUENCING")</f>
        <v>WHOLE EXOME SEQUENCING</v>
      </c>
      <c r="C3262" s="154">
        <f>IFERROR(__xludf.DUMMYFUNCTION("""COMPUTED_VALUE"""),46146.0)</f>
        <v>46146</v>
      </c>
      <c r="D3262" s="154">
        <f>IFERROR(__xludf.DUMMYFUNCTION("""COMPUTED_VALUE"""),46162.0)</f>
        <v>46162</v>
      </c>
    </row>
    <row r="3263">
      <c r="A3263" s="153"/>
      <c r="B3263" s="153"/>
      <c r="C3263" s="153"/>
      <c r="D3263" s="153"/>
    </row>
    <row r="3264">
      <c r="A3264" s="153"/>
      <c r="B3264" s="153"/>
      <c r="C3264" s="153"/>
      <c r="D3264" s="153"/>
    </row>
    <row r="3265">
      <c r="A3265" s="153"/>
      <c r="B3265" s="153"/>
      <c r="C3265" s="153"/>
      <c r="D3265" s="153"/>
    </row>
    <row r="3266">
      <c r="A3266" s="153"/>
      <c r="B3266" s="153"/>
      <c r="C3266" s="153"/>
      <c r="D3266" s="153"/>
    </row>
    <row r="3267">
      <c r="A3267" s="153"/>
      <c r="B3267" s="153"/>
      <c r="C3267" s="153"/>
      <c r="D3267" s="153"/>
    </row>
    <row r="3268">
      <c r="A3268" s="153"/>
      <c r="B3268" s="153"/>
      <c r="C3268" s="153"/>
      <c r="D3268" s="153"/>
    </row>
    <row r="3269">
      <c r="A3269" s="153"/>
      <c r="B3269" s="153"/>
      <c r="C3269" s="153"/>
      <c r="D3269" s="153"/>
    </row>
    <row r="3270">
      <c r="A3270" s="153"/>
      <c r="B3270" s="153"/>
      <c r="C3270" s="153"/>
      <c r="D3270" s="153"/>
    </row>
    <row r="3271">
      <c r="A3271" s="153"/>
      <c r="B3271" s="153"/>
      <c r="C3271" s="153"/>
      <c r="D3271" s="153"/>
    </row>
    <row r="3272">
      <c r="A3272" s="153"/>
      <c r="B3272" s="153"/>
      <c r="C3272" s="153"/>
      <c r="D3272" s="153"/>
    </row>
    <row r="3273">
      <c r="A3273" s="153"/>
      <c r="B3273" s="153"/>
      <c r="C3273" s="153"/>
      <c r="D3273" s="153"/>
    </row>
    <row r="3274">
      <c r="A3274" s="153"/>
      <c r="B3274" s="153"/>
      <c r="C3274" s="153"/>
      <c r="D3274" s="153"/>
    </row>
    <row r="3275">
      <c r="A3275" s="153"/>
      <c r="B3275" s="153"/>
      <c r="C3275" s="153"/>
      <c r="D3275" s="153"/>
    </row>
    <row r="3276">
      <c r="A3276" s="153"/>
      <c r="B3276" s="153"/>
      <c r="C3276" s="153"/>
      <c r="D3276" s="153"/>
    </row>
    <row r="3277">
      <c r="A3277" s="153"/>
      <c r="B3277" s="153"/>
      <c r="C3277" s="153"/>
      <c r="D3277" s="153"/>
    </row>
    <row r="3278">
      <c r="A3278" s="153"/>
      <c r="B3278" s="153"/>
      <c r="C3278" s="153"/>
      <c r="D3278" s="153"/>
    </row>
    <row r="3279">
      <c r="A3279" s="153"/>
      <c r="B3279" s="153"/>
      <c r="C3279" s="153"/>
      <c r="D3279" s="153"/>
    </row>
    <row r="3280">
      <c r="A3280" s="153"/>
      <c r="B3280" s="153"/>
      <c r="C3280" s="153"/>
      <c r="D3280" s="153"/>
    </row>
    <row r="3281">
      <c r="A3281" s="153"/>
      <c r="B3281" s="153"/>
      <c r="C3281" s="153"/>
      <c r="D3281" s="153"/>
    </row>
    <row r="3282">
      <c r="A3282" s="153"/>
      <c r="B3282" s="153"/>
      <c r="C3282" s="153"/>
      <c r="D3282" s="153"/>
    </row>
    <row r="3283">
      <c r="A3283" s="153"/>
      <c r="B3283" s="153"/>
      <c r="C3283" s="153"/>
      <c r="D3283" s="153"/>
    </row>
    <row r="3284">
      <c r="A3284" s="153"/>
      <c r="B3284" s="153"/>
      <c r="C3284" s="153"/>
      <c r="D3284" s="153"/>
    </row>
    <row r="3285">
      <c r="A3285" s="153"/>
      <c r="B3285" s="153"/>
      <c r="C3285" s="153"/>
      <c r="D3285" s="153"/>
    </row>
    <row r="3286">
      <c r="A3286" s="153"/>
      <c r="B3286" s="153"/>
      <c r="C3286" s="153"/>
      <c r="D3286" s="153"/>
    </row>
    <row r="3287">
      <c r="A3287" s="153"/>
      <c r="B3287" s="153"/>
      <c r="C3287" s="153"/>
      <c r="D3287" s="153"/>
    </row>
    <row r="3288">
      <c r="A3288" s="153"/>
      <c r="B3288" s="153"/>
      <c r="C3288" s="153"/>
      <c r="D3288" s="153"/>
    </row>
    <row r="3289">
      <c r="A3289" s="153"/>
      <c r="B3289" s="153"/>
      <c r="C3289" s="153"/>
      <c r="D3289" s="153"/>
    </row>
    <row r="3290">
      <c r="A3290" s="153"/>
      <c r="B3290" s="153"/>
      <c r="C3290" s="153"/>
      <c r="D3290" s="153"/>
    </row>
    <row r="3291">
      <c r="A3291" s="153"/>
      <c r="B3291" s="153"/>
      <c r="C3291" s="153"/>
      <c r="D3291" s="153"/>
    </row>
    <row r="3292">
      <c r="A3292" s="153"/>
      <c r="B3292" s="153"/>
      <c r="C3292" s="153"/>
      <c r="D3292" s="153"/>
    </row>
    <row r="3293">
      <c r="A3293" s="153"/>
      <c r="B3293" s="153"/>
      <c r="C3293" s="153"/>
      <c r="D3293" s="153"/>
    </row>
    <row r="3294">
      <c r="A3294" s="153"/>
      <c r="B3294" s="153"/>
      <c r="C3294" s="153"/>
      <c r="D3294" s="153"/>
    </row>
    <row r="3295">
      <c r="A3295" s="153"/>
      <c r="B3295" s="153"/>
      <c r="C3295" s="153"/>
      <c r="D3295" s="153"/>
    </row>
    <row r="3296">
      <c r="A3296" s="153"/>
      <c r="B3296" s="153"/>
      <c r="C3296" s="153"/>
      <c r="D3296" s="153"/>
    </row>
    <row r="3297">
      <c r="A3297" s="153"/>
      <c r="B3297" s="153"/>
      <c r="C3297" s="153"/>
      <c r="D3297" s="153"/>
    </row>
    <row r="3298">
      <c r="A3298" s="153"/>
      <c r="B3298" s="153"/>
      <c r="C3298" s="153"/>
      <c r="D3298" s="153"/>
    </row>
    <row r="3299">
      <c r="A3299" s="153"/>
      <c r="B3299" s="153"/>
      <c r="C3299" s="153"/>
      <c r="D3299" s="153"/>
    </row>
    <row r="3300">
      <c r="A3300" s="153"/>
      <c r="B3300" s="153"/>
      <c r="C3300" s="153"/>
      <c r="D3300" s="153"/>
    </row>
    <row r="3301">
      <c r="A3301" s="153"/>
      <c r="B3301" s="153"/>
      <c r="C3301" s="153"/>
      <c r="D3301" s="153"/>
    </row>
    <row r="3302">
      <c r="A3302" s="153"/>
      <c r="B3302" s="153"/>
      <c r="C3302" s="153"/>
      <c r="D3302" s="153"/>
    </row>
    <row r="3303">
      <c r="A3303" s="153"/>
      <c r="B3303" s="153"/>
      <c r="C3303" s="153"/>
      <c r="D3303" s="153"/>
    </row>
    <row r="3304">
      <c r="A3304" s="153"/>
      <c r="B3304" s="153"/>
      <c r="C3304" s="153"/>
      <c r="D3304" s="153"/>
    </row>
    <row r="3305">
      <c r="A3305" s="153"/>
      <c r="B3305" s="153"/>
      <c r="C3305" s="153"/>
      <c r="D3305" s="153"/>
    </row>
    <row r="3306">
      <c r="A3306" s="153"/>
      <c r="B3306" s="153"/>
      <c r="C3306" s="153"/>
      <c r="D3306" s="153"/>
    </row>
    <row r="3307">
      <c r="A3307" s="153"/>
      <c r="B3307" s="153"/>
      <c r="C3307" s="153"/>
      <c r="D3307" s="153"/>
    </row>
    <row r="3308">
      <c r="A3308" s="153"/>
      <c r="B3308" s="153"/>
      <c r="C3308" s="153"/>
      <c r="D3308" s="153"/>
    </row>
    <row r="3309">
      <c r="A3309" s="153"/>
      <c r="B3309" s="153"/>
      <c r="C3309" s="153"/>
      <c r="D3309" s="153"/>
    </row>
    <row r="3310">
      <c r="A3310" s="153"/>
      <c r="B3310" s="153"/>
      <c r="C3310" s="153"/>
      <c r="D3310" s="153"/>
    </row>
    <row r="3311">
      <c r="A3311" s="153"/>
      <c r="B3311" s="153"/>
      <c r="C3311" s="153"/>
      <c r="D3311" s="153"/>
    </row>
    <row r="3312">
      <c r="A3312" s="153"/>
      <c r="B3312" s="153"/>
      <c r="C3312" s="153"/>
      <c r="D3312" s="153"/>
    </row>
    <row r="3313">
      <c r="A3313" s="153"/>
      <c r="B3313" s="153"/>
      <c r="C3313" s="153"/>
      <c r="D3313" s="153"/>
    </row>
    <row r="3314">
      <c r="A3314" s="153"/>
      <c r="B3314" s="153"/>
      <c r="C3314" s="153"/>
      <c r="D3314" s="153"/>
    </row>
    <row r="3315">
      <c r="A3315" s="153"/>
      <c r="B3315" s="153"/>
      <c r="C3315" s="153"/>
      <c r="D3315" s="153"/>
    </row>
    <row r="3316">
      <c r="A3316" s="153"/>
      <c r="B3316" s="153"/>
      <c r="C3316" s="153"/>
      <c r="D3316" s="153"/>
    </row>
    <row r="3317">
      <c r="A3317" s="153"/>
      <c r="B3317" s="153"/>
      <c r="C3317" s="153"/>
      <c r="D3317" s="153"/>
    </row>
    <row r="3318">
      <c r="A3318" s="153"/>
      <c r="B3318" s="153"/>
      <c r="C3318" s="153"/>
      <c r="D3318" s="153"/>
    </row>
    <row r="3319">
      <c r="A3319" s="153"/>
      <c r="B3319" s="153"/>
      <c r="C3319" s="153"/>
      <c r="D3319" s="153"/>
    </row>
    <row r="3320">
      <c r="A3320" s="153"/>
      <c r="B3320" s="153"/>
      <c r="C3320" s="153"/>
      <c r="D3320" s="153"/>
    </row>
    <row r="3321">
      <c r="A3321" s="153"/>
      <c r="B3321" s="153"/>
      <c r="C3321" s="153"/>
      <c r="D3321" s="153"/>
    </row>
    <row r="3322">
      <c r="A3322" s="153"/>
      <c r="B3322" s="153"/>
      <c r="C3322" s="153"/>
      <c r="D3322" s="153"/>
    </row>
    <row r="3323">
      <c r="A3323" s="153"/>
      <c r="B3323" s="153"/>
      <c r="C3323" s="153"/>
      <c r="D3323" s="153"/>
    </row>
    <row r="3324">
      <c r="A3324" s="153"/>
      <c r="B3324" s="153"/>
      <c r="C3324" s="153"/>
      <c r="D3324" s="153"/>
    </row>
    <row r="3325">
      <c r="A3325" s="153"/>
      <c r="B3325" s="153"/>
      <c r="C3325" s="153"/>
      <c r="D3325" s="153"/>
    </row>
    <row r="3326">
      <c r="A3326" s="153"/>
      <c r="B3326" s="153"/>
      <c r="C3326" s="153"/>
      <c r="D3326" s="153"/>
    </row>
    <row r="3327">
      <c r="A3327" s="153"/>
      <c r="B3327" s="153"/>
      <c r="C3327" s="153"/>
      <c r="D3327" s="153"/>
    </row>
    <row r="3328">
      <c r="A3328" s="153"/>
      <c r="B3328" s="153"/>
      <c r="C3328" s="153"/>
      <c r="D3328" s="153"/>
    </row>
    <row r="3329">
      <c r="A3329" s="153"/>
      <c r="B3329" s="153"/>
      <c r="C3329" s="153"/>
      <c r="D3329" s="153"/>
    </row>
    <row r="3330">
      <c r="A3330" s="153"/>
      <c r="B3330" s="153"/>
      <c r="C3330" s="153"/>
      <c r="D3330" s="153"/>
    </row>
    <row r="3331">
      <c r="A3331" s="153"/>
      <c r="B3331" s="153"/>
      <c r="C3331" s="153"/>
      <c r="D3331" s="153"/>
    </row>
    <row r="3332">
      <c r="A3332" s="153"/>
      <c r="B3332" s="153"/>
      <c r="C3332" s="153"/>
      <c r="D3332" s="153"/>
    </row>
    <row r="3333">
      <c r="A3333" s="153"/>
      <c r="B3333" s="153"/>
      <c r="C3333" s="153"/>
      <c r="D3333" s="153"/>
    </row>
    <row r="3334">
      <c r="A3334" s="153"/>
      <c r="B3334" s="153"/>
      <c r="C3334" s="153"/>
      <c r="D3334" s="153"/>
    </row>
    <row r="3335">
      <c r="A3335" s="153"/>
      <c r="B3335" s="153"/>
      <c r="C3335" s="153"/>
      <c r="D3335" s="153"/>
    </row>
    <row r="3336">
      <c r="A3336" s="153"/>
      <c r="B3336" s="153"/>
      <c r="C3336" s="153"/>
      <c r="D3336" s="153"/>
    </row>
    <row r="3337">
      <c r="A3337" s="153"/>
      <c r="B3337" s="153"/>
      <c r="C3337" s="153"/>
      <c r="D3337" s="153"/>
    </row>
    <row r="3338">
      <c r="A3338" s="153"/>
      <c r="B3338" s="153"/>
      <c r="C3338" s="153"/>
      <c r="D3338" s="153"/>
    </row>
    <row r="3339">
      <c r="A3339" s="153"/>
      <c r="B3339" s="153"/>
      <c r="C3339" s="153"/>
      <c r="D3339" s="153"/>
    </row>
    <row r="3340">
      <c r="A3340" s="153"/>
      <c r="B3340" s="153"/>
      <c r="C3340" s="153"/>
      <c r="D3340" s="153"/>
    </row>
    <row r="3341">
      <c r="A3341" s="153"/>
      <c r="B3341" s="153"/>
      <c r="C3341" s="153"/>
      <c r="D3341" s="153"/>
    </row>
    <row r="3342">
      <c r="A3342" s="153"/>
      <c r="B3342" s="153"/>
      <c r="C3342" s="153"/>
      <c r="D3342" s="153"/>
    </row>
    <row r="3343">
      <c r="A3343" s="153"/>
      <c r="B3343" s="153"/>
      <c r="C3343" s="153"/>
      <c r="D3343" s="153"/>
    </row>
    <row r="3344">
      <c r="A3344" s="153"/>
      <c r="B3344" s="153"/>
      <c r="C3344" s="153"/>
      <c r="D3344" s="153"/>
    </row>
    <row r="3345">
      <c r="A3345" s="153"/>
      <c r="B3345" s="153"/>
      <c r="C3345" s="153"/>
      <c r="D3345" s="153"/>
    </row>
    <row r="3346">
      <c r="A3346" s="153"/>
      <c r="B3346" s="153"/>
      <c r="C3346" s="153"/>
      <c r="D3346" s="153"/>
    </row>
    <row r="3347">
      <c r="A3347" s="153"/>
      <c r="B3347" s="153"/>
      <c r="C3347" s="153"/>
      <c r="D3347" s="153"/>
    </row>
    <row r="3348">
      <c r="A3348" s="153"/>
      <c r="B3348" s="153"/>
      <c r="C3348" s="153"/>
      <c r="D3348" s="153"/>
    </row>
    <row r="3349">
      <c r="A3349" s="153"/>
      <c r="B3349" s="153"/>
      <c r="C3349" s="153"/>
      <c r="D3349" s="153"/>
    </row>
    <row r="3350">
      <c r="A3350" s="153"/>
      <c r="B3350" s="153"/>
      <c r="C3350" s="153"/>
      <c r="D3350" s="153"/>
    </row>
    <row r="3351">
      <c r="A3351" s="153"/>
      <c r="B3351" s="153"/>
      <c r="C3351" s="153"/>
      <c r="D3351" s="153"/>
    </row>
    <row r="3352">
      <c r="A3352" s="153"/>
      <c r="B3352" s="153"/>
      <c r="C3352" s="153"/>
      <c r="D3352" s="153"/>
    </row>
    <row r="3353">
      <c r="A3353" s="153"/>
      <c r="B3353" s="153"/>
      <c r="C3353" s="153"/>
      <c r="D3353" s="153"/>
    </row>
    <row r="3354">
      <c r="A3354" s="153"/>
      <c r="B3354" s="153"/>
      <c r="C3354" s="153"/>
      <c r="D3354" s="153"/>
    </row>
    <row r="3355">
      <c r="A3355" s="153"/>
      <c r="B3355" s="153"/>
      <c r="C3355" s="153"/>
      <c r="D3355" s="153"/>
    </row>
    <row r="3356">
      <c r="A3356" s="153"/>
      <c r="B3356" s="153"/>
      <c r="C3356" s="153"/>
      <c r="D3356" s="153"/>
    </row>
    <row r="3357">
      <c r="A3357" s="153"/>
      <c r="B3357" s="153"/>
      <c r="C3357" s="153"/>
      <c r="D3357" s="153"/>
    </row>
    <row r="3358">
      <c r="A3358" s="153"/>
      <c r="B3358" s="153"/>
      <c r="C3358" s="153"/>
      <c r="D3358" s="153"/>
    </row>
    <row r="3359">
      <c r="A3359" s="153"/>
      <c r="B3359" s="153"/>
      <c r="C3359" s="153"/>
      <c r="D3359" s="153"/>
    </row>
    <row r="3360">
      <c r="A3360" s="153"/>
      <c r="B3360" s="153"/>
      <c r="C3360" s="153"/>
      <c r="D3360" s="153"/>
    </row>
    <row r="3361">
      <c r="A3361" s="153"/>
      <c r="B3361" s="153"/>
      <c r="C3361" s="153"/>
      <c r="D3361" s="153"/>
    </row>
    <row r="3362">
      <c r="A3362" s="153"/>
      <c r="B3362" s="153"/>
      <c r="C3362" s="153"/>
      <c r="D3362" s="153"/>
    </row>
    <row r="3363">
      <c r="A3363" s="153"/>
      <c r="B3363" s="153"/>
      <c r="C3363" s="153"/>
      <c r="D3363" s="153"/>
    </row>
    <row r="3364">
      <c r="A3364" s="153"/>
      <c r="B3364" s="153"/>
      <c r="C3364" s="153"/>
      <c r="D3364" s="153"/>
    </row>
    <row r="3365">
      <c r="A3365" s="153"/>
      <c r="B3365" s="153"/>
      <c r="C3365" s="153"/>
      <c r="D3365" s="153"/>
    </row>
    <row r="3366">
      <c r="A3366" s="153"/>
      <c r="B3366" s="153"/>
      <c r="C3366" s="153"/>
      <c r="D3366" s="153"/>
    </row>
    <row r="3367">
      <c r="A3367" s="153"/>
      <c r="B3367" s="153"/>
      <c r="C3367" s="153"/>
      <c r="D3367" s="153"/>
    </row>
    <row r="3368">
      <c r="A3368" s="153"/>
      <c r="B3368" s="153"/>
      <c r="C3368" s="153"/>
      <c r="D3368" s="153"/>
    </row>
    <row r="3369">
      <c r="A3369" s="153"/>
      <c r="B3369" s="153"/>
      <c r="C3369" s="153"/>
      <c r="D3369" s="153"/>
    </row>
    <row r="3370">
      <c r="A3370" s="153"/>
      <c r="B3370" s="153"/>
      <c r="C3370" s="153"/>
      <c r="D3370" s="153"/>
    </row>
    <row r="3371">
      <c r="A3371" s="153"/>
      <c r="B3371" s="153"/>
      <c r="C3371" s="153"/>
      <c r="D3371" s="153"/>
    </row>
    <row r="3372">
      <c r="A3372" s="153"/>
      <c r="B3372" s="153"/>
      <c r="C3372" s="153"/>
      <c r="D3372" s="153"/>
    </row>
    <row r="3373">
      <c r="A3373" s="153"/>
      <c r="B3373" s="153"/>
      <c r="C3373" s="153"/>
      <c r="D3373" s="153"/>
    </row>
    <row r="3374">
      <c r="A3374" s="153"/>
      <c r="B3374" s="153"/>
      <c r="C3374" s="153"/>
      <c r="D3374" s="153"/>
    </row>
    <row r="3375">
      <c r="A3375" s="153"/>
      <c r="B3375" s="153"/>
      <c r="C3375" s="153"/>
      <c r="D3375" s="153"/>
    </row>
    <row r="3376">
      <c r="A3376" s="153"/>
      <c r="B3376" s="153"/>
      <c r="C3376" s="153"/>
      <c r="D3376" s="153"/>
    </row>
    <row r="3377">
      <c r="A3377" s="153"/>
      <c r="B3377" s="153"/>
      <c r="C3377" s="153"/>
      <c r="D3377" s="153"/>
    </row>
    <row r="3378">
      <c r="A3378" s="153"/>
      <c r="B3378" s="153"/>
      <c r="C3378" s="153"/>
      <c r="D3378" s="153"/>
    </row>
    <row r="3379">
      <c r="A3379" s="153"/>
      <c r="B3379" s="153"/>
      <c r="C3379" s="153"/>
      <c r="D3379" s="153"/>
    </row>
    <row r="3380">
      <c r="A3380" s="153"/>
      <c r="B3380" s="153"/>
      <c r="C3380" s="153"/>
      <c r="D3380" s="153"/>
    </row>
    <row r="3381">
      <c r="A3381" s="153"/>
      <c r="B3381" s="153"/>
      <c r="C3381" s="153"/>
      <c r="D3381" s="153"/>
    </row>
    <row r="3382">
      <c r="A3382" s="153"/>
      <c r="B3382" s="153"/>
      <c r="C3382" s="153"/>
      <c r="D3382" s="153"/>
    </row>
    <row r="3383">
      <c r="A3383" s="153"/>
      <c r="B3383" s="153"/>
      <c r="C3383" s="153"/>
      <c r="D3383" s="153"/>
    </row>
    <row r="3384">
      <c r="A3384" s="153"/>
      <c r="B3384" s="153"/>
      <c r="C3384" s="153"/>
      <c r="D3384" s="153"/>
    </row>
    <row r="3385">
      <c r="A3385" s="153"/>
      <c r="B3385" s="153"/>
      <c r="C3385" s="153"/>
      <c r="D3385" s="153"/>
    </row>
    <row r="3386">
      <c r="A3386" s="153"/>
      <c r="B3386" s="153"/>
      <c r="C3386" s="153"/>
      <c r="D3386" s="153"/>
    </row>
    <row r="3387">
      <c r="A3387" s="153"/>
      <c r="B3387" s="153"/>
      <c r="C3387" s="153"/>
      <c r="D3387" s="153"/>
    </row>
    <row r="3388">
      <c r="A3388" s="153"/>
      <c r="B3388" s="153"/>
      <c r="C3388" s="153"/>
      <c r="D3388" s="153"/>
    </row>
    <row r="3389">
      <c r="A3389" s="153"/>
      <c r="B3389" s="153"/>
      <c r="C3389" s="153"/>
      <c r="D3389" s="153"/>
    </row>
    <row r="3390">
      <c r="A3390" s="153"/>
      <c r="B3390" s="153"/>
      <c r="C3390" s="153"/>
      <c r="D3390" s="153"/>
    </row>
    <row r="3391">
      <c r="A3391" s="153"/>
      <c r="B3391" s="153"/>
      <c r="C3391" s="153"/>
      <c r="D3391" s="153"/>
    </row>
    <row r="3392">
      <c r="A3392" s="153"/>
      <c r="B3392" s="153"/>
      <c r="C3392" s="153"/>
      <c r="D3392" s="153"/>
    </row>
    <row r="3393">
      <c r="A3393" s="153"/>
      <c r="B3393" s="153"/>
      <c r="C3393" s="153"/>
      <c r="D3393" s="153"/>
    </row>
    <row r="3394">
      <c r="A3394" s="153"/>
      <c r="B3394" s="153"/>
      <c r="C3394" s="153"/>
      <c r="D3394" s="153"/>
    </row>
    <row r="3395">
      <c r="A3395" s="153"/>
      <c r="B3395" s="153"/>
      <c r="C3395" s="153"/>
      <c r="D3395" s="153"/>
    </row>
    <row r="3396">
      <c r="A3396" s="153"/>
      <c r="B3396" s="153"/>
      <c r="C3396" s="153"/>
      <c r="D3396" s="153"/>
    </row>
    <row r="3397">
      <c r="A3397" s="153"/>
      <c r="B3397" s="153"/>
      <c r="C3397" s="153"/>
      <c r="D3397" s="153"/>
    </row>
    <row r="3398">
      <c r="A3398" s="153"/>
      <c r="B3398" s="153"/>
      <c r="C3398" s="153"/>
      <c r="D3398" s="153"/>
    </row>
    <row r="3399">
      <c r="A3399" s="153"/>
      <c r="B3399" s="153"/>
      <c r="C3399" s="153"/>
      <c r="D3399" s="153"/>
    </row>
    <row r="3400">
      <c r="A3400" s="153"/>
      <c r="B3400" s="153"/>
      <c r="C3400" s="153"/>
      <c r="D3400" s="153"/>
    </row>
    <row r="3401">
      <c r="A3401" s="153"/>
      <c r="B3401" s="153"/>
      <c r="C3401" s="153"/>
      <c r="D3401" s="153"/>
    </row>
    <row r="3402">
      <c r="A3402" s="153"/>
      <c r="B3402" s="153"/>
      <c r="C3402" s="153"/>
      <c r="D3402" s="153"/>
    </row>
    <row r="3403">
      <c r="A3403" s="153"/>
      <c r="B3403" s="153"/>
      <c r="C3403" s="153"/>
      <c r="D3403" s="153"/>
    </row>
    <row r="3404">
      <c r="A3404" s="153"/>
      <c r="B3404" s="153"/>
      <c r="C3404" s="153"/>
      <c r="D3404" s="153"/>
    </row>
    <row r="3405">
      <c r="A3405" s="153"/>
      <c r="B3405" s="153"/>
      <c r="C3405" s="153"/>
      <c r="D3405" s="153"/>
    </row>
    <row r="3406">
      <c r="A3406" s="153"/>
      <c r="B3406" s="153"/>
      <c r="C3406" s="153"/>
      <c r="D3406" s="153"/>
    </row>
    <row r="3407">
      <c r="A3407" s="153"/>
      <c r="B3407" s="153"/>
      <c r="C3407" s="153"/>
      <c r="D3407" s="153"/>
    </row>
    <row r="3408">
      <c r="A3408" s="153"/>
      <c r="B3408" s="153"/>
      <c r="C3408" s="153"/>
      <c r="D3408" s="153"/>
    </row>
    <row r="3409">
      <c r="A3409" s="153"/>
      <c r="B3409" s="153"/>
      <c r="C3409" s="153"/>
      <c r="D3409" s="153"/>
    </row>
    <row r="3410">
      <c r="A3410" s="153"/>
      <c r="B3410" s="153"/>
      <c r="C3410" s="153"/>
      <c r="D3410" s="153"/>
    </row>
    <row r="3411">
      <c r="A3411" s="153"/>
      <c r="B3411" s="153"/>
      <c r="C3411" s="153"/>
      <c r="D3411" s="153"/>
    </row>
    <row r="3412">
      <c r="A3412" s="153"/>
      <c r="B3412" s="153"/>
      <c r="C3412" s="153"/>
      <c r="D3412" s="153"/>
    </row>
    <row r="3413">
      <c r="A3413" s="153"/>
      <c r="B3413" s="153"/>
      <c r="C3413" s="153"/>
      <c r="D3413" s="153"/>
    </row>
    <row r="3414">
      <c r="A3414" s="153"/>
      <c r="B3414" s="153"/>
      <c r="C3414" s="153"/>
      <c r="D3414" s="153"/>
    </row>
    <row r="3415">
      <c r="A3415" s="153"/>
      <c r="B3415" s="153"/>
      <c r="C3415" s="153"/>
      <c r="D3415" s="153"/>
    </row>
    <row r="3416">
      <c r="A3416" s="153"/>
      <c r="B3416" s="153"/>
      <c r="C3416" s="153"/>
      <c r="D3416" s="153"/>
    </row>
    <row r="3417">
      <c r="A3417" s="153"/>
      <c r="B3417" s="153"/>
      <c r="C3417" s="153"/>
      <c r="D3417" s="153"/>
    </row>
    <row r="3418">
      <c r="A3418" s="153"/>
      <c r="B3418" s="153"/>
      <c r="C3418" s="153"/>
      <c r="D3418" s="153"/>
    </row>
    <row r="3419">
      <c r="A3419" s="153"/>
      <c r="B3419" s="153"/>
      <c r="C3419" s="153"/>
      <c r="D3419" s="153"/>
    </row>
    <row r="3420">
      <c r="A3420" s="153"/>
      <c r="B3420" s="153"/>
      <c r="C3420" s="153"/>
      <c r="D3420" s="153"/>
    </row>
    <row r="3421">
      <c r="A3421" s="153"/>
      <c r="B3421" s="153"/>
      <c r="C3421" s="153"/>
      <c r="D3421" s="153"/>
    </row>
    <row r="3422">
      <c r="A3422" s="153"/>
      <c r="B3422" s="153"/>
      <c r="C3422" s="153"/>
      <c r="D3422" s="153"/>
    </row>
    <row r="3423">
      <c r="A3423" s="153"/>
      <c r="B3423" s="153"/>
      <c r="C3423" s="153"/>
      <c r="D3423" s="153"/>
    </row>
    <row r="3424">
      <c r="A3424" s="153"/>
      <c r="B3424" s="153"/>
      <c r="C3424" s="153"/>
      <c r="D3424" s="153"/>
    </row>
    <row r="3425">
      <c r="A3425" s="153"/>
      <c r="B3425" s="153"/>
      <c r="C3425" s="153"/>
      <c r="D3425" s="153"/>
    </row>
    <row r="3426">
      <c r="A3426" s="153"/>
      <c r="B3426" s="153"/>
      <c r="C3426" s="153"/>
      <c r="D3426" s="153"/>
    </row>
    <row r="3427">
      <c r="A3427" s="153"/>
      <c r="B3427" s="153"/>
      <c r="C3427" s="153"/>
      <c r="D3427" s="153"/>
    </row>
    <row r="3428">
      <c r="A3428" s="153"/>
      <c r="B3428" s="153"/>
      <c r="C3428" s="153"/>
      <c r="D3428" s="153"/>
    </row>
    <row r="3429">
      <c r="A3429" s="153"/>
      <c r="B3429" s="153"/>
      <c r="C3429" s="153"/>
      <c r="D3429" s="153"/>
    </row>
    <row r="3430">
      <c r="A3430" s="153"/>
      <c r="B3430" s="153"/>
      <c r="C3430" s="153"/>
      <c r="D3430" s="153"/>
    </row>
    <row r="3431">
      <c r="A3431" s="153"/>
      <c r="B3431" s="153"/>
      <c r="C3431" s="153"/>
      <c r="D3431" s="153"/>
    </row>
    <row r="3432">
      <c r="A3432" s="153"/>
      <c r="B3432" s="153"/>
      <c r="C3432" s="153"/>
      <c r="D3432" s="153"/>
    </row>
    <row r="3433">
      <c r="A3433" s="153"/>
      <c r="B3433" s="153"/>
      <c r="C3433" s="153"/>
      <c r="D3433" s="153"/>
    </row>
    <row r="3434">
      <c r="A3434" s="153"/>
      <c r="B3434" s="153"/>
      <c r="C3434" s="153"/>
      <c r="D3434" s="153"/>
    </row>
    <row r="3435">
      <c r="A3435" s="153"/>
      <c r="B3435" s="153"/>
      <c r="C3435" s="153"/>
      <c r="D3435" s="153"/>
    </row>
    <row r="3436">
      <c r="A3436" s="153"/>
      <c r="B3436" s="153"/>
      <c r="C3436" s="153"/>
      <c r="D3436" s="153"/>
    </row>
    <row r="3437">
      <c r="A3437" s="153"/>
      <c r="B3437" s="153"/>
      <c r="C3437" s="153"/>
      <c r="D3437" s="153"/>
    </row>
    <row r="3438">
      <c r="A3438" s="153"/>
      <c r="B3438" s="153"/>
      <c r="C3438" s="153"/>
      <c r="D3438" s="153"/>
    </row>
    <row r="3439">
      <c r="A3439" s="153"/>
      <c r="B3439" s="153"/>
      <c r="C3439" s="153"/>
      <c r="D3439" s="153"/>
    </row>
    <row r="3440">
      <c r="A3440" s="153"/>
      <c r="B3440" s="153"/>
      <c r="C3440" s="153"/>
      <c r="D3440" s="153"/>
    </row>
    <row r="3441">
      <c r="A3441" s="153"/>
      <c r="B3441" s="153"/>
      <c r="C3441" s="153"/>
      <c r="D3441" s="153"/>
    </row>
    <row r="3442">
      <c r="A3442" s="153"/>
      <c r="B3442" s="153"/>
      <c r="C3442" s="153"/>
      <c r="D3442" s="153"/>
    </row>
    <row r="3443">
      <c r="A3443" s="153"/>
      <c r="B3443" s="153"/>
      <c r="C3443" s="153"/>
      <c r="D3443" s="153"/>
    </row>
    <row r="3444">
      <c r="A3444" s="153"/>
      <c r="B3444" s="153"/>
      <c r="C3444" s="153"/>
      <c r="D3444" s="153"/>
    </row>
    <row r="3445">
      <c r="A3445" s="153"/>
      <c r="B3445" s="153"/>
      <c r="C3445" s="153"/>
      <c r="D3445" s="153"/>
    </row>
    <row r="3446">
      <c r="A3446" s="153"/>
      <c r="B3446" s="153"/>
      <c r="C3446" s="153"/>
      <c r="D3446" s="153"/>
    </row>
    <row r="3447">
      <c r="A3447" s="153"/>
      <c r="B3447" s="153"/>
      <c r="C3447" s="153"/>
      <c r="D3447" s="153"/>
    </row>
    <row r="3448">
      <c r="A3448" s="153"/>
      <c r="B3448" s="153"/>
      <c r="C3448" s="153"/>
      <c r="D3448" s="153"/>
    </row>
    <row r="3449">
      <c r="A3449" s="153"/>
      <c r="B3449" s="153"/>
      <c r="C3449" s="153"/>
      <c r="D3449" s="153"/>
    </row>
    <row r="3450">
      <c r="A3450" s="153"/>
      <c r="B3450" s="153"/>
      <c r="C3450" s="153"/>
      <c r="D3450" s="153"/>
    </row>
    <row r="3451">
      <c r="A3451" s="153"/>
      <c r="B3451" s="153"/>
      <c r="C3451" s="153"/>
      <c r="D3451" s="153"/>
    </row>
    <row r="3452">
      <c r="A3452" s="153"/>
      <c r="B3452" s="153"/>
      <c r="C3452" s="153"/>
      <c r="D3452" s="153"/>
    </row>
    <row r="3453">
      <c r="A3453" s="153"/>
      <c r="B3453" s="153"/>
      <c r="C3453" s="153"/>
      <c r="D3453" s="153"/>
    </row>
    <row r="3454">
      <c r="A3454" s="153"/>
      <c r="B3454" s="153"/>
      <c r="C3454" s="153"/>
      <c r="D3454" s="153"/>
    </row>
    <row r="3455">
      <c r="A3455" s="153"/>
      <c r="B3455" s="153"/>
      <c r="C3455" s="153"/>
      <c r="D3455" s="153"/>
    </row>
    <row r="3456">
      <c r="A3456" s="153"/>
      <c r="B3456" s="153"/>
      <c r="C3456" s="153"/>
      <c r="D3456" s="153"/>
    </row>
    <row r="3457">
      <c r="A3457" s="153"/>
      <c r="B3457" s="153"/>
      <c r="C3457" s="153"/>
      <c r="D3457" s="153"/>
    </row>
    <row r="3458">
      <c r="A3458" s="153"/>
      <c r="B3458" s="153"/>
      <c r="C3458" s="153"/>
      <c r="D3458" s="153"/>
    </row>
    <row r="3459">
      <c r="A3459" s="153"/>
      <c r="B3459" s="153"/>
      <c r="C3459" s="153"/>
      <c r="D3459" s="153"/>
    </row>
    <row r="3460">
      <c r="A3460" s="153"/>
      <c r="B3460" s="153"/>
      <c r="C3460" s="153"/>
      <c r="D3460" s="153"/>
    </row>
    <row r="3461">
      <c r="A3461" s="153"/>
      <c r="B3461" s="153"/>
      <c r="C3461" s="153"/>
      <c r="D3461" s="153"/>
    </row>
    <row r="3462">
      <c r="A3462" s="153"/>
      <c r="B3462" s="153"/>
      <c r="C3462" s="153"/>
      <c r="D3462" s="153"/>
    </row>
    <row r="3463">
      <c r="A3463" s="153"/>
      <c r="B3463" s="153"/>
      <c r="C3463" s="153"/>
      <c r="D3463" s="153"/>
    </row>
    <row r="3464">
      <c r="A3464" s="153"/>
      <c r="B3464" s="153"/>
      <c r="C3464" s="153"/>
      <c r="D3464" s="153"/>
    </row>
    <row r="3465">
      <c r="A3465" s="153"/>
      <c r="B3465" s="153"/>
      <c r="C3465" s="153"/>
      <c r="D3465" s="153"/>
    </row>
    <row r="3466">
      <c r="A3466" s="153"/>
      <c r="B3466" s="153"/>
      <c r="C3466" s="153"/>
      <c r="D3466" s="153"/>
    </row>
    <row r="3467">
      <c r="A3467" s="153"/>
      <c r="B3467" s="153"/>
      <c r="C3467" s="153"/>
      <c r="D3467" s="153"/>
    </row>
    <row r="3468">
      <c r="A3468" s="153"/>
      <c r="B3468" s="153"/>
      <c r="C3468" s="153"/>
      <c r="D3468" s="153"/>
    </row>
    <row r="3469">
      <c r="A3469" s="153"/>
      <c r="B3469" s="153"/>
      <c r="C3469" s="153"/>
      <c r="D3469" s="153"/>
    </row>
    <row r="3470">
      <c r="A3470" s="153"/>
      <c r="B3470" s="153"/>
      <c r="C3470" s="153"/>
      <c r="D3470" s="153"/>
    </row>
    <row r="3471">
      <c r="A3471" s="153"/>
      <c r="B3471" s="153"/>
      <c r="C3471" s="153"/>
      <c r="D3471" s="153"/>
    </row>
    <row r="3472">
      <c r="A3472" s="153"/>
      <c r="B3472" s="153"/>
      <c r="C3472" s="153"/>
      <c r="D3472" s="153"/>
    </row>
    <row r="3473">
      <c r="A3473" s="153"/>
      <c r="B3473" s="153"/>
      <c r="C3473" s="153"/>
      <c r="D3473" s="153"/>
    </row>
    <row r="3474">
      <c r="A3474" s="153"/>
      <c r="B3474" s="153"/>
      <c r="C3474" s="153"/>
      <c r="D3474" s="153"/>
    </row>
    <row r="3475">
      <c r="A3475" s="153"/>
      <c r="B3475" s="153"/>
      <c r="C3475" s="153"/>
      <c r="D3475" s="153"/>
    </row>
    <row r="3476">
      <c r="A3476" s="153"/>
      <c r="B3476" s="153"/>
      <c r="C3476" s="153"/>
      <c r="D3476" s="153"/>
    </row>
    <row r="3477">
      <c r="A3477" s="153"/>
      <c r="B3477" s="153"/>
      <c r="C3477" s="153"/>
      <c r="D3477" s="153"/>
    </row>
    <row r="3478">
      <c r="A3478" s="153"/>
      <c r="B3478" s="153"/>
      <c r="C3478" s="153"/>
      <c r="D3478" s="153"/>
    </row>
    <row r="3479">
      <c r="A3479" s="153"/>
      <c r="B3479" s="153"/>
      <c r="C3479" s="153"/>
      <c r="D3479" s="153"/>
    </row>
    <row r="3480">
      <c r="A3480" s="153"/>
      <c r="B3480" s="153"/>
      <c r="C3480" s="153"/>
      <c r="D3480" s="153"/>
    </row>
    <row r="3481">
      <c r="A3481" s="153"/>
      <c r="B3481" s="153"/>
      <c r="C3481" s="153"/>
      <c r="D3481" s="153"/>
    </row>
    <row r="3482">
      <c r="A3482" s="153"/>
      <c r="B3482" s="153"/>
      <c r="C3482" s="153"/>
      <c r="D3482" s="153"/>
    </row>
    <row r="3483">
      <c r="A3483" s="153"/>
      <c r="B3483" s="153"/>
      <c r="C3483" s="153"/>
      <c r="D3483" s="153"/>
    </row>
    <row r="3484">
      <c r="A3484" s="153"/>
      <c r="B3484" s="153"/>
      <c r="C3484" s="153"/>
      <c r="D3484" s="153"/>
    </row>
    <row r="3485">
      <c r="A3485" s="153"/>
      <c r="B3485" s="153"/>
      <c r="C3485" s="153"/>
      <c r="D3485" s="153"/>
    </row>
    <row r="3486">
      <c r="A3486" s="153"/>
      <c r="B3486" s="153"/>
      <c r="C3486" s="153"/>
      <c r="D3486" s="153"/>
    </row>
    <row r="3487">
      <c r="A3487" s="153"/>
      <c r="B3487" s="153"/>
      <c r="C3487" s="153"/>
      <c r="D3487" s="153"/>
    </row>
    <row r="3488">
      <c r="A3488" s="153"/>
      <c r="B3488" s="153"/>
      <c r="C3488" s="153"/>
      <c r="D3488" s="153"/>
    </row>
    <row r="3489">
      <c r="A3489" s="153"/>
      <c r="B3489" s="153"/>
      <c r="C3489" s="153"/>
      <c r="D3489" s="153"/>
    </row>
    <row r="3490">
      <c r="A3490" s="153"/>
      <c r="B3490" s="153"/>
      <c r="C3490" s="153"/>
      <c r="D3490" s="153"/>
    </row>
    <row r="3491">
      <c r="A3491" s="153"/>
      <c r="B3491" s="153"/>
      <c r="C3491" s="153"/>
      <c r="D3491" s="153"/>
    </row>
    <row r="3492">
      <c r="A3492" s="153"/>
      <c r="B3492" s="153"/>
      <c r="C3492" s="153"/>
      <c r="D3492" s="153"/>
    </row>
    <row r="3493">
      <c r="A3493" s="153"/>
      <c r="B3493" s="153"/>
      <c r="C3493" s="153"/>
      <c r="D3493" s="153"/>
    </row>
    <row r="3494">
      <c r="A3494" s="153"/>
      <c r="B3494" s="153"/>
      <c r="C3494" s="153"/>
      <c r="D3494" s="153"/>
    </row>
    <row r="3495">
      <c r="A3495" s="153"/>
      <c r="B3495" s="153"/>
      <c r="C3495" s="153"/>
      <c r="D3495" s="153"/>
    </row>
    <row r="3496">
      <c r="A3496" s="153"/>
      <c r="B3496" s="153"/>
      <c r="C3496" s="153"/>
      <c r="D3496" s="153"/>
    </row>
    <row r="3497">
      <c r="A3497" s="153"/>
      <c r="B3497" s="153"/>
      <c r="C3497" s="153"/>
      <c r="D3497" s="153"/>
    </row>
    <row r="3498">
      <c r="A3498" s="153"/>
      <c r="B3498" s="153"/>
      <c r="C3498" s="153"/>
      <c r="D3498" s="153"/>
    </row>
    <row r="3499">
      <c r="A3499" s="153"/>
      <c r="B3499" s="153"/>
      <c r="C3499" s="153"/>
      <c r="D3499" s="153"/>
    </row>
    <row r="3500">
      <c r="A3500" s="153"/>
      <c r="B3500" s="153"/>
      <c r="C3500" s="153"/>
      <c r="D3500" s="153"/>
    </row>
    <row r="3501">
      <c r="A3501" s="153"/>
      <c r="B3501" s="153"/>
      <c r="C3501" s="153"/>
      <c r="D3501" s="153"/>
    </row>
    <row r="3502">
      <c r="A3502" s="153"/>
      <c r="B3502" s="153"/>
      <c r="C3502" s="153"/>
      <c r="D3502" s="153"/>
    </row>
    <row r="3503">
      <c r="A3503" s="153"/>
      <c r="B3503" s="153"/>
      <c r="C3503" s="153"/>
      <c r="D3503" s="153"/>
    </row>
    <row r="3504">
      <c r="A3504" s="153"/>
      <c r="B3504" s="153"/>
      <c r="C3504" s="153"/>
      <c r="D3504" s="153"/>
    </row>
    <row r="3505">
      <c r="A3505" s="153"/>
      <c r="B3505" s="153"/>
      <c r="C3505" s="153"/>
      <c r="D3505" s="153"/>
    </row>
    <row r="3506">
      <c r="A3506" s="153"/>
      <c r="B3506" s="153"/>
      <c r="C3506" s="153"/>
      <c r="D3506" s="153"/>
    </row>
    <row r="3507">
      <c r="A3507" s="153"/>
      <c r="B3507" s="153"/>
      <c r="C3507" s="153"/>
      <c r="D3507" s="153"/>
    </row>
    <row r="3508">
      <c r="A3508" s="153"/>
      <c r="B3508" s="153"/>
      <c r="C3508" s="153"/>
      <c r="D3508" s="153"/>
    </row>
    <row r="3509">
      <c r="A3509" s="153"/>
      <c r="B3509" s="153"/>
      <c r="C3509" s="153"/>
      <c r="D3509" s="153"/>
    </row>
    <row r="3510">
      <c r="A3510" s="153"/>
      <c r="B3510" s="153"/>
      <c r="C3510" s="153"/>
      <c r="D3510" s="153"/>
    </row>
    <row r="3511">
      <c r="A3511" s="153"/>
      <c r="B3511" s="153"/>
      <c r="C3511" s="153"/>
      <c r="D3511" s="153"/>
    </row>
    <row r="3512">
      <c r="A3512" s="153"/>
      <c r="B3512" s="153"/>
      <c r="C3512" s="153"/>
      <c r="D3512" s="153"/>
    </row>
    <row r="3513">
      <c r="A3513" s="153"/>
      <c r="B3513" s="153"/>
      <c r="C3513" s="153"/>
      <c r="D3513" s="153"/>
    </row>
    <row r="3514">
      <c r="A3514" s="153"/>
      <c r="B3514" s="153"/>
      <c r="C3514" s="153"/>
      <c r="D3514" s="153"/>
    </row>
    <row r="3515">
      <c r="A3515" s="153"/>
      <c r="B3515" s="153"/>
      <c r="C3515" s="153"/>
      <c r="D3515" s="153"/>
    </row>
    <row r="3516">
      <c r="A3516" s="153"/>
      <c r="B3516" s="153"/>
      <c r="C3516" s="153"/>
      <c r="D3516" s="153"/>
    </row>
    <row r="3517">
      <c r="A3517" s="153"/>
      <c r="B3517" s="153"/>
      <c r="C3517" s="153"/>
      <c r="D3517" s="153"/>
    </row>
    <row r="3518">
      <c r="A3518" s="153"/>
      <c r="B3518" s="153"/>
      <c r="C3518" s="153"/>
      <c r="D3518" s="153"/>
    </row>
    <row r="3519">
      <c r="A3519" s="153"/>
      <c r="B3519" s="153"/>
      <c r="C3519" s="153"/>
      <c r="D3519" s="153"/>
    </row>
    <row r="3520">
      <c r="A3520" s="153"/>
      <c r="B3520" s="153"/>
      <c r="C3520" s="153"/>
      <c r="D3520" s="153"/>
    </row>
    <row r="3521">
      <c r="A3521" s="153"/>
      <c r="B3521" s="153"/>
      <c r="C3521" s="153"/>
      <c r="D3521" s="153"/>
    </row>
    <row r="3522">
      <c r="A3522" s="153"/>
      <c r="B3522" s="153"/>
      <c r="C3522" s="153"/>
      <c r="D3522" s="153"/>
    </row>
    <row r="3523">
      <c r="A3523" s="153"/>
      <c r="B3523" s="153"/>
      <c r="C3523" s="153"/>
      <c r="D3523" s="153"/>
    </row>
    <row r="3524">
      <c r="A3524" s="153"/>
      <c r="B3524" s="153"/>
      <c r="C3524" s="153"/>
      <c r="D3524" s="153"/>
    </row>
    <row r="3525">
      <c r="A3525" s="153"/>
      <c r="B3525" s="153"/>
      <c r="C3525" s="153"/>
      <c r="D3525" s="153"/>
    </row>
    <row r="3526">
      <c r="A3526" s="153"/>
      <c r="B3526" s="153"/>
      <c r="C3526" s="153"/>
      <c r="D3526" s="153"/>
    </row>
    <row r="3527">
      <c r="A3527" s="153"/>
      <c r="B3527" s="153"/>
      <c r="C3527" s="153"/>
      <c r="D3527" s="153"/>
    </row>
    <row r="3528">
      <c r="A3528" s="153"/>
      <c r="B3528" s="153"/>
      <c r="C3528" s="153"/>
      <c r="D3528" s="153"/>
    </row>
    <row r="3529">
      <c r="A3529" s="153"/>
      <c r="B3529" s="153"/>
      <c r="C3529" s="153"/>
      <c r="D3529" s="153"/>
    </row>
    <row r="3530">
      <c r="A3530" s="153"/>
      <c r="B3530" s="153"/>
      <c r="C3530" s="153"/>
      <c r="D3530" s="153"/>
    </row>
    <row r="3531">
      <c r="A3531" s="153"/>
      <c r="B3531" s="153"/>
      <c r="C3531" s="153"/>
      <c r="D3531" s="153"/>
    </row>
    <row r="3532">
      <c r="A3532" s="153"/>
      <c r="B3532" s="153"/>
      <c r="C3532" s="153"/>
      <c r="D3532" s="153"/>
    </row>
    <row r="3533">
      <c r="A3533" s="153"/>
      <c r="B3533" s="153"/>
      <c r="C3533" s="153"/>
      <c r="D3533" s="153"/>
    </row>
    <row r="3534">
      <c r="A3534" s="153"/>
      <c r="B3534" s="153"/>
      <c r="C3534" s="153"/>
      <c r="D3534" s="153"/>
    </row>
    <row r="3535">
      <c r="A3535" s="153"/>
      <c r="B3535" s="153"/>
      <c r="C3535" s="153"/>
      <c r="D3535" s="153"/>
    </row>
    <row r="3536">
      <c r="A3536" s="153"/>
      <c r="B3536" s="153"/>
      <c r="C3536" s="153"/>
      <c r="D3536" s="153"/>
    </row>
    <row r="3537">
      <c r="A3537" s="153"/>
      <c r="B3537" s="153"/>
      <c r="C3537" s="153"/>
      <c r="D3537" s="153"/>
    </row>
    <row r="3538">
      <c r="A3538" s="153"/>
      <c r="B3538" s="153"/>
      <c r="C3538" s="153"/>
      <c r="D3538" s="153"/>
    </row>
    <row r="3539">
      <c r="A3539" s="153"/>
      <c r="B3539" s="153"/>
      <c r="C3539" s="153"/>
      <c r="D3539" s="153"/>
    </row>
    <row r="3540">
      <c r="A3540" s="153"/>
      <c r="B3540" s="153"/>
      <c r="C3540" s="153"/>
      <c r="D3540" s="153"/>
    </row>
    <row r="3541">
      <c r="A3541" s="153"/>
      <c r="B3541" s="153"/>
      <c r="C3541" s="153"/>
      <c r="D3541" s="153"/>
    </row>
    <row r="3542">
      <c r="A3542" s="153"/>
      <c r="B3542" s="153"/>
      <c r="C3542" s="153"/>
      <c r="D3542" s="153"/>
    </row>
    <row r="3543">
      <c r="A3543" s="153"/>
      <c r="B3543" s="153"/>
      <c r="C3543" s="153"/>
      <c r="D3543" s="153"/>
    </row>
    <row r="3544">
      <c r="A3544" s="153"/>
      <c r="B3544" s="153"/>
      <c r="C3544" s="153"/>
      <c r="D3544" s="153"/>
    </row>
    <row r="3545">
      <c r="A3545" s="153"/>
      <c r="B3545" s="153"/>
      <c r="C3545" s="153"/>
      <c r="D3545" s="153"/>
    </row>
    <row r="3546">
      <c r="A3546" s="153"/>
      <c r="B3546" s="153"/>
      <c r="C3546" s="153"/>
      <c r="D3546" s="153"/>
    </row>
    <row r="3547">
      <c r="A3547" s="153"/>
      <c r="B3547" s="153"/>
      <c r="C3547" s="153"/>
      <c r="D3547" s="153"/>
    </row>
    <row r="3548">
      <c r="A3548" s="153"/>
      <c r="B3548" s="153"/>
      <c r="C3548" s="153"/>
      <c r="D3548" s="153"/>
    </row>
    <row r="3549">
      <c r="A3549" s="153"/>
      <c r="B3549" s="153"/>
      <c r="C3549" s="153"/>
      <c r="D3549" s="153"/>
    </row>
    <row r="3550">
      <c r="A3550" s="153"/>
      <c r="B3550" s="153"/>
      <c r="C3550" s="153"/>
      <c r="D3550" s="153"/>
    </row>
    <row r="3551">
      <c r="A3551" s="153"/>
      <c r="B3551" s="153"/>
      <c r="C3551" s="153"/>
      <c r="D3551" s="153"/>
    </row>
    <row r="3552">
      <c r="A3552" s="153"/>
      <c r="B3552" s="153"/>
      <c r="C3552" s="153"/>
      <c r="D3552" s="153"/>
    </row>
    <row r="3553">
      <c r="A3553" s="153"/>
      <c r="B3553" s="153"/>
      <c r="C3553" s="153"/>
      <c r="D3553" s="153"/>
    </row>
    <row r="3554">
      <c r="A3554" s="153"/>
      <c r="B3554" s="153"/>
      <c r="C3554" s="153"/>
      <c r="D3554" s="153"/>
    </row>
    <row r="3555">
      <c r="A3555" s="153"/>
      <c r="B3555" s="153"/>
      <c r="C3555" s="153"/>
      <c r="D3555" s="153"/>
    </row>
    <row r="3556">
      <c r="A3556" s="153"/>
      <c r="B3556" s="153"/>
      <c r="C3556" s="153"/>
      <c r="D3556" s="153"/>
    </row>
    <row r="3557">
      <c r="A3557" s="153"/>
      <c r="B3557" s="153"/>
      <c r="C3557" s="153"/>
      <c r="D3557" s="153"/>
    </row>
    <row r="3558">
      <c r="A3558" s="153"/>
      <c r="B3558" s="153"/>
      <c r="C3558" s="153"/>
      <c r="D3558" s="153"/>
    </row>
    <row r="3559">
      <c r="A3559" s="153"/>
      <c r="B3559" s="153"/>
      <c r="C3559" s="153"/>
      <c r="D3559" s="153"/>
    </row>
    <row r="3560">
      <c r="A3560" s="153"/>
      <c r="B3560" s="153"/>
      <c r="C3560" s="153"/>
      <c r="D3560" s="153"/>
    </row>
    <row r="3561">
      <c r="A3561" s="153"/>
      <c r="B3561" s="153"/>
      <c r="C3561" s="153"/>
      <c r="D3561" s="153"/>
    </row>
    <row r="3562">
      <c r="A3562" s="153"/>
      <c r="B3562" s="153"/>
      <c r="C3562" s="153"/>
      <c r="D3562" s="153"/>
    </row>
    <row r="3563">
      <c r="A3563" s="153"/>
      <c r="B3563" s="153"/>
      <c r="C3563" s="153"/>
      <c r="D3563" s="153"/>
    </row>
    <row r="3564">
      <c r="A3564" s="153"/>
      <c r="B3564" s="153"/>
      <c r="C3564" s="153"/>
      <c r="D3564" s="153"/>
    </row>
    <row r="3565">
      <c r="A3565" s="153"/>
      <c r="B3565" s="153"/>
      <c r="C3565" s="153"/>
      <c r="D3565" s="153"/>
    </row>
    <row r="3566">
      <c r="A3566" s="153"/>
      <c r="B3566" s="153"/>
      <c r="C3566" s="153"/>
      <c r="D3566" s="153"/>
    </row>
    <row r="3567">
      <c r="A3567" s="153"/>
      <c r="B3567" s="153"/>
      <c r="C3567" s="153"/>
      <c r="D3567" s="153"/>
    </row>
    <row r="3568">
      <c r="A3568" s="153"/>
      <c r="B3568" s="153"/>
      <c r="C3568" s="153"/>
      <c r="D3568" s="153"/>
    </row>
    <row r="3569">
      <c r="A3569" s="153"/>
      <c r="B3569" s="153"/>
      <c r="C3569" s="153"/>
      <c r="D3569" s="153"/>
    </row>
    <row r="3570">
      <c r="A3570" s="153"/>
      <c r="B3570" s="153"/>
      <c r="C3570" s="153"/>
      <c r="D3570" s="153"/>
    </row>
    <row r="3571">
      <c r="A3571" s="153"/>
      <c r="B3571" s="153"/>
      <c r="C3571" s="153"/>
      <c r="D3571" s="153"/>
    </row>
    <row r="3572">
      <c r="A3572" s="153"/>
      <c r="B3572" s="153"/>
      <c r="C3572" s="153"/>
      <c r="D3572" s="153"/>
    </row>
    <row r="3573">
      <c r="A3573" s="153"/>
      <c r="B3573" s="153"/>
      <c r="C3573" s="153"/>
      <c r="D3573" s="153"/>
    </row>
    <row r="3574">
      <c r="A3574" s="153"/>
      <c r="B3574" s="153"/>
      <c r="C3574" s="153"/>
      <c r="D3574" s="153"/>
    </row>
    <row r="3575">
      <c r="A3575" s="153"/>
      <c r="B3575" s="153"/>
      <c r="C3575" s="153"/>
      <c r="D3575" s="153"/>
    </row>
    <row r="3576">
      <c r="A3576" s="153"/>
      <c r="B3576" s="153"/>
      <c r="C3576" s="153"/>
      <c r="D3576" s="153"/>
    </row>
    <row r="3577">
      <c r="A3577" s="153"/>
      <c r="B3577" s="153"/>
      <c r="C3577" s="153"/>
      <c r="D3577" s="153"/>
    </row>
    <row r="3578">
      <c r="A3578" s="153"/>
      <c r="B3578" s="153"/>
      <c r="C3578" s="153"/>
      <c r="D3578" s="153"/>
    </row>
    <row r="3579">
      <c r="A3579" s="153"/>
      <c r="B3579" s="153"/>
      <c r="C3579" s="153"/>
      <c r="D3579" s="153"/>
    </row>
    <row r="3580">
      <c r="A3580" s="153"/>
      <c r="B3580" s="153"/>
      <c r="C3580" s="153"/>
      <c r="D3580" s="153"/>
    </row>
    <row r="3581">
      <c r="A3581" s="153"/>
      <c r="B3581" s="153"/>
      <c r="C3581" s="153"/>
      <c r="D3581" s="153"/>
    </row>
    <row r="3582">
      <c r="A3582" s="153"/>
      <c r="B3582" s="153"/>
      <c r="C3582" s="153"/>
      <c r="D3582" s="153"/>
    </row>
    <row r="3583">
      <c r="A3583" s="153"/>
      <c r="B3583" s="153"/>
      <c r="C3583" s="153"/>
      <c r="D3583" s="153"/>
    </row>
    <row r="3584">
      <c r="A3584" s="153"/>
      <c r="B3584" s="153"/>
      <c r="C3584" s="153"/>
      <c r="D3584" s="153"/>
    </row>
    <row r="3585">
      <c r="A3585" s="153"/>
      <c r="B3585" s="153"/>
      <c r="C3585" s="153"/>
      <c r="D3585" s="153"/>
    </row>
    <row r="3586">
      <c r="A3586" s="153"/>
      <c r="B3586" s="153"/>
      <c r="C3586" s="153"/>
      <c r="D3586" s="153"/>
    </row>
    <row r="3587">
      <c r="A3587" s="153"/>
      <c r="B3587" s="153"/>
      <c r="C3587" s="153"/>
      <c r="D3587" s="153"/>
    </row>
    <row r="3588">
      <c r="A3588" s="153"/>
      <c r="B3588" s="153"/>
      <c r="C3588" s="153"/>
      <c r="D3588" s="153"/>
    </row>
    <row r="3589">
      <c r="A3589" s="153"/>
      <c r="B3589" s="153"/>
      <c r="C3589" s="153"/>
      <c r="D3589" s="153"/>
    </row>
    <row r="3590">
      <c r="A3590" s="153"/>
      <c r="B3590" s="153"/>
      <c r="C3590" s="153"/>
      <c r="D3590" s="153"/>
    </row>
    <row r="3591">
      <c r="A3591" s="153"/>
      <c r="B3591" s="153"/>
      <c r="C3591" s="153"/>
      <c r="D3591" s="153"/>
    </row>
    <row r="3592">
      <c r="A3592" s="153"/>
      <c r="B3592" s="153"/>
      <c r="C3592" s="153"/>
      <c r="D3592" s="153"/>
    </row>
    <row r="3593">
      <c r="A3593" s="153"/>
      <c r="B3593" s="153"/>
      <c r="C3593" s="153"/>
      <c r="D3593" s="153"/>
    </row>
    <row r="3594">
      <c r="A3594" s="153"/>
      <c r="B3594" s="153"/>
      <c r="C3594" s="153"/>
      <c r="D3594" s="153"/>
    </row>
    <row r="3595">
      <c r="A3595" s="153"/>
      <c r="B3595" s="153"/>
      <c r="C3595" s="153"/>
      <c r="D3595" s="153"/>
    </row>
    <row r="3596">
      <c r="A3596" s="153"/>
      <c r="B3596" s="153"/>
      <c r="C3596" s="153"/>
      <c r="D3596" s="153"/>
    </row>
    <row r="3597">
      <c r="A3597" s="153"/>
      <c r="B3597" s="153"/>
      <c r="C3597" s="153"/>
      <c r="D3597" s="153"/>
    </row>
    <row r="3598">
      <c r="A3598" s="153"/>
      <c r="B3598" s="153"/>
      <c r="C3598" s="153"/>
      <c r="D3598" s="153"/>
    </row>
    <row r="3599">
      <c r="A3599" s="153"/>
      <c r="B3599" s="153"/>
      <c r="C3599" s="153"/>
      <c r="D3599" s="153"/>
    </row>
    <row r="3600">
      <c r="A3600" s="153"/>
      <c r="B3600" s="153"/>
      <c r="C3600" s="153"/>
      <c r="D3600" s="153"/>
    </row>
    <row r="3601">
      <c r="A3601" s="153"/>
      <c r="B3601" s="153"/>
      <c r="C3601" s="153"/>
      <c r="D3601" s="153"/>
    </row>
    <row r="3602">
      <c r="A3602" s="153"/>
      <c r="B3602" s="153"/>
      <c r="C3602" s="153"/>
      <c r="D3602" s="153"/>
    </row>
    <row r="3603">
      <c r="A3603" s="153"/>
      <c r="B3603" s="153"/>
      <c r="C3603" s="153"/>
      <c r="D3603" s="153"/>
    </row>
    <row r="3604">
      <c r="A3604" s="153"/>
      <c r="B3604" s="153"/>
      <c r="C3604" s="153"/>
      <c r="D3604" s="153"/>
    </row>
    <row r="3605">
      <c r="A3605" s="153"/>
      <c r="B3605" s="153"/>
      <c r="C3605" s="153"/>
      <c r="D3605" s="153"/>
    </row>
    <row r="3606">
      <c r="A3606" s="153"/>
      <c r="B3606" s="153"/>
      <c r="C3606" s="153"/>
      <c r="D3606" s="153"/>
    </row>
    <row r="3607">
      <c r="A3607" s="153"/>
      <c r="B3607" s="153"/>
      <c r="C3607" s="153"/>
      <c r="D3607" s="153"/>
    </row>
    <row r="3608">
      <c r="A3608" s="153"/>
      <c r="B3608" s="153"/>
      <c r="C3608" s="153"/>
      <c r="D3608" s="153"/>
    </row>
    <row r="3609">
      <c r="A3609" s="153"/>
      <c r="B3609" s="153"/>
      <c r="C3609" s="153"/>
      <c r="D3609" s="153"/>
    </row>
    <row r="3610">
      <c r="A3610" s="153"/>
      <c r="B3610" s="153"/>
      <c r="C3610" s="153"/>
      <c r="D3610" s="153"/>
    </row>
    <row r="3611">
      <c r="A3611" s="153"/>
      <c r="B3611" s="153"/>
      <c r="C3611" s="153"/>
      <c r="D3611" s="153"/>
    </row>
    <row r="3612">
      <c r="A3612" s="153"/>
      <c r="B3612" s="153"/>
      <c r="C3612" s="153"/>
      <c r="D3612" s="153"/>
    </row>
    <row r="3613">
      <c r="A3613" s="153"/>
      <c r="B3613" s="153"/>
      <c r="C3613" s="153"/>
      <c r="D3613" s="153"/>
    </row>
    <row r="3614">
      <c r="A3614" s="153"/>
      <c r="B3614" s="153"/>
      <c r="C3614" s="153"/>
      <c r="D3614" s="153"/>
    </row>
    <row r="3615">
      <c r="A3615" s="153"/>
      <c r="B3615" s="153"/>
      <c r="C3615" s="153"/>
      <c r="D3615" s="153"/>
    </row>
    <row r="3616">
      <c r="A3616" s="153"/>
      <c r="B3616" s="153"/>
      <c r="C3616" s="153"/>
      <c r="D3616" s="153"/>
    </row>
    <row r="3617">
      <c r="A3617" s="153"/>
      <c r="B3617" s="153"/>
      <c r="C3617" s="153"/>
      <c r="D3617" s="153"/>
    </row>
    <row r="3618">
      <c r="A3618" s="153"/>
      <c r="B3618" s="153"/>
      <c r="C3618" s="153"/>
      <c r="D3618" s="153"/>
    </row>
    <row r="3619">
      <c r="A3619" s="153"/>
      <c r="B3619" s="153"/>
      <c r="C3619" s="153"/>
      <c r="D3619" s="153"/>
    </row>
    <row r="3620">
      <c r="A3620" s="153"/>
      <c r="B3620" s="153"/>
      <c r="C3620" s="153"/>
      <c r="D3620" s="153"/>
    </row>
    <row r="3621">
      <c r="A3621" s="153"/>
      <c r="B3621" s="153"/>
      <c r="C3621" s="153"/>
      <c r="D3621" s="153"/>
    </row>
    <row r="3622">
      <c r="A3622" s="153"/>
      <c r="B3622" s="153"/>
      <c r="C3622" s="153"/>
      <c r="D3622" s="153"/>
    </row>
    <row r="3623">
      <c r="A3623" s="153"/>
      <c r="B3623" s="153"/>
      <c r="C3623" s="153"/>
      <c r="D3623" s="153"/>
    </row>
    <row r="3624">
      <c r="A3624" s="153"/>
      <c r="B3624" s="153"/>
      <c r="C3624" s="153"/>
      <c r="D3624" s="153"/>
    </row>
    <row r="3625">
      <c r="A3625" s="153"/>
      <c r="B3625" s="153"/>
      <c r="C3625" s="153"/>
      <c r="D3625" s="153"/>
    </row>
    <row r="3626">
      <c r="A3626" s="153"/>
      <c r="B3626" s="153"/>
      <c r="C3626" s="153"/>
      <c r="D3626" s="153"/>
    </row>
    <row r="3627">
      <c r="A3627" s="153"/>
      <c r="B3627" s="153"/>
      <c r="C3627" s="153"/>
      <c r="D3627" s="153"/>
    </row>
    <row r="3628">
      <c r="A3628" s="153"/>
      <c r="B3628" s="153"/>
      <c r="C3628" s="153"/>
      <c r="D3628" s="153"/>
    </row>
    <row r="3629">
      <c r="A3629" s="153"/>
      <c r="B3629" s="153"/>
      <c r="C3629" s="153"/>
      <c r="D3629" s="153"/>
    </row>
    <row r="3630">
      <c r="A3630" s="153"/>
      <c r="B3630" s="153"/>
      <c r="C3630" s="153"/>
      <c r="D3630" s="153"/>
    </row>
    <row r="3631">
      <c r="A3631" s="153"/>
      <c r="B3631" s="153"/>
      <c r="C3631" s="153"/>
      <c r="D3631" s="153"/>
    </row>
    <row r="3632">
      <c r="A3632" s="153"/>
      <c r="B3632" s="153"/>
      <c r="C3632" s="153"/>
      <c r="D3632" s="153"/>
    </row>
    <row r="3633">
      <c r="A3633" s="153"/>
      <c r="B3633" s="153"/>
      <c r="C3633" s="153"/>
      <c r="D3633" s="153"/>
    </row>
    <row r="3634">
      <c r="A3634" s="153"/>
      <c r="B3634" s="153"/>
      <c r="C3634" s="153"/>
      <c r="D3634" s="153"/>
    </row>
    <row r="3635">
      <c r="A3635" s="153"/>
      <c r="B3635" s="153"/>
      <c r="C3635" s="153"/>
      <c r="D3635" s="153"/>
    </row>
    <row r="3636">
      <c r="A3636" s="153"/>
      <c r="B3636" s="153"/>
      <c r="C3636" s="153"/>
      <c r="D3636" s="153"/>
    </row>
    <row r="3637">
      <c r="A3637" s="153"/>
      <c r="B3637" s="153"/>
      <c r="C3637" s="153"/>
      <c r="D3637" s="153"/>
    </row>
    <row r="3638">
      <c r="A3638" s="153"/>
      <c r="B3638" s="153"/>
      <c r="C3638" s="153"/>
      <c r="D3638" s="153"/>
    </row>
    <row r="3639">
      <c r="A3639" s="153"/>
      <c r="B3639" s="153"/>
      <c r="C3639" s="153"/>
      <c r="D3639" s="153"/>
    </row>
    <row r="3640">
      <c r="A3640" s="153"/>
      <c r="B3640" s="153"/>
      <c r="C3640" s="153"/>
      <c r="D3640" s="153"/>
    </row>
    <row r="3641">
      <c r="A3641" s="153"/>
      <c r="B3641" s="153"/>
      <c r="C3641" s="153"/>
      <c r="D3641" s="153"/>
    </row>
    <row r="3642">
      <c r="A3642" s="153"/>
      <c r="B3642" s="153"/>
      <c r="C3642" s="153"/>
      <c r="D3642" s="153"/>
    </row>
    <row r="3643">
      <c r="A3643" s="153"/>
      <c r="B3643" s="153"/>
      <c r="C3643" s="153"/>
      <c r="D3643" s="153"/>
    </row>
    <row r="3644">
      <c r="A3644" s="153"/>
      <c r="B3644" s="153"/>
      <c r="C3644" s="153"/>
      <c r="D3644" s="153"/>
    </row>
    <row r="3645">
      <c r="A3645" s="153"/>
      <c r="B3645" s="153"/>
      <c r="C3645" s="153"/>
      <c r="D3645" s="153"/>
    </row>
    <row r="3646">
      <c r="A3646" s="153"/>
      <c r="B3646" s="153"/>
      <c r="C3646" s="153"/>
      <c r="D3646" s="153"/>
    </row>
    <row r="3647">
      <c r="A3647" s="153"/>
      <c r="B3647" s="153"/>
      <c r="C3647" s="153"/>
      <c r="D3647" s="153"/>
    </row>
    <row r="3648">
      <c r="A3648" s="153"/>
      <c r="B3648" s="153"/>
      <c r="C3648" s="153"/>
      <c r="D3648" s="153"/>
    </row>
    <row r="3649">
      <c r="A3649" s="153"/>
      <c r="B3649" s="153"/>
      <c r="C3649" s="153"/>
      <c r="D3649" s="153"/>
    </row>
    <row r="3650">
      <c r="A3650" s="153"/>
      <c r="B3650" s="153"/>
      <c r="C3650" s="153"/>
      <c r="D3650" s="153"/>
    </row>
    <row r="3651">
      <c r="A3651" s="153"/>
      <c r="B3651" s="153"/>
      <c r="C3651" s="153"/>
      <c r="D3651" s="153"/>
    </row>
    <row r="3652">
      <c r="A3652" s="153"/>
      <c r="B3652" s="153"/>
      <c r="C3652" s="153"/>
      <c r="D3652" s="153"/>
    </row>
    <row r="3653">
      <c r="A3653" s="153"/>
      <c r="B3653" s="153"/>
      <c r="C3653" s="153"/>
      <c r="D3653" s="153"/>
    </row>
    <row r="3654">
      <c r="A3654" s="153"/>
      <c r="B3654" s="153"/>
      <c r="C3654" s="153"/>
      <c r="D3654" s="153"/>
    </row>
    <row r="3655">
      <c r="A3655" s="153"/>
      <c r="B3655" s="153"/>
      <c r="C3655" s="153"/>
      <c r="D3655" s="153"/>
    </row>
    <row r="3656">
      <c r="A3656" s="153"/>
      <c r="B3656" s="153"/>
      <c r="C3656" s="153"/>
      <c r="D3656" s="153"/>
    </row>
    <row r="3657">
      <c r="A3657" s="153"/>
      <c r="B3657" s="153"/>
      <c r="C3657" s="153"/>
      <c r="D3657" s="153"/>
    </row>
    <row r="3658">
      <c r="A3658" s="153"/>
      <c r="B3658" s="153"/>
      <c r="C3658" s="153"/>
      <c r="D3658" s="153"/>
    </row>
    <row r="3659">
      <c r="A3659" s="153"/>
      <c r="B3659" s="153"/>
      <c r="C3659" s="153"/>
      <c r="D3659" s="153"/>
    </row>
    <row r="3660">
      <c r="A3660" s="153"/>
      <c r="B3660" s="153"/>
      <c r="C3660" s="153"/>
      <c r="D3660" s="153"/>
    </row>
    <row r="3661">
      <c r="A3661" s="153"/>
      <c r="B3661" s="153"/>
      <c r="C3661" s="153"/>
      <c r="D3661" s="153"/>
    </row>
    <row r="3662">
      <c r="A3662" s="153"/>
      <c r="B3662" s="153"/>
      <c r="C3662" s="153"/>
      <c r="D3662" s="153"/>
    </row>
    <row r="3663">
      <c r="A3663" s="153"/>
      <c r="B3663" s="153"/>
      <c r="C3663" s="153"/>
      <c r="D3663" s="153"/>
    </row>
    <row r="3664">
      <c r="A3664" s="153"/>
      <c r="B3664" s="153"/>
      <c r="C3664" s="153"/>
      <c r="D3664" s="153"/>
    </row>
    <row r="3665">
      <c r="A3665" s="153"/>
      <c r="B3665" s="153"/>
      <c r="C3665" s="153"/>
      <c r="D3665" s="153"/>
    </row>
    <row r="3666">
      <c r="A3666" s="153"/>
      <c r="B3666" s="153"/>
      <c r="C3666" s="153"/>
      <c r="D3666" s="153"/>
    </row>
    <row r="3667">
      <c r="A3667" s="153"/>
      <c r="B3667" s="153"/>
      <c r="C3667" s="153"/>
      <c r="D3667" s="153"/>
    </row>
    <row r="3668">
      <c r="A3668" s="153"/>
      <c r="B3668" s="153"/>
      <c r="C3668" s="153"/>
      <c r="D3668" s="153"/>
    </row>
    <row r="3669">
      <c r="A3669" s="153"/>
      <c r="B3669" s="153"/>
      <c r="C3669" s="153"/>
      <c r="D3669" s="153"/>
    </row>
    <row r="3670">
      <c r="A3670" s="153"/>
      <c r="B3670" s="153"/>
      <c r="C3670" s="153"/>
      <c r="D3670" s="153"/>
    </row>
    <row r="3671">
      <c r="A3671" s="153"/>
      <c r="B3671" s="153"/>
      <c r="C3671" s="153"/>
      <c r="D3671" s="153"/>
    </row>
    <row r="3672">
      <c r="A3672" s="153"/>
      <c r="B3672" s="153"/>
      <c r="C3672" s="153"/>
      <c r="D3672" s="153"/>
    </row>
    <row r="3673">
      <c r="A3673" s="153"/>
      <c r="B3673" s="153"/>
      <c r="C3673" s="153"/>
      <c r="D3673" s="153"/>
    </row>
    <row r="3674">
      <c r="A3674" s="153"/>
      <c r="B3674" s="153"/>
      <c r="C3674" s="153"/>
      <c r="D3674" s="153"/>
    </row>
    <row r="3675">
      <c r="A3675" s="153"/>
      <c r="B3675" s="153"/>
      <c r="C3675" s="153"/>
      <c r="D3675" s="153"/>
    </row>
    <row r="3676">
      <c r="A3676" s="153"/>
      <c r="B3676" s="153"/>
      <c r="C3676" s="153"/>
      <c r="D3676" s="153"/>
    </row>
    <row r="3677">
      <c r="A3677" s="153"/>
      <c r="B3677" s="153"/>
      <c r="C3677" s="153"/>
      <c r="D3677" s="153"/>
    </row>
    <row r="3678">
      <c r="A3678" s="153"/>
      <c r="B3678" s="153"/>
      <c r="C3678" s="153"/>
      <c r="D3678" s="153"/>
    </row>
    <row r="3679">
      <c r="A3679" s="153"/>
      <c r="B3679" s="153"/>
      <c r="C3679" s="153"/>
      <c r="D3679" s="153"/>
    </row>
    <row r="3680">
      <c r="A3680" s="153"/>
      <c r="B3680" s="153"/>
      <c r="C3680" s="153"/>
      <c r="D3680" s="153"/>
    </row>
    <row r="3681">
      <c r="A3681" s="153"/>
      <c r="B3681" s="153"/>
      <c r="C3681" s="153"/>
      <c r="D3681" s="153"/>
    </row>
    <row r="3682">
      <c r="A3682" s="153"/>
      <c r="B3682" s="153"/>
      <c r="C3682" s="153"/>
      <c r="D3682" s="153"/>
    </row>
    <row r="3683">
      <c r="A3683" s="153"/>
      <c r="B3683" s="153"/>
      <c r="C3683" s="153"/>
      <c r="D3683" s="153"/>
    </row>
    <row r="3684">
      <c r="A3684" s="153"/>
      <c r="B3684" s="153"/>
      <c r="C3684" s="153"/>
      <c r="D3684" s="153"/>
    </row>
    <row r="3685">
      <c r="A3685" s="153"/>
      <c r="B3685" s="153"/>
      <c r="C3685" s="153"/>
      <c r="D3685" s="153"/>
    </row>
    <row r="3686">
      <c r="A3686" s="153"/>
      <c r="B3686" s="153"/>
      <c r="C3686" s="153"/>
      <c r="D3686" s="153"/>
    </row>
    <row r="3687">
      <c r="A3687" s="153"/>
      <c r="B3687" s="153"/>
      <c r="C3687" s="153"/>
      <c r="D3687" s="153"/>
    </row>
    <row r="3688">
      <c r="A3688" s="153"/>
      <c r="B3688" s="153"/>
      <c r="C3688" s="153"/>
      <c r="D3688" s="153"/>
    </row>
    <row r="3689">
      <c r="A3689" s="153"/>
      <c r="B3689" s="153"/>
      <c r="C3689" s="153"/>
      <c r="D3689" s="153"/>
    </row>
    <row r="3690">
      <c r="A3690" s="153"/>
      <c r="B3690" s="153"/>
      <c r="C3690" s="153"/>
      <c r="D3690" s="153"/>
    </row>
    <row r="3691">
      <c r="A3691" s="153"/>
      <c r="B3691" s="153"/>
      <c r="C3691" s="153"/>
      <c r="D3691" s="153"/>
    </row>
    <row r="3692">
      <c r="A3692" s="153"/>
      <c r="B3692" s="153"/>
      <c r="C3692" s="153"/>
      <c r="D3692" s="153"/>
    </row>
    <row r="3693">
      <c r="A3693" s="153"/>
      <c r="B3693" s="153"/>
      <c r="C3693" s="153"/>
      <c r="D3693" s="153"/>
    </row>
    <row r="3694">
      <c r="A3694" s="153"/>
      <c r="B3694" s="153"/>
      <c r="C3694" s="153"/>
      <c r="D3694" s="153"/>
    </row>
    <row r="3695">
      <c r="A3695" s="153"/>
      <c r="B3695" s="153"/>
      <c r="C3695" s="153"/>
      <c r="D3695" s="153"/>
    </row>
    <row r="3696">
      <c r="A3696" s="153"/>
      <c r="B3696" s="153"/>
      <c r="C3696" s="153"/>
      <c r="D3696" s="153"/>
    </row>
    <row r="3697">
      <c r="A3697" s="153"/>
      <c r="B3697" s="153"/>
      <c r="C3697" s="153"/>
      <c r="D3697" s="153"/>
    </row>
    <row r="3698">
      <c r="A3698" s="153"/>
      <c r="B3698" s="153"/>
      <c r="C3698" s="153"/>
      <c r="D3698" s="153"/>
    </row>
    <row r="3699">
      <c r="A3699" s="153"/>
      <c r="B3699" s="153"/>
      <c r="C3699" s="153"/>
      <c r="D3699" s="153"/>
    </row>
    <row r="3700">
      <c r="A3700" s="153"/>
      <c r="B3700" s="153"/>
      <c r="C3700" s="153"/>
      <c r="D3700" s="153"/>
    </row>
    <row r="3701">
      <c r="A3701" s="153"/>
      <c r="B3701" s="153"/>
      <c r="C3701" s="153"/>
      <c r="D3701" s="153"/>
    </row>
    <row r="3702">
      <c r="A3702" s="153"/>
      <c r="B3702" s="153"/>
      <c r="C3702" s="153"/>
      <c r="D3702" s="153"/>
    </row>
    <row r="3703">
      <c r="A3703" s="153"/>
      <c r="B3703" s="153"/>
      <c r="C3703" s="153"/>
      <c r="D3703" s="153"/>
    </row>
    <row r="3704">
      <c r="A3704" s="153"/>
      <c r="B3704" s="153"/>
      <c r="C3704" s="153"/>
      <c r="D3704" s="153"/>
    </row>
    <row r="3705">
      <c r="A3705" s="153"/>
      <c r="B3705" s="153"/>
      <c r="C3705" s="153"/>
      <c r="D3705" s="153"/>
    </row>
    <row r="3706">
      <c r="A3706" s="153"/>
      <c r="B3706" s="153"/>
      <c r="C3706" s="153"/>
      <c r="D3706" s="153"/>
    </row>
    <row r="3707">
      <c r="A3707" s="153"/>
      <c r="B3707" s="153"/>
      <c r="C3707" s="153"/>
      <c r="D3707" s="153"/>
    </row>
    <row r="3708">
      <c r="A3708" s="153"/>
      <c r="B3708" s="153"/>
      <c r="C3708" s="153"/>
      <c r="D3708" s="153"/>
    </row>
    <row r="3709">
      <c r="A3709" s="153"/>
      <c r="B3709" s="153"/>
      <c r="C3709" s="153"/>
      <c r="D3709" s="153"/>
    </row>
    <row r="3710">
      <c r="A3710" s="153"/>
      <c r="B3710" s="153"/>
      <c r="C3710" s="153"/>
      <c r="D3710" s="153"/>
    </row>
    <row r="3711">
      <c r="A3711" s="153"/>
      <c r="B3711" s="153"/>
      <c r="C3711" s="153"/>
      <c r="D3711" s="153"/>
    </row>
    <row r="3712">
      <c r="A3712" s="153"/>
      <c r="B3712" s="153"/>
      <c r="C3712" s="153"/>
      <c r="D3712" s="153"/>
    </row>
    <row r="3713">
      <c r="A3713" s="153"/>
      <c r="B3713" s="153"/>
      <c r="C3713" s="153"/>
      <c r="D3713" s="153"/>
    </row>
    <row r="3714">
      <c r="A3714" s="153"/>
      <c r="B3714" s="153"/>
      <c r="C3714" s="153"/>
      <c r="D3714" s="153"/>
    </row>
    <row r="3715">
      <c r="A3715" s="153"/>
      <c r="B3715" s="153"/>
      <c r="C3715" s="153"/>
      <c r="D3715" s="153"/>
    </row>
    <row r="3716">
      <c r="A3716" s="153"/>
      <c r="B3716" s="153"/>
      <c r="C3716" s="153"/>
      <c r="D3716" s="153"/>
    </row>
    <row r="3717">
      <c r="A3717" s="153"/>
      <c r="B3717" s="153"/>
      <c r="C3717" s="153"/>
      <c r="D3717" s="153"/>
    </row>
    <row r="3718">
      <c r="A3718" s="153"/>
      <c r="B3718" s="153"/>
      <c r="C3718" s="153"/>
      <c r="D3718" s="153"/>
    </row>
    <row r="3719">
      <c r="A3719" s="153"/>
      <c r="B3719" s="153"/>
      <c r="C3719" s="153"/>
      <c r="D3719" s="153"/>
    </row>
    <row r="3720">
      <c r="A3720" s="153"/>
      <c r="B3720" s="153"/>
      <c r="C3720" s="153"/>
      <c r="D3720" s="153"/>
    </row>
    <row r="3721">
      <c r="A3721" s="153"/>
      <c r="B3721" s="153"/>
      <c r="C3721" s="153"/>
      <c r="D3721" s="153"/>
    </row>
    <row r="3722">
      <c r="A3722" s="153"/>
      <c r="B3722" s="153"/>
      <c r="C3722" s="153"/>
      <c r="D3722" s="153"/>
    </row>
    <row r="3723">
      <c r="A3723" s="153"/>
      <c r="B3723" s="153"/>
      <c r="C3723" s="153"/>
      <c r="D3723" s="153"/>
    </row>
    <row r="3724">
      <c r="A3724" s="153"/>
      <c r="B3724" s="153"/>
      <c r="C3724" s="153"/>
      <c r="D3724" s="153"/>
    </row>
    <row r="3725">
      <c r="A3725" s="153"/>
      <c r="B3725" s="153"/>
      <c r="C3725" s="153"/>
      <c r="D3725" s="153"/>
    </row>
    <row r="3726">
      <c r="A3726" s="153"/>
      <c r="B3726" s="153"/>
      <c r="C3726" s="153"/>
      <c r="D3726" s="153"/>
    </row>
    <row r="3727">
      <c r="A3727" s="153"/>
      <c r="B3727" s="153"/>
      <c r="C3727" s="153"/>
      <c r="D3727" s="153"/>
    </row>
    <row r="3728">
      <c r="A3728" s="153"/>
      <c r="B3728" s="153"/>
      <c r="C3728" s="153"/>
      <c r="D3728" s="153"/>
    </row>
    <row r="3729">
      <c r="A3729" s="153"/>
      <c r="B3729" s="153"/>
      <c r="C3729" s="153"/>
      <c r="D3729" s="153"/>
    </row>
    <row r="3730">
      <c r="A3730" s="153"/>
      <c r="B3730" s="153"/>
      <c r="C3730" s="153"/>
      <c r="D3730" s="153"/>
    </row>
    <row r="3731">
      <c r="A3731" s="153"/>
      <c r="B3731" s="153"/>
      <c r="C3731" s="153"/>
      <c r="D3731" s="153"/>
    </row>
    <row r="3732">
      <c r="A3732" s="153"/>
      <c r="B3732" s="153"/>
      <c r="C3732" s="153"/>
      <c r="D3732" s="153"/>
    </row>
    <row r="3733">
      <c r="A3733" s="153"/>
      <c r="B3733" s="153"/>
      <c r="C3733" s="153"/>
      <c r="D3733" s="153"/>
    </row>
    <row r="3734">
      <c r="A3734" s="153"/>
      <c r="B3734" s="153"/>
      <c r="C3734" s="153"/>
      <c r="D3734" s="153"/>
    </row>
    <row r="3735">
      <c r="A3735" s="153"/>
      <c r="B3735" s="153"/>
      <c r="C3735" s="153"/>
      <c r="D3735" s="153"/>
    </row>
    <row r="3736">
      <c r="A3736" s="153"/>
      <c r="B3736" s="153"/>
      <c r="C3736" s="153"/>
      <c r="D3736" s="153"/>
    </row>
    <row r="3737">
      <c r="A3737" s="153"/>
      <c r="B3737" s="153"/>
      <c r="C3737" s="153"/>
      <c r="D3737" s="153"/>
    </row>
    <row r="3738">
      <c r="A3738" s="153"/>
      <c r="B3738" s="153"/>
      <c r="C3738" s="153"/>
      <c r="D3738" s="153"/>
    </row>
    <row r="3739">
      <c r="A3739" s="153"/>
      <c r="B3739" s="153"/>
      <c r="C3739" s="153"/>
      <c r="D3739" s="153"/>
    </row>
    <row r="3740">
      <c r="A3740" s="153"/>
      <c r="B3740" s="153"/>
      <c r="C3740" s="153"/>
      <c r="D3740" s="153"/>
    </row>
    <row r="3741">
      <c r="A3741" s="153"/>
      <c r="B3741" s="153"/>
      <c r="C3741" s="153"/>
      <c r="D3741" s="153"/>
    </row>
    <row r="3742">
      <c r="A3742" s="153"/>
      <c r="B3742" s="153"/>
      <c r="C3742" s="153"/>
      <c r="D3742" s="153"/>
    </row>
    <row r="3743">
      <c r="A3743" s="153"/>
      <c r="B3743" s="153"/>
      <c r="C3743" s="153"/>
      <c r="D3743" s="153"/>
    </row>
    <row r="3744">
      <c r="A3744" s="153"/>
      <c r="B3744" s="153"/>
      <c r="C3744" s="153"/>
      <c r="D3744" s="153"/>
    </row>
    <row r="3745">
      <c r="A3745" s="153"/>
      <c r="B3745" s="153"/>
      <c r="C3745" s="153"/>
      <c r="D3745" s="153"/>
    </row>
    <row r="3746">
      <c r="A3746" s="153"/>
      <c r="B3746" s="153"/>
      <c r="C3746" s="153"/>
      <c r="D3746" s="153"/>
    </row>
    <row r="3747">
      <c r="A3747" s="153"/>
      <c r="B3747" s="153"/>
      <c r="C3747" s="153"/>
      <c r="D3747" s="153"/>
    </row>
    <row r="3748">
      <c r="A3748" s="153"/>
      <c r="B3748" s="153"/>
      <c r="C3748" s="153"/>
      <c r="D3748" s="153"/>
    </row>
    <row r="3749">
      <c r="A3749" s="153"/>
      <c r="B3749" s="153"/>
      <c r="C3749" s="153"/>
      <c r="D3749" s="153"/>
    </row>
    <row r="3750">
      <c r="A3750" s="153"/>
      <c r="B3750" s="153"/>
      <c r="C3750" s="153"/>
      <c r="D3750" s="153"/>
    </row>
    <row r="3751">
      <c r="A3751" s="153"/>
      <c r="B3751" s="153"/>
      <c r="C3751" s="153"/>
      <c r="D3751" s="153"/>
    </row>
    <row r="3752">
      <c r="A3752" s="153"/>
      <c r="B3752" s="153"/>
      <c r="C3752" s="153"/>
      <c r="D3752" s="153"/>
    </row>
    <row r="3753">
      <c r="A3753" s="153"/>
      <c r="B3753" s="153"/>
      <c r="C3753" s="153"/>
      <c r="D3753" s="153"/>
    </row>
    <row r="3754">
      <c r="A3754" s="153"/>
      <c r="B3754" s="153"/>
      <c r="C3754" s="153"/>
      <c r="D3754" s="153"/>
    </row>
    <row r="3755">
      <c r="A3755" s="153"/>
      <c r="B3755" s="153"/>
      <c r="C3755" s="153"/>
      <c r="D3755" s="153"/>
    </row>
    <row r="3756">
      <c r="A3756" s="153"/>
      <c r="B3756" s="153"/>
      <c r="C3756" s="153"/>
      <c r="D3756" s="153"/>
    </row>
    <row r="3757">
      <c r="A3757" s="153"/>
      <c r="B3757" s="153"/>
      <c r="C3757" s="153"/>
      <c r="D3757" s="153"/>
    </row>
    <row r="3758">
      <c r="A3758" s="153"/>
      <c r="B3758" s="153"/>
      <c r="C3758" s="153"/>
      <c r="D3758" s="153"/>
    </row>
    <row r="3759">
      <c r="A3759" s="153"/>
      <c r="B3759" s="153"/>
      <c r="C3759" s="153"/>
      <c r="D3759" s="153"/>
    </row>
    <row r="3760">
      <c r="A3760" s="153"/>
      <c r="B3760" s="153"/>
      <c r="C3760" s="153"/>
      <c r="D3760" s="153"/>
    </row>
    <row r="3761">
      <c r="A3761" s="153"/>
      <c r="B3761" s="153"/>
      <c r="C3761" s="153"/>
      <c r="D3761" s="153"/>
    </row>
    <row r="3762">
      <c r="A3762" s="153"/>
      <c r="B3762" s="153"/>
      <c r="C3762" s="153"/>
      <c r="D3762" s="153"/>
    </row>
    <row r="3763">
      <c r="A3763" s="153"/>
      <c r="B3763" s="153"/>
      <c r="C3763" s="153"/>
      <c r="D3763" s="153"/>
    </row>
    <row r="3764">
      <c r="A3764" s="153"/>
      <c r="B3764" s="153"/>
      <c r="C3764" s="153"/>
      <c r="D3764" s="153"/>
    </row>
    <row r="3765">
      <c r="A3765" s="153"/>
      <c r="B3765" s="153"/>
      <c r="C3765" s="153"/>
      <c r="D3765" s="153"/>
    </row>
    <row r="3766">
      <c r="A3766" s="153"/>
      <c r="B3766" s="153"/>
      <c r="C3766" s="153"/>
      <c r="D3766" s="153"/>
    </row>
    <row r="3767">
      <c r="A3767" s="153"/>
      <c r="B3767" s="153"/>
      <c r="C3767" s="153"/>
      <c r="D3767" s="153"/>
    </row>
    <row r="3768">
      <c r="A3768" s="153"/>
      <c r="B3768" s="153"/>
      <c r="C3768" s="153"/>
      <c r="D3768" s="153"/>
    </row>
    <row r="3769">
      <c r="A3769" s="153"/>
      <c r="B3769" s="153"/>
      <c r="C3769" s="153"/>
      <c r="D3769" s="153"/>
    </row>
    <row r="3770">
      <c r="A3770" s="153"/>
      <c r="B3770" s="153"/>
      <c r="C3770" s="153"/>
      <c r="D3770" s="153"/>
    </row>
    <row r="3771">
      <c r="A3771" s="153"/>
      <c r="B3771" s="153"/>
      <c r="C3771" s="153"/>
      <c r="D3771" s="153"/>
    </row>
    <row r="3772">
      <c r="A3772" s="153"/>
      <c r="B3772" s="153"/>
      <c r="C3772" s="153"/>
      <c r="D3772" s="153"/>
    </row>
    <row r="3773">
      <c r="A3773" s="153"/>
      <c r="B3773" s="153"/>
      <c r="C3773" s="153"/>
      <c r="D3773" s="153"/>
    </row>
    <row r="3774">
      <c r="A3774" s="153"/>
      <c r="B3774" s="153"/>
      <c r="C3774" s="153"/>
      <c r="D3774" s="153"/>
    </row>
    <row r="3775">
      <c r="A3775" s="153"/>
      <c r="B3775" s="153"/>
      <c r="C3775" s="153"/>
      <c r="D3775" s="153"/>
    </row>
    <row r="3776">
      <c r="A3776" s="153"/>
      <c r="B3776" s="153"/>
      <c r="C3776" s="153"/>
      <c r="D3776" s="153"/>
    </row>
    <row r="3777">
      <c r="A3777" s="153"/>
      <c r="B3777" s="153"/>
      <c r="C3777" s="153"/>
      <c r="D3777" s="153"/>
    </row>
    <row r="3778">
      <c r="A3778" s="153"/>
      <c r="B3778" s="153"/>
      <c r="C3778" s="153"/>
      <c r="D3778" s="153"/>
    </row>
    <row r="3779">
      <c r="A3779" s="153"/>
      <c r="B3779" s="153"/>
      <c r="C3779" s="153"/>
      <c r="D3779" s="153"/>
    </row>
    <row r="3780">
      <c r="A3780" s="153"/>
      <c r="B3780" s="153"/>
      <c r="C3780" s="153"/>
      <c r="D3780" s="153"/>
    </row>
    <row r="3781">
      <c r="A3781" s="153"/>
      <c r="B3781" s="153"/>
      <c r="C3781" s="153"/>
      <c r="D3781" s="153"/>
    </row>
    <row r="3782">
      <c r="A3782" s="153"/>
      <c r="B3782" s="153"/>
      <c r="C3782" s="153"/>
      <c r="D3782" s="153"/>
    </row>
    <row r="3783">
      <c r="A3783" s="153"/>
      <c r="B3783" s="153"/>
      <c r="C3783" s="153"/>
      <c r="D3783" s="153"/>
    </row>
    <row r="3784">
      <c r="A3784" s="153"/>
      <c r="B3784" s="153"/>
      <c r="C3784" s="153"/>
      <c r="D3784" s="153"/>
    </row>
    <row r="3785">
      <c r="A3785" s="153"/>
      <c r="B3785" s="153"/>
      <c r="C3785" s="153"/>
      <c r="D3785" s="153"/>
    </row>
    <row r="3786">
      <c r="A3786" s="153"/>
      <c r="B3786" s="153"/>
      <c r="C3786" s="153"/>
      <c r="D3786" s="153"/>
    </row>
    <row r="3787">
      <c r="A3787" s="153"/>
      <c r="B3787" s="153"/>
      <c r="C3787" s="153"/>
      <c r="D3787" s="153"/>
    </row>
    <row r="3788">
      <c r="A3788" s="153"/>
      <c r="B3788" s="153"/>
      <c r="C3788" s="153"/>
      <c r="D3788" s="153"/>
    </row>
    <row r="3789">
      <c r="A3789" s="153"/>
      <c r="B3789" s="153"/>
      <c r="C3789" s="153"/>
      <c r="D3789" s="153"/>
    </row>
    <row r="3790">
      <c r="A3790" s="153"/>
      <c r="B3790" s="153"/>
      <c r="C3790" s="153"/>
      <c r="D3790" s="153"/>
    </row>
    <row r="3791">
      <c r="A3791" s="153"/>
      <c r="B3791" s="153"/>
      <c r="C3791" s="153"/>
      <c r="D3791" s="153"/>
    </row>
    <row r="3792">
      <c r="A3792" s="153"/>
      <c r="B3792" s="153"/>
      <c r="C3792" s="153"/>
      <c r="D3792" s="153"/>
    </row>
    <row r="3793">
      <c r="A3793" s="153"/>
      <c r="B3793" s="153"/>
      <c r="C3793" s="153"/>
      <c r="D3793" s="153"/>
    </row>
    <row r="3794">
      <c r="A3794" s="153"/>
      <c r="B3794" s="153"/>
      <c r="C3794" s="153"/>
      <c r="D3794" s="153"/>
    </row>
    <row r="3795">
      <c r="A3795" s="153"/>
      <c r="B3795" s="153"/>
      <c r="C3795" s="153"/>
      <c r="D3795" s="153"/>
    </row>
    <row r="3796">
      <c r="A3796" s="153"/>
      <c r="B3796" s="153"/>
      <c r="C3796" s="153"/>
      <c r="D3796" s="153"/>
    </row>
    <row r="3797">
      <c r="A3797" s="153"/>
      <c r="B3797" s="153"/>
      <c r="C3797" s="153"/>
      <c r="D3797" s="153"/>
    </row>
    <row r="3798">
      <c r="A3798" s="153"/>
      <c r="B3798" s="153"/>
      <c r="C3798" s="153"/>
      <c r="D3798" s="153"/>
    </row>
    <row r="3799">
      <c r="A3799" s="153"/>
      <c r="B3799" s="153"/>
      <c r="C3799" s="153"/>
      <c r="D3799" s="153"/>
    </row>
    <row r="3800">
      <c r="A3800" s="153"/>
      <c r="B3800" s="153"/>
      <c r="C3800" s="153"/>
      <c r="D3800" s="153"/>
    </row>
    <row r="3801">
      <c r="A3801" s="153"/>
      <c r="B3801" s="153"/>
      <c r="C3801" s="153"/>
      <c r="D3801" s="153"/>
    </row>
    <row r="3802">
      <c r="A3802" s="153"/>
      <c r="B3802" s="153"/>
      <c r="C3802" s="153"/>
      <c r="D3802" s="153"/>
    </row>
    <row r="3803">
      <c r="A3803" s="153"/>
      <c r="B3803" s="153"/>
      <c r="C3803" s="153"/>
      <c r="D3803" s="153"/>
    </row>
    <row r="3804">
      <c r="A3804" s="153"/>
      <c r="B3804" s="153"/>
      <c r="C3804" s="153"/>
      <c r="D3804" s="153"/>
    </row>
    <row r="3805">
      <c r="A3805" s="153"/>
      <c r="B3805" s="153"/>
      <c r="C3805" s="153"/>
      <c r="D3805" s="153"/>
    </row>
    <row r="3806">
      <c r="A3806" s="153"/>
      <c r="B3806" s="153"/>
      <c r="C3806" s="153"/>
      <c r="D3806" s="153"/>
    </row>
    <row r="3807">
      <c r="A3807" s="153"/>
      <c r="B3807" s="153"/>
      <c r="C3807" s="153"/>
      <c r="D3807" s="153"/>
    </row>
    <row r="3808">
      <c r="A3808" s="153"/>
      <c r="B3808" s="153"/>
      <c r="C3808" s="153"/>
      <c r="D3808" s="153"/>
    </row>
    <row r="3809">
      <c r="A3809" s="153"/>
      <c r="B3809" s="153"/>
      <c r="C3809" s="153"/>
      <c r="D3809" s="153"/>
    </row>
    <row r="3810">
      <c r="A3810" s="153"/>
      <c r="B3810" s="153"/>
      <c r="C3810" s="153"/>
      <c r="D3810" s="153"/>
    </row>
    <row r="3811">
      <c r="A3811" s="153"/>
      <c r="B3811" s="153"/>
      <c r="C3811" s="153"/>
      <c r="D3811" s="153"/>
    </row>
    <row r="3812">
      <c r="A3812" s="153"/>
      <c r="B3812" s="153"/>
      <c r="C3812" s="153"/>
      <c r="D3812" s="153"/>
    </row>
    <row r="3813">
      <c r="A3813" s="153"/>
      <c r="B3813" s="153"/>
      <c r="C3813" s="153"/>
      <c r="D3813" s="153"/>
    </row>
    <row r="3814">
      <c r="A3814" s="153"/>
      <c r="B3814" s="153"/>
      <c r="C3814" s="153"/>
      <c r="D3814" s="153"/>
    </row>
    <row r="3815">
      <c r="A3815" s="153"/>
      <c r="B3815" s="153"/>
      <c r="C3815" s="153"/>
      <c r="D3815" s="153"/>
    </row>
    <row r="3816">
      <c r="A3816" s="153"/>
      <c r="B3816" s="153"/>
      <c r="C3816" s="153"/>
      <c r="D3816" s="153"/>
    </row>
    <row r="3817">
      <c r="A3817" s="153"/>
      <c r="B3817" s="153"/>
      <c r="C3817" s="153"/>
      <c r="D3817" s="153"/>
    </row>
    <row r="3818">
      <c r="A3818" s="153"/>
      <c r="B3818" s="153"/>
      <c r="C3818" s="153"/>
      <c r="D3818" s="153"/>
    </row>
    <row r="3819">
      <c r="A3819" s="153"/>
      <c r="B3819" s="153"/>
      <c r="C3819" s="153"/>
      <c r="D3819" s="153"/>
    </row>
    <row r="3820">
      <c r="A3820" s="153"/>
      <c r="B3820" s="153"/>
      <c r="C3820" s="153"/>
      <c r="D3820" s="153"/>
    </row>
    <row r="3821">
      <c r="A3821" s="153"/>
      <c r="B3821" s="153"/>
      <c r="C3821" s="153"/>
      <c r="D3821" s="153"/>
    </row>
    <row r="3822">
      <c r="A3822" s="153"/>
      <c r="B3822" s="153"/>
      <c r="C3822" s="153"/>
      <c r="D3822" s="153"/>
    </row>
    <row r="3823">
      <c r="A3823" s="153"/>
      <c r="B3823" s="153"/>
      <c r="C3823" s="153"/>
      <c r="D3823" s="153"/>
    </row>
    <row r="3824">
      <c r="A3824" s="153"/>
      <c r="B3824" s="153"/>
      <c r="C3824" s="153"/>
      <c r="D3824" s="153"/>
    </row>
    <row r="3825">
      <c r="A3825" s="153"/>
      <c r="B3825" s="153"/>
      <c r="C3825" s="153"/>
      <c r="D3825" s="153"/>
    </row>
    <row r="3826">
      <c r="A3826" s="153"/>
      <c r="B3826" s="153"/>
      <c r="C3826" s="153"/>
      <c r="D3826" s="153"/>
    </row>
    <row r="3827">
      <c r="A3827" s="153"/>
      <c r="B3827" s="153"/>
      <c r="C3827" s="153"/>
      <c r="D3827" s="153"/>
    </row>
    <row r="3828">
      <c r="A3828" s="153"/>
      <c r="B3828" s="153"/>
      <c r="C3828" s="153"/>
      <c r="D3828" s="153"/>
    </row>
    <row r="3829">
      <c r="A3829" s="153"/>
      <c r="B3829" s="153"/>
      <c r="C3829" s="153"/>
      <c r="D3829" s="153"/>
    </row>
    <row r="3830">
      <c r="A3830" s="153"/>
      <c r="B3830" s="153"/>
      <c r="C3830" s="153"/>
      <c r="D3830" s="153"/>
    </row>
    <row r="3831">
      <c r="A3831" s="153"/>
      <c r="B3831" s="153"/>
      <c r="C3831" s="153"/>
      <c r="D3831" s="153"/>
    </row>
    <row r="3832">
      <c r="A3832" s="153"/>
      <c r="B3832" s="153"/>
      <c r="C3832" s="153"/>
      <c r="D3832" s="153"/>
    </row>
    <row r="3833">
      <c r="A3833" s="153"/>
      <c r="B3833" s="153"/>
      <c r="C3833" s="153"/>
      <c r="D3833" s="153"/>
    </row>
    <row r="3834">
      <c r="A3834" s="153"/>
      <c r="B3834" s="153"/>
      <c r="C3834" s="153"/>
      <c r="D3834" s="153"/>
    </row>
    <row r="3835">
      <c r="A3835" s="153"/>
      <c r="B3835" s="153"/>
      <c r="C3835" s="153"/>
      <c r="D3835" s="153"/>
    </row>
    <row r="3836">
      <c r="A3836" s="153"/>
      <c r="B3836" s="153"/>
      <c r="C3836" s="153"/>
      <c r="D3836" s="153"/>
    </row>
    <row r="3837">
      <c r="A3837" s="153"/>
      <c r="B3837" s="153"/>
      <c r="C3837" s="153"/>
      <c r="D3837" s="153"/>
    </row>
    <row r="3838">
      <c r="A3838" s="153"/>
      <c r="B3838" s="153"/>
      <c r="C3838" s="153"/>
      <c r="D3838" s="153"/>
    </row>
    <row r="3839">
      <c r="A3839" s="153"/>
      <c r="B3839" s="153"/>
      <c r="C3839" s="153"/>
      <c r="D3839" s="153"/>
    </row>
    <row r="3840">
      <c r="A3840" s="153"/>
      <c r="B3840" s="153"/>
      <c r="C3840" s="153"/>
      <c r="D3840" s="153"/>
    </row>
    <row r="3841">
      <c r="A3841" s="153"/>
      <c r="B3841" s="153"/>
      <c r="C3841" s="153"/>
      <c r="D3841" s="153"/>
    </row>
    <row r="3842">
      <c r="A3842" s="153"/>
      <c r="B3842" s="153"/>
      <c r="C3842" s="153"/>
      <c r="D3842" s="153"/>
    </row>
    <row r="3843">
      <c r="A3843" s="153"/>
      <c r="B3843" s="153"/>
      <c r="C3843" s="153"/>
      <c r="D3843" s="153"/>
    </row>
    <row r="3844">
      <c r="A3844" s="153"/>
      <c r="B3844" s="153"/>
      <c r="C3844" s="153"/>
      <c r="D3844" s="153"/>
    </row>
    <row r="3845">
      <c r="A3845" s="153"/>
      <c r="B3845" s="153"/>
      <c r="C3845" s="153"/>
      <c r="D3845" s="153"/>
    </row>
    <row r="3846">
      <c r="A3846" s="153"/>
      <c r="B3846" s="153"/>
      <c r="C3846" s="153"/>
      <c r="D3846" s="153"/>
    </row>
    <row r="3847">
      <c r="A3847" s="153"/>
      <c r="B3847" s="153"/>
      <c r="C3847" s="153"/>
      <c r="D3847" s="153"/>
    </row>
    <row r="3848">
      <c r="A3848" s="153"/>
      <c r="B3848" s="153"/>
      <c r="C3848" s="153"/>
      <c r="D3848" s="153"/>
    </row>
    <row r="3849">
      <c r="A3849" s="153"/>
      <c r="B3849" s="153"/>
      <c r="C3849" s="153"/>
      <c r="D3849" s="153"/>
    </row>
    <row r="3850">
      <c r="A3850" s="153"/>
      <c r="B3850" s="153"/>
      <c r="C3850" s="153"/>
      <c r="D3850" s="153"/>
    </row>
    <row r="3851">
      <c r="A3851" s="153"/>
      <c r="B3851" s="153"/>
      <c r="C3851" s="153"/>
      <c r="D3851" s="153"/>
    </row>
    <row r="3852">
      <c r="A3852" s="153"/>
      <c r="B3852" s="153"/>
      <c r="C3852" s="153"/>
      <c r="D3852" s="153"/>
    </row>
    <row r="3853">
      <c r="A3853" s="153"/>
      <c r="B3853" s="153"/>
      <c r="C3853" s="153"/>
      <c r="D3853" s="153"/>
    </row>
    <row r="3854">
      <c r="A3854" s="153"/>
      <c r="B3854" s="153"/>
      <c r="C3854" s="153"/>
      <c r="D3854" s="153"/>
    </row>
    <row r="3855">
      <c r="A3855" s="153"/>
      <c r="B3855" s="153"/>
      <c r="C3855" s="153"/>
      <c r="D3855" s="153"/>
    </row>
    <row r="3856">
      <c r="A3856" s="153"/>
      <c r="B3856" s="153"/>
      <c r="C3856" s="153"/>
      <c r="D3856" s="153"/>
    </row>
    <row r="3857">
      <c r="A3857" s="153"/>
      <c r="B3857" s="153"/>
      <c r="C3857" s="153"/>
      <c r="D3857" s="153"/>
    </row>
    <row r="3858">
      <c r="A3858" s="153"/>
      <c r="B3858" s="153"/>
      <c r="C3858" s="153"/>
      <c r="D3858" s="153"/>
    </row>
    <row r="3859">
      <c r="A3859" s="153"/>
      <c r="B3859" s="153"/>
      <c r="C3859" s="153"/>
      <c r="D3859" s="153"/>
    </row>
    <row r="3860">
      <c r="A3860" s="153"/>
      <c r="B3860" s="153"/>
      <c r="C3860" s="153"/>
      <c r="D3860" s="153"/>
    </row>
    <row r="3861">
      <c r="A3861" s="153"/>
      <c r="B3861" s="153"/>
      <c r="C3861" s="153"/>
      <c r="D3861" s="153"/>
    </row>
    <row r="3862">
      <c r="A3862" s="153"/>
      <c r="B3862" s="153"/>
      <c r="C3862" s="153"/>
      <c r="D3862" s="153"/>
    </row>
    <row r="3863">
      <c r="A3863" s="153"/>
      <c r="B3863" s="153"/>
      <c r="C3863" s="153"/>
      <c r="D3863" s="153"/>
    </row>
    <row r="3864">
      <c r="A3864" s="153"/>
      <c r="B3864" s="153"/>
      <c r="C3864" s="153"/>
      <c r="D3864" s="153"/>
    </row>
    <row r="3865">
      <c r="A3865" s="153"/>
      <c r="B3865" s="153"/>
      <c r="C3865" s="153"/>
      <c r="D3865" s="153"/>
    </row>
    <row r="3866">
      <c r="A3866" s="153"/>
      <c r="B3866" s="153"/>
      <c r="C3866" s="153"/>
      <c r="D3866" s="153"/>
    </row>
    <row r="3867">
      <c r="A3867" s="153"/>
      <c r="B3867" s="153"/>
      <c r="C3867" s="153"/>
      <c r="D3867" s="153"/>
    </row>
    <row r="3868">
      <c r="A3868" s="153"/>
      <c r="B3868" s="153"/>
      <c r="C3868" s="153"/>
      <c r="D3868" s="153"/>
    </row>
    <row r="3869">
      <c r="A3869" s="153"/>
      <c r="B3869" s="153"/>
      <c r="C3869" s="153"/>
      <c r="D3869" s="153"/>
    </row>
    <row r="3870">
      <c r="A3870" s="153"/>
      <c r="B3870" s="153"/>
      <c r="C3870" s="153"/>
      <c r="D3870" s="153"/>
    </row>
    <row r="3871">
      <c r="A3871" s="153"/>
      <c r="B3871" s="153"/>
      <c r="C3871" s="153"/>
      <c r="D3871" s="153"/>
    </row>
    <row r="3872">
      <c r="A3872" s="153"/>
      <c r="B3872" s="153"/>
      <c r="C3872" s="153"/>
      <c r="D3872" s="153"/>
    </row>
    <row r="3873">
      <c r="A3873" s="153"/>
      <c r="B3873" s="153"/>
      <c r="C3873" s="153"/>
      <c r="D3873" s="153"/>
    </row>
    <row r="3874">
      <c r="A3874" s="153"/>
      <c r="B3874" s="153"/>
      <c r="C3874" s="153"/>
      <c r="D3874" s="153"/>
    </row>
    <row r="3875">
      <c r="A3875" s="153"/>
      <c r="B3875" s="153"/>
      <c r="C3875" s="153"/>
      <c r="D3875" s="153"/>
    </row>
    <row r="3876">
      <c r="A3876" s="153"/>
      <c r="B3876" s="153"/>
      <c r="C3876" s="153"/>
      <c r="D3876" s="153"/>
    </row>
    <row r="3877">
      <c r="A3877" s="153"/>
      <c r="B3877" s="153"/>
      <c r="C3877" s="153"/>
      <c r="D3877" s="153"/>
    </row>
    <row r="3878">
      <c r="A3878" s="153"/>
      <c r="B3878" s="153"/>
      <c r="C3878" s="153"/>
      <c r="D3878" s="153"/>
    </row>
    <row r="3879">
      <c r="A3879" s="153"/>
      <c r="B3879" s="153"/>
      <c r="C3879" s="153"/>
      <c r="D3879" s="153"/>
    </row>
    <row r="3880">
      <c r="A3880" s="153"/>
      <c r="B3880" s="153"/>
      <c r="C3880" s="153"/>
      <c r="D3880" s="153"/>
    </row>
    <row r="3881">
      <c r="A3881" s="153"/>
      <c r="B3881" s="153"/>
      <c r="C3881" s="153"/>
      <c r="D3881" s="153"/>
    </row>
    <row r="3882">
      <c r="A3882" s="153"/>
      <c r="B3882" s="153"/>
      <c r="C3882" s="153"/>
      <c r="D3882" s="153"/>
    </row>
    <row r="3883">
      <c r="A3883" s="153"/>
      <c r="B3883" s="153"/>
      <c r="C3883" s="153"/>
      <c r="D3883" s="153"/>
    </row>
    <row r="3884">
      <c r="A3884" s="153"/>
      <c r="B3884" s="153"/>
      <c r="C3884" s="153"/>
      <c r="D3884" s="153"/>
    </row>
    <row r="3885">
      <c r="A3885" s="153"/>
      <c r="B3885" s="153"/>
      <c r="C3885" s="153"/>
      <c r="D3885" s="153"/>
    </row>
    <row r="3886">
      <c r="A3886" s="153"/>
      <c r="B3886" s="153"/>
      <c r="C3886" s="153"/>
      <c r="D3886" s="153"/>
    </row>
    <row r="3887">
      <c r="A3887" s="153"/>
      <c r="B3887" s="153"/>
      <c r="C3887" s="153"/>
      <c r="D3887" s="153"/>
    </row>
    <row r="3888">
      <c r="A3888" s="153"/>
      <c r="B3888" s="153"/>
      <c r="C3888" s="153"/>
      <c r="D3888" s="153"/>
    </row>
    <row r="3889">
      <c r="A3889" s="153"/>
      <c r="B3889" s="153"/>
      <c r="C3889" s="153"/>
      <c r="D3889" s="153"/>
    </row>
    <row r="3890">
      <c r="A3890" s="153"/>
      <c r="B3890" s="153"/>
      <c r="C3890" s="153"/>
      <c r="D3890" s="153"/>
    </row>
    <row r="3891">
      <c r="A3891" s="153"/>
      <c r="B3891" s="153"/>
      <c r="C3891" s="153"/>
      <c r="D3891" s="153"/>
    </row>
    <row r="3892">
      <c r="A3892" s="153"/>
      <c r="B3892" s="153"/>
      <c r="C3892" s="153"/>
      <c r="D3892" s="153"/>
    </row>
    <row r="3893">
      <c r="A3893" s="153"/>
      <c r="B3893" s="153"/>
      <c r="C3893" s="153"/>
      <c r="D3893" s="153"/>
    </row>
    <row r="3894">
      <c r="A3894" s="153"/>
      <c r="B3894" s="153"/>
      <c r="C3894" s="153"/>
      <c r="D3894" s="153"/>
    </row>
    <row r="3895">
      <c r="A3895" s="153"/>
      <c r="B3895" s="153"/>
      <c r="C3895" s="153"/>
      <c r="D3895" s="153"/>
    </row>
    <row r="3896">
      <c r="A3896" s="153"/>
      <c r="B3896" s="153"/>
      <c r="C3896" s="153"/>
      <c r="D3896" s="153"/>
    </row>
    <row r="3897">
      <c r="A3897" s="153"/>
      <c r="B3897" s="153"/>
      <c r="C3897" s="153"/>
      <c r="D3897" s="153"/>
    </row>
    <row r="3898">
      <c r="A3898" s="153"/>
      <c r="B3898" s="153"/>
      <c r="C3898" s="153"/>
      <c r="D3898" s="153"/>
    </row>
    <row r="3899">
      <c r="A3899" s="153"/>
      <c r="B3899" s="153"/>
      <c r="C3899" s="153"/>
      <c r="D3899" s="153"/>
    </row>
    <row r="3900">
      <c r="A3900" s="153"/>
      <c r="B3900" s="153"/>
      <c r="C3900" s="153"/>
      <c r="D3900" s="153"/>
    </row>
    <row r="3901">
      <c r="A3901" s="153"/>
      <c r="B3901" s="153"/>
      <c r="C3901" s="153"/>
      <c r="D3901" s="153"/>
    </row>
    <row r="3902">
      <c r="A3902" s="153"/>
      <c r="B3902" s="153"/>
      <c r="C3902" s="153"/>
      <c r="D3902" s="153"/>
    </row>
    <row r="3903">
      <c r="A3903" s="153"/>
      <c r="B3903" s="153"/>
      <c r="C3903" s="153"/>
      <c r="D3903" s="153"/>
    </row>
    <row r="3904">
      <c r="A3904" s="153"/>
      <c r="B3904" s="153"/>
      <c r="C3904" s="153"/>
      <c r="D3904" s="153"/>
    </row>
    <row r="3905">
      <c r="A3905" s="153"/>
      <c r="B3905" s="153"/>
      <c r="C3905" s="153"/>
      <c r="D3905" s="153"/>
    </row>
    <row r="3906">
      <c r="A3906" s="153"/>
      <c r="B3906" s="153"/>
      <c r="C3906" s="153"/>
      <c r="D3906" s="153"/>
    </row>
    <row r="3907">
      <c r="A3907" s="153"/>
      <c r="B3907" s="153"/>
      <c r="C3907" s="153"/>
      <c r="D3907" s="153"/>
    </row>
    <row r="3908">
      <c r="A3908" s="153"/>
      <c r="B3908" s="153"/>
      <c r="C3908" s="153"/>
      <c r="D3908" s="153"/>
    </row>
    <row r="3909">
      <c r="A3909" s="153"/>
      <c r="B3909" s="153"/>
      <c r="C3909" s="153"/>
      <c r="D3909" s="153"/>
    </row>
    <row r="3910">
      <c r="A3910" s="153"/>
      <c r="B3910" s="153"/>
      <c r="C3910" s="153"/>
      <c r="D3910" s="153"/>
    </row>
    <row r="3911">
      <c r="A3911" s="153"/>
      <c r="B3911" s="153"/>
      <c r="C3911" s="153"/>
      <c r="D3911" s="153"/>
    </row>
    <row r="3912">
      <c r="A3912" s="153"/>
      <c r="B3912" s="153"/>
      <c r="C3912" s="153"/>
      <c r="D3912" s="153"/>
    </row>
    <row r="3913">
      <c r="A3913" s="153"/>
      <c r="B3913" s="153"/>
      <c r="C3913" s="153"/>
      <c r="D3913" s="153"/>
    </row>
    <row r="3914">
      <c r="A3914" s="153"/>
      <c r="B3914" s="153"/>
      <c r="C3914" s="153"/>
      <c r="D3914" s="153"/>
    </row>
    <row r="3915">
      <c r="A3915" s="153"/>
      <c r="B3915" s="153"/>
      <c r="C3915" s="153"/>
      <c r="D3915" s="153"/>
    </row>
    <row r="3916">
      <c r="A3916" s="153"/>
      <c r="B3916" s="153"/>
      <c r="C3916" s="153"/>
      <c r="D3916" s="153"/>
    </row>
    <row r="3917">
      <c r="A3917" s="153"/>
      <c r="B3917" s="153"/>
      <c r="C3917" s="153"/>
      <c r="D3917" s="153"/>
    </row>
    <row r="3918">
      <c r="A3918" s="153"/>
      <c r="B3918" s="153"/>
      <c r="C3918" s="153"/>
      <c r="D3918" s="153"/>
    </row>
    <row r="3919">
      <c r="A3919" s="153"/>
      <c r="B3919" s="153"/>
      <c r="C3919" s="153"/>
      <c r="D3919" s="153"/>
    </row>
    <row r="3920">
      <c r="A3920" s="153"/>
      <c r="B3920" s="153"/>
      <c r="C3920" s="153"/>
      <c r="D3920" s="153"/>
    </row>
    <row r="3921">
      <c r="A3921" s="153"/>
      <c r="B3921" s="153"/>
      <c r="C3921" s="153"/>
      <c r="D3921" s="153"/>
    </row>
    <row r="3922">
      <c r="A3922" s="153"/>
      <c r="B3922" s="153"/>
      <c r="C3922" s="153"/>
      <c r="D3922" s="153"/>
    </row>
    <row r="3923">
      <c r="A3923" s="153"/>
      <c r="B3923" s="153"/>
      <c r="C3923" s="153"/>
      <c r="D3923" s="153"/>
    </row>
    <row r="3924">
      <c r="A3924" s="153"/>
      <c r="B3924" s="153"/>
      <c r="C3924" s="153"/>
      <c r="D3924" s="153"/>
    </row>
    <row r="3925">
      <c r="A3925" s="153"/>
      <c r="B3925" s="153"/>
      <c r="C3925" s="153"/>
      <c r="D3925" s="153"/>
    </row>
    <row r="3926">
      <c r="A3926" s="153"/>
      <c r="B3926" s="153"/>
      <c r="C3926" s="153"/>
      <c r="D3926" s="153"/>
    </row>
    <row r="3927">
      <c r="A3927" s="153"/>
      <c r="B3927" s="153"/>
      <c r="C3927" s="153"/>
      <c r="D3927" s="153"/>
    </row>
    <row r="3928">
      <c r="A3928" s="153"/>
      <c r="B3928" s="153"/>
      <c r="C3928" s="153"/>
      <c r="D3928" s="153"/>
    </row>
    <row r="3929">
      <c r="A3929" s="153"/>
      <c r="B3929" s="153"/>
      <c r="C3929" s="153"/>
      <c r="D3929" s="153"/>
    </row>
    <row r="3930">
      <c r="A3930" s="153"/>
      <c r="B3930" s="153"/>
      <c r="C3930" s="153"/>
      <c r="D3930" s="153"/>
    </row>
    <row r="3931">
      <c r="A3931" s="153"/>
      <c r="B3931" s="153"/>
      <c r="C3931" s="153"/>
      <c r="D3931" s="153"/>
    </row>
    <row r="3932">
      <c r="A3932" s="153"/>
      <c r="B3932" s="153"/>
      <c r="C3932" s="153"/>
      <c r="D3932" s="153"/>
    </row>
    <row r="3933">
      <c r="A3933" s="153"/>
      <c r="B3933" s="153"/>
      <c r="C3933" s="153"/>
      <c r="D3933" s="153"/>
    </row>
    <row r="3934">
      <c r="A3934" s="153"/>
      <c r="B3934" s="153"/>
      <c r="C3934" s="153"/>
      <c r="D3934" s="153"/>
    </row>
    <row r="3935">
      <c r="A3935" s="153"/>
      <c r="B3935" s="153"/>
      <c r="C3935" s="153"/>
      <c r="D3935" s="153"/>
    </row>
    <row r="3936">
      <c r="A3936" s="153"/>
      <c r="B3936" s="153"/>
      <c r="C3936" s="153"/>
      <c r="D3936" s="153"/>
    </row>
    <row r="3937">
      <c r="A3937" s="153"/>
      <c r="B3937" s="153"/>
      <c r="C3937" s="153"/>
      <c r="D3937" s="153"/>
    </row>
    <row r="3938">
      <c r="A3938" s="153"/>
      <c r="B3938" s="153"/>
      <c r="C3938" s="153"/>
      <c r="D3938" s="153"/>
    </row>
    <row r="3939">
      <c r="A3939" s="153"/>
      <c r="B3939" s="153"/>
      <c r="C3939" s="153"/>
      <c r="D3939" s="153"/>
    </row>
    <row r="3940">
      <c r="A3940" s="153"/>
      <c r="B3940" s="153"/>
      <c r="C3940" s="153"/>
      <c r="D3940" s="153"/>
    </row>
    <row r="3941">
      <c r="A3941" s="153"/>
      <c r="B3941" s="153"/>
      <c r="C3941" s="153"/>
      <c r="D3941" s="153"/>
    </row>
    <row r="3942">
      <c r="A3942" s="153"/>
      <c r="B3942" s="153"/>
      <c r="C3942" s="153"/>
      <c r="D3942" s="153"/>
    </row>
    <row r="3943">
      <c r="A3943" s="153"/>
      <c r="B3943" s="153"/>
      <c r="C3943" s="153"/>
      <c r="D3943" s="153"/>
    </row>
    <row r="3944">
      <c r="A3944" s="153"/>
      <c r="B3944" s="153"/>
      <c r="C3944" s="153"/>
      <c r="D3944" s="153"/>
    </row>
    <row r="3945">
      <c r="A3945" s="153"/>
      <c r="B3945" s="153"/>
      <c r="C3945" s="153"/>
      <c r="D3945" s="153"/>
    </row>
    <row r="3946">
      <c r="A3946" s="153"/>
      <c r="B3946" s="153"/>
      <c r="C3946" s="153"/>
      <c r="D3946" s="153"/>
    </row>
    <row r="3947">
      <c r="A3947" s="153"/>
      <c r="B3947" s="153"/>
      <c r="C3947" s="153"/>
      <c r="D3947" s="153"/>
    </row>
    <row r="3948">
      <c r="A3948" s="153"/>
      <c r="B3948" s="153"/>
      <c r="C3948" s="153"/>
      <c r="D3948" s="153"/>
    </row>
    <row r="3949">
      <c r="A3949" s="153"/>
      <c r="B3949" s="153"/>
      <c r="C3949" s="153"/>
      <c r="D3949" s="153"/>
    </row>
    <row r="3950">
      <c r="A3950" s="153"/>
      <c r="B3950" s="153"/>
      <c r="C3950" s="153"/>
      <c r="D3950" s="153"/>
    </row>
    <row r="3951">
      <c r="A3951" s="153"/>
      <c r="B3951" s="153"/>
      <c r="C3951" s="153"/>
      <c r="D3951" s="153"/>
    </row>
    <row r="3952">
      <c r="A3952" s="153"/>
      <c r="B3952" s="153"/>
      <c r="C3952" s="153"/>
      <c r="D3952" s="153"/>
    </row>
    <row r="3953">
      <c r="A3953" s="153"/>
      <c r="B3953" s="153"/>
      <c r="C3953" s="153"/>
      <c r="D3953" s="153"/>
    </row>
    <row r="3954">
      <c r="A3954" s="153"/>
      <c r="B3954" s="153"/>
      <c r="C3954" s="153"/>
      <c r="D3954" s="153"/>
    </row>
    <row r="3955">
      <c r="A3955" s="153"/>
      <c r="B3955" s="153"/>
      <c r="C3955" s="153"/>
      <c r="D3955" s="153"/>
    </row>
    <row r="3956">
      <c r="A3956" s="153"/>
      <c r="B3956" s="153"/>
      <c r="C3956" s="153"/>
      <c r="D3956" s="153"/>
    </row>
    <row r="3957">
      <c r="A3957" s="153"/>
      <c r="B3957" s="153"/>
      <c r="C3957" s="153"/>
      <c r="D3957" s="153"/>
    </row>
    <row r="3958">
      <c r="A3958" s="153"/>
      <c r="B3958" s="153"/>
      <c r="C3958" s="153"/>
      <c r="D3958" s="153"/>
    </row>
    <row r="3959">
      <c r="A3959" s="153"/>
      <c r="B3959" s="153"/>
      <c r="C3959" s="153"/>
      <c r="D3959" s="153"/>
    </row>
    <row r="3960">
      <c r="A3960" s="153"/>
      <c r="B3960" s="153"/>
      <c r="C3960" s="153"/>
      <c r="D3960" s="153"/>
    </row>
    <row r="3961">
      <c r="A3961" s="153"/>
      <c r="B3961" s="153"/>
      <c r="C3961" s="153"/>
      <c r="D3961" s="153"/>
    </row>
    <row r="3962">
      <c r="A3962" s="153"/>
      <c r="B3962" s="153"/>
      <c r="C3962" s="153"/>
      <c r="D3962" s="153"/>
    </row>
    <row r="3963">
      <c r="A3963" s="153"/>
      <c r="B3963" s="153"/>
      <c r="C3963" s="153"/>
      <c r="D3963" s="153"/>
    </row>
    <row r="3964">
      <c r="A3964" s="153"/>
      <c r="B3964" s="153"/>
      <c r="C3964" s="153"/>
      <c r="D3964" s="153"/>
    </row>
    <row r="3965">
      <c r="A3965" s="153"/>
      <c r="B3965" s="153"/>
      <c r="C3965" s="153"/>
      <c r="D3965" s="153"/>
    </row>
    <row r="3966">
      <c r="A3966" s="153"/>
      <c r="B3966" s="153"/>
      <c r="C3966" s="153"/>
      <c r="D3966" s="153"/>
    </row>
    <row r="3967">
      <c r="A3967" s="153"/>
      <c r="B3967" s="153"/>
      <c r="C3967" s="153"/>
      <c r="D3967" s="153"/>
    </row>
    <row r="3968">
      <c r="A3968" s="153"/>
      <c r="B3968" s="153"/>
      <c r="C3968" s="153"/>
      <c r="D3968" s="153"/>
    </row>
    <row r="3969">
      <c r="A3969" s="153"/>
      <c r="B3969" s="153"/>
      <c r="C3969" s="153"/>
      <c r="D3969" s="153"/>
    </row>
    <row r="3970">
      <c r="A3970" s="153"/>
      <c r="B3970" s="153"/>
      <c r="C3970" s="153"/>
      <c r="D3970" s="153"/>
    </row>
    <row r="3971">
      <c r="A3971" s="153"/>
      <c r="B3971" s="153"/>
      <c r="C3971" s="153"/>
      <c r="D3971" s="153"/>
    </row>
    <row r="3972">
      <c r="A3972" s="153"/>
      <c r="B3972" s="153"/>
      <c r="C3972" s="153"/>
      <c r="D3972" s="153"/>
    </row>
    <row r="3973">
      <c r="A3973" s="153"/>
      <c r="B3973" s="153"/>
      <c r="C3973" s="153"/>
      <c r="D3973" s="153"/>
    </row>
    <row r="3974">
      <c r="A3974" s="153"/>
      <c r="B3974" s="153"/>
      <c r="C3974" s="153"/>
      <c r="D3974" s="153"/>
    </row>
    <row r="3975">
      <c r="A3975" s="153"/>
      <c r="B3975" s="153"/>
      <c r="C3975" s="153"/>
      <c r="D3975" s="153"/>
    </row>
    <row r="3976">
      <c r="A3976" s="153"/>
      <c r="B3976" s="153"/>
      <c r="C3976" s="153"/>
      <c r="D3976" s="153"/>
    </row>
    <row r="3977">
      <c r="A3977" s="153"/>
      <c r="B3977" s="153"/>
      <c r="C3977" s="153"/>
      <c r="D3977" s="153"/>
    </row>
    <row r="3978">
      <c r="A3978" s="153"/>
      <c r="B3978" s="153"/>
      <c r="C3978" s="153"/>
      <c r="D3978" s="153"/>
    </row>
    <row r="3979">
      <c r="A3979" s="153"/>
      <c r="B3979" s="153"/>
      <c r="C3979" s="153"/>
      <c r="D3979" s="153"/>
    </row>
    <row r="3980">
      <c r="A3980" s="153"/>
      <c r="B3980" s="153"/>
      <c r="C3980" s="153"/>
      <c r="D3980" s="153"/>
    </row>
    <row r="3981">
      <c r="A3981" s="153"/>
      <c r="B3981" s="153"/>
      <c r="C3981" s="153"/>
      <c r="D3981" s="153"/>
    </row>
    <row r="3982">
      <c r="A3982" s="153"/>
      <c r="B3982" s="153"/>
      <c r="C3982" s="153"/>
      <c r="D3982" s="153"/>
    </row>
    <row r="3983">
      <c r="A3983" s="153"/>
      <c r="B3983" s="153"/>
      <c r="C3983" s="153"/>
      <c r="D3983" s="153"/>
    </row>
    <row r="3984">
      <c r="A3984" s="153"/>
      <c r="B3984" s="153"/>
      <c r="C3984" s="153"/>
      <c r="D3984" s="153"/>
    </row>
    <row r="3985">
      <c r="A3985" s="153"/>
      <c r="B3985" s="153"/>
      <c r="C3985" s="153"/>
      <c r="D3985" s="153"/>
    </row>
    <row r="3986">
      <c r="A3986" s="153"/>
      <c r="B3986" s="153"/>
      <c r="C3986" s="153"/>
      <c r="D3986" s="153"/>
    </row>
    <row r="3987">
      <c r="A3987" s="153"/>
      <c r="B3987" s="153"/>
      <c r="C3987" s="153"/>
      <c r="D3987" s="153"/>
    </row>
    <row r="3988">
      <c r="A3988" s="153"/>
      <c r="B3988" s="153"/>
      <c r="C3988" s="153"/>
      <c r="D3988" s="153"/>
    </row>
    <row r="3989">
      <c r="A3989" s="153"/>
      <c r="B3989" s="153"/>
      <c r="C3989" s="153"/>
      <c r="D3989" s="153"/>
    </row>
    <row r="3990">
      <c r="A3990" s="153"/>
      <c r="B3990" s="153"/>
      <c r="C3990" s="153"/>
      <c r="D3990" s="153"/>
    </row>
    <row r="3991">
      <c r="A3991" s="153"/>
      <c r="B3991" s="153"/>
      <c r="C3991" s="153"/>
      <c r="D3991" s="153"/>
    </row>
    <row r="3992">
      <c r="A3992" s="153"/>
      <c r="B3992" s="153"/>
      <c r="C3992" s="153"/>
      <c r="D3992" s="153"/>
    </row>
    <row r="3993">
      <c r="A3993" s="153"/>
      <c r="B3993" s="153"/>
      <c r="C3993" s="153"/>
      <c r="D3993" s="153"/>
    </row>
    <row r="3994">
      <c r="A3994" s="153"/>
      <c r="B3994" s="153"/>
      <c r="C3994" s="153"/>
      <c r="D3994" s="153"/>
    </row>
    <row r="3995">
      <c r="A3995" s="153"/>
      <c r="B3995" s="153"/>
      <c r="C3995" s="153"/>
      <c r="D3995" s="153"/>
    </row>
    <row r="3996">
      <c r="A3996" s="153"/>
      <c r="B3996" s="153"/>
      <c r="C3996" s="153"/>
      <c r="D3996" s="153"/>
    </row>
    <row r="3997">
      <c r="A3997" s="153" t="str">
        <f>IFERROR(__xludf.DUMMYFUNCTION("""COMPUTED_VALUE"""),"ANDERSON ID")</f>
        <v>ANDERSON ID</v>
      </c>
      <c r="B3997" s="153" t="str">
        <f>IFERROR(__xludf.DUMMYFUNCTION("""COMPUTED_VALUE"""),"CATEGORY")</f>
        <v>CATEGORY</v>
      </c>
      <c r="C3997" s="153" t="str">
        <f>IFERROR(__xludf.DUMMYFUNCTION("""COMPUTED_VALUE"""),"RAW DATA RECEIVED")</f>
        <v>RAW DATA RECEIVED</v>
      </c>
      <c r="D3997" s="153" t="str">
        <f>IFERROR(__xludf.DUMMYFUNCTION("""COMPUTED_VALUE"""),"ANDERSON TAT")</f>
        <v>ANDERSON TAT</v>
      </c>
    </row>
    <row r="3998">
      <c r="A3998" s="153" t="str">
        <f>IFERROR(__xludf.DUMMYFUNCTION("""COMPUTED_VALUE"""),"ADH0000023506")</f>
        <v>ADH0000023506</v>
      </c>
      <c r="B3998" s="153" t="str">
        <f>IFERROR(__xludf.DUMMYFUNCTION("""COMPUTED_VALUE"""),"POC / ABORTUS – WHOLE EXOME SEQUENCING + 16 MARKER MCC AS PER ACMG GUIDELINES")</f>
        <v>POC / ABORTUS – WHOLE EXOME SEQUENCING + 16 MARKER MCC AS PER ACMG GUIDELINES</v>
      </c>
      <c r="C3998" s="378">
        <f>IFERROR(__xludf.DUMMYFUNCTION("""COMPUTED_VALUE"""),46154.0)</f>
        <v>46154</v>
      </c>
      <c r="D3998" s="378">
        <f>IFERROR(__xludf.DUMMYFUNCTION("""COMPUTED_VALUE"""),46167.0)</f>
        <v>46167</v>
      </c>
    </row>
    <row r="3999">
      <c r="A3999" s="153" t="str">
        <f>IFERROR(__xludf.DUMMYFUNCTION("""COMPUTED_VALUE"""),"PH50000014620")</f>
        <v>PH50000014620</v>
      </c>
      <c r="B3999" s="153" t="str">
        <f>IFERROR(__xludf.DUMMYFUNCTION("""COMPUTED_VALUE"""),"WES+WMGS")</f>
        <v>WES+WMGS</v>
      </c>
      <c r="C3999" s="378">
        <f>IFERROR(__xludf.DUMMYFUNCTION("""COMPUTED_VALUE"""),46154.0)</f>
        <v>46154</v>
      </c>
      <c r="D3999" s="378">
        <f>IFERROR(__xludf.DUMMYFUNCTION("""COMPUTED_VALUE"""),46167.0)</f>
        <v>46167</v>
      </c>
    </row>
    <row r="4000">
      <c r="A4000" s="153" t="str">
        <f>IFERROR(__xludf.DUMMYFUNCTION("""COMPUTED_VALUE"""),"PH50000014621")</f>
        <v>PH50000014621</v>
      </c>
      <c r="B4000" s="153" t="str">
        <f>IFERROR(__xludf.DUMMYFUNCTION("""COMPUTED_VALUE"""),"WES+WMGS")</f>
        <v>WES+WMGS</v>
      </c>
      <c r="C4000" s="378">
        <f>IFERROR(__xludf.DUMMYFUNCTION("""COMPUTED_VALUE"""),46154.0)</f>
        <v>46154</v>
      </c>
      <c r="D4000" s="378">
        <f>IFERROR(__xludf.DUMMYFUNCTION("""COMPUTED_VALUE"""),46167.0)</f>
        <v>46167</v>
      </c>
    </row>
    <row r="4001">
      <c r="A4001" s="153" t="str">
        <f>IFERROR(__xludf.DUMMYFUNCTION("""COMPUTED_VALUE"""),"PH50000014623")</f>
        <v>PH50000014623</v>
      </c>
      <c r="B4001" s="153" t="str">
        <f>IFERROR(__xludf.DUMMYFUNCTION("""COMPUTED_VALUE"""),"WES+WMGS")</f>
        <v>WES+WMGS</v>
      </c>
      <c r="C4001" s="378">
        <f>IFERROR(__xludf.DUMMYFUNCTION("""COMPUTED_VALUE"""),46154.0)</f>
        <v>46154</v>
      </c>
      <c r="D4001" s="378">
        <f>IFERROR(__xludf.DUMMYFUNCTION("""COMPUTED_VALUE"""),46167.0)</f>
        <v>46167</v>
      </c>
    </row>
    <row r="4002">
      <c r="A4002" s="153" t="str">
        <f>IFERROR(__xludf.DUMMYFUNCTION("""COMPUTED_VALUE"""),"PH50000014867 
")</f>
        <v>PH50000014867 
</v>
      </c>
      <c r="B4002" s="153" t="str">
        <f>IFERROR(__xludf.DUMMYFUNCTION("""COMPUTED_VALUE"""),"WES+WMGS")</f>
        <v>WES+WMGS</v>
      </c>
      <c r="C4002" s="378">
        <f>IFERROR(__xludf.DUMMYFUNCTION("""COMPUTED_VALUE"""),46154.0)</f>
        <v>46154</v>
      </c>
      <c r="D4002" s="378">
        <f>IFERROR(__xludf.DUMMYFUNCTION("""COMPUTED_VALUE"""),46174.0)</f>
        <v>46174</v>
      </c>
    </row>
    <row r="4003">
      <c r="A4003" s="153" t="str">
        <f>IFERROR(__xludf.DUMMYFUNCTION("""COMPUTED_VALUE"""),"ATR0000013131")</f>
        <v>ATR0000013131</v>
      </c>
      <c r="B4003" s="153" t="str">
        <f>IFERROR(__xludf.DUMMYFUNCTION("""COMPUTED_VALUE"""),"MALE INFERTILITY NGS PANEL")</f>
        <v>MALE INFERTILITY NGS PANEL</v>
      </c>
      <c r="C4003" s="378">
        <f>IFERROR(__xludf.DUMMYFUNCTION("""COMPUTED_VALUE"""),46154.0)</f>
        <v>46154</v>
      </c>
      <c r="D4003" s="378">
        <f>IFERROR(__xludf.DUMMYFUNCTION("""COMPUTED_VALUE"""),46157.0)</f>
        <v>46157</v>
      </c>
    </row>
    <row r="4004">
      <c r="A4004" s="153" t="str">
        <f>IFERROR(__xludf.DUMMYFUNCTION("""COMPUTED_VALUE"""),"CHM0000025832")</f>
        <v>CHM0000025832</v>
      </c>
      <c r="B4004" s="153" t="str">
        <f>IFERROR(__xludf.DUMMYFUNCTION("""COMPUTED_VALUE"""),"WHOLE EXOME SEQUENCING")</f>
        <v>WHOLE EXOME SEQUENCING</v>
      </c>
      <c r="C4004" s="378">
        <f>IFERROR(__xludf.DUMMYFUNCTION("""COMPUTED_VALUE"""),46154.0)</f>
        <v>46154</v>
      </c>
      <c r="D4004" s="378">
        <f>IFERROR(__xludf.DUMMYFUNCTION("""COMPUTED_VALUE"""),46168.0)</f>
        <v>46168</v>
      </c>
    </row>
    <row r="4005">
      <c r="A4005" s="153" t="str">
        <f>IFERROR(__xludf.DUMMYFUNCTION("""COMPUTED_VALUE"""),"HYP0000001551")</f>
        <v>HYP0000001551</v>
      </c>
      <c r="B4005" s="153" t="str">
        <f>IFERROR(__xludf.DUMMYFUNCTION("""COMPUTED_VALUE"""),"WHOLE EXOME SEQUENCING")</f>
        <v>WHOLE EXOME SEQUENCING</v>
      </c>
      <c r="C4005" s="378">
        <f>IFERROR(__xludf.DUMMYFUNCTION("""COMPUTED_VALUE"""),46154.0)</f>
        <v>46154</v>
      </c>
      <c r="D4005" s="378">
        <f>IFERROR(__xludf.DUMMYFUNCTION("""COMPUTED_VALUE"""),46168.0)</f>
        <v>46168</v>
      </c>
    </row>
    <row r="4006">
      <c r="A4006" s="153" t="str">
        <f>IFERROR(__xludf.DUMMYFUNCTION("""COMPUTED_VALUE"""),"ABC0000001091 
")</f>
        <v>ABC0000001091 
</v>
      </c>
      <c r="B4006" s="153" t="str">
        <f>IFERROR(__xludf.DUMMYFUNCTION("""COMPUTED_VALUE"""),"CLINICAL EXOME SEQUENCING")</f>
        <v>CLINICAL EXOME SEQUENCING</v>
      </c>
      <c r="C4006" s="378">
        <f>IFERROR(__xludf.DUMMYFUNCTION("""COMPUTED_VALUE"""),46150.0)</f>
        <v>46150</v>
      </c>
      <c r="D4006" s="378">
        <f>IFERROR(__xludf.DUMMYFUNCTION("""COMPUTED_VALUE"""),46162.0)</f>
        <v>46162</v>
      </c>
    </row>
    <row r="4007">
      <c r="A4007" s="153" t="str">
        <f>IFERROR(__xludf.DUMMYFUNCTION("""COMPUTED_VALUE"""),"ADH0000023643")</f>
        <v>ADH0000023643</v>
      </c>
      <c r="B4007" s="153" t="str">
        <f>IFERROR(__xludf.DUMMYFUNCTION("""COMPUTED_VALUE"""),"WHOLE EXOME SEQUENCING")</f>
        <v>WHOLE EXOME SEQUENCING</v>
      </c>
      <c r="C4007" s="378">
        <f>IFERROR(__xludf.DUMMYFUNCTION("""COMPUTED_VALUE"""),46150.0)</f>
        <v>46150</v>
      </c>
      <c r="D4007" s="378">
        <f>IFERROR(__xludf.DUMMYFUNCTION("""COMPUTED_VALUE"""),46168.0)</f>
        <v>46168</v>
      </c>
    </row>
    <row r="4008">
      <c r="A4008" s="153" t="str">
        <f>IFERROR(__xludf.DUMMYFUNCTION("""COMPUTED_VALUE"""),"ADH0000023644")</f>
        <v>ADH0000023644</v>
      </c>
      <c r="B4008" s="153" t="str">
        <f>IFERROR(__xludf.DUMMYFUNCTION("""COMPUTED_VALUE"""),"WHOLE EXOME SEQUENCING")</f>
        <v>WHOLE EXOME SEQUENCING</v>
      </c>
      <c r="C4008" s="378">
        <f>IFERROR(__xludf.DUMMYFUNCTION("""COMPUTED_VALUE"""),46150.0)</f>
        <v>46150</v>
      </c>
      <c r="D4008" s="378">
        <f>IFERROR(__xludf.DUMMYFUNCTION("""COMPUTED_VALUE"""),46168.0)</f>
        <v>46168</v>
      </c>
    </row>
    <row r="4009">
      <c r="A4009" s="153" t="str">
        <f>IFERROR(__xludf.DUMMYFUNCTION("""COMPUTED_VALUE"""),"ADB0000035255 
")</f>
        <v>ADB0000035255 
</v>
      </c>
      <c r="B4009" s="153" t="str">
        <f>IFERROR(__xludf.DUMMYFUNCTION("""COMPUTED_VALUE"""),"WHOLE EXOME SEQUENCING")</f>
        <v>WHOLE EXOME SEQUENCING</v>
      </c>
      <c r="C4009" s="378">
        <f>IFERROR(__xludf.DUMMYFUNCTION("""COMPUTED_VALUE"""),46150.0)</f>
        <v>46150</v>
      </c>
      <c r="D4009" s="378">
        <f>IFERROR(__xludf.DUMMYFUNCTION("""COMPUTED_VALUE"""),46168.0)</f>
        <v>46168</v>
      </c>
    </row>
    <row r="4010">
      <c r="A4010" s="153" t="str">
        <f>IFERROR(__xludf.DUMMYFUNCTION("""COMPUTED_VALUE"""),"ADB0000035413")</f>
        <v>ADB0000035413</v>
      </c>
      <c r="B4010" s="153" t="str">
        <f>IFERROR(__xludf.DUMMYFUNCTION("""COMPUTED_VALUE"""),"WHOLE EXOME SEQUENCING")</f>
        <v>WHOLE EXOME SEQUENCING</v>
      </c>
      <c r="C4010" s="378">
        <f>IFERROR(__xludf.DUMMYFUNCTION("""COMPUTED_VALUE"""),46150.0)</f>
        <v>46150</v>
      </c>
      <c r="D4010" s="378">
        <f>IFERROR(__xludf.DUMMYFUNCTION("""COMPUTED_VALUE"""),46169.0)</f>
        <v>46169</v>
      </c>
    </row>
    <row r="4011">
      <c r="A4011" s="153" t="str">
        <f>IFERROR(__xludf.DUMMYFUNCTION("""COMPUTED_VALUE"""),"DCC0000004428")</f>
        <v>DCC0000004428</v>
      </c>
      <c r="B4011" s="153" t="str">
        <f>IFERROR(__xludf.DUMMYFUNCTION("""COMPUTED_VALUE"""),"MALE INFERTILITY NGS PANEL")</f>
        <v>MALE INFERTILITY NGS PANEL</v>
      </c>
      <c r="C4011" s="378">
        <f>IFERROR(__xludf.DUMMYFUNCTION("""COMPUTED_VALUE"""),46150.0)</f>
        <v>46150</v>
      </c>
      <c r="D4011" s="378">
        <f>IFERROR(__xludf.DUMMYFUNCTION("""COMPUTED_VALUE"""),46158.0)</f>
        <v>46158</v>
      </c>
    </row>
    <row r="4012">
      <c r="A4012" s="153" t="str">
        <f>IFERROR(__xludf.DUMMYFUNCTION("""COMPUTED_VALUE"""),"ADK0000001773")</f>
        <v>ADK0000001773</v>
      </c>
      <c r="B4012" s="153" t="str">
        <f>IFERROR(__xludf.DUMMYFUNCTION("""COMPUTED_VALUE"""),"WHOLE EXOME SEQUENCING")</f>
        <v>WHOLE EXOME SEQUENCING</v>
      </c>
      <c r="C4012" s="378">
        <f>IFERROR(__xludf.DUMMYFUNCTION("""COMPUTED_VALUE"""),46150.0)</f>
        <v>46150</v>
      </c>
      <c r="D4012" s="378">
        <f>IFERROR(__xludf.DUMMYFUNCTION("""COMPUTED_VALUE"""),46164.0)</f>
        <v>46164</v>
      </c>
    </row>
    <row r="4013">
      <c r="A4013" s="153" t="str">
        <f>IFERROR(__xludf.DUMMYFUNCTION("""COMPUTED_VALUE"""),"ADH0000023513")</f>
        <v>ADH0000023513</v>
      </c>
      <c r="B4013" s="153" t="str">
        <f>IFERROR(__xludf.DUMMYFUNCTION("""COMPUTED_VALUE"""),"POC / ABORTUS – WHOLE EXOME SEQUENCING + 16 MARKER MCC AS PER ACMG GUIDELINES")</f>
        <v>POC / ABORTUS – WHOLE EXOME SEQUENCING + 16 MARKER MCC AS PER ACMG GUIDELINES</v>
      </c>
      <c r="C4013" s="378">
        <f>IFERROR(__xludf.DUMMYFUNCTION("""COMPUTED_VALUE"""),46150.0)</f>
        <v>46150</v>
      </c>
      <c r="D4013" s="378">
        <f>IFERROR(__xludf.DUMMYFUNCTION("""COMPUTED_VALUE"""),46168.0)</f>
        <v>46168</v>
      </c>
    </row>
    <row r="4014">
      <c r="A4014" s="153" t="str">
        <f>IFERROR(__xludf.DUMMYFUNCTION("""COMPUTED_VALUE"""),"HYP0000001584")</f>
        <v>HYP0000001584</v>
      </c>
      <c r="B4014" s="153" t="str">
        <f>IFERROR(__xludf.DUMMYFUNCTION("""COMPUTED_VALUE"""),"ADVAT FOCUS CARRIER SCREENING - NGS")</f>
        <v>ADVAT FOCUS CARRIER SCREENING - NGS</v>
      </c>
      <c r="C4014" s="378">
        <f>IFERROR(__xludf.DUMMYFUNCTION("""COMPUTED_VALUE"""),46150.0)</f>
        <v>46150</v>
      </c>
      <c r="D4014" s="378">
        <f>IFERROR(__xludf.DUMMYFUNCTION("""COMPUTED_VALUE"""),46169.0)</f>
        <v>46169</v>
      </c>
    </row>
    <row r="4015">
      <c r="A4015" s="153" t="str">
        <f>IFERROR(__xludf.DUMMYFUNCTION("""COMPUTED_VALUE"""),"HYP0000001585")</f>
        <v>HYP0000001585</v>
      </c>
      <c r="B4015" s="153" t="str">
        <f>IFERROR(__xludf.DUMMYFUNCTION("""COMPUTED_VALUE"""),"ADVAT FOCUS CARRIER SCREENING - NGS")</f>
        <v>ADVAT FOCUS CARRIER SCREENING - NGS</v>
      </c>
      <c r="C4015" s="378">
        <f>IFERROR(__xludf.DUMMYFUNCTION("""COMPUTED_VALUE"""),46150.0)</f>
        <v>46150</v>
      </c>
      <c r="D4015" s="378">
        <f>IFERROR(__xludf.DUMMYFUNCTION("""COMPUTED_VALUE"""),46169.0)</f>
        <v>46169</v>
      </c>
    </row>
    <row r="4016">
      <c r="A4016" s="153" t="str">
        <f>IFERROR(__xludf.DUMMYFUNCTION("""COMPUTED_VALUE"""),"ADS0000009479")</f>
        <v>ADS0000009479</v>
      </c>
      <c r="B4016" s="153" t="str">
        <f>IFERROR(__xludf.DUMMYFUNCTION("""COMPUTED_VALUE"""),"MALE INFERTILITY NGS PANEL")</f>
        <v>MALE INFERTILITY NGS PANEL</v>
      </c>
      <c r="C4016" s="378">
        <f>IFERROR(__xludf.DUMMYFUNCTION("""COMPUTED_VALUE"""),46150.0)</f>
        <v>46150</v>
      </c>
      <c r="D4016" s="378">
        <f>IFERROR(__xludf.DUMMYFUNCTION("""COMPUTED_VALUE"""),46159.0)</f>
        <v>46159</v>
      </c>
    </row>
    <row r="4017">
      <c r="A4017" s="153" t="str">
        <f>IFERROR(__xludf.DUMMYFUNCTION("""COMPUTED_VALUE"""),"ADS0000009480")</f>
        <v>ADS0000009480</v>
      </c>
      <c r="B4017" s="153" t="str">
        <f>IFERROR(__xludf.DUMMYFUNCTION("""COMPUTED_VALUE"""),"FEMALE INFERTILITY NGS PANEL")</f>
        <v>FEMALE INFERTILITY NGS PANEL</v>
      </c>
      <c r="C4017" s="378">
        <f>IFERROR(__xludf.DUMMYFUNCTION("""COMPUTED_VALUE"""),46150.0)</f>
        <v>46150</v>
      </c>
      <c r="D4017" s="378">
        <f>IFERROR(__xludf.DUMMYFUNCTION("""COMPUTED_VALUE"""),46159.0)</f>
        <v>46159</v>
      </c>
    </row>
    <row r="4018">
      <c r="A4018" s="153" t="str">
        <f>IFERROR(__xludf.DUMMYFUNCTION("""COMPUTED_VALUE"""),"ADK0000001784")</f>
        <v>ADK0000001784</v>
      </c>
      <c r="B4018" s="153" t="str">
        <f>IFERROR(__xludf.DUMMYFUNCTION("""COMPUTED_VALUE"""),"WHOLE EXOME SEQUENCING")</f>
        <v>WHOLE EXOME SEQUENCING</v>
      </c>
      <c r="C4018" s="378">
        <f>IFERROR(__xludf.DUMMYFUNCTION("""COMPUTED_VALUE"""),46150.0)</f>
        <v>46150</v>
      </c>
      <c r="D4018" s="378">
        <f>IFERROR(__xludf.DUMMYFUNCTION("""COMPUTED_VALUE"""),46166.0)</f>
        <v>46166</v>
      </c>
    </row>
    <row r="4019">
      <c r="A4019" s="153" t="str">
        <f>IFERROR(__xludf.DUMMYFUNCTION("""COMPUTED_VALUE"""),"HYP0000001603")</f>
        <v>HYP0000001603</v>
      </c>
      <c r="B4019" s="153" t="str">
        <f>IFERROR(__xludf.DUMMYFUNCTION("""COMPUTED_VALUE"""),"FEMALE INFERTILITY NGS PANEL")</f>
        <v>FEMALE INFERTILITY NGS PANEL</v>
      </c>
      <c r="C4019" s="378">
        <f>IFERROR(__xludf.DUMMYFUNCTION("""COMPUTED_VALUE"""),46150.0)</f>
        <v>46150</v>
      </c>
      <c r="D4019" s="378">
        <f>IFERROR(__xludf.DUMMYFUNCTION("""COMPUTED_VALUE"""),46159.0)</f>
        <v>46159</v>
      </c>
    </row>
    <row r="4020">
      <c r="A4020" s="153" t="str">
        <f>IFERROR(__xludf.DUMMYFUNCTION("""COMPUTED_VALUE"""),"ADB0000035675")</f>
        <v>ADB0000035675</v>
      </c>
      <c r="B4020" s="153" t="str">
        <f>IFERROR(__xludf.DUMMYFUNCTION("""COMPUTED_VALUE"""),"FEMALE INFERTILITY NGS PANEL")</f>
        <v>FEMALE INFERTILITY NGS PANEL</v>
      </c>
      <c r="C4020" s="378">
        <f>IFERROR(__xludf.DUMMYFUNCTION("""COMPUTED_VALUE"""),46150.0)</f>
        <v>46150</v>
      </c>
      <c r="D4020" s="378">
        <f>IFERROR(__xludf.DUMMYFUNCTION("""COMPUTED_VALUE"""),46160.0)</f>
        <v>46160</v>
      </c>
    </row>
    <row r="4021">
      <c r="A4021" s="153" t="str">
        <f>IFERROR(__xludf.DUMMYFUNCTION("""COMPUTED_VALUE"""),"ADK0000001923")</f>
        <v>ADK0000001923</v>
      </c>
      <c r="B4021" s="153" t="str">
        <f>IFERROR(__xludf.DUMMYFUNCTION("""COMPUTED_VALUE"""),"WHOLE EXOME SEQUENCING")</f>
        <v>WHOLE EXOME SEQUENCING</v>
      </c>
      <c r="C4021" s="378">
        <f>IFERROR(__xludf.DUMMYFUNCTION("""COMPUTED_VALUE"""),46154.0)</f>
        <v>46154</v>
      </c>
      <c r="D4021" s="378">
        <f>IFERROR(__xludf.DUMMYFUNCTION("""COMPUTED_VALUE"""),46167.0)</f>
        <v>46167</v>
      </c>
    </row>
    <row r="4022">
      <c r="A4022" s="153" t="str">
        <f>IFERROR(__xludf.DUMMYFUNCTION("""COMPUTED_VALUE"""),"ADK0000001924")</f>
        <v>ADK0000001924</v>
      </c>
      <c r="B4022" s="153" t="str">
        <f>IFERROR(__xludf.DUMMYFUNCTION("""COMPUTED_VALUE"""),"WHOLE EXOME SEQUENCING")</f>
        <v>WHOLE EXOME SEQUENCING</v>
      </c>
      <c r="C4022" s="378">
        <f>IFERROR(__xludf.DUMMYFUNCTION("""COMPUTED_VALUE"""),46154.0)</f>
        <v>46154</v>
      </c>
      <c r="D4022" s="378">
        <f>IFERROR(__xludf.DUMMYFUNCTION("""COMPUTED_VALUE"""),46167.0)</f>
        <v>46167</v>
      </c>
    </row>
    <row r="4023">
      <c r="A4023" s="153" t="str">
        <f>IFERROR(__xludf.DUMMYFUNCTION("""COMPUTED_VALUE"""),"ADK0000001925")</f>
        <v>ADK0000001925</v>
      </c>
      <c r="B4023" s="153" t="str">
        <f>IFERROR(__xludf.DUMMYFUNCTION("""COMPUTED_VALUE"""),"WHOLE EXOME SEQUENCING")</f>
        <v>WHOLE EXOME SEQUENCING</v>
      </c>
      <c r="C4023" s="378">
        <f>IFERROR(__xludf.DUMMYFUNCTION("""COMPUTED_VALUE"""),46154.0)</f>
        <v>46154</v>
      </c>
      <c r="D4023" s="378">
        <f>IFERROR(__xludf.DUMMYFUNCTION("""COMPUTED_VALUE"""),46167.0)</f>
        <v>46167</v>
      </c>
    </row>
    <row r="4024">
      <c r="A4024" s="153" t="str">
        <f>IFERROR(__xludf.DUMMYFUNCTION("""COMPUTED_VALUE"""),"ADK0000001928")</f>
        <v>ADK0000001928</v>
      </c>
      <c r="B4024" s="153" t="str">
        <f>IFERROR(__xludf.DUMMYFUNCTION("""COMPUTED_VALUE"""),"WHOLE EXOME SEQUENCING")</f>
        <v>WHOLE EXOME SEQUENCING</v>
      </c>
      <c r="C4024" s="378">
        <f>IFERROR(__xludf.DUMMYFUNCTION("""COMPUTED_VALUE"""),46154.0)</f>
        <v>46154</v>
      </c>
      <c r="D4024" s="378">
        <f>IFERROR(__xludf.DUMMYFUNCTION("""COMPUTED_VALUE"""),46167.0)</f>
        <v>46167</v>
      </c>
    </row>
    <row r="4025">
      <c r="A4025" s="153" t="str">
        <f>IFERROR(__xludf.DUMMYFUNCTION("""COMPUTED_VALUE"""),"ADK0000001927")</f>
        <v>ADK0000001927</v>
      </c>
      <c r="B4025" s="153" t="str">
        <f>IFERROR(__xludf.DUMMYFUNCTION("""COMPUTED_VALUE"""),"WHOLE EXOME SEQUENCING")</f>
        <v>WHOLE EXOME SEQUENCING</v>
      </c>
      <c r="C4025" s="378">
        <f>IFERROR(__xludf.DUMMYFUNCTION("""COMPUTED_VALUE"""),46154.0)</f>
        <v>46154</v>
      </c>
      <c r="D4025" s="378">
        <f>IFERROR(__xludf.DUMMYFUNCTION("""COMPUTED_VALUE"""),46167.0)</f>
        <v>46167</v>
      </c>
    </row>
    <row r="4026">
      <c r="A4026" s="153" t="str">
        <f>IFERROR(__xludf.DUMMYFUNCTION("""COMPUTED_VALUE"""),"ADK0000001926")</f>
        <v>ADK0000001926</v>
      </c>
      <c r="B4026" s="153" t="str">
        <f>IFERROR(__xludf.DUMMYFUNCTION("""COMPUTED_VALUE"""),"WHOLE EXOME SEQUENCING")</f>
        <v>WHOLE EXOME SEQUENCING</v>
      </c>
      <c r="C4026" s="378">
        <f>IFERROR(__xludf.DUMMYFUNCTION("""COMPUTED_VALUE"""),46154.0)</f>
        <v>46154</v>
      </c>
      <c r="D4026" s="378">
        <f>IFERROR(__xludf.DUMMYFUNCTION("""COMPUTED_VALUE"""),46167.0)</f>
        <v>46167</v>
      </c>
    </row>
    <row r="4027">
      <c r="A4027" s="153" t="str">
        <f>IFERROR(__xludf.DUMMYFUNCTION("""COMPUTED_VALUE"""),"ADK0000001929")</f>
        <v>ADK0000001929</v>
      </c>
      <c r="B4027" s="153" t="str">
        <f>IFERROR(__xludf.DUMMYFUNCTION("""COMPUTED_VALUE"""),"WHOLE EXOME SEQUENCING")</f>
        <v>WHOLE EXOME SEQUENCING</v>
      </c>
      <c r="C4027" s="378">
        <f>IFERROR(__xludf.DUMMYFUNCTION("""COMPUTED_VALUE"""),46154.0)</f>
        <v>46154</v>
      </c>
      <c r="D4027" s="378">
        <f>IFERROR(__xludf.DUMMYFUNCTION("""COMPUTED_VALUE"""),46167.0)</f>
        <v>46167</v>
      </c>
    </row>
    <row r="4028">
      <c r="A4028" s="153" t="str">
        <f>IFERROR(__xludf.DUMMYFUNCTION("""COMPUTED_VALUE"""),"ADK0000001930")</f>
        <v>ADK0000001930</v>
      </c>
      <c r="B4028" s="153" t="str">
        <f>IFERROR(__xludf.DUMMYFUNCTION("""COMPUTED_VALUE"""),"WHOLE EXOME SEQUENCING")</f>
        <v>WHOLE EXOME SEQUENCING</v>
      </c>
      <c r="C4028" s="378">
        <f>IFERROR(__xludf.DUMMYFUNCTION("""COMPUTED_VALUE"""),46154.0)</f>
        <v>46154</v>
      </c>
      <c r="D4028" s="378">
        <f>IFERROR(__xludf.DUMMYFUNCTION("""COMPUTED_VALUE"""),46167.0)</f>
        <v>46167</v>
      </c>
    </row>
    <row r="4029">
      <c r="A4029" s="153"/>
      <c r="B4029" s="153" t="str">
        <f>IFERROR(__xludf.DUMMYFUNCTION("""COMPUTED_VALUE"""),"WGA")</f>
        <v>WGA</v>
      </c>
      <c r="C4029" s="153"/>
      <c r="D4029" s="378">
        <f>IFERROR(__xludf.DUMMYFUNCTION("""COMPUTED_VALUE"""),46162.0)</f>
        <v>46162</v>
      </c>
    </row>
    <row r="4030">
      <c r="A4030" s="153"/>
      <c r="B4030" s="153" t="str">
        <f>IFERROR(__xludf.DUMMYFUNCTION("""COMPUTED_VALUE"""),"WGA")</f>
        <v>WGA</v>
      </c>
      <c r="C4030" s="153"/>
      <c r="D4030" s="378">
        <f>IFERROR(__xludf.DUMMYFUNCTION("""COMPUTED_VALUE"""),46162.0)</f>
        <v>46162</v>
      </c>
    </row>
    <row r="4031">
      <c r="A4031" s="153"/>
      <c r="B4031" s="153" t="str">
        <f>IFERROR(__xludf.DUMMYFUNCTION("""COMPUTED_VALUE"""),"WGA")</f>
        <v>WGA</v>
      </c>
      <c r="C4031" s="153"/>
      <c r="D4031" s="378">
        <f>IFERROR(__xludf.DUMMYFUNCTION("""COMPUTED_VALUE"""),46162.0)</f>
        <v>46162</v>
      </c>
    </row>
    <row r="4032">
      <c r="A4032" s="153"/>
      <c r="B4032" s="153" t="str">
        <f>IFERROR(__xludf.DUMMYFUNCTION("""COMPUTED_VALUE"""),"WGA")</f>
        <v>WGA</v>
      </c>
      <c r="C4032" s="153"/>
      <c r="D4032" s="378">
        <f>IFERROR(__xludf.DUMMYFUNCTION("""COMPUTED_VALUE"""),46162.0)</f>
        <v>46162</v>
      </c>
    </row>
    <row r="4033">
      <c r="A4033" s="153" t="str">
        <f>IFERROR(__xludf.DUMMYFUNCTION("""COMPUTED_VALUE"""),"PH60000006597")</f>
        <v>PH60000006597</v>
      </c>
      <c r="B4033" s="153" t="str">
        <f>IFERROR(__xludf.DUMMYFUNCTION("""COMPUTED_VALUE"""),"CLINICAL EXOME SEQUENCING")</f>
        <v>CLINICAL EXOME SEQUENCING</v>
      </c>
      <c r="C4033" s="378">
        <f>IFERROR(__xludf.DUMMYFUNCTION("""COMPUTED_VALUE"""),46154.0)</f>
        <v>46154</v>
      </c>
      <c r="D4033" s="378">
        <f>IFERROR(__xludf.DUMMYFUNCTION("""COMPUTED_VALUE"""),46170.0)</f>
        <v>46170</v>
      </c>
    </row>
    <row r="4034">
      <c r="A4034" s="153" t="str">
        <f>IFERROR(__xludf.DUMMYFUNCTION("""COMPUTED_VALUE"""),"AND0000023755")</f>
        <v>AND0000023755</v>
      </c>
      <c r="B4034" s="153" t="str">
        <f>IFERROR(__xludf.DUMMYFUNCTION("""COMPUTED_VALUE"""),"WHOLE EXOME SEQUENCING")</f>
        <v>WHOLE EXOME SEQUENCING</v>
      </c>
      <c r="C4034" s="378">
        <f>IFERROR(__xludf.DUMMYFUNCTION("""COMPUTED_VALUE"""),46154.0)</f>
        <v>46154</v>
      </c>
      <c r="D4034" s="378">
        <f>IFERROR(__xludf.DUMMYFUNCTION("""COMPUTED_VALUE"""),46170.0)</f>
        <v>46170</v>
      </c>
    </row>
    <row r="4035">
      <c r="A4035" s="153" t="str">
        <f>IFERROR(__xludf.DUMMYFUNCTION("""COMPUTED_VALUE"""),"AMB0000009401")</f>
        <v>AMB0000009401</v>
      </c>
      <c r="B4035" s="153" t="str">
        <f>IFERROR(__xludf.DUMMYFUNCTION("""COMPUTED_VALUE"""),"WHOLE EXOME SEQUENCING")</f>
        <v>WHOLE EXOME SEQUENCING</v>
      </c>
      <c r="C4035" s="378">
        <f>IFERROR(__xludf.DUMMYFUNCTION("""COMPUTED_VALUE"""),46154.0)</f>
        <v>46154</v>
      </c>
      <c r="D4035" s="378">
        <f>IFERROR(__xludf.DUMMYFUNCTION("""COMPUTED_VALUE"""),46165.0)</f>
        <v>46165</v>
      </c>
    </row>
    <row r="4036">
      <c r="A4036" s="153" t="str">
        <f>IFERROR(__xludf.DUMMYFUNCTION("""COMPUTED_VALUE"""),"ADS0000009520")</f>
        <v>ADS0000009520</v>
      </c>
      <c r="B4036" s="153" t="str">
        <f>IFERROR(__xludf.DUMMYFUNCTION("""COMPUTED_VALUE"""),"WHOLE EXOME SEQUENCING")</f>
        <v>WHOLE EXOME SEQUENCING</v>
      </c>
      <c r="C4036" s="378">
        <f>IFERROR(__xludf.DUMMYFUNCTION("""COMPUTED_VALUE"""),46154.0)</f>
        <v>46154</v>
      </c>
      <c r="D4036" s="378">
        <f>IFERROR(__xludf.DUMMYFUNCTION("""COMPUTED_VALUE"""),46166.0)</f>
        <v>46166</v>
      </c>
    </row>
    <row r="4037">
      <c r="A4037" s="153" t="str">
        <f>IFERROR(__xludf.DUMMYFUNCTION("""COMPUTED_VALUE"""),"MDU0000014063")</f>
        <v>MDU0000014063</v>
      </c>
      <c r="B4037" s="153" t="str">
        <f>IFERROR(__xludf.DUMMYFUNCTION("""COMPUTED_VALUE"""),"WHOLE EXOME SEQUENCING")</f>
        <v>WHOLE EXOME SEQUENCING</v>
      </c>
      <c r="C4037" s="378">
        <f>IFERROR(__xludf.DUMMYFUNCTION("""COMPUTED_VALUE"""),46154.0)</f>
        <v>46154</v>
      </c>
      <c r="D4037" s="378">
        <f>IFERROR(__xludf.DUMMYFUNCTION("""COMPUTED_VALUE"""),46165.0)</f>
        <v>46165</v>
      </c>
    </row>
    <row r="4038">
      <c r="A4038" s="153" t="str">
        <f>IFERROR(__xludf.DUMMYFUNCTION("""COMPUTED_VALUE"""),"ADB0000035760")</f>
        <v>ADB0000035760</v>
      </c>
      <c r="B4038" s="153" t="str">
        <f>IFERROR(__xludf.DUMMYFUNCTION("""COMPUTED_VALUE"""),"WHOLE EXOME SEQUENCING")</f>
        <v>WHOLE EXOME SEQUENCING</v>
      </c>
      <c r="C4038" s="378">
        <f>IFERROR(__xludf.DUMMYFUNCTION("""COMPUTED_VALUE"""),46154.0)</f>
        <v>46154</v>
      </c>
      <c r="D4038" s="378">
        <f>IFERROR(__xludf.DUMMYFUNCTION("""COMPUTED_VALUE"""),46172.0)</f>
        <v>46172</v>
      </c>
    </row>
    <row r="4039">
      <c r="A4039" s="153" t="str">
        <f>IFERROR(__xludf.DUMMYFUNCTION("""COMPUTED_VALUE"""),"ADB0000035761")</f>
        <v>ADB0000035761</v>
      </c>
      <c r="B4039" s="153" t="str">
        <f>IFERROR(__xludf.DUMMYFUNCTION("""COMPUTED_VALUE"""),"WHOLE EXOME SEQUENCING")</f>
        <v>WHOLE EXOME SEQUENCING</v>
      </c>
      <c r="C4039" s="378">
        <f>IFERROR(__xludf.DUMMYFUNCTION("""COMPUTED_VALUE"""),46154.0)</f>
        <v>46154</v>
      </c>
      <c r="D4039" s="378">
        <f>IFERROR(__xludf.DUMMYFUNCTION("""COMPUTED_VALUE"""),46172.0)</f>
        <v>46172</v>
      </c>
    </row>
    <row r="4040">
      <c r="A4040" s="153" t="str">
        <f>IFERROR(__xludf.DUMMYFUNCTION("""COMPUTED_VALUE"""),"AMB0000009500")</f>
        <v>AMB0000009500</v>
      </c>
      <c r="B4040" s="153" t="str">
        <f>IFERROR(__xludf.DUMMYFUNCTION("""COMPUTED_VALUE"""),"WHOLE EXOME SEQUENCING")</f>
        <v>WHOLE EXOME SEQUENCING</v>
      </c>
      <c r="C4040" s="378">
        <f>IFERROR(__xludf.DUMMYFUNCTION("""COMPUTED_VALUE"""),46154.0)</f>
        <v>46154</v>
      </c>
      <c r="D4040" s="378">
        <f>IFERROR(__xludf.DUMMYFUNCTION("""COMPUTED_VALUE"""),46172.0)</f>
        <v>46172</v>
      </c>
    </row>
    <row r="4041">
      <c r="A4041" s="153"/>
      <c r="B4041" s="153" t="str">
        <f>IFERROR(__xludf.DUMMYFUNCTION("""COMPUTED_VALUE"""),"FEMALE INFERTILITY NGS PANEL")</f>
        <v>FEMALE INFERTILITY NGS PANEL</v>
      </c>
      <c r="C4041" s="378">
        <f>IFERROR(__xludf.DUMMYFUNCTION("""COMPUTED_VALUE"""),46154.0)</f>
        <v>46154</v>
      </c>
      <c r="D4041" s="378">
        <f>IFERROR(__xludf.DUMMYFUNCTION("""COMPUTED_VALUE"""),46161.0)</f>
        <v>46161</v>
      </c>
    </row>
    <row r="4042">
      <c r="A4042" s="153" t="str">
        <f>IFERROR(__xludf.DUMMYFUNCTION("""COMPUTED_VALUE"""),"ATN0000006673")</f>
        <v>ATN0000006673</v>
      </c>
      <c r="B4042" s="153" t="str">
        <f>IFERROR(__xludf.DUMMYFUNCTION("""COMPUTED_VALUE"""),"WHOLE EXOME SEQUENCING")</f>
        <v>WHOLE EXOME SEQUENCING</v>
      </c>
      <c r="C4042" s="378">
        <f>IFERROR(__xludf.DUMMYFUNCTION("""COMPUTED_VALUE"""),46154.0)</f>
        <v>46154</v>
      </c>
      <c r="D4042" s="378">
        <f>IFERROR(__xludf.DUMMYFUNCTION("""COMPUTED_VALUE"""),46172.0)</f>
        <v>46172</v>
      </c>
    </row>
    <row r="4043">
      <c r="A4043" s="153" t="str">
        <f>IFERROR(__xludf.DUMMYFUNCTION("""COMPUTED_VALUE"""),"CHM0000027960")</f>
        <v>CHM0000027960</v>
      </c>
      <c r="B4043" s="153" t="str">
        <f>IFERROR(__xludf.DUMMYFUNCTION("""COMPUTED_VALUE"""),"WHOLE EXOME SEQUENCING")</f>
        <v>WHOLE EXOME SEQUENCING</v>
      </c>
      <c r="C4043" s="378">
        <f>IFERROR(__xludf.DUMMYFUNCTION("""COMPUTED_VALUE"""),46154.0)</f>
        <v>46154</v>
      </c>
      <c r="D4043" s="378">
        <f>IFERROR(__xludf.DUMMYFUNCTION("""COMPUTED_VALUE"""),46173.0)</f>
        <v>46173</v>
      </c>
    </row>
    <row r="4044">
      <c r="A4044" s="153" t="str">
        <f>IFERROR(__xludf.DUMMYFUNCTION("""COMPUTED_VALUE"""),"ADK0000001855")</f>
        <v>ADK0000001855</v>
      </c>
      <c r="B4044" s="153" t="str">
        <f>IFERROR(__xludf.DUMMYFUNCTION("""COMPUTED_VALUE"""),"WHOLE EXOME SEQUENCING")</f>
        <v>WHOLE EXOME SEQUENCING</v>
      </c>
      <c r="C4044" s="378">
        <f>IFERROR(__xludf.DUMMYFUNCTION("""COMPUTED_VALUE"""),46154.0)</f>
        <v>46154</v>
      </c>
      <c r="D4044" s="378">
        <f>IFERROR(__xludf.DUMMYFUNCTION("""COMPUTED_VALUE"""),46173.0)</f>
        <v>46173</v>
      </c>
    </row>
    <row r="4045">
      <c r="A4045" s="153" t="str">
        <f>IFERROR(__xludf.DUMMYFUNCTION("""COMPUTED_VALUE"""),"MDU0000014771")</f>
        <v>MDU0000014771</v>
      </c>
      <c r="B4045" s="153" t="str">
        <f>IFERROR(__xludf.DUMMYFUNCTION("""COMPUTED_VALUE"""),"WHOLE EXOME SEQUENCING")</f>
        <v>WHOLE EXOME SEQUENCING</v>
      </c>
      <c r="C4045" s="378">
        <f>IFERROR(__xludf.DUMMYFUNCTION("""COMPUTED_VALUE"""),46154.0)</f>
        <v>46154</v>
      </c>
      <c r="D4045" s="378">
        <f>IFERROR(__xludf.DUMMYFUNCTION("""COMPUTED_VALUE"""),46174.0)</f>
        <v>46174</v>
      </c>
    </row>
    <row r="4046">
      <c r="A4046" s="153" t="str">
        <f>IFERROR(__xludf.DUMMYFUNCTION("""COMPUTED_VALUE"""),"MDU0000014772")</f>
        <v>MDU0000014772</v>
      </c>
      <c r="B4046" s="153" t="str">
        <f>IFERROR(__xludf.DUMMYFUNCTION("""COMPUTED_VALUE"""),"WHOLE EXOME SEQUENCING")</f>
        <v>WHOLE EXOME SEQUENCING</v>
      </c>
      <c r="C4046" s="378">
        <f>IFERROR(__xludf.DUMMYFUNCTION("""COMPUTED_VALUE"""),46154.0)</f>
        <v>46154</v>
      </c>
      <c r="D4046" s="378">
        <f>IFERROR(__xludf.DUMMYFUNCTION("""COMPUTED_VALUE"""),46174.0)</f>
        <v>46174</v>
      </c>
    </row>
    <row r="4047">
      <c r="A4047" s="153" t="str">
        <f>IFERROR(__xludf.DUMMYFUNCTION("""COMPUTED_VALUE"""),"MDU0000014773")</f>
        <v>MDU0000014773</v>
      </c>
      <c r="B4047" s="153" t="str">
        <f>IFERROR(__xludf.DUMMYFUNCTION("""COMPUTED_VALUE"""),"WHOLE EXOME SEQUENCING")</f>
        <v>WHOLE EXOME SEQUENCING</v>
      </c>
      <c r="C4047" s="378">
        <f>IFERROR(__xludf.DUMMYFUNCTION("""COMPUTED_VALUE"""),46154.0)</f>
        <v>46154</v>
      </c>
      <c r="D4047" s="378">
        <f>IFERROR(__xludf.DUMMYFUNCTION("""COMPUTED_VALUE"""),46174.0)</f>
        <v>46174</v>
      </c>
    </row>
    <row r="4048">
      <c r="A4048" s="153" t="str">
        <f>IFERROR(__xludf.DUMMYFUNCTION("""COMPUTED_VALUE"""),"AMB0000009547")</f>
        <v>AMB0000009547</v>
      </c>
      <c r="B4048" s="153" t="str">
        <f>IFERROR(__xludf.DUMMYFUNCTION("""COMPUTED_VALUE"""),"WHOLE EXOME SEQUENCING")</f>
        <v>WHOLE EXOME SEQUENCING</v>
      </c>
      <c r="C4048" s="378">
        <f>IFERROR(__xludf.DUMMYFUNCTION("""COMPUTED_VALUE"""),46154.0)</f>
        <v>46154</v>
      </c>
      <c r="D4048" s="378">
        <f>IFERROR(__xludf.DUMMYFUNCTION("""COMPUTED_VALUE"""),46174.0)</f>
        <v>46174</v>
      </c>
    </row>
    <row r="4049">
      <c r="A4049" s="153" t="str">
        <f>IFERROR(__xludf.DUMMYFUNCTION("""COMPUTED_VALUE"""),"ADK0000001891")</f>
        <v>ADK0000001891</v>
      </c>
      <c r="B4049" s="153" t="str">
        <f>IFERROR(__xludf.DUMMYFUNCTION("""COMPUTED_VALUE"""),"WHOLE EXOME SEQUENCING")</f>
        <v>WHOLE EXOME SEQUENCING</v>
      </c>
      <c r="C4049" s="378">
        <f>IFERROR(__xludf.DUMMYFUNCTION("""COMPUTED_VALUE"""),46154.0)</f>
        <v>46154</v>
      </c>
      <c r="D4049" s="378">
        <f>IFERROR(__xludf.DUMMYFUNCTION("""COMPUTED_VALUE"""),46169.0)</f>
        <v>46169</v>
      </c>
    </row>
    <row r="4050">
      <c r="A4050" s="153" t="str">
        <f>IFERROR(__xludf.DUMMYFUNCTION("""COMPUTED_VALUE"""),"ADK0000001896")</f>
        <v>ADK0000001896</v>
      </c>
      <c r="B4050" s="153" t="str">
        <f>IFERROR(__xludf.DUMMYFUNCTION("""COMPUTED_VALUE"""),"WHOLE EXOME SEQUENCING")</f>
        <v>WHOLE EXOME SEQUENCING</v>
      </c>
      <c r="C4050" s="378">
        <f>IFERROR(__xludf.DUMMYFUNCTION("""COMPUTED_VALUE"""),46154.0)</f>
        <v>46154</v>
      </c>
      <c r="D4050" s="378">
        <f>IFERROR(__xludf.DUMMYFUNCTION("""COMPUTED_VALUE"""),46169.0)</f>
        <v>46169</v>
      </c>
    </row>
    <row r="4051">
      <c r="A4051" s="153" t="str">
        <f>IFERROR(__xludf.DUMMYFUNCTION("""COMPUTED_VALUE"""),"ADK0000001895")</f>
        <v>ADK0000001895</v>
      </c>
      <c r="B4051" s="153" t="str">
        <f>IFERROR(__xludf.DUMMYFUNCTION("""COMPUTED_VALUE"""),"WHOLE EXOME SEQUENCING")</f>
        <v>WHOLE EXOME SEQUENCING</v>
      </c>
      <c r="C4051" s="378">
        <f>IFERROR(__xludf.DUMMYFUNCTION("""COMPUTED_VALUE"""),46154.0)</f>
        <v>46154</v>
      </c>
      <c r="D4051" s="378">
        <f>IFERROR(__xludf.DUMMYFUNCTION("""COMPUTED_VALUE"""),46169.0)</f>
        <v>46169</v>
      </c>
    </row>
    <row r="4052">
      <c r="A4052" s="153" t="str">
        <f>IFERROR(__xludf.DUMMYFUNCTION("""COMPUTED_VALUE"""),"ADK0000001890")</f>
        <v>ADK0000001890</v>
      </c>
      <c r="B4052" s="153" t="str">
        <f>IFERROR(__xludf.DUMMYFUNCTION("""COMPUTED_VALUE"""),"WHOLE EXOME SEQUENCING")</f>
        <v>WHOLE EXOME SEQUENCING</v>
      </c>
      <c r="C4052" s="378">
        <f>IFERROR(__xludf.DUMMYFUNCTION("""COMPUTED_VALUE"""),46154.0)</f>
        <v>46154</v>
      </c>
      <c r="D4052" s="378">
        <f>IFERROR(__xludf.DUMMYFUNCTION("""COMPUTED_VALUE"""),46169.0)</f>
        <v>46169</v>
      </c>
    </row>
    <row r="4053">
      <c r="A4053" s="153" t="str">
        <f>IFERROR(__xludf.DUMMYFUNCTION("""COMPUTED_VALUE"""),"ADK0000001897")</f>
        <v>ADK0000001897</v>
      </c>
      <c r="B4053" s="153" t="str">
        <f>IFERROR(__xludf.DUMMYFUNCTION("""COMPUTED_VALUE"""),"WHOLE EXOME SEQUENCING")</f>
        <v>WHOLE EXOME SEQUENCING</v>
      </c>
      <c r="C4053" s="378">
        <f>IFERROR(__xludf.DUMMYFUNCTION("""COMPUTED_VALUE"""),46154.0)</f>
        <v>46154</v>
      </c>
      <c r="D4053" s="378">
        <f>IFERROR(__xludf.DUMMYFUNCTION("""COMPUTED_VALUE"""),46169.0)</f>
        <v>46169</v>
      </c>
    </row>
    <row r="4054">
      <c r="A4054" s="153" t="str">
        <f>IFERROR(__xludf.DUMMYFUNCTION("""COMPUTED_VALUE"""),"ADK0000001894")</f>
        <v>ADK0000001894</v>
      </c>
      <c r="B4054" s="153" t="str">
        <f>IFERROR(__xludf.DUMMYFUNCTION("""COMPUTED_VALUE"""),"WHOLE EXOME SEQUENCING")</f>
        <v>WHOLE EXOME SEQUENCING</v>
      </c>
      <c r="C4054" s="378">
        <f>IFERROR(__xludf.DUMMYFUNCTION("""COMPUTED_VALUE"""),46154.0)</f>
        <v>46154</v>
      </c>
      <c r="D4054" s="378">
        <f>IFERROR(__xludf.DUMMYFUNCTION("""COMPUTED_VALUE"""),46169.0)</f>
        <v>46169</v>
      </c>
    </row>
    <row r="4055">
      <c r="A4055" s="153" t="str">
        <f>IFERROR(__xludf.DUMMYFUNCTION("""COMPUTED_VALUE"""),"ADK0000001893")</f>
        <v>ADK0000001893</v>
      </c>
      <c r="B4055" s="153" t="str">
        <f>IFERROR(__xludf.DUMMYFUNCTION("""COMPUTED_VALUE"""),"WHOLE EXOME SEQUENCING")</f>
        <v>WHOLE EXOME SEQUENCING</v>
      </c>
      <c r="C4055" s="378">
        <f>IFERROR(__xludf.DUMMYFUNCTION("""COMPUTED_VALUE"""),46154.0)</f>
        <v>46154</v>
      </c>
      <c r="D4055" s="378">
        <f>IFERROR(__xludf.DUMMYFUNCTION("""COMPUTED_VALUE"""),46169.0)</f>
        <v>46169</v>
      </c>
    </row>
    <row r="4056">
      <c r="A4056" s="153" t="str">
        <f>IFERROR(__xludf.DUMMYFUNCTION("""COMPUTED_VALUE"""),"ADK0000001892")</f>
        <v>ADK0000001892</v>
      </c>
      <c r="B4056" s="153" t="str">
        <f>IFERROR(__xludf.DUMMYFUNCTION("""COMPUTED_VALUE"""),"WHOLE EXOME SEQUENCING")</f>
        <v>WHOLE EXOME SEQUENCING</v>
      </c>
      <c r="C4056" s="378">
        <f>IFERROR(__xludf.DUMMYFUNCTION("""COMPUTED_VALUE"""),46154.0)</f>
        <v>46154</v>
      </c>
      <c r="D4056" s="378">
        <f>IFERROR(__xludf.DUMMYFUNCTION("""COMPUTED_VALUE"""),46169.0)</f>
        <v>46169</v>
      </c>
    </row>
    <row r="4057">
      <c r="A4057" s="153"/>
      <c r="B4057" s="153"/>
      <c r="C4057" s="378">
        <f>IFERROR(__xludf.DUMMYFUNCTION("""COMPUTED_VALUE"""),46154.0)</f>
        <v>46154</v>
      </c>
      <c r="D4057" s="378">
        <f>IFERROR(__xludf.DUMMYFUNCTION("""COMPUTED_VALUE"""),46119.0)</f>
        <v>46119</v>
      </c>
    </row>
    <row r="4058">
      <c r="A4058" s="153" t="str">
        <f>IFERROR(__xludf.DUMMYFUNCTION("""COMPUTED_VALUE"""),"ADK0000001919")</f>
        <v>ADK0000001919</v>
      </c>
      <c r="B4058" s="153" t="str">
        <f>IFERROR(__xludf.DUMMYFUNCTION("""COMPUTED_VALUE"""),"WHOLE EXOME SEQUENCING")</f>
        <v>WHOLE EXOME SEQUENCING</v>
      </c>
      <c r="C4058" s="378">
        <f>IFERROR(__xludf.DUMMYFUNCTION("""COMPUTED_VALUE"""),46154.0)</f>
        <v>46154</v>
      </c>
      <c r="D4058" s="378">
        <f>IFERROR(__xludf.DUMMYFUNCTION("""COMPUTED_VALUE"""),46169.0)</f>
        <v>46169</v>
      </c>
    </row>
    <row r="4059">
      <c r="A4059" s="153" t="str">
        <f>IFERROR(__xludf.DUMMYFUNCTION("""COMPUTED_VALUE"""),"ADK0000001916")</f>
        <v>ADK0000001916</v>
      </c>
      <c r="B4059" s="153" t="str">
        <f>IFERROR(__xludf.DUMMYFUNCTION("""COMPUTED_VALUE"""),"WHOLE EXOME SEQUENCING")</f>
        <v>WHOLE EXOME SEQUENCING</v>
      </c>
      <c r="C4059" s="378">
        <f>IFERROR(__xludf.DUMMYFUNCTION("""COMPUTED_VALUE"""),46154.0)</f>
        <v>46154</v>
      </c>
      <c r="D4059" s="378">
        <f>IFERROR(__xludf.DUMMYFUNCTION("""COMPUTED_VALUE"""),46169.0)</f>
        <v>46169</v>
      </c>
    </row>
    <row r="4060">
      <c r="A4060" s="153" t="str">
        <f>IFERROR(__xludf.DUMMYFUNCTION("""COMPUTED_VALUE"""),"ADK0000001922")</f>
        <v>ADK0000001922</v>
      </c>
      <c r="B4060" s="153" t="str">
        <f>IFERROR(__xludf.DUMMYFUNCTION("""COMPUTED_VALUE"""),"WHOLE EXOME SEQUENCING")</f>
        <v>WHOLE EXOME SEQUENCING</v>
      </c>
      <c r="C4060" s="378">
        <f>IFERROR(__xludf.DUMMYFUNCTION("""COMPUTED_VALUE"""),46154.0)</f>
        <v>46154</v>
      </c>
      <c r="D4060" s="378">
        <f>IFERROR(__xludf.DUMMYFUNCTION("""COMPUTED_VALUE"""),46169.0)</f>
        <v>46169</v>
      </c>
    </row>
    <row r="4061">
      <c r="A4061" s="153" t="str">
        <f>IFERROR(__xludf.DUMMYFUNCTION("""COMPUTED_VALUE"""),"ADK0000001917")</f>
        <v>ADK0000001917</v>
      </c>
      <c r="B4061" s="153" t="str">
        <f>IFERROR(__xludf.DUMMYFUNCTION("""COMPUTED_VALUE"""),"WHOLE EXOME SEQUENCING")</f>
        <v>WHOLE EXOME SEQUENCING</v>
      </c>
      <c r="C4061" s="378">
        <f>IFERROR(__xludf.DUMMYFUNCTION("""COMPUTED_VALUE"""),46154.0)</f>
        <v>46154</v>
      </c>
      <c r="D4061" s="378">
        <f>IFERROR(__xludf.DUMMYFUNCTION("""COMPUTED_VALUE"""),46169.0)</f>
        <v>46169</v>
      </c>
    </row>
    <row r="4062">
      <c r="A4062" s="153" t="str">
        <f>IFERROR(__xludf.DUMMYFUNCTION("""COMPUTED_VALUE"""),"ADK0000001918")</f>
        <v>ADK0000001918</v>
      </c>
      <c r="B4062" s="153" t="str">
        <f>IFERROR(__xludf.DUMMYFUNCTION("""COMPUTED_VALUE"""),"WHOLE EXOME SEQUENCING")</f>
        <v>WHOLE EXOME SEQUENCING</v>
      </c>
      <c r="C4062" s="378">
        <f>IFERROR(__xludf.DUMMYFUNCTION("""COMPUTED_VALUE"""),46154.0)</f>
        <v>46154</v>
      </c>
      <c r="D4062" s="378">
        <f>IFERROR(__xludf.DUMMYFUNCTION("""COMPUTED_VALUE"""),46169.0)</f>
        <v>46169</v>
      </c>
    </row>
    <row r="4063">
      <c r="A4063" s="153" t="str">
        <f>IFERROR(__xludf.DUMMYFUNCTION("""COMPUTED_VALUE"""),"ADK0000001921")</f>
        <v>ADK0000001921</v>
      </c>
      <c r="B4063" s="153" t="str">
        <f>IFERROR(__xludf.DUMMYFUNCTION("""COMPUTED_VALUE"""),"WHOLE EXOME SEQUENCING")</f>
        <v>WHOLE EXOME SEQUENCING</v>
      </c>
      <c r="C4063" s="378">
        <f>IFERROR(__xludf.DUMMYFUNCTION("""COMPUTED_VALUE"""),46154.0)</f>
        <v>46154</v>
      </c>
      <c r="D4063" s="378">
        <f>IFERROR(__xludf.DUMMYFUNCTION("""COMPUTED_VALUE"""),46169.0)</f>
        <v>46169</v>
      </c>
    </row>
    <row r="4064">
      <c r="A4064" s="153" t="str">
        <f>IFERROR(__xludf.DUMMYFUNCTION("""COMPUTED_VALUE"""),"ADK0000001915")</f>
        <v>ADK0000001915</v>
      </c>
      <c r="B4064" s="153" t="str">
        <f>IFERROR(__xludf.DUMMYFUNCTION("""COMPUTED_VALUE"""),"WHOLE EXOME SEQUENCING")</f>
        <v>WHOLE EXOME SEQUENCING</v>
      </c>
      <c r="C4064" s="378">
        <f>IFERROR(__xludf.DUMMYFUNCTION("""COMPUTED_VALUE"""),46154.0)</f>
        <v>46154</v>
      </c>
      <c r="D4064" s="378">
        <f>IFERROR(__xludf.DUMMYFUNCTION("""COMPUTED_VALUE"""),46169.0)</f>
        <v>46169</v>
      </c>
    </row>
    <row r="4065">
      <c r="A4065" s="153" t="str">
        <f>IFERROR(__xludf.DUMMYFUNCTION("""COMPUTED_VALUE"""),"ABC0000001135")</f>
        <v>ABC0000001135</v>
      </c>
      <c r="B4065" s="153" t="str">
        <f>IFERROR(__xludf.DUMMYFUNCTION("""COMPUTED_VALUE"""),"CLINICAL EXOME SEQUENCING")</f>
        <v>CLINICAL EXOME SEQUENCING</v>
      </c>
      <c r="C4065" s="153" t="str">
        <f>IFERROR(__xludf.DUMMYFUNCTION("""COMPUTED_VALUE"""),"25-05-2026")</f>
        <v>25-05-2026</v>
      </c>
      <c r="D4065" s="153" t="str">
        <f>IFERROR(__xludf.DUMMYFUNCTION("""COMPUTED_VALUE"""),"23-05-2026")</f>
        <v>23-05-2026</v>
      </c>
    </row>
    <row r="4066">
      <c r="A4066" s="153" t="str">
        <f>IFERROR(__xludf.DUMMYFUNCTION("""COMPUTED_VALUE"""),"PH50000016044")</f>
        <v>PH50000016044</v>
      </c>
      <c r="B4066" s="153" t="str">
        <f>IFERROR(__xludf.DUMMYFUNCTION("""COMPUTED_VALUE"""),"WES+WMGS")</f>
        <v>WES+WMGS</v>
      </c>
      <c r="C4066" s="153" t="str">
        <f>IFERROR(__xludf.DUMMYFUNCTION("""COMPUTED_VALUE"""),"25-05-2026")</f>
        <v>25-05-2026</v>
      </c>
      <c r="D4066" s="381">
        <f>IFERROR(__xludf.DUMMYFUNCTION("""COMPUTED_VALUE"""),46028.0)</f>
        <v>46028</v>
      </c>
    </row>
    <row r="4067">
      <c r="A4067" s="153" t="str">
        <f>IFERROR(__xludf.DUMMYFUNCTION("""COMPUTED_VALUE"""),"PH50000016042")</f>
        <v>PH50000016042</v>
      </c>
      <c r="B4067" s="153" t="str">
        <f>IFERROR(__xludf.DUMMYFUNCTION("""COMPUTED_VALUE"""),"WES+WMGS")</f>
        <v>WES+WMGS</v>
      </c>
      <c r="C4067" s="153" t="str">
        <f>IFERROR(__xludf.DUMMYFUNCTION("""COMPUTED_VALUE"""),"25-05-2026")</f>
        <v>25-05-2026</v>
      </c>
      <c r="D4067" s="381">
        <f>IFERROR(__xludf.DUMMYFUNCTION("""COMPUTED_VALUE"""),46028.0)</f>
        <v>46028</v>
      </c>
    </row>
    <row r="4068">
      <c r="A4068" s="153" t="str">
        <f>IFERROR(__xludf.DUMMYFUNCTION("""COMPUTED_VALUE"""),"PH50000015926")</f>
        <v>PH50000015926</v>
      </c>
      <c r="B4068" s="153" t="str">
        <f>IFERROR(__xludf.DUMMYFUNCTION("""COMPUTED_VALUE"""),"WES+WMGS")</f>
        <v>WES+WMGS</v>
      </c>
      <c r="C4068" s="153" t="str">
        <f>IFERROR(__xludf.DUMMYFUNCTION("""COMPUTED_VALUE"""),"25-05-2026")</f>
        <v>25-05-2026</v>
      </c>
      <c r="D4068" s="381">
        <f>IFERROR(__xludf.DUMMYFUNCTION("""COMPUTED_VALUE"""),46028.0)</f>
        <v>46028</v>
      </c>
    </row>
    <row r="4069">
      <c r="A4069" s="153" t="str">
        <f>IFERROR(__xludf.DUMMYFUNCTION("""COMPUTED_VALUE"""),"AMB0000009546")</f>
        <v>AMB0000009546</v>
      </c>
      <c r="B4069" s="153" t="str">
        <f>IFERROR(__xludf.DUMMYFUNCTION("""COMPUTED_VALUE"""),"WHOLE EXOME SEQUENCING")</f>
        <v>WHOLE EXOME SEQUENCING</v>
      </c>
      <c r="C4069" s="153" t="str">
        <f>IFERROR(__xludf.DUMMYFUNCTION("""COMPUTED_VALUE"""),"25-05-2026")</f>
        <v>25-05-2026</v>
      </c>
      <c r="D4069" s="381">
        <f>IFERROR(__xludf.DUMMYFUNCTION("""COMPUTED_VALUE"""),46028.0)</f>
        <v>46028</v>
      </c>
    </row>
    <row r="4070">
      <c r="A4070" s="153" t="str">
        <f>IFERROR(__xludf.DUMMYFUNCTION("""COMPUTED_VALUE"""),"ADB0000035939")</f>
        <v>ADB0000035939</v>
      </c>
      <c r="B4070" s="153" t="str">
        <f>IFERROR(__xludf.DUMMYFUNCTION("""COMPUTED_VALUE"""),"MALE INFERTILITY NGS PANEL")</f>
        <v>MALE INFERTILITY NGS PANEL</v>
      </c>
      <c r="C4070" s="153" t="str">
        <f>IFERROR(__xludf.DUMMYFUNCTION("""COMPUTED_VALUE"""),"25-05-2026")</f>
        <v>25-05-2026</v>
      </c>
      <c r="D4070" s="153" t="str">
        <f>IFERROR(__xludf.DUMMYFUNCTION("""COMPUTED_VALUE"""),"21-05-2026")</f>
        <v>21-05-2026</v>
      </c>
    </row>
    <row r="4071">
      <c r="A4071" s="153" t="str">
        <f>IFERROR(__xludf.DUMMYFUNCTION("""COMPUTED_VALUE"""),"ADK0000001863")</f>
        <v>ADK0000001863</v>
      </c>
      <c r="B4071" s="153" t="str">
        <f>IFERROR(__xludf.DUMMYFUNCTION("""COMPUTED_VALUE"""),"WES+WMGS")</f>
        <v>WES+WMGS</v>
      </c>
      <c r="C4071" s="153" t="str">
        <f>IFERROR(__xludf.DUMMYFUNCTION("""COMPUTED_VALUE"""),"25-05-2026")</f>
        <v>25-05-2026</v>
      </c>
      <c r="D4071" s="381">
        <f>IFERROR(__xludf.DUMMYFUNCTION("""COMPUTED_VALUE"""),46028.0)</f>
        <v>46028</v>
      </c>
    </row>
    <row r="4072">
      <c r="A4072" s="153" t="str">
        <f>IFERROR(__xludf.DUMMYFUNCTION("""COMPUTED_VALUE"""),"AMB0000009555")</f>
        <v>AMB0000009555</v>
      </c>
      <c r="B4072" s="153" t="str">
        <f>IFERROR(__xludf.DUMMYFUNCTION("""COMPUTED_VALUE"""),"WHOLE EXOME SEQUENCING")</f>
        <v>WHOLE EXOME SEQUENCING</v>
      </c>
      <c r="C4072" s="153" t="str">
        <f>IFERROR(__xludf.DUMMYFUNCTION("""COMPUTED_VALUE"""),"25-05-2026")</f>
        <v>25-05-2026</v>
      </c>
      <c r="D4072" s="381">
        <f>IFERROR(__xludf.DUMMYFUNCTION("""COMPUTED_VALUE"""),46059.0)</f>
        <v>46059</v>
      </c>
    </row>
    <row r="4073">
      <c r="A4073" s="153" t="str">
        <f>IFERROR(__xludf.DUMMYFUNCTION("""COMPUTED_VALUE"""),"ADB0000035940")</f>
        <v>ADB0000035940</v>
      </c>
      <c r="B4073" s="153" t="str">
        <f>IFERROR(__xludf.DUMMYFUNCTION("""COMPUTED_VALUE"""),"FEMALE INFERTILITY NGS PANEL")</f>
        <v>FEMALE INFERTILITY NGS PANEL</v>
      </c>
      <c r="C4073" s="153" t="str">
        <f>IFERROR(__xludf.DUMMYFUNCTION("""COMPUTED_VALUE"""),"25-05-2026")</f>
        <v>25-05-2026</v>
      </c>
      <c r="D4073" s="153" t="str">
        <f>IFERROR(__xludf.DUMMYFUNCTION("""COMPUTED_VALUE"""),"21-05-2026")</f>
        <v>21-05-2026</v>
      </c>
    </row>
    <row r="4074">
      <c r="A4074" s="153" t="str">
        <f>IFERROR(__xludf.DUMMYFUNCTION("""COMPUTED_VALUE"""),"ADB0000036107")</f>
        <v>ADB0000036107</v>
      </c>
      <c r="B4074" s="153" t="str">
        <f>IFERROR(__xludf.DUMMYFUNCTION("""COMPUTED_VALUE"""),"WHOLE EXOME SEQUENCING")</f>
        <v>WHOLE EXOME SEQUENCING</v>
      </c>
      <c r="C4074" s="153" t="str">
        <f>IFERROR(__xludf.DUMMYFUNCTION("""COMPUTED_VALUE"""),"25-05-2026")</f>
        <v>25-05-2026</v>
      </c>
      <c r="D4074" s="381">
        <f>IFERROR(__xludf.DUMMYFUNCTION("""COMPUTED_VALUE"""),46028.0)</f>
        <v>46028</v>
      </c>
    </row>
    <row r="4075">
      <c r="A4075" s="153" t="str">
        <f>IFERROR(__xludf.DUMMYFUNCTION("""COMPUTED_VALUE"""),"ADK0000001865")</f>
        <v>ADK0000001865</v>
      </c>
      <c r="B4075" s="153" t="str">
        <f>IFERROR(__xludf.DUMMYFUNCTION("""COMPUTED_VALUE"""),"WES+WMGS")</f>
        <v>WES+WMGS</v>
      </c>
      <c r="C4075" s="153" t="str">
        <f>IFERROR(__xludf.DUMMYFUNCTION("""COMPUTED_VALUE"""),"25-05-2026")</f>
        <v>25-05-2026</v>
      </c>
      <c r="D4075" s="381">
        <f>IFERROR(__xludf.DUMMYFUNCTION("""COMPUTED_VALUE"""),46059.0)</f>
        <v>46059</v>
      </c>
    </row>
    <row r="4076">
      <c r="A4076" s="153" t="str">
        <f>IFERROR(__xludf.DUMMYFUNCTION("""COMPUTED_VALUE"""),"AMB0000009563")</f>
        <v>AMB0000009563</v>
      </c>
      <c r="B4076" s="153" t="str">
        <f>IFERROR(__xludf.DUMMYFUNCTION("""COMPUTED_VALUE"""),"WHOLE EXOME SEQUENCING")</f>
        <v>WHOLE EXOME SEQUENCING</v>
      </c>
      <c r="C4076" s="153" t="str">
        <f>IFERROR(__xludf.DUMMYFUNCTION("""COMPUTED_VALUE"""),"25-05-2026")</f>
        <v>25-05-2026</v>
      </c>
      <c r="D4076" s="381">
        <f>IFERROR(__xludf.DUMMYFUNCTION("""COMPUTED_VALUE"""),46059.0)</f>
        <v>46059</v>
      </c>
    </row>
    <row r="4077">
      <c r="A4077" s="153" t="str">
        <f>IFERROR(__xludf.DUMMYFUNCTION("""COMPUTED_VALUE"""),"ADS0000010123")</f>
        <v>ADS0000010123</v>
      </c>
      <c r="B4077" s="153" t="str">
        <f>IFERROR(__xludf.DUMMYFUNCTION("""COMPUTED_VALUE"""),"MALE INFERTILITY NGS PANEL")</f>
        <v>MALE INFERTILITY NGS PANEL</v>
      </c>
      <c r="C4077" s="153" t="str">
        <f>IFERROR(__xludf.DUMMYFUNCTION("""COMPUTED_VALUE"""),"25-05-2026")</f>
        <v>25-05-2026</v>
      </c>
      <c r="D4077" s="153" t="str">
        <f>IFERROR(__xludf.DUMMYFUNCTION("""COMPUTED_VALUE"""),"23-05-2026")</f>
        <v>23-05-2026</v>
      </c>
    </row>
    <row r="4078">
      <c r="A4078" s="153" t="str">
        <f>IFERROR(__xludf.DUMMYFUNCTION("""COMPUTED_VALUE"""),"ADK0000001920")</f>
        <v>ADK0000001920</v>
      </c>
      <c r="B4078" s="153" t="str">
        <f>IFERROR(__xludf.DUMMYFUNCTION("""COMPUTED_VALUE"""),"WES+WMGS")</f>
        <v>WES+WMGS</v>
      </c>
      <c r="C4078" s="153" t="str">
        <f>IFERROR(__xludf.DUMMYFUNCTION("""COMPUTED_VALUE"""),"25-05-2026")</f>
        <v>25-05-2026</v>
      </c>
      <c r="D4078" s="381">
        <f>IFERROR(__xludf.DUMMYFUNCTION("""COMPUTED_VALUE"""),46087.0)</f>
        <v>46087</v>
      </c>
    </row>
    <row r="4079">
      <c r="A4079" s="153" t="str">
        <f>IFERROR(__xludf.DUMMYFUNCTION("""COMPUTED_VALUE"""),"ADK0000001977")</f>
        <v>ADK0000001977</v>
      </c>
      <c r="B4079" s="153" t="str">
        <f>IFERROR(__xludf.DUMMYFUNCTION("""COMPUTED_VALUE"""),"WHOLE EXOME SEQUENCING")</f>
        <v>WHOLE EXOME SEQUENCING</v>
      </c>
      <c r="C4079" s="153" t="str">
        <f>IFERROR(__xludf.DUMMYFUNCTION("""COMPUTED_VALUE"""),"25-05-2026")</f>
        <v>25-05-2026</v>
      </c>
      <c r="D4079" s="153" t="str">
        <f>IFERROR(__xludf.DUMMYFUNCTION("""COMPUTED_VALUE"""),"28-05-2026")</f>
        <v>28-05-2026</v>
      </c>
    </row>
    <row r="4080">
      <c r="A4080" s="153" t="str">
        <f>IFERROR(__xludf.DUMMYFUNCTION("""COMPUTED_VALUE"""),"ADK0000001976")</f>
        <v>ADK0000001976</v>
      </c>
      <c r="B4080" s="153" t="str">
        <f>IFERROR(__xludf.DUMMYFUNCTION("""COMPUTED_VALUE"""),"WHOLE EXOME SEQUENCING")</f>
        <v>WHOLE EXOME SEQUENCING</v>
      </c>
      <c r="C4080" s="153" t="str">
        <f>IFERROR(__xludf.DUMMYFUNCTION("""COMPUTED_VALUE"""),"25-05-2026")</f>
        <v>25-05-2026</v>
      </c>
      <c r="D4080" s="153" t="str">
        <f>IFERROR(__xludf.DUMMYFUNCTION("""COMPUTED_VALUE"""),"28-05-2026")</f>
        <v>28-05-2026</v>
      </c>
    </row>
    <row r="4081">
      <c r="A4081" s="153" t="str">
        <f>IFERROR(__xludf.DUMMYFUNCTION("""COMPUTED_VALUE"""),"ADK0000001978")</f>
        <v>ADK0000001978</v>
      </c>
      <c r="B4081" s="153" t="str">
        <f>IFERROR(__xludf.DUMMYFUNCTION("""COMPUTED_VALUE"""),"WHOLE EXOME SEQUENCING")</f>
        <v>WHOLE EXOME SEQUENCING</v>
      </c>
      <c r="C4081" s="153" t="str">
        <f>IFERROR(__xludf.DUMMYFUNCTION("""COMPUTED_VALUE"""),"25-05-2026")</f>
        <v>25-05-2026</v>
      </c>
      <c r="D4081" s="153" t="str">
        <f>IFERROR(__xludf.DUMMYFUNCTION("""COMPUTED_VALUE"""),"28-05-2026")</f>
        <v>28-05-2026</v>
      </c>
    </row>
    <row r="4082">
      <c r="A4082" s="153" t="str">
        <f>IFERROR(__xludf.DUMMYFUNCTION("""COMPUTED_VALUE"""),"ADK0000002025")</f>
        <v>ADK0000002025</v>
      </c>
      <c r="B4082" s="153" t="str">
        <f>IFERROR(__xludf.DUMMYFUNCTION("""COMPUTED_VALUE"""),"WHOLE EXOME SEQUENCING + MITOCHONDRIAL GENOME SEQUENCING")</f>
        <v>WHOLE EXOME SEQUENCING + MITOCHONDRIAL GENOME SEQUENCING</v>
      </c>
      <c r="C4082" s="153" t="str">
        <f>IFERROR(__xludf.DUMMYFUNCTION("""COMPUTED_VALUE"""),"25-05-2026")</f>
        <v>25-05-2026</v>
      </c>
      <c r="D4082" s="153" t="str">
        <f>IFERROR(__xludf.DUMMYFUNCTION("""COMPUTED_VALUE"""),"28-05-2026")</f>
        <v>28-05-2026</v>
      </c>
    </row>
    <row r="4083">
      <c r="A4083" s="153" t="str">
        <f>IFERROR(__xludf.DUMMYFUNCTION("""COMPUTED_VALUE"""),"ADK0000002061")</f>
        <v>ADK0000002061</v>
      </c>
      <c r="B4083" s="153" t="str">
        <f>IFERROR(__xludf.DUMMYFUNCTION("""COMPUTED_VALUE"""),"WHOLE EXOME SEQUENCING + MITOCHONDRIAL GENOME SEQUENCING")</f>
        <v>WHOLE EXOME SEQUENCING + MITOCHONDRIAL GENOME SEQUENCING</v>
      </c>
      <c r="C4083" s="153" t="str">
        <f>IFERROR(__xludf.DUMMYFUNCTION("""COMPUTED_VALUE"""),"25-05-2026")</f>
        <v>25-05-2026</v>
      </c>
      <c r="D4083" s="153" t="str">
        <f>IFERROR(__xludf.DUMMYFUNCTION("""COMPUTED_VALUE"""),"28-05-2026")</f>
        <v>28-05-2026</v>
      </c>
    </row>
    <row r="4084">
      <c r="A4084" s="153" t="str">
        <f>IFERROR(__xludf.DUMMYFUNCTION("""COMPUTED_VALUE"""),"ADK0000001914")</f>
        <v>ADK0000001914</v>
      </c>
      <c r="B4084" s="153" t="str">
        <f>IFERROR(__xludf.DUMMYFUNCTION("""COMPUTED_VALUE"""),"WES+WMGS")</f>
        <v>WES+WMGS</v>
      </c>
      <c r="C4084" s="153" t="str">
        <f>IFERROR(__xludf.DUMMYFUNCTION("""COMPUTED_VALUE"""),"25-05-2026")</f>
        <v>25-05-2026</v>
      </c>
      <c r="D4084" s="381">
        <f>IFERROR(__xludf.DUMMYFUNCTION("""COMPUTED_VALUE"""),46087.0)</f>
        <v>46087</v>
      </c>
    </row>
    <row r="4085">
      <c r="A4085" s="153" t="str">
        <f>IFERROR(__xludf.DUMMYFUNCTION("""COMPUTED_VALUE"""),"ADK0000001992")</f>
        <v>ADK0000001992</v>
      </c>
      <c r="B4085" s="153" t="str">
        <f>IFERROR(__xludf.DUMMYFUNCTION("""COMPUTED_VALUE"""),"WHOLE EXOME SEQUENCING")</f>
        <v>WHOLE EXOME SEQUENCING</v>
      </c>
      <c r="C4085" s="153" t="str">
        <f>IFERROR(__xludf.DUMMYFUNCTION("""COMPUTED_VALUE"""),"25-05-2026")</f>
        <v>25-05-2026</v>
      </c>
      <c r="D4085" s="153" t="str">
        <f>IFERROR(__xludf.DUMMYFUNCTION("""COMPUTED_VALUE"""),"29-05-2026")</f>
        <v>29-05-2026</v>
      </c>
    </row>
    <row r="4086">
      <c r="A4086" s="153" t="str">
        <f>IFERROR(__xludf.DUMMYFUNCTION("""COMPUTED_VALUE"""),"ADK0000001993")</f>
        <v>ADK0000001993</v>
      </c>
      <c r="B4086" s="153" t="str">
        <f>IFERROR(__xludf.DUMMYFUNCTION("""COMPUTED_VALUE"""),"WHOLE EXOME SEQUENCING")</f>
        <v>WHOLE EXOME SEQUENCING</v>
      </c>
      <c r="C4086" s="153" t="str">
        <f>IFERROR(__xludf.DUMMYFUNCTION("""COMPUTED_VALUE"""),"25-05-2026")</f>
        <v>25-05-2026</v>
      </c>
      <c r="D4086" s="153" t="str">
        <f>IFERROR(__xludf.DUMMYFUNCTION("""COMPUTED_VALUE"""),"29-05-2026")</f>
        <v>29-05-2026</v>
      </c>
    </row>
    <row r="4087">
      <c r="A4087" s="153" t="str">
        <f>IFERROR(__xludf.DUMMYFUNCTION("""COMPUTED_VALUE"""),"ADK0000002006")</f>
        <v>ADK0000002006</v>
      </c>
      <c r="B4087" s="153" t="str">
        <f>IFERROR(__xludf.DUMMYFUNCTION("""COMPUTED_VALUE"""),"WHOLE EXOME SEQUENCING")</f>
        <v>WHOLE EXOME SEQUENCING</v>
      </c>
      <c r="C4087" s="153" t="str">
        <f>IFERROR(__xludf.DUMMYFUNCTION("""COMPUTED_VALUE"""),"25-05-2026")</f>
        <v>25-05-2026</v>
      </c>
      <c r="D4087" s="153" t="str">
        <f>IFERROR(__xludf.DUMMYFUNCTION("""COMPUTED_VALUE"""),"29-05-2026")</f>
        <v>29-05-2026</v>
      </c>
    </row>
    <row r="4088">
      <c r="A4088" s="153" t="str">
        <f>IFERROR(__xludf.DUMMYFUNCTION("""COMPUTED_VALUE"""),"ADK0000002007")</f>
        <v>ADK0000002007</v>
      </c>
      <c r="B4088" s="153" t="str">
        <f>IFERROR(__xludf.DUMMYFUNCTION("""COMPUTED_VALUE"""),"WHOLE EXOME SEQUENCING")</f>
        <v>WHOLE EXOME SEQUENCING</v>
      </c>
      <c r="C4088" s="153" t="str">
        <f>IFERROR(__xludf.DUMMYFUNCTION("""COMPUTED_VALUE"""),"25-05-2026")</f>
        <v>25-05-2026</v>
      </c>
      <c r="D4088" s="153" t="str">
        <f>IFERROR(__xludf.DUMMYFUNCTION("""COMPUTED_VALUE"""),"29-05-2026")</f>
        <v>29-05-2026</v>
      </c>
    </row>
    <row r="4089">
      <c r="A4089" s="153" t="str">
        <f>IFERROR(__xludf.DUMMYFUNCTION("""COMPUTED_VALUE"""),"ADK0000002008")</f>
        <v>ADK0000002008</v>
      </c>
      <c r="B4089" s="153" t="str">
        <f>IFERROR(__xludf.DUMMYFUNCTION("""COMPUTED_VALUE"""),"WHOLE EXOME SEQUENCING")</f>
        <v>WHOLE EXOME SEQUENCING</v>
      </c>
      <c r="C4089" s="153" t="str">
        <f>IFERROR(__xludf.DUMMYFUNCTION("""COMPUTED_VALUE"""),"25-05-2026")</f>
        <v>25-05-2026</v>
      </c>
      <c r="D4089" s="153" t="str">
        <f>IFERROR(__xludf.DUMMYFUNCTION("""COMPUTED_VALUE"""),"29-05-2026")</f>
        <v>29-05-2026</v>
      </c>
    </row>
    <row r="4090">
      <c r="A4090" s="153" t="str">
        <f>IFERROR(__xludf.DUMMYFUNCTION("""COMPUTED_VALUE"""),"ADK0000002009")</f>
        <v>ADK0000002009</v>
      </c>
      <c r="B4090" s="153" t="str">
        <f>IFERROR(__xludf.DUMMYFUNCTION("""COMPUTED_VALUE"""),"WHOLE EXOME SEQUENCING")</f>
        <v>WHOLE EXOME SEQUENCING</v>
      </c>
      <c r="C4090" s="153" t="str">
        <f>IFERROR(__xludf.DUMMYFUNCTION("""COMPUTED_VALUE"""),"25-05-2026")</f>
        <v>25-05-2026</v>
      </c>
      <c r="D4090" s="153" t="str">
        <f>IFERROR(__xludf.DUMMYFUNCTION("""COMPUTED_VALUE"""),"29-05-2026")</f>
        <v>29-05-2026</v>
      </c>
    </row>
    <row r="4091">
      <c r="A4091" s="153" t="str">
        <f>IFERROR(__xludf.DUMMYFUNCTION("""COMPUTED_VALUE"""),"ADK0000002010")</f>
        <v>ADK0000002010</v>
      </c>
      <c r="B4091" s="153" t="str">
        <f>IFERROR(__xludf.DUMMYFUNCTION("""COMPUTED_VALUE"""),"WHOLE EXOME SEQUENCING")</f>
        <v>WHOLE EXOME SEQUENCING</v>
      </c>
      <c r="C4091" s="153" t="str">
        <f>IFERROR(__xludf.DUMMYFUNCTION("""COMPUTED_VALUE"""),"25-05-2026")</f>
        <v>25-05-2026</v>
      </c>
      <c r="D4091" s="153" t="str">
        <f>IFERROR(__xludf.DUMMYFUNCTION("""COMPUTED_VALUE"""),"29-05-2026")</f>
        <v>29-05-2026</v>
      </c>
    </row>
    <row r="4092">
      <c r="A4092" s="153" t="str">
        <f>IFERROR(__xludf.DUMMYFUNCTION("""COMPUTED_VALUE"""),"ADK0000002011")</f>
        <v>ADK0000002011</v>
      </c>
      <c r="B4092" s="153" t="str">
        <f>IFERROR(__xludf.DUMMYFUNCTION("""COMPUTED_VALUE"""),"WHOLE EXOME SEQUENCING")</f>
        <v>WHOLE EXOME SEQUENCING</v>
      </c>
      <c r="C4092" s="153" t="str">
        <f>IFERROR(__xludf.DUMMYFUNCTION("""COMPUTED_VALUE"""),"25-05-2026")</f>
        <v>25-05-2026</v>
      </c>
      <c r="D4092" s="153" t="str">
        <f>IFERROR(__xludf.DUMMYFUNCTION("""COMPUTED_VALUE"""),"29-05-2026")</f>
        <v>29-05-2026</v>
      </c>
    </row>
    <row r="4093">
      <c r="A4093" s="153" t="str">
        <f>IFERROR(__xludf.DUMMYFUNCTION("""COMPUTED_VALUE"""),"ADK0000002012")</f>
        <v>ADK0000002012</v>
      </c>
      <c r="B4093" s="153" t="str">
        <f>IFERROR(__xludf.DUMMYFUNCTION("""COMPUTED_VALUE"""),"WHOLE EXOME SEQUENCING")</f>
        <v>WHOLE EXOME SEQUENCING</v>
      </c>
      <c r="C4093" s="153" t="str">
        <f>IFERROR(__xludf.DUMMYFUNCTION("""COMPUTED_VALUE"""),"25-05-2026")</f>
        <v>25-05-2026</v>
      </c>
      <c r="D4093" s="153" t="str">
        <f>IFERROR(__xludf.DUMMYFUNCTION("""COMPUTED_VALUE"""),"29-05-2026")</f>
        <v>29-05-2026</v>
      </c>
    </row>
    <row r="4094">
      <c r="A4094" s="153" t="str">
        <f>IFERROR(__xludf.DUMMYFUNCTION("""COMPUTED_VALUE"""),"ADK0000002013")</f>
        <v>ADK0000002013</v>
      </c>
      <c r="B4094" s="153" t="str">
        <f>IFERROR(__xludf.DUMMYFUNCTION("""COMPUTED_VALUE"""),"WHOLE EXOME SEQUENCING")</f>
        <v>WHOLE EXOME SEQUENCING</v>
      </c>
      <c r="C4094" s="153" t="str">
        <f>IFERROR(__xludf.DUMMYFUNCTION("""COMPUTED_VALUE"""),"25-05-2026")</f>
        <v>25-05-2026</v>
      </c>
      <c r="D4094" s="153" t="str">
        <f>IFERROR(__xludf.DUMMYFUNCTION("""COMPUTED_VALUE"""),"29-05-2026")</f>
        <v>29-05-2026</v>
      </c>
    </row>
    <row r="4095">
      <c r="A4095" s="153" t="str">
        <f>IFERROR(__xludf.DUMMYFUNCTION("""COMPUTED_VALUE"""),"ADK0000002014")</f>
        <v>ADK0000002014</v>
      </c>
      <c r="B4095" s="153" t="str">
        <f>IFERROR(__xludf.DUMMYFUNCTION("""COMPUTED_VALUE"""),"WHOLE EXOME SEQUENCING")</f>
        <v>WHOLE EXOME SEQUENCING</v>
      </c>
      <c r="C4095" s="153" t="str">
        <f>IFERROR(__xludf.DUMMYFUNCTION("""COMPUTED_VALUE"""),"25-05-2026")</f>
        <v>25-05-2026</v>
      </c>
      <c r="D4095" s="153" t="str">
        <f>IFERROR(__xludf.DUMMYFUNCTION("""COMPUTED_VALUE"""),"29-05-2026")</f>
        <v>29-05-2026</v>
      </c>
    </row>
    <row r="4096">
      <c r="A4096" s="153" t="str">
        <f>IFERROR(__xludf.DUMMYFUNCTION("""COMPUTED_VALUE"""),"ADK0000002015")</f>
        <v>ADK0000002015</v>
      </c>
      <c r="B4096" s="153" t="str">
        <f>IFERROR(__xludf.DUMMYFUNCTION("""COMPUTED_VALUE"""),"WHOLE EXOME SEQUENCING")</f>
        <v>WHOLE EXOME SEQUENCING</v>
      </c>
      <c r="C4096" s="153" t="str">
        <f>IFERROR(__xludf.DUMMYFUNCTION("""COMPUTED_VALUE"""),"25-05-2026")</f>
        <v>25-05-2026</v>
      </c>
      <c r="D4096" s="153" t="str">
        <f>IFERROR(__xludf.DUMMYFUNCTION("""COMPUTED_VALUE"""),"29-05-2026")</f>
        <v>29-05-2026</v>
      </c>
    </row>
    <row r="4097">
      <c r="A4097" s="153" t="str">
        <f>IFERROR(__xludf.DUMMYFUNCTION("""COMPUTED_VALUE"""),"ADK0000002016")</f>
        <v>ADK0000002016</v>
      </c>
      <c r="B4097" s="153" t="str">
        <f>IFERROR(__xludf.DUMMYFUNCTION("""COMPUTED_VALUE"""),"WHOLE EXOME SEQUENCING")</f>
        <v>WHOLE EXOME SEQUENCING</v>
      </c>
      <c r="C4097" s="153" t="str">
        <f>IFERROR(__xludf.DUMMYFUNCTION("""COMPUTED_VALUE"""),"25-05-2026")</f>
        <v>25-05-2026</v>
      </c>
      <c r="D4097" s="153" t="str">
        <f>IFERROR(__xludf.DUMMYFUNCTION("""COMPUTED_VALUE"""),"29-05-2026")</f>
        <v>29-05-2026</v>
      </c>
    </row>
    <row r="4098">
      <c r="A4098" s="153" t="str">
        <f>IFERROR(__xludf.DUMMYFUNCTION("""COMPUTED_VALUE"""),"ADK0000002017")</f>
        <v>ADK0000002017</v>
      </c>
      <c r="B4098" s="153" t="str">
        <f>IFERROR(__xludf.DUMMYFUNCTION("""COMPUTED_VALUE"""),"WHOLE EXOME SEQUENCING")</f>
        <v>WHOLE EXOME SEQUENCING</v>
      </c>
      <c r="C4098" s="153" t="str">
        <f>IFERROR(__xludf.DUMMYFUNCTION("""COMPUTED_VALUE"""),"25-05-2026")</f>
        <v>25-05-2026</v>
      </c>
      <c r="D4098" s="153" t="str">
        <f>IFERROR(__xludf.DUMMYFUNCTION("""COMPUTED_VALUE"""),"29-05-2026")</f>
        <v>29-05-2026</v>
      </c>
    </row>
    <row r="4099">
      <c r="A4099" s="153" t="str">
        <f>IFERROR(__xludf.DUMMYFUNCTION("""COMPUTED_VALUE"""),"ADK0000002018")</f>
        <v>ADK0000002018</v>
      </c>
      <c r="B4099" s="153" t="str">
        <f>IFERROR(__xludf.DUMMYFUNCTION("""COMPUTED_VALUE"""),"WHOLE EXOME SEQUENCING")</f>
        <v>WHOLE EXOME SEQUENCING</v>
      </c>
      <c r="C4099" s="153" t="str">
        <f>IFERROR(__xludf.DUMMYFUNCTION("""COMPUTED_VALUE"""),"25-05-2026")</f>
        <v>25-05-2026</v>
      </c>
      <c r="D4099" s="153" t="str">
        <f>IFERROR(__xludf.DUMMYFUNCTION("""COMPUTED_VALUE"""),"29-05-2026")</f>
        <v>29-05-2026</v>
      </c>
    </row>
    <row r="4100">
      <c r="A4100" s="153" t="str">
        <f>IFERROR(__xludf.DUMMYFUNCTION("""COMPUTED_VALUE"""),"DCC0000004543")</f>
        <v>DCC0000004543</v>
      </c>
      <c r="B4100" s="153" t="str">
        <f>IFERROR(__xludf.DUMMYFUNCTION("""COMPUTED_VALUE"""),"WHOLE EXOME SEQUENCING")</f>
        <v>WHOLE EXOME SEQUENCING</v>
      </c>
      <c r="C4100" s="153" t="str">
        <f>IFERROR(__xludf.DUMMYFUNCTION("""COMPUTED_VALUE"""),"25-05-2026")</f>
        <v>25-05-2026</v>
      </c>
      <c r="D4100" s="381">
        <f>IFERROR(__xludf.DUMMYFUNCTION("""COMPUTED_VALUE"""),46087.0)</f>
        <v>46087</v>
      </c>
    </row>
    <row r="4101">
      <c r="A4101" s="153" t="str">
        <f>IFERROR(__xludf.DUMMYFUNCTION("""COMPUTED_VALUE"""),"ADB0000036298")</f>
        <v>ADB0000036298</v>
      </c>
      <c r="B4101" s="153" t="str">
        <f>IFERROR(__xludf.DUMMYFUNCTION("""COMPUTED_VALUE"""),"WHOLE EXOME SEQUENCING")</f>
        <v>WHOLE EXOME SEQUENCING</v>
      </c>
      <c r="C4101" s="153" t="str">
        <f>IFERROR(__xludf.DUMMYFUNCTION("""COMPUTED_VALUE"""),"25-05-2026")</f>
        <v>25-05-2026</v>
      </c>
      <c r="D4101" s="381">
        <f>IFERROR(__xludf.DUMMYFUNCTION("""COMPUTED_VALUE"""),46087.0)</f>
        <v>46087</v>
      </c>
    </row>
    <row r="4102">
      <c r="A4102" s="153" t="str">
        <f>IFERROR(__xludf.DUMMYFUNCTION("""COMPUTED_VALUE"""),"ADB0000036309")</f>
        <v>ADB0000036309</v>
      </c>
      <c r="B4102" s="153" t="str">
        <f>IFERROR(__xludf.DUMMYFUNCTION("""COMPUTED_VALUE"""),"WHOLE EXOME SEQUENCING")</f>
        <v>WHOLE EXOME SEQUENCING</v>
      </c>
      <c r="C4102" s="153" t="str">
        <f>IFERROR(__xludf.DUMMYFUNCTION("""COMPUTED_VALUE"""),"25-05-2026")</f>
        <v>25-05-2026</v>
      </c>
      <c r="D4102" s="381">
        <f>IFERROR(__xludf.DUMMYFUNCTION("""COMPUTED_VALUE"""),46087.0)</f>
        <v>46087</v>
      </c>
    </row>
    <row r="4103">
      <c r="A4103" s="153" t="str">
        <f>IFERROR(__xludf.DUMMYFUNCTION("""COMPUTED_VALUE"""),"ADB0000036346")</f>
        <v>ADB0000036346</v>
      </c>
      <c r="B4103" s="153" t="str">
        <f>IFERROR(__xludf.DUMMYFUNCTION("""COMPUTED_VALUE"""),"WHOLE EXOME SEQUENCING")</f>
        <v>WHOLE EXOME SEQUENCING</v>
      </c>
      <c r="C4103" s="153" t="str">
        <f>IFERROR(__xludf.DUMMYFUNCTION("""COMPUTED_VALUE"""),"25-05-2026")</f>
        <v>25-05-2026</v>
      </c>
      <c r="D4103" s="381">
        <f>IFERROR(__xludf.DUMMYFUNCTION("""COMPUTED_VALUE"""),46087.0)</f>
        <v>46087</v>
      </c>
    </row>
    <row r="4104">
      <c r="A4104" s="153" t="str">
        <f>IFERROR(__xludf.DUMMYFUNCTION("""COMPUTED_VALUE"""),"ADK0000001946")</f>
        <v>ADK0000001946</v>
      </c>
      <c r="B4104" s="153" t="str">
        <f>IFERROR(__xludf.DUMMYFUNCTION("""COMPUTED_VALUE"""),"WES+WMGS")</f>
        <v>WES+WMGS</v>
      </c>
      <c r="C4104" s="153" t="str">
        <f>IFERROR(__xludf.DUMMYFUNCTION("""COMPUTED_VALUE"""),"25-05-2026")</f>
        <v>25-05-2026</v>
      </c>
      <c r="D4104" s="381">
        <f>IFERROR(__xludf.DUMMYFUNCTION("""COMPUTED_VALUE"""),46087.0)</f>
        <v>46087</v>
      </c>
    </row>
    <row r="4105">
      <c r="A4105" s="153" t="str">
        <f>IFERROR(__xludf.DUMMYFUNCTION("""COMPUTED_VALUE"""),"ADK0000001947")</f>
        <v>ADK0000001947</v>
      </c>
      <c r="B4105" s="153" t="str">
        <f>IFERROR(__xludf.DUMMYFUNCTION("""COMPUTED_VALUE"""),"WES+WMGS")</f>
        <v>WES+WMGS</v>
      </c>
      <c r="C4105" s="153" t="str">
        <f>IFERROR(__xludf.DUMMYFUNCTION("""COMPUTED_VALUE"""),"25-05-2026")</f>
        <v>25-05-2026</v>
      </c>
      <c r="D4105" s="381">
        <f>IFERROR(__xludf.DUMMYFUNCTION("""COMPUTED_VALUE"""),46087.0)</f>
        <v>46087</v>
      </c>
    </row>
    <row r="4106">
      <c r="A4106" s="153" t="str">
        <f>IFERROR(__xludf.DUMMYFUNCTION("""COMPUTED_VALUE"""),"ADK0000001948")</f>
        <v>ADK0000001948</v>
      </c>
      <c r="B4106" s="153" t="str">
        <f>IFERROR(__xludf.DUMMYFUNCTION("""COMPUTED_VALUE"""),"WES+WMGS")</f>
        <v>WES+WMGS</v>
      </c>
      <c r="C4106" s="153" t="str">
        <f>IFERROR(__xludf.DUMMYFUNCTION("""COMPUTED_VALUE"""),"25-05-2026")</f>
        <v>25-05-2026</v>
      </c>
      <c r="D4106" s="381">
        <f>IFERROR(__xludf.DUMMYFUNCTION("""COMPUTED_VALUE"""),46087.0)</f>
        <v>46087</v>
      </c>
    </row>
    <row r="4107">
      <c r="A4107" s="153" t="str">
        <f>IFERROR(__xludf.DUMMYFUNCTION("""COMPUTED_VALUE"""),"ADK0000002026")</f>
        <v>ADK0000002026</v>
      </c>
      <c r="B4107" s="153" t="str">
        <f>IFERROR(__xludf.DUMMYFUNCTION("""COMPUTED_VALUE"""),"WES+WMGS")</f>
        <v>WES+WMGS</v>
      </c>
      <c r="C4107" s="153" t="str">
        <f>IFERROR(__xludf.DUMMYFUNCTION("""COMPUTED_VALUE"""),"25-05-2026")</f>
        <v>25-05-2026</v>
      </c>
      <c r="D4107" s="381">
        <f>IFERROR(__xludf.DUMMYFUNCTION("""COMPUTED_VALUE"""),46118.0)</f>
        <v>46118</v>
      </c>
    </row>
    <row r="4108">
      <c r="A4108" s="153" t="str">
        <f>IFERROR(__xludf.DUMMYFUNCTION("""COMPUTED_VALUE"""),"ADK0000002027")</f>
        <v>ADK0000002027</v>
      </c>
      <c r="B4108" s="153" t="str">
        <f>IFERROR(__xludf.DUMMYFUNCTION("""COMPUTED_VALUE"""),"WES+WMGS")</f>
        <v>WES+WMGS</v>
      </c>
      <c r="C4108" s="153" t="str">
        <f>IFERROR(__xludf.DUMMYFUNCTION("""COMPUTED_VALUE"""),"25-05-2026")</f>
        <v>25-05-2026</v>
      </c>
      <c r="D4108" s="381">
        <f>IFERROR(__xludf.DUMMYFUNCTION("""COMPUTED_VALUE"""),46118.0)</f>
        <v>46118</v>
      </c>
    </row>
    <row r="4109">
      <c r="A4109" s="153" t="str">
        <f>IFERROR(__xludf.DUMMYFUNCTION("""COMPUTED_VALUE"""),"ANL0000007810")</f>
        <v>ANL0000007810</v>
      </c>
      <c r="B4109" s="153" t="str">
        <f>IFERROR(__xludf.DUMMYFUNCTION("""COMPUTED_VALUE"""),"WHOLE EXOME SEQUENCING")</f>
        <v>WHOLE EXOME SEQUENCING</v>
      </c>
      <c r="C4109" s="153" t="str">
        <f>IFERROR(__xludf.DUMMYFUNCTION("""COMPUTED_VALUE"""),"25-05-2026")</f>
        <v>25-05-2026</v>
      </c>
      <c r="D4109" s="381">
        <f>IFERROR(__xludf.DUMMYFUNCTION("""COMPUTED_VALUE"""),46118.0)</f>
        <v>46118</v>
      </c>
    </row>
    <row r="4110">
      <c r="A4110" s="153" t="str">
        <f>IFERROR(__xludf.DUMMYFUNCTION("""COMPUTED_VALUE"""),"ANL0000007811")</f>
        <v>ANL0000007811</v>
      </c>
      <c r="B4110" s="153" t="str">
        <f>IFERROR(__xludf.DUMMYFUNCTION("""COMPUTED_VALUE"""),"WHOLE EXOME SEQUENCING")</f>
        <v>WHOLE EXOME SEQUENCING</v>
      </c>
      <c r="C4110" s="153" t="str">
        <f>IFERROR(__xludf.DUMMYFUNCTION("""COMPUTED_VALUE"""),"25-05-2026")</f>
        <v>25-05-2026</v>
      </c>
      <c r="D4110" s="381">
        <f>IFERROR(__xludf.DUMMYFUNCTION("""COMPUTED_VALUE"""),46118.0)</f>
        <v>46118</v>
      </c>
    </row>
    <row r="4111">
      <c r="A4111" s="153" t="str">
        <f>IFERROR(__xludf.DUMMYFUNCTION("""COMPUTED_VALUE"""),"AMB0000009747")</f>
        <v>AMB0000009747</v>
      </c>
      <c r="B4111" s="153" t="str">
        <f>IFERROR(__xludf.DUMMYFUNCTION("""COMPUTED_VALUE"""),"WHOLE EXOME SEQUENCING")</f>
        <v>WHOLE EXOME SEQUENCING</v>
      </c>
      <c r="C4111" s="153" t="str">
        <f>IFERROR(__xludf.DUMMYFUNCTION("""COMPUTED_VALUE"""),"25-05-2026")</f>
        <v>25-05-2026</v>
      </c>
      <c r="D4111" s="381">
        <f>IFERROR(__xludf.DUMMYFUNCTION("""COMPUTED_VALUE"""),46118.0)</f>
        <v>46118</v>
      </c>
    </row>
    <row r="4112">
      <c r="A4112" s="153" t="str">
        <f>IFERROR(__xludf.DUMMYFUNCTION("""COMPUTED_VALUE"""),"AMB0000009748")</f>
        <v>AMB0000009748</v>
      </c>
      <c r="B4112" s="153" t="str">
        <f>IFERROR(__xludf.DUMMYFUNCTION("""COMPUTED_VALUE"""),"WHOLE EXOME SEQUENCING")</f>
        <v>WHOLE EXOME SEQUENCING</v>
      </c>
      <c r="C4112" s="153" t="str">
        <f>IFERROR(__xludf.DUMMYFUNCTION("""COMPUTED_VALUE"""),"25-05-2026")</f>
        <v>25-05-2026</v>
      </c>
      <c r="D4112" s="381">
        <f>IFERROR(__xludf.DUMMYFUNCTION("""COMPUTED_VALUE"""),46118.0)</f>
        <v>46118</v>
      </c>
    </row>
    <row r="4113">
      <c r="A4113" s="153" t="str">
        <f>IFERROR(__xludf.DUMMYFUNCTION("""COMPUTED_VALUE"""),"ADR0000005084")</f>
        <v>ADR0000005084</v>
      </c>
      <c r="B4113" s="153" t="str">
        <f>IFERROR(__xludf.DUMMYFUNCTION("""COMPUTED_VALUE"""),"WHOLE EXOME SEQUENCING")</f>
        <v>WHOLE EXOME SEQUENCING</v>
      </c>
      <c r="C4113" s="153" t="str">
        <f>IFERROR(__xludf.DUMMYFUNCTION("""COMPUTED_VALUE"""),"25-05-2026")</f>
        <v>25-05-2026</v>
      </c>
      <c r="D4113" s="381">
        <f>IFERROR(__xludf.DUMMYFUNCTION("""COMPUTED_VALUE"""),46148.0)</f>
        <v>46148</v>
      </c>
    </row>
    <row r="4114">
      <c r="A4114" s="153" t="str">
        <f>IFERROR(__xludf.DUMMYFUNCTION("""COMPUTED_VALUE"""),"DCC0000004589")</f>
        <v>DCC0000004589</v>
      </c>
      <c r="B4114" s="153" t="str">
        <f>IFERROR(__xludf.DUMMYFUNCTION("""COMPUTED_VALUE"""),"COMPREHENSIVE CARRIER SCREENING")</f>
        <v>COMPREHENSIVE CARRIER SCREENING</v>
      </c>
      <c r="C4114" s="153" t="str">
        <f>IFERROR(__xludf.DUMMYFUNCTION("""COMPUTED_VALUE"""),"25-05-2026")</f>
        <v>25-05-2026</v>
      </c>
      <c r="D4114" s="153" t="str">
        <f>IFERROR(__xludf.DUMMYFUNCTION("""COMPUTED_VALUE"""),"31-05-2026")</f>
        <v>31-05-2026</v>
      </c>
    </row>
    <row r="4115">
      <c r="A4115" s="153" t="str">
        <f>IFERROR(__xludf.DUMMYFUNCTION("""COMPUTED_VALUE"""),"HYP0000001759")</f>
        <v>HYP0000001759</v>
      </c>
      <c r="B4115" s="153" t="str">
        <f>IFERROR(__xludf.DUMMYFUNCTION("""COMPUTED_VALUE"""),"WHOLE EXOME SEQUENCING")</f>
        <v>WHOLE EXOME SEQUENCING</v>
      </c>
      <c r="C4115" s="153" t="str">
        <f>IFERROR(__xludf.DUMMYFUNCTION("""COMPUTED_VALUE"""),"25-05-2026")</f>
        <v>25-05-2026</v>
      </c>
      <c r="D4115" s="381">
        <f>IFERROR(__xludf.DUMMYFUNCTION("""COMPUTED_VALUE"""),46179.0)</f>
        <v>46179</v>
      </c>
    </row>
    <row r="4116">
      <c r="A4116" s="153" t="str">
        <f>IFERROR(__xludf.DUMMYFUNCTION("""COMPUTED_VALUE"""),"HYP0000001760")</f>
        <v>HYP0000001760</v>
      </c>
      <c r="B4116" s="153" t="str">
        <f>IFERROR(__xludf.DUMMYFUNCTION("""COMPUTED_VALUE"""),"WHOLE EXOME SEQUENCING")</f>
        <v>WHOLE EXOME SEQUENCING</v>
      </c>
      <c r="C4116" s="153" t="str">
        <f>IFERROR(__xludf.DUMMYFUNCTION("""COMPUTED_VALUE"""),"25-05-2026")</f>
        <v>25-05-2026</v>
      </c>
      <c r="D4116" s="381">
        <f>IFERROR(__xludf.DUMMYFUNCTION("""COMPUTED_VALUE"""),46179.0)</f>
        <v>46179</v>
      </c>
    </row>
    <row r="4117">
      <c r="A4117" s="153" t="str">
        <f>IFERROR(__xludf.DUMMYFUNCTION("""COMPUTED_VALUE"""),"GRM0000004003")</f>
        <v>GRM0000004003</v>
      </c>
      <c r="B4117" s="153" t="str">
        <f>IFERROR(__xludf.DUMMYFUNCTION("""COMPUTED_VALUE"""),"WHOLE EXOME SEQUENCING")</f>
        <v>WHOLE EXOME SEQUENCING</v>
      </c>
      <c r="C4117" s="153" t="str">
        <f>IFERROR(__xludf.DUMMYFUNCTION("""COMPUTED_VALUE"""),"25-05-2026")</f>
        <v>25-05-2026</v>
      </c>
      <c r="D4117" s="381">
        <f>IFERROR(__xludf.DUMMYFUNCTION("""COMPUTED_VALUE"""),46179.0)</f>
        <v>46179</v>
      </c>
    </row>
    <row r="4118">
      <c r="A4118" s="153" t="str">
        <f>IFERROR(__xludf.DUMMYFUNCTION("""COMPUTED_VALUE"""),"GRM0000004004")</f>
        <v>GRM0000004004</v>
      </c>
      <c r="B4118" s="153" t="str">
        <f>IFERROR(__xludf.DUMMYFUNCTION("""COMPUTED_VALUE"""),"WHOLE EXOME SEQUENCING")</f>
        <v>WHOLE EXOME SEQUENCING</v>
      </c>
      <c r="C4118" s="153" t="str">
        <f>IFERROR(__xludf.DUMMYFUNCTION("""COMPUTED_VALUE"""),"25-05-2026")</f>
        <v>25-05-2026</v>
      </c>
      <c r="D4118" s="381">
        <f>IFERROR(__xludf.DUMMYFUNCTION("""COMPUTED_VALUE"""),46179.0)</f>
        <v>46179</v>
      </c>
    </row>
    <row r="4119">
      <c r="A4119" s="153"/>
      <c r="B4119" s="153"/>
      <c r="C4119" s="153" t="str">
        <f>IFERROR(__xludf.DUMMYFUNCTION("""COMPUTED_VALUE"""),"25-05-2026")</f>
        <v>25-05-2026</v>
      </c>
      <c r="D4119" s="153"/>
    </row>
    <row r="4120">
      <c r="A4120" s="153" t="str">
        <f>IFERROR(__xludf.DUMMYFUNCTION("""COMPUTED_VALUE"""),"ADB0000035769")</f>
        <v>ADB0000035769</v>
      </c>
      <c r="B4120" s="153" t="str">
        <f>IFERROR(__xludf.DUMMYFUNCTION("""COMPUTED_VALUE"""),"CLINICAL EXOME SEQUENCING")</f>
        <v>CLINICAL EXOME SEQUENCING</v>
      </c>
      <c r="C4120" s="153" t="str">
        <f>IFERROR(__xludf.DUMMYFUNCTION("""COMPUTED_VALUE"""),"25-05-2026")</f>
        <v>25-05-2026</v>
      </c>
      <c r="D4120" s="153" t="str">
        <f>IFERROR(__xludf.DUMMYFUNCTION("""COMPUTED_VALUE"""),"27-05-2026")</f>
        <v>27-05-2026</v>
      </c>
    </row>
    <row r="4121">
      <c r="A4121" s="153" t="str">
        <f>IFERROR(__xludf.DUMMYFUNCTION("""COMPUTED_VALUE"""),"MGR0000000314")</f>
        <v>MGR0000000314</v>
      </c>
      <c r="B4121" s="153" t="str">
        <f>IFERROR(__xludf.DUMMYFUNCTION("""COMPUTED_VALUE"""),"CLINICAL EXOME SEQUENCING")</f>
        <v>CLINICAL EXOME SEQUENCING</v>
      </c>
      <c r="C4121" s="153" t="str">
        <f>IFERROR(__xludf.DUMMYFUNCTION("""COMPUTED_VALUE"""),"25-05-2026")</f>
        <v>25-05-2026</v>
      </c>
      <c r="D4121" s="381">
        <f>IFERROR(__xludf.DUMMYFUNCTION("""COMPUTED_VALUE"""),46179.0)</f>
        <v>46179</v>
      </c>
    </row>
    <row r="4122">
      <c r="A4122" s="153" t="str">
        <f>IFERROR(__xludf.DUMMYFUNCTION("""COMPUTED_VALUE"""),"ADB0000036869")</f>
        <v>ADB0000036869</v>
      </c>
      <c r="B4122" s="153" t="str">
        <f>IFERROR(__xludf.DUMMYFUNCTION("""COMPUTED_VALUE"""),"WHOLE EXOME SEQUENCING")</f>
        <v>WHOLE EXOME SEQUENCING</v>
      </c>
      <c r="C4122" s="153" t="str">
        <f>IFERROR(__xludf.DUMMYFUNCTION("""COMPUTED_VALUE"""),"25-05-2026")</f>
        <v>25-05-2026</v>
      </c>
      <c r="D4122" s="381">
        <f>IFERROR(__xludf.DUMMYFUNCTION("""COMPUTED_VALUE"""),46179.0)</f>
        <v>46179</v>
      </c>
    </row>
    <row r="4123">
      <c r="A4123" s="153" t="str">
        <f>IFERROR(__xludf.DUMMYFUNCTION("""COMPUTED_VALUE"""),"ATR0000013798")</f>
        <v>ATR0000013798</v>
      </c>
      <c r="B4123" s="153" t="str">
        <f>IFERROR(__xludf.DUMMYFUNCTION("""COMPUTED_VALUE"""),"MALE INFERTILITY NGS PANEL")</f>
        <v>MALE INFERTILITY NGS PANEL</v>
      </c>
      <c r="C4123" s="153" t="str">
        <f>IFERROR(__xludf.DUMMYFUNCTION("""COMPUTED_VALUE"""),"25-05-2026")</f>
        <v>25-05-2026</v>
      </c>
      <c r="D4123" s="153" t="str">
        <f>IFERROR(__xludf.DUMMYFUNCTION("""COMPUTED_VALUE"""),"26-05-2026")</f>
        <v>26-05-2026</v>
      </c>
    </row>
    <row r="4124">
      <c r="A4124" s="153" t="str">
        <f>IFERROR(__xludf.DUMMYFUNCTION("""COMPUTED_VALUE"""),"INT0000000019")</f>
        <v>INT0000000019</v>
      </c>
      <c r="B4124" s="153" t="str">
        <f>IFERROR(__xludf.DUMMYFUNCTION("""COMPUTED_VALUE"""),"FEMALE INFERTILITY NGS PANEL")</f>
        <v>FEMALE INFERTILITY NGS PANEL</v>
      </c>
      <c r="C4124" s="153" t="str">
        <f>IFERROR(__xludf.DUMMYFUNCTION("""COMPUTED_VALUE"""),"25-05-2026")</f>
        <v>25-05-2026</v>
      </c>
      <c r="D4124" s="153" t="str">
        <f>IFERROR(__xludf.DUMMYFUNCTION("""COMPUTED_VALUE"""),"26-05-2026")</f>
        <v>26-05-2026</v>
      </c>
    </row>
    <row r="4125">
      <c r="A4125" s="153" t="str">
        <f>IFERROR(__xludf.DUMMYFUNCTION("""COMPUTED_VALUE"""),"ADK0000002119")</f>
        <v>ADK0000002119</v>
      </c>
      <c r="B4125" s="153" t="str">
        <f>IFERROR(__xludf.DUMMYFUNCTION("""COMPUTED_VALUE"""),"WHOLE EXOME SEQUENCING")</f>
        <v>WHOLE EXOME SEQUENCING</v>
      </c>
      <c r="C4125" s="153" t="str">
        <f>IFERROR(__xludf.DUMMYFUNCTION("""COMPUTED_VALUE"""),"25-05-2026")</f>
        <v>25-05-2026</v>
      </c>
      <c r="D4125" s="381">
        <f>IFERROR(__xludf.DUMMYFUNCTION("""COMPUTED_VALUE"""),46209.0)</f>
        <v>46209</v>
      </c>
    </row>
    <row r="4126">
      <c r="A4126" s="153" t="str">
        <f>IFERROR(__xludf.DUMMYFUNCTION("""COMPUTED_VALUE"""),"ADK0000002082")</f>
        <v>ADK0000002082</v>
      </c>
      <c r="B4126" s="153" t="str">
        <f>IFERROR(__xludf.DUMMYFUNCTION("""COMPUTED_VALUE"""),"WHOLE EXOME SEQUENCING")</f>
        <v>WHOLE EXOME SEQUENCING</v>
      </c>
      <c r="C4126" s="153" t="str">
        <f>IFERROR(__xludf.DUMMYFUNCTION("""COMPUTED_VALUE"""),"25-05-2026")</f>
        <v>25-05-2026</v>
      </c>
      <c r="D4126" s="381">
        <f>IFERROR(__xludf.DUMMYFUNCTION("""COMPUTED_VALUE"""),46209.0)</f>
        <v>46209</v>
      </c>
    </row>
    <row r="4127">
      <c r="A4127" s="153" t="str">
        <f>IFERROR(__xludf.DUMMYFUNCTION("""COMPUTED_VALUE"""),"TPJ0000016271")</f>
        <v>TPJ0000016271</v>
      </c>
      <c r="B4127" s="153" t="str">
        <f>IFERROR(__xludf.DUMMYFUNCTION("""COMPUTED_VALUE"""),"WHOLE EXOME SEQUENCING")</f>
        <v>WHOLE EXOME SEQUENCING</v>
      </c>
      <c r="C4127" s="153" t="str">
        <f>IFERROR(__xludf.DUMMYFUNCTION("""COMPUTED_VALUE"""),"25-05-2026")</f>
        <v>25-05-2026</v>
      </c>
      <c r="D4127" s="381">
        <f>IFERROR(__xludf.DUMMYFUNCTION("""COMPUTED_VALUE"""),46209.0)</f>
        <v>46209</v>
      </c>
    </row>
    <row r="4128">
      <c r="A4128" s="153" t="str">
        <f>IFERROR(__xludf.DUMMYFUNCTION("""COMPUTED_VALUE"""),"AMB0000009777")</f>
        <v>AMB0000009777</v>
      </c>
      <c r="B4128" s="153" t="str">
        <f>IFERROR(__xludf.DUMMYFUNCTION("""COMPUTED_VALUE"""),"WHOLE EXOME SEQUENCING")</f>
        <v>WHOLE EXOME SEQUENCING</v>
      </c>
      <c r="C4128" s="153" t="str">
        <f>IFERROR(__xludf.DUMMYFUNCTION("""COMPUTED_VALUE"""),"25-05-2026")</f>
        <v>25-05-2026</v>
      </c>
      <c r="D4128" s="381">
        <f>IFERROR(__xludf.DUMMYFUNCTION("""COMPUTED_VALUE"""),46179.0)</f>
        <v>46179</v>
      </c>
    </row>
    <row r="4129">
      <c r="A4129" s="153" t="str">
        <f>IFERROR(__xludf.DUMMYFUNCTION("""COMPUTED_VALUE"""),"AMB0000009776")</f>
        <v>AMB0000009776</v>
      </c>
      <c r="B4129" s="153" t="str">
        <f>IFERROR(__xludf.DUMMYFUNCTION("""COMPUTED_VALUE"""),"WHOLE EXOME SEQUENCING")</f>
        <v>WHOLE EXOME SEQUENCING</v>
      </c>
      <c r="C4129" s="153" t="str">
        <f>IFERROR(__xludf.DUMMYFUNCTION("""COMPUTED_VALUE"""),"25-05-2026")</f>
        <v>25-05-2026</v>
      </c>
      <c r="D4129" s="381">
        <f>IFERROR(__xludf.DUMMYFUNCTION("""COMPUTED_VALUE"""),46179.0)</f>
        <v>46179</v>
      </c>
    </row>
    <row r="4130">
      <c r="A4130" s="153" t="str">
        <f>IFERROR(__xludf.DUMMYFUNCTION("""COMPUTED_VALUE"""),"PH60000008923")</f>
        <v>PH60000008923</v>
      </c>
      <c r="B4130" s="153" t="str">
        <f>IFERROR(__xludf.DUMMYFUNCTION("""COMPUTED_VALUE"""),"MALE INFERTILITY NGS PANEL")</f>
        <v>MALE INFERTILITY NGS PANEL</v>
      </c>
      <c r="C4130" s="153" t="str">
        <f>IFERROR(__xludf.DUMMYFUNCTION("""COMPUTED_VALUE"""),"25-05-2026")</f>
        <v>25-05-2026</v>
      </c>
      <c r="D4130" s="153" t="str">
        <f>IFERROR(__xludf.DUMMYFUNCTION("""COMPUTED_VALUE"""),"27-05-2026")</f>
        <v>27-05-2026</v>
      </c>
    </row>
    <row r="4131">
      <c r="A4131" s="153" t="str">
        <f>IFERROR(__xludf.DUMMYFUNCTION("""COMPUTED_VALUE"""),"ADH0000025112")</f>
        <v>ADH0000025112</v>
      </c>
      <c r="B4131" s="153" t="str">
        <f>IFERROR(__xludf.DUMMYFUNCTION("""COMPUTED_VALUE"""),"WHOLE EXOME SEQUENCING")</f>
        <v>WHOLE EXOME SEQUENCING</v>
      </c>
      <c r="C4131" s="153" t="str">
        <f>IFERROR(__xludf.DUMMYFUNCTION("""COMPUTED_VALUE"""),"25-05-2026")</f>
        <v>25-05-2026</v>
      </c>
      <c r="D4131" s="153" t="str">
        <f>IFERROR(__xludf.DUMMYFUNCTION("""COMPUTED_VALUE"""),"30-05-2026")</f>
        <v>30-05-2026</v>
      </c>
    </row>
    <row r="4132">
      <c r="A4132" s="153" t="str">
        <f>IFERROR(__xludf.DUMMYFUNCTION("""COMPUTED_VALUE"""),"ADK0000002106")</f>
        <v>ADK0000002106</v>
      </c>
      <c r="B4132" s="153" t="str">
        <f>IFERROR(__xludf.DUMMYFUNCTION("""COMPUTED_VALUE"""),"WHOLE EXOME SEQUENCING")</f>
        <v>WHOLE EXOME SEQUENCING</v>
      </c>
      <c r="C4132" s="153" t="str">
        <f>IFERROR(__xludf.DUMMYFUNCTION("""COMPUTED_VALUE"""),"25-05-2026")</f>
        <v>25-05-2026</v>
      </c>
      <c r="D4132" s="381">
        <f>IFERROR(__xludf.DUMMYFUNCTION("""COMPUTED_VALUE"""),46059.0)</f>
        <v>46059</v>
      </c>
    </row>
    <row r="4133">
      <c r="A4133" s="153" t="str">
        <f>IFERROR(__xludf.DUMMYFUNCTION("""COMPUTED_VALUE"""),"ADK0000002107")</f>
        <v>ADK0000002107</v>
      </c>
      <c r="B4133" s="153" t="str">
        <f>IFERROR(__xludf.DUMMYFUNCTION("""COMPUTED_VALUE"""),"WHOLE EXOME SEQUENCING")</f>
        <v>WHOLE EXOME SEQUENCING</v>
      </c>
      <c r="C4133" s="153" t="str">
        <f>IFERROR(__xludf.DUMMYFUNCTION("""COMPUTED_VALUE"""),"25-05-2026")</f>
        <v>25-05-2026</v>
      </c>
      <c r="D4133" s="381">
        <f>IFERROR(__xludf.DUMMYFUNCTION("""COMPUTED_VALUE"""),46059.0)</f>
        <v>46059</v>
      </c>
    </row>
    <row r="4134">
      <c r="A4134" s="153" t="str">
        <f>IFERROR(__xludf.DUMMYFUNCTION("""COMPUTED_VALUE"""),"ADK0000002108")</f>
        <v>ADK0000002108</v>
      </c>
      <c r="B4134" s="153" t="str">
        <f>IFERROR(__xludf.DUMMYFUNCTION("""COMPUTED_VALUE"""),"WHOLE EXOME SEQUENCING")</f>
        <v>WHOLE EXOME SEQUENCING</v>
      </c>
      <c r="C4134" s="153" t="str">
        <f>IFERROR(__xludf.DUMMYFUNCTION("""COMPUTED_VALUE"""),"25-05-2026")</f>
        <v>25-05-2026</v>
      </c>
      <c r="D4134" s="381">
        <f>IFERROR(__xludf.DUMMYFUNCTION("""COMPUTED_VALUE"""),46059.0)</f>
        <v>46059</v>
      </c>
    </row>
    <row r="4135">
      <c r="A4135" s="153" t="str">
        <f>IFERROR(__xludf.DUMMYFUNCTION("""COMPUTED_VALUE"""),"ADK0000002110")</f>
        <v>ADK0000002110</v>
      </c>
      <c r="B4135" s="153" t="str">
        <f>IFERROR(__xludf.DUMMYFUNCTION("""COMPUTED_VALUE"""),"WHOLE EXOME SEQUENCING")</f>
        <v>WHOLE EXOME SEQUENCING</v>
      </c>
      <c r="C4135" s="153" t="str">
        <f>IFERROR(__xludf.DUMMYFUNCTION("""COMPUTED_VALUE"""),"25-05-2026")</f>
        <v>25-05-2026</v>
      </c>
      <c r="D4135" s="381">
        <f>IFERROR(__xludf.DUMMYFUNCTION("""COMPUTED_VALUE"""),46059.0)</f>
        <v>46059</v>
      </c>
    </row>
    <row r="4136">
      <c r="A4136" s="153" t="str">
        <f>IFERROR(__xludf.DUMMYFUNCTION("""COMPUTED_VALUE"""),"ADK0000002111")</f>
        <v>ADK0000002111</v>
      </c>
      <c r="B4136" s="153" t="str">
        <f>IFERROR(__xludf.DUMMYFUNCTION("""COMPUTED_VALUE"""),"WHOLE EXOME SEQUENCING")</f>
        <v>WHOLE EXOME SEQUENCING</v>
      </c>
      <c r="C4136" s="153" t="str">
        <f>IFERROR(__xludf.DUMMYFUNCTION("""COMPUTED_VALUE"""),"25-05-2026")</f>
        <v>25-05-2026</v>
      </c>
      <c r="D4136" s="381">
        <f>IFERROR(__xludf.DUMMYFUNCTION("""COMPUTED_VALUE"""),46059.0)</f>
        <v>46059</v>
      </c>
    </row>
    <row r="4137">
      <c r="A4137" s="153" t="str">
        <f>IFERROR(__xludf.DUMMYFUNCTION("""COMPUTED_VALUE"""),"ADK0000002112")</f>
        <v>ADK0000002112</v>
      </c>
      <c r="B4137" s="153" t="str">
        <f>IFERROR(__xludf.DUMMYFUNCTION("""COMPUTED_VALUE"""),"WHOLE EXOME SEQUENCING")</f>
        <v>WHOLE EXOME SEQUENCING</v>
      </c>
      <c r="C4137" s="153" t="str">
        <f>IFERROR(__xludf.DUMMYFUNCTION("""COMPUTED_VALUE"""),"25-05-2026")</f>
        <v>25-05-2026</v>
      </c>
      <c r="D4137" s="381">
        <f>IFERROR(__xludf.DUMMYFUNCTION("""COMPUTED_VALUE"""),46059.0)</f>
        <v>46059</v>
      </c>
    </row>
    <row r="4138">
      <c r="A4138" s="153" t="str">
        <f>IFERROR(__xludf.DUMMYFUNCTION("""COMPUTED_VALUE"""),"ADK0000002113")</f>
        <v>ADK0000002113</v>
      </c>
      <c r="B4138" s="153" t="str">
        <f>IFERROR(__xludf.DUMMYFUNCTION("""COMPUTED_VALUE"""),"WHOLE EXOME SEQUENCING")</f>
        <v>WHOLE EXOME SEQUENCING</v>
      </c>
      <c r="C4138" s="153" t="str">
        <f>IFERROR(__xludf.DUMMYFUNCTION("""COMPUTED_VALUE"""),"25-05-2026")</f>
        <v>25-05-2026</v>
      </c>
      <c r="D4138" s="381">
        <f>IFERROR(__xludf.DUMMYFUNCTION("""COMPUTED_VALUE"""),46059.0)</f>
        <v>46059</v>
      </c>
    </row>
    <row r="4139">
      <c r="A4139" s="153" t="str">
        <f>IFERROR(__xludf.DUMMYFUNCTION("""COMPUTED_VALUE"""),"ADK0000002114")</f>
        <v>ADK0000002114</v>
      </c>
      <c r="B4139" s="153" t="str">
        <f>IFERROR(__xludf.DUMMYFUNCTION("""COMPUTED_VALUE"""),"WHOLE EXOME SEQUENCING")</f>
        <v>WHOLE EXOME SEQUENCING</v>
      </c>
      <c r="C4139" s="153" t="str">
        <f>IFERROR(__xludf.DUMMYFUNCTION("""COMPUTED_VALUE"""),"25-05-2026")</f>
        <v>25-05-2026</v>
      </c>
      <c r="D4139" s="381">
        <f>IFERROR(__xludf.DUMMYFUNCTION("""COMPUTED_VALUE"""),46059.0)</f>
        <v>46059</v>
      </c>
    </row>
    <row r="4140">
      <c r="A4140" s="153" t="str">
        <f>IFERROR(__xludf.DUMMYFUNCTION("""COMPUTED_VALUE"""),"ADK0000002115")</f>
        <v>ADK0000002115</v>
      </c>
      <c r="B4140" s="153" t="str">
        <f>IFERROR(__xludf.DUMMYFUNCTION("""COMPUTED_VALUE"""),"WHOLE EXOME SEQUENCING")</f>
        <v>WHOLE EXOME SEQUENCING</v>
      </c>
      <c r="C4140" s="153" t="str">
        <f>IFERROR(__xludf.DUMMYFUNCTION("""COMPUTED_VALUE"""),"25-05-2026")</f>
        <v>25-05-2026</v>
      </c>
      <c r="D4140" s="381">
        <f>IFERROR(__xludf.DUMMYFUNCTION("""COMPUTED_VALUE"""),46059.0)</f>
        <v>46059</v>
      </c>
    </row>
    <row r="4141">
      <c r="A4141" s="153" t="str">
        <f>IFERROR(__xludf.DUMMYFUNCTION("""COMPUTED_VALUE"""),"ADK0000002116")</f>
        <v>ADK0000002116</v>
      </c>
      <c r="B4141" s="153" t="str">
        <f>IFERROR(__xludf.DUMMYFUNCTION("""COMPUTED_VALUE"""),"WHOLE EXOME SEQUENCING")</f>
        <v>WHOLE EXOME SEQUENCING</v>
      </c>
      <c r="C4141" s="153" t="str">
        <f>IFERROR(__xludf.DUMMYFUNCTION("""COMPUTED_VALUE"""),"25-05-2026")</f>
        <v>25-05-2026</v>
      </c>
      <c r="D4141" s="381">
        <f>IFERROR(__xludf.DUMMYFUNCTION("""COMPUTED_VALUE"""),46059.0)</f>
        <v>46059</v>
      </c>
    </row>
    <row r="4142">
      <c r="A4142" s="153" t="str">
        <f>IFERROR(__xludf.DUMMYFUNCTION("""COMPUTED_VALUE"""),"ADK0000002117")</f>
        <v>ADK0000002117</v>
      </c>
      <c r="B4142" s="153" t="str">
        <f>IFERROR(__xludf.DUMMYFUNCTION("""COMPUTED_VALUE"""),"WHOLE EXOME SEQUENCING")</f>
        <v>WHOLE EXOME SEQUENCING</v>
      </c>
      <c r="C4142" s="153" t="str">
        <f>IFERROR(__xludf.DUMMYFUNCTION("""COMPUTED_VALUE"""),"25-05-2026")</f>
        <v>25-05-2026</v>
      </c>
      <c r="D4142" s="381">
        <f>IFERROR(__xludf.DUMMYFUNCTION("""COMPUTED_VALUE"""),46059.0)</f>
        <v>46059</v>
      </c>
    </row>
    <row r="4143">
      <c r="A4143" s="153" t="str">
        <f>IFERROR(__xludf.DUMMYFUNCTION("""COMPUTED_VALUE"""),"ADK0000002118")</f>
        <v>ADK0000002118</v>
      </c>
      <c r="B4143" s="153" t="str">
        <f>IFERROR(__xludf.DUMMYFUNCTION("""COMPUTED_VALUE"""),"WHOLE EXOME SEQUENCING")</f>
        <v>WHOLE EXOME SEQUENCING</v>
      </c>
      <c r="C4143" s="153" t="str">
        <f>IFERROR(__xludf.DUMMYFUNCTION("""COMPUTED_VALUE"""),"25-05-2026")</f>
        <v>25-05-2026</v>
      </c>
      <c r="D4143" s="381">
        <f>IFERROR(__xludf.DUMMYFUNCTION("""COMPUTED_VALUE"""),46059.0)</f>
        <v>46059</v>
      </c>
    </row>
    <row r="4144">
      <c r="A4144" s="153" t="str">
        <f>IFERROR(__xludf.DUMMYFUNCTION("""COMPUTED_VALUE"""),"ADB0000036563")</f>
        <v>ADB0000036563</v>
      </c>
      <c r="B4144" s="153" t="str">
        <f>IFERROR(__xludf.DUMMYFUNCTION("""COMPUTED_VALUE"""),"WHOLE EXOME SEQUENCING")</f>
        <v>WHOLE EXOME SEQUENCING</v>
      </c>
      <c r="C4144" s="153" t="str">
        <f>IFERROR(__xludf.DUMMYFUNCTION("""COMPUTED_VALUE"""),"25-05-2026")</f>
        <v>25-05-2026</v>
      </c>
      <c r="D4144" s="381">
        <f>IFERROR(__xludf.DUMMYFUNCTION("""COMPUTED_VALUE"""),46118.0)</f>
        <v>46118</v>
      </c>
    </row>
    <row r="4145">
      <c r="A4145" s="153" t="str">
        <f>IFERROR(__xludf.DUMMYFUNCTION("""COMPUTED_VALUE"""),"ADK0000002485")</f>
        <v>ADK0000002485</v>
      </c>
      <c r="B4145" s="153" t="str">
        <f>IFERROR(__xludf.DUMMYFUNCTION("""COMPUTED_VALUE"""),"WHOLE EXOME SEQUENCING")</f>
        <v>WHOLE EXOME SEQUENCING</v>
      </c>
      <c r="C4145" s="378">
        <f>IFERROR(__xludf.DUMMYFUNCTION("""COMPUTED_VALUE"""),46168.0)</f>
        <v>46168</v>
      </c>
      <c r="D4145" s="378">
        <f>IFERROR(__xludf.DUMMYFUNCTION("""COMPUTED_VALUE"""),46181.0)</f>
        <v>46181</v>
      </c>
    </row>
    <row r="4146">
      <c r="A4146" s="153" t="str">
        <f>IFERROR(__xludf.DUMMYFUNCTION("""COMPUTED_VALUE"""),"ADK0000002486")</f>
        <v>ADK0000002486</v>
      </c>
      <c r="B4146" s="153" t="str">
        <f>IFERROR(__xludf.DUMMYFUNCTION("""COMPUTED_VALUE"""),"WHOLE EXOME SEQUENCING")</f>
        <v>WHOLE EXOME SEQUENCING</v>
      </c>
      <c r="C4146" s="378">
        <f>IFERROR(__xludf.DUMMYFUNCTION("""COMPUTED_VALUE"""),46168.0)</f>
        <v>46168</v>
      </c>
      <c r="D4146" s="378">
        <f>IFERROR(__xludf.DUMMYFUNCTION("""COMPUTED_VALUE"""),46181.0)</f>
        <v>46181</v>
      </c>
    </row>
    <row r="4147">
      <c r="A4147" s="153" t="str">
        <f>IFERROR(__xludf.DUMMYFUNCTION("""COMPUTED_VALUE"""),"ADK0000002487")</f>
        <v>ADK0000002487</v>
      </c>
      <c r="B4147" s="153" t="str">
        <f>IFERROR(__xludf.DUMMYFUNCTION("""COMPUTED_VALUE"""),"WHOLE EXOME SEQUENCING")</f>
        <v>WHOLE EXOME SEQUENCING</v>
      </c>
      <c r="C4147" s="378">
        <f>IFERROR(__xludf.DUMMYFUNCTION("""COMPUTED_VALUE"""),46168.0)</f>
        <v>46168</v>
      </c>
      <c r="D4147" s="378">
        <f>IFERROR(__xludf.DUMMYFUNCTION("""COMPUTED_VALUE"""),46181.0)</f>
        <v>46181</v>
      </c>
    </row>
    <row r="4148">
      <c r="A4148" s="153" t="str">
        <f>IFERROR(__xludf.DUMMYFUNCTION("""COMPUTED_VALUE"""),"ADK0000002488")</f>
        <v>ADK0000002488</v>
      </c>
      <c r="B4148" s="153" t="str">
        <f>IFERROR(__xludf.DUMMYFUNCTION("""COMPUTED_VALUE"""),"WHOLE EXOME SEQUENCING")</f>
        <v>WHOLE EXOME SEQUENCING</v>
      </c>
      <c r="C4148" s="378">
        <f>IFERROR(__xludf.DUMMYFUNCTION("""COMPUTED_VALUE"""),46168.0)</f>
        <v>46168</v>
      </c>
      <c r="D4148" s="378">
        <f>IFERROR(__xludf.DUMMYFUNCTION("""COMPUTED_VALUE"""),46181.0)</f>
        <v>46181</v>
      </c>
    </row>
    <row r="4149">
      <c r="A4149" s="153" t="str">
        <f>IFERROR(__xludf.DUMMYFUNCTION("""COMPUTED_VALUE"""),"ADK0000002489")</f>
        <v>ADK0000002489</v>
      </c>
      <c r="B4149" s="153" t="str">
        <f>IFERROR(__xludf.DUMMYFUNCTION("""COMPUTED_VALUE"""),"WHOLE EXOME SEQUENCING")</f>
        <v>WHOLE EXOME SEQUENCING</v>
      </c>
      <c r="C4149" s="378">
        <f>IFERROR(__xludf.DUMMYFUNCTION("""COMPUTED_VALUE"""),46168.0)</f>
        <v>46168</v>
      </c>
      <c r="D4149" s="378">
        <f>IFERROR(__xludf.DUMMYFUNCTION("""COMPUTED_VALUE"""),46181.0)</f>
        <v>46181</v>
      </c>
    </row>
    <row r="4150">
      <c r="A4150" s="153" t="str">
        <f>IFERROR(__xludf.DUMMYFUNCTION("""COMPUTED_VALUE"""),"ADK0000002490")</f>
        <v>ADK0000002490</v>
      </c>
      <c r="B4150" s="153" t="str">
        <f>IFERROR(__xludf.DUMMYFUNCTION("""COMPUTED_VALUE"""),"WHOLE EXOME SEQUENCING")</f>
        <v>WHOLE EXOME SEQUENCING</v>
      </c>
      <c r="C4150" s="378">
        <f>IFERROR(__xludf.DUMMYFUNCTION("""COMPUTED_VALUE"""),46168.0)</f>
        <v>46168</v>
      </c>
      <c r="D4150" s="378">
        <f>IFERROR(__xludf.DUMMYFUNCTION("""COMPUTED_VALUE"""),46181.0)</f>
        <v>46181</v>
      </c>
    </row>
    <row r="4151">
      <c r="A4151" s="153" t="str">
        <f>IFERROR(__xludf.DUMMYFUNCTION("""COMPUTED_VALUE"""),"ADK0000002491")</f>
        <v>ADK0000002491</v>
      </c>
      <c r="B4151" s="153" t="str">
        <f>IFERROR(__xludf.DUMMYFUNCTION("""COMPUTED_VALUE"""),"WHOLE EXOME SEQUENCING")</f>
        <v>WHOLE EXOME SEQUENCING</v>
      </c>
      <c r="C4151" s="378">
        <f>IFERROR(__xludf.DUMMYFUNCTION("""COMPUTED_VALUE"""),46168.0)</f>
        <v>46168</v>
      </c>
      <c r="D4151" s="378">
        <f>IFERROR(__xludf.DUMMYFUNCTION("""COMPUTED_VALUE"""),46181.0)</f>
        <v>46181</v>
      </c>
    </row>
    <row r="4152">
      <c r="A4152" s="153" t="str">
        <f>IFERROR(__xludf.DUMMYFUNCTION("""COMPUTED_VALUE"""),"ADK0000002493")</f>
        <v>ADK0000002493</v>
      </c>
      <c r="B4152" s="153" t="str">
        <f>IFERROR(__xludf.DUMMYFUNCTION("""COMPUTED_VALUE"""),"WHOLE EXOME SEQUENCING")</f>
        <v>WHOLE EXOME SEQUENCING</v>
      </c>
      <c r="C4152" s="378">
        <f>IFERROR(__xludf.DUMMYFUNCTION("""COMPUTED_VALUE"""),46168.0)</f>
        <v>46168</v>
      </c>
      <c r="D4152" s="378">
        <f>IFERROR(__xludf.DUMMYFUNCTION("""COMPUTED_VALUE"""),46181.0)</f>
        <v>46181</v>
      </c>
    </row>
    <row r="4153">
      <c r="A4153" s="153" t="str">
        <f>IFERROR(__xludf.DUMMYFUNCTION("""COMPUTED_VALUE"""),"ADK0000002494")</f>
        <v>ADK0000002494</v>
      </c>
      <c r="B4153" s="153" t="str">
        <f>IFERROR(__xludf.DUMMYFUNCTION("""COMPUTED_VALUE"""),"WHOLE EXOME SEQUENCING")</f>
        <v>WHOLE EXOME SEQUENCING</v>
      </c>
      <c r="C4153" s="378">
        <f>IFERROR(__xludf.DUMMYFUNCTION("""COMPUTED_VALUE"""),46168.0)</f>
        <v>46168</v>
      </c>
      <c r="D4153" s="378">
        <f>IFERROR(__xludf.DUMMYFUNCTION("""COMPUTED_VALUE"""),46181.0)</f>
        <v>46181</v>
      </c>
    </row>
    <row r="4154">
      <c r="A4154" s="153" t="str">
        <f>IFERROR(__xludf.DUMMYFUNCTION("""COMPUTED_VALUE"""),"ADK0000002495")</f>
        <v>ADK0000002495</v>
      </c>
      <c r="B4154" s="153" t="str">
        <f>IFERROR(__xludf.DUMMYFUNCTION("""COMPUTED_VALUE"""),"WHOLE EXOME SEQUENCING")</f>
        <v>WHOLE EXOME SEQUENCING</v>
      </c>
      <c r="C4154" s="378">
        <f>IFERROR(__xludf.DUMMYFUNCTION("""COMPUTED_VALUE"""),46168.0)</f>
        <v>46168</v>
      </c>
      <c r="D4154" s="378">
        <f>IFERROR(__xludf.DUMMYFUNCTION("""COMPUTED_VALUE"""),46181.0)</f>
        <v>46181</v>
      </c>
    </row>
    <row r="4155">
      <c r="A4155" s="153" t="str">
        <f>IFERROR(__xludf.DUMMYFUNCTION("""COMPUTED_VALUE"""),"ADK0000002496")</f>
        <v>ADK0000002496</v>
      </c>
      <c r="B4155" s="153" t="str">
        <f>IFERROR(__xludf.DUMMYFUNCTION("""COMPUTED_VALUE"""),"WHOLE EXOME SEQUENCING")</f>
        <v>WHOLE EXOME SEQUENCING</v>
      </c>
      <c r="C4155" s="378">
        <f>IFERROR(__xludf.DUMMYFUNCTION("""COMPUTED_VALUE"""),46168.0)</f>
        <v>46168</v>
      </c>
      <c r="D4155" s="378">
        <f>IFERROR(__xludf.DUMMYFUNCTION("""COMPUTED_VALUE"""),46181.0)</f>
        <v>46181</v>
      </c>
    </row>
    <row r="4156">
      <c r="A4156" s="153" t="str">
        <f>IFERROR(__xludf.DUMMYFUNCTION("""COMPUTED_VALUE"""),"ADK0000002497")</f>
        <v>ADK0000002497</v>
      </c>
      <c r="B4156" s="153" t="str">
        <f>IFERROR(__xludf.DUMMYFUNCTION("""COMPUTED_VALUE"""),"WHOLE EXOME SEQUENCING")</f>
        <v>WHOLE EXOME SEQUENCING</v>
      </c>
      <c r="C4156" s="378">
        <f>IFERROR(__xludf.DUMMYFUNCTION("""COMPUTED_VALUE"""),46168.0)</f>
        <v>46168</v>
      </c>
      <c r="D4156" s="378">
        <f>IFERROR(__xludf.DUMMYFUNCTION("""COMPUTED_VALUE"""),46181.0)</f>
        <v>46181</v>
      </c>
    </row>
    <row r="4157">
      <c r="A4157" s="153" t="str">
        <f>IFERROR(__xludf.DUMMYFUNCTION("""COMPUTED_VALUE"""),"ADK0000002498")</f>
        <v>ADK0000002498</v>
      </c>
      <c r="B4157" s="153" t="str">
        <f>IFERROR(__xludf.DUMMYFUNCTION("""COMPUTED_VALUE"""),"WHOLE EXOME SEQUENCING")</f>
        <v>WHOLE EXOME SEQUENCING</v>
      </c>
      <c r="C4157" s="378">
        <f>IFERROR(__xludf.DUMMYFUNCTION("""COMPUTED_VALUE"""),46168.0)</f>
        <v>46168</v>
      </c>
      <c r="D4157" s="378">
        <f>IFERROR(__xludf.DUMMYFUNCTION("""COMPUTED_VALUE"""),46181.0)</f>
        <v>46181</v>
      </c>
    </row>
    <row r="4158">
      <c r="A4158" s="153" t="str">
        <f>IFERROR(__xludf.DUMMYFUNCTION("""COMPUTED_VALUE"""),"ADK0000002499")</f>
        <v>ADK0000002499</v>
      </c>
      <c r="B4158" s="153" t="str">
        <f>IFERROR(__xludf.DUMMYFUNCTION("""COMPUTED_VALUE"""),"WHOLE EXOME SEQUENCING")</f>
        <v>WHOLE EXOME SEQUENCING</v>
      </c>
      <c r="C4158" s="378">
        <f>IFERROR(__xludf.DUMMYFUNCTION("""COMPUTED_VALUE"""),46168.0)</f>
        <v>46168</v>
      </c>
      <c r="D4158" s="378">
        <f>IFERROR(__xludf.DUMMYFUNCTION("""COMPUTED_VALUE"""),46181.0)</f>
        <v>46181</v>
      </c>
    </row>
    <row r="4159">
      <c r="A4159" s="153" t="str">
        <f>IFERROR(__xludf.DUMMYFUNCTION("""COMPUTED_VALUE"""),"ADK0000002500")</f>
        <v>ADK0000002500</v>
      </c>
      <c r="B4159" s="153" t="str">
        <f>IFERROR(__xludf.DUMMYFUNCTION("""COMPUTED_VALUE"""),"WHOLE EXOME SEQUENCING")</f>
        <v>WHOLE EXOME SEQUENCING</v>
      </c>
      <c r="C4159" s="378">
        <f>IFERROR(__xludf.DUMMYFUNCTION("""COMPUTED_VALUE"""),46168.0)</f>
        <v>46168</v>
      </c>
      <c r="D4159" s="378">
        <f>IFERROR(__xludf.DUMMYFUNCTION("""COMPUTED_VALUE"""),46181.0)</f>
        <v>46181</v>
      </c>
    </row>
    <row r="4160">
      <c r="A4160" s="153" t="str">
        <f>IFERROR(__xludf.DUMMYFUNCTION("""COMPUTED_VALUE"""),"MDP0000000641")</f>
        <v>MDP0000000641</v>
      </c>
      <c r="B4160" s="153" t="str">
        <f>IFERROR(__xludf.DUMMYFUNCTION("""COMPUTED_VALUE"""),"HEREDITARY CANCER GENE PANEL")</f>
        <v>HEREDITARY CANCER GENE PANEL</v>
      </c>
      <c r="C4160" s="378">
        <f>IFERROR(__xludf.DUMMYFUNCTION("""COMPUTED_VALUE"""),46168.0)</f>
        <v>46168</v>
      </c>
      <c r="D4160" s="153"/>
    </row>
    <row r="4161">
      <c r="A4161" s="153"/>
      <c r="B4161" s="153"/>
      <c r="C4161" s="153"/>
      <c r="D4161" s="153"/>
    </row>
    <row r="4162">
      <c r="A4162" s="153"/>
      <c r="B4162" s="153"/>
      <c r="C4162" s="153"/>
      <c r="D4162" s="153"/>
    </row>
    <row r="4163">
      <c r="A4163" s="153"/>
      <c r="B4163" s="153"/>
      <c r="C4163" s="153"/>
      <c r="D4163" s="153"/>
    </row>
    <row r="4164">
      <c r="A4164" s="153"/>
      <c r="B4164" s="153"/>
      <c r="C4164" s="153"/>
      <c r="D4164" s="153"/>
    </row>
    <row r="4165">
      <c r="A4165" s="153"/>
      <c r="B4165" s="153"/>
      <c r="C4165" s="153"/>
      <c r="D4165" s="153"/>
    </row>
    <row r="4166">
      <c r="A4166" s="153"/>
      <c r="B4166" s="153"/>
      <c r="C4166" s="153"/>
      <c r="D4166" s="153"/>
    </row>
    <row r="4167">
      <c r="A4167" s="153"/>
      <c r="B4167" s="153"/>
      <c r="C4167" s="153"/>
      <c r="D4167" s="153"/>
    </row>
    <row r="4168">
      <c r="A4168" s="153"/>
      <c r="B4168" s="153"/>
      <c r="C4168" s="153"/>
      <c r="D4168" s="153"/>
    </row>
    <row r="4169">
      <c r="A4169" s="153"/>
      <c r="B4169" s="153"/>
      <c r="C4169" s="153"/>
      <c r="D4169" s="153"/>
    </row>
    <row r="4170">
      <c r="A4170" s="153" t="str">
        <f>IFERROR(__xludf.DUMMYFUNCTION("""COMPUTED_VALUE"""),"ADK0000002311")</f>
        <v>ADK0000002311</v>
      </c>
      <c r="B4170" s="153" t="str">
        <f>IFERROR(__xludf.DUMMYFUNCTION("""COMPUTED_VALUE"""),"WHOLE EXOME SEQUENCING")</f>
        <v>WHOLE EXOME SEQUENCING</v>
      </c>
      <c r="C4170" s="378">
        <f>IFERROR(__xludf.DUMMYFUNCTION("""COMPUTED_VALUE"""),46168.0)</f>
        <v>46168</v>
      </c>
      <c r="D4170" s="378">
        <f>IFERROR(__xludf.DUMMYFUNCTION("""COMPUTED_VALUE"""),46182.0)</f>
        <v>46182</v>
      </c>
    </row>
    <row r="4171">
      <c r="A4171" s="153" t="str">
        <f>IFERROR(__xludf.DUMMYFUNCTION("""COMPUTED_VALUE"""),"PH50000017264
")</f>
        <v>PH50000017264
</v>
      </c>
      <c r="B4171" s="153" t="str">
        <f>IFERROR(__xludf.DUMMYFUNCTION("""COMPUTED_VALUE"""),"WES+WMGS")</f>
        <v>WES+WMGS</v>
      </c>
      <c r="C4171" s="378">
        <f>IFERROR(__xludf.DUMMYFUNCTION("""COMPUTED_VALUE"""),46168.0)</f>
        <v>46168</v>
      </c>
      <c r="D4171" s="378">
        <f>IFERROR(__xludf.DUMMYFUNCTION("""COMPUTED_VALUE"""),46180.0)</f>
        <v>46180</v>
      </c>
    </row>
    <row r="4172">
      <c r="A4172" s="153" t="str">
        <f>IFERROR(__xludf.DUMMYFUNCTION("""COMPUTED_VALUE"""),"PH50000017583
")</f>
        <v>PH50000017583
</v>
      </c>
      <c r="B4172" s="153" t="str">
        <f>IFERROR(__xludf.DUMMYFUNCTION("""COMPUTED_VALUE"""),"WES+WMGS")</f>
        <v>WES+WMGS</v>
      </c>
      <c r="C4172" s="378">
        <f>IFERROR(__xludf.DUMMYFUNCTION("""COMPUTED_VALUE"""),46168.0)</f>
        <v>46168</v>
      </c>
      <c r="D4172" s="378">
        <f>IFERROR(__xludf.DUMMYFUNCTION("""COMPUTED_VALUE"""),46181.0)</f>
        <v>46181</v>
      </c>
    </row>
    <row r="4173">
      <c r="A4173" s="153" t="str">
        <f>IFERROR(__xludf.DUMMYFUNCTION("""COMPUTED_VALUE"""),"PH50000017585")</f>
        <v>PH50000017585</v>
      </c>
      <c r="B4173" s="153" t="str">
        <f>IFERROR(__xludf.DUMMYFUNCTION("""COMPUTED_VALUE"""),"WES+WMGS")</f>
        <v>WES+WMGS</v>
      </c>
      <c r="C4173" s="378">
        <f>IFERROR(__xludf.DUMMYFUNCTION("""COMPUTED_VALUE"""),46168.0)</f>
        <v>46168</v>
      </c>
      <c r="D4173" s="378">
        <f>IFERROR(__xludf.DUMMYFUNCTION("""COMPUTED_VALUE"""),46181.0)</f>
        <v>46181</v>
      </c>
    </row>
    <row r="4174">
      <c r="A4174" s="153" t="str">
        <f>IFERROR(__xludf.DUMMYFUNCTION("""COMPUTED_VALUE"""),"PH50000018127")</f>
        <v>PH50000018127</v>
      </c>
      <c r="B4174" s="153" t="str">
        <f>IFERROR(__xludf.DUMMYFUNCTION("""COMPUTED_VALUE"""),"WES+WMGS")</f>
        <v>WES+WMGS</v>
      </c>
      <c r="C4174" s="378">
        <f>IFERROR(__xludf.DUMMYFUNCTION("""COMPUTED_VALUE"""),46168.0)</f>
        <v>46168</v>
      </c>
      <c r="D4174" s="378">
        <f>IFERROR(__xludf.DUMMYFUNCTION("""COMPUTED_VALUE"""),46183.0)</f>
        <v>46183</v>
      </c>
    </row>
    <row r="4175">
      <c r="A4175" s="153" t="str">
        <f>IFERROR(__xludf.DUMMYFUNCTION("""COMPUTED_VALUE"""),"ADS0000010894")</f>
        <v>ADS0000010894</v>
      </c>
      <c r="B4175" s="153" t="str">
        <f>IFERROR(__xludf.DUMMYFUNCTION("""COMPUTED_VALUE"""),"WHOLE EXOME SEQUENCING")</f>
        <v>WHOLE EXOME SEQUENCING</v>
      </c>
      <c r="C4175" s="378">
        <f>IFERROR(__xludf.DUMMYFUNCTION("""COMPUTED_VALUE"""),46168.0)</f>
        <v>46168</v>
      </c>
      <c r="D4175" s="378">
        <f>IFERROR(__xludf.DUMMYFUNCTION("""COMPUTED_VALUE"""),46181.0)</f>
        <v>46181</v>
      </c>
    </row>
    <row r="4176">
      <c r="A4176" s="153" t="str">
        <f>IFERROR(__xludf.DUMMYFUNCTION("""COMPUTED_VALUE"""),"ADB0000037305")</f>
        <v>ADB0000037305</v>
      </c>
      <c r="B4176" s="153" t="str">
        <f>IFERROR(__xludf.DUMMYFUNCTION("""COMPUTED_VALUE"""),"FEMALE INFERTILITY NGS PANEL")</f>
        <v>FEMALE INFERTILITY NGS PANEL</v>
      </c>
      <c r="C4176" s="378">
        <f>IFERROR(__xludf.DUMMYFUNCTION("""COMPUTED_VALUE"""),46168.0)</f>
        <v>46168</v>
      </c>
      <c r="D4176" s="378">
        <f>IFERROR(__xludf.DUMMYFUNCTION("""COMPUTED_VALUE"""),46171.0)</f>
        <v>46171</v>
      </c>
    </row>
    <row r="4177">
      <c r="A4177" s="153" t="str">
        <f>IFERROR(__xludf.DUMMYFUNCTION("""COMPUTED_VALUE"""),"ADB0000037318")</f>
        <v>ADB0000037318</v>
      </c>
      <c r="B4177" s="153" t="str">
        <f>IFERROR(__xludf.DUMMYFUNCTION("""COMPUTED_VALUE"""),"MALE INFERTILITY NGS PANEL")</f>
        <v>MALE INFERTILITY NGS PANEL</v>
      </c>
      <c r="C4177" s="378">
        <f>IFERROR(__xludf.DUMMYFUNCTION("""COMPUTED_VALUE"""),46168.0)</f>
        <v>46168</v>
      </c>
      <c r="D4177" s="378">
        <f>IFERROR(__xludf.DUMMYFUNCTION("""COMPUTED_VALUE"""),46171.0)</f>
        <v>46171</v>
      </c>
    </row>
    <row r="4178">
      <c r="A4178" s="153" t="str">
        <f>IFERROR(__xludf.DUMMYFUNCTION("""COMPUTED_VALUE"""),"ATR0000013927")</f>
        <v>ATR0000013927</v>
      </c>
      <c r="B4178" s="153" t="str">
        <f>IFERROR(__xludf.DUMMYFUNCTION("""COMPUTED_VALUE"""),"WHOLE EXOME SEQUENCING")</f>
        <v>WHOLE EXOME SEQUENCING</v>
      </c>
      <c r="C4178" s="378">
        <f>IFERROR(__xludf.DUMMYFUNCTION("""COMPUTED_VALUE"""),46171.0)</f>
        <v>46171</v>
      </c>
      <c r="D4178" s="378">
        <f>IFERROR(__xludf.DUMMYFUNCTION("""COMPUTED_VALUE"""),46182.0)</f>
        <v>46182</v>
      </c>
    </row>
    <row r="4179">
      <c r="A4179" s="153" t="str">
        <f>IFERROR(__xludf.DUMMYFUNCTION("""COMPUTED_VALUE"""),"ABC0000001312")</f>
        <v>ABC0000001312</v>
      </c>
      <c r="B4179" s="153" t="str">
        <f>IFERROR(__xludf.DUMMYFUNCTION("""COMPUTED_VALUE"""),"CLINICAL EXOME SEQUENCING")</f>
        <v>CLINICAL EXOME SEQUENCING</v>
      </c>
      <c r="C4179" s="378">
        <f>IFERROR(__xludf.DUMMYFUNCTION("""COMPUTED_VALUE"""),46171.0)</f>
        <v>46171</v>
      </c>
      <c r="D4179" s="378">
        <f>IFERROR(__xludf.DUMMYFUNCTION("""COMPUTED_VALUE"""),46181.0)</f>
        <v>46181</v>
      </c>
    </row>
    <row r="4180">
      <c r="A4180" s="153" t="str">
        <f>IFERROR(__xludf.DUMMYFUNCTION("""COMPUTED_VALUE"""),"ANG0000008118")</f>
        <v>ANG0000008118</v>
      </c>
      <c r="B4180" s="153" t="str">
        <f>IFERROR(__xludf.DUMMYFUNCTION("""COMPUTED_VALUE"""),"CLINICAL EXOME SEQUENCING")</f>
        <v>CLINICAL EXOME SEQUENCING</v>
      </c>
      <c r="C4180" s="378">
        <f>IFERROR(__xludf.DUMMYFUNCTION("""COMPUTED_VALUE"""),46171.0)</f>
        <v>46171</v>
      </c>
      <c r="D4180" s="378">
        <f>IFERROR(__xludf.DUMMYFUNCTION("""COMPUTED_VALUE"""),46181.0)</f>
        <v>46181</v>
      </c>
    </row>
    <row r="4181">
      <c r="A4181" s="153" t="str">
        <f>IFERROR(__xludf.DUMMYFUNCTION("""COMPUTED_VALUE"""),"ADK0000002121")</f>
        <v>ADK0000002121</v>
      </c>
      <c r="B4181" s="153" t="str">
        <f>IFERROR(__xludf.DUMMYFUNCTION("""COMPUTED_VALUE"""),"WES+WMGS")</f>
        <v>WES+WMGS</v>
      </c>
      <c r="C4181" s="378">
        <f>IFERROR(__xludf.DUMMYFUNCTION("""COMPUTED_VALUE"""),46171.0)</f>
        <v>46171</v>
      </c>
      <c r="D4181" s="378">
        <f>IFERROR(__xludf.DUMMYFUNCTION("""COMPUTED_VALUE"""),46181.0)</f>
        <v>46181</v>
      </c>
    </row>
    <row r="4182">
      <c r="A4182" s="153" t="str">
        <f>IFERROR(__xludf.DUMMYFUNCTION("""COMPUTED_VALUE"""),"ADK0000002122")</f>
        <v>ADK0000002122</v>
      </c>
      <c r="B4182" s="153" t="str">
        <f>IFERROR(__xludf.DUMMYFUNCTION("""COMPUTED_VALUE"""),"WES+WMGS")</f>
        <v>WES+WMGS</v>
      </c>
      <c r="C4182" s="378">
        <f>IFERROR(__xludf.DUMMYFUNCTION("""COMPUTED_VALUE"""),46171.0)</f>
        <v>46171</v>
      </c>
      <c r="D4182" s="378">
        <f>IFERROR(__xludf.DUMMYFUNCTION("""COMPUTED_VALUE"""),46181.0)</f>
        <v>46181</v>
      </c>
    </row>
    <row r="4183">
      <c r="A4183" s="153" t="str">
        <f>IFERROR(__xludf.DUMMYFUNCTION("""COMPUTED_VALUE"""),"ADK0000002123")</f>
        <v>ADK0000002123</v>
      </c>
      <c r="B4183" s="153" t="str">
        <f>IFERROR(__xludf.DUMMYFUNCTION("""COMPUTED_VALUE"""),"WES+WMGS")</f>
        <v>WES+WMGS</v>
      </c>
      <c r="C4183" s="378">
        <f>IFERROR(__xludf.DUMMYFUNCTION("""COMPUTED_VALUE"""),46171.0)</f>
        <v>46171</v>
      </c>
      <c r="D4183" s="378">
        <f>IFERROR(__xludf.DUMMYFUNCTION("""COMPUTED_VALUE"""),46181.0)</f>
        <v>46181</v>
      </c>
    </row>
    <row r="4184">
      <c r="A4184" s="153" t="str">
        <f>IFERROR(__xludf.DUMMYFUNCTION("""COMPUTED_VALUE"""),"HYP0000001804
")</f>
        <v>HYP0000001804
</v>
      </c>
      <c r="B4184" s="153" t="str">
        <f>IFERROR(__xludf.DUMMYFUNCTION("""COMPUTED_VALUE"""),"FEMALE INFERTILITY NGS PANEL")</f>
        <v>FEMALE INFERTILITY NGS PANEL</v>
      </c>
      <c r="C4184" s="378">
        <f>IFERROR(__xludf.DUMMYFUNCTION("""COMPUTED_VALUE"""),46171.0)</f>
        <v>46171</v>
      </c>
      <c r="D4184" s="378">
        <f>IFERROR(__xludf.DUMMYFUNCTION("""COMPUTED_VALUE"""),46171.0)</f>
        <v>46171</v>
      </c>
    </row>
    <row r="4185">
      <c r="A4185" s="153" t="str">
        <f>IFERROR(__xludf.DUMMYFUNCTION("""COMPUTED_VALUE"""),"ADB0000037428")</f>
        <v>ADB0000037428</v>
      </c>
      <c r="B4185" s="153" t="str">
        <f>IFERROR(__xludf.DUMMYFUNCTION("""COMPUTED_VALUE"""),"MALE INFERTILITY NGS PANEL")</f>
        <v>MALE INFERTILITY NGS PANEL</v>
      </c>
      <c r="C4185" s="378">
        <f>IFERROR(__xludf.DUMMYFUNCTION("""COMPUTED_VALUE"""),46171.0)</f>
        <v>46171</v>
      </c>
      <c r="D4185" s="378">
        <f>IFERROR(__xludf.DUMMYFUNCTION("""COMPUTED_VALUE"""),46172.0)</f>
        <v>46172</v>
      </c>
    </row>
    <row r="4186">
      <c r="A4186" s="153" t="str">
        <f>IFERROR(__xludf.DUMMYFUNCTION("""COMPUTED_VALUE"""),"ADB0000037492")</f>
        <v>ADB0000037492</v>
      </c>
      <c r="B4186" s="153" t="str">
        <f>IFERROR(__xludf.DUMMYFUNCTION("""COMPUTED_VALUE"""),"WHOLE EXOME SEQUENCING")</f>
        <v>WHOLE EXOME SEQUENCING</v>
      </c>
      <c r="C4186" s="378">
        <f>IFERROR(__xludf.DUMMYFUNCTION("""COMPUTED_VALUE"""),46168.0)</f>
        <v>46168</v>
      </c>
      <c r="D4186" s="378">
        <f>IFERROR(__xludf.DUMMYFUNCTION("""COMPUTED_VALUE"""),46178.0)</f>
        <v>46178</v>
      </c>
    </row>
    <row r="4187">
      <c r="A4187" s="153" t="str">
        <f>IFERROR(__xludf.DUMMYFUNCTION("""COMPUTED_VALUE"""),"ADB0000037499")</f>
        <v>ADB0000037499</v>
      </c>
      <c r="B4187" s="153" t="str">
        <f>IFERROR(__xludf.DUMMYFUNCTION("""COMPUTED_VALUE"""),"WHOLE EXOME SEQUENCING")</f>
        <v>WHOLE EXOME SEQUENCING</v>
      </c>
      <c r="C4187" s="378">
        <f>IFERROR(__xludf.DUMMYFUNCTION("""COMPUTED_VALUE"""),46168.0)</f>
        <v>46168</v>
      </c>
      <c r="D4187" s="378">
        <f>IFERROR(__xludf.DUMMYFUNCTION("""COMPUTED_VALUE"""),46183.0)</f>
        <v>46183</v>
      </c>
    </row>
    <row r="4188">
      <c r="A4188" s="153" t="str">
        <f>IFERROR(__xludf.DUMMYFUNCTION("""COMPUTED_VALUE"""),"ADB0000037500")</f>
        <v>ADB0000037500</v>
      </c>
      <c r="B4188" s="153" t="str">
        <f>IFERROR(__xludf.DUMMYFUNCTION("""COMPUTED_VALUE"""),"WHOLE EXOME SEQUENCING")</f>
        <v>WHOLE EXOME SEQUENCING</v>
      </c>
      <c r="C4188" s="378">
        <f>IFERROR(__xludf.DUMMYFUNCTION("""COMPUTED_VALUE"""),46168.0)</f>
        <v>46168</v>
      </c>
      <c r="D4188" s="378">
        <f>IFERROR(__xludf.DUMMYFUNCTION("""COMPUTED_VALUE"""),46183.0)</f>
        <v>46183</v>
      </c>
    </row>
    <row r="4189">
      <c r="A4189" s="153" t="str">
        <f>IFERROR(__xludf.DUMMYFUNCTION("""COMPUTED_VALUE"""),"ADK0000002157")</f>
        <v>ADK0000002157</v>
      </c>
      <c r="B4189" s="153" t="str">
        <f>IFERROR(__xludf.DUMMYFUNCTION("""COMPUTED_VALUE"""),"WHOLE EXOME SEQUENCING")</f>
        <v>WHOLE EXOME SEQUENCING</v>
      </c>
      <c r="C4189" s="378">
        <f>IFERROR(__xludf.DUMMYFUNCTION("""COMPUTED_VALUE"""),46168.0)</f>
        <v>46168</v>
      </c>
      <c r="D4189" s="378">
        <f>IFERROR(__xludf.DUMMYFUNCTION("""COMPUTED_VALUE"""),46177.0)</f>
        <v>46177</v>
      </c>
    </row>
    <row r="4190">
      <c r="A4190" s="153" t="str">
        <f>IFERROR(__xludf.DUMMYFUNCTION("""COMPUTED_VALUE"""),"ADK0000002159")</f>
        <v>ADK0000002159</v>
      </c>
      <c r="B4190" s="153" t="str">
        <f>IFERROR(__xludf.DUMMYFUNCTION("""COMPUTED_VALUE"""),"WHOLE EXOME SEQUENCING + MITOCHONDRIAL GENOME SEQUENCING")</f>
        <v>WHOLE EXOME SEQUENCING + MITOCHONDRIAL GENOME SEQUENCING</v>
      </c>
      <c r="C4190" s="378">
        <f>IFERROR(__xludf.DUMMYFUNCTION("""COMPUTED_VALUE"""),46168.0)</f>
        <v>46168</v>
      </c>
      <c r="D4190" s="378">
        <f>IFERROR(__xludf.DUMMYFUNCTION("""COMPUTED_VALUE"""),46177.0)</f>
        <v>46177</v>
      </c>
    </row>
    <row r="4191">
      <c r="A4191" s="153" t="str">
        <f>IFERROR(__xludf.DUMMYFUNCTION("""COMPUTED_VALUE"""),"ADK0000002158
")</f>
        <v>ADK0000002158
</v>
      </c>
      <c r="B4191" s="153" t="str">
        <f>IFERROR(__xludf.DUMMYFUNCTION("""COMPUTED_VALUE"""),"WHOLE EXOME SEQUENCING + MITOCHONDRIAL GENOME SEQUENCING")</f>
        <v>WHOLE EXOME SEQUENCING + MITOCHONDRIAL GENOME SEQUENCING</v>
      </c>
      <c r="C4191" s="378">
        <f>IFERROR(__xludf.DUMMYFUNCTION("""COMPUTED_VALUE"""),46168.0)</f>
        <v>46168</v>
      </c>
      <c r="D4191" s="378">
        <f>IFERROR(__xludf.DUMMYFUNCTION("""COMPUTED_VALUE"""),46177.0)</f>
        <v>46177</v>
      </c>
    </row>
    <row r="4192">
      <c r="A4192" s="153" t="str">
        <f>IFERROR(__xludf.DUMMYFUNCTION("""COMPUTED_VALUE"""),"ADK0000002155")</f>
        <v>ADK0000002155</v>
      </c>
      <c r="B4192" s="153" t="str">
        <f>IFERROR(__xludf.DUMMYFUNCTION("""COMPUTED_VALUE"""),"WHOLE EXOME SEQUENCING")</f>
        <v>WHOLE EXOME SEQUENCING</v>
      </c>
      <c r="C4192" s="378">
        <f>IFERROR(__xludf.DUMMYFUNCTION("""COMPUTED_VALUE"""),46168.0)</f>
        <v>46168</v>
      </c>
      <c r="D4192" s="378">
        <f>IFERROR(__xludf.DUMMYFUNCTION("""COMPUTED_VALUE"""),46177.0)</f>
        <v>46177</v>
      </c>
    </row>
    <row r="4193">
      <c r="A4193" s="153" t="str">
        <f>IFERROR(__xludf.DUMMYFUNCTION("""COMPUTED_VALUE"""),"ADK0000002156")</f>
        <v>ADK0000002156</v>
      </c>
      <c r="B4193" s="153" t="str">
        <f>IFERROR(__xludf.DUMMYFUNCTION("""COMPUTED_VALUE"""),"WHOLE EXOME SEQUENCING")</f>
        <v>WHOLE EXOME SEQUENCING</v>
      </c>
      <c r="C4193" s="378">
        <f>IFERROR(__xludf.DUMMYFUNCTION("""COMPUTED_VALUE"""),46168.0)</f>
        <v>46168</v>
      </c>
      <c r="D4193" s="378">
        <f>IFERROR(__xludf.DUMMYFUNCTION("""COMPUTED_VALUE"""),46177.0)</f>
        <v>46177</v>
      </c>
    </row>
    <row r="4194">
      <c r="A4194" s="153" t="str">
        <f>IFERROR(__xludf.DUMMYFUNCTION("""COMPUTED_VALUE"""),"ADK0000002179
")</f>
        <v>ADK0000002179
</v>
      </c>
      <c r="B4194" s="153" t="str">
        <f>IFERROR(__xludf.DUMMYFUNCTION("""COMPUTED_VALUE"""),"WHOLE EXOME SEQUENCING")</f>
        <v>WHOLE EXOME SEQUENCING</v>
      </c>
      <c r="C4194" s="378">
        <f>IFERROR(__xludf.DUMMYFUNCTION("""COMPUTED_VALUE"""),46168.0)</f>
        <v>46168</v>
      </c>
      <c r="D4194" s="378">
        <f>IFERROR(__xludf.DUMMYFUNCTION("""COMPUTED_VALUE"""),46177.0)</f>
        <v>46177</v>
      </c>
    </row>
    <row r="4195">
      <c r="A4195" s="153" t="str">
        <f>IFERROR(__xludf.DUMMYFUNCTION("""COMPUTED_VALUE"""),"DCC0000004640")</f>
        <v>DCC0000004640</v>
      </c>
      <c r="B4195" s="153" t="str">
        <f>IFERROR(__xludf.DUMMYFUNCTION("""COMPUTED_VALUE"""),"WHOLE EXOME SEQUENCING")</f>
        <v>WHOLE EXOME SEQUENCING</v>
      </c>
      <c r="C4195" s="378">
        <f>IFERROR(__xludf.DUMMYFUNCTION("""COMPUTED_VALUE"""),46168.0)</f>
        <v>46168</v>
      </c>
      <c r="D4195" s="378">
        <f>IFERROR(__xludf.DUMMYFUNCTION("""COMPUTED_VALUE"""),46183.0)</f>
        <v>46183</v>
      </c>
    </row>
    <row r="4196">
      <c r="A4196" s="153" t="str">
        <f>IFERROR(__xludf.DUMMYFUNCTION("""COMPUTED_VALUE"""),"ADK0000002165")</f>
        <v>ADK0000002165</v>
      </c>
      <c r="B4196" s="153" t="str">
        <f>IFERROR(__xludf.DUMMYFUNCTION("""COMPUTED_VALUE"""),"WES+WMGS")</f>
        <v>WES+WMGS</v>
      </c>
      <c r="C4196" s="378">
        <f>IFERROR(__xludf.DUMMYFUNCTION("""COMPUTED_VALUE"""),46168.0)</f>
        <v>46168</v>
      </c>
      <c r="D4196" s="378">
        <f>IFERROR(__xludf.DUMMYFUNCTION("""COMPUTED_VALUE"""),46183.0)</f>
        <v>46183</v>
      </c>
    </row>
    <row r="4197">
      <c r="A4197" s="153" t="str">
        <f>IFERROR(__xludf.DUMMYFUNCTION("""COMPUTED_VALUE"""),"ADK0000002166")</f>
        <v>ADK0000002166</v>
      </c>
      <c r="B4197" s="153" t="str">
        <f>IFERROR(__xludf.DUMMYFUNCTION("""COMPUTED_VALUE"""),"WES+WMGS")</f>
        <v>WES+WMGS</v>
      </c>
      <c r="C4197" s="378">
        <f>IFERROR(__xludf.DUMMYFUNCTION("""COMPUTED_VALUE"""),46168.0)</f>
        <v>46168</v>
      </c>
      <c r="D4197" s="378">
        <f>IFERROR(__xludf.DUMMYFUNCTION("""COMPUTED_VALUE"""),46183.0)</f>
        <v>46183</v>
      </c>
    </row>
    <row r="4198">
      <c r="A4198" s="153" t="str">
        <f>IFERROR(__xludf.DUMMYFUNCTION("""COMPUTED_VALUE"""),"ATR0000014017")</f>
        <v>ATR0000014017</v>
      </c>
      <c r="B4198" s="153" t="str">
        <f>IFERROR(__xludf.DUMMYFUNCTION("""COMPUTED_VALUE"""),"MALE INFERTILITY NGS PANEL")</f>
        <v>MALE INFERTILITY NGS PANEL</v>
      </c>
      <c r="C4198" s="378">
        <f>IFERROR(__xludf.DUMMYFUNCTION("""COMPUTED_VALUE"""),46168.0)</f>
        <v>46168</v>
      </c>
      <c r="D4198" s="378">
        <f>IFERROR(__xludf.DUMMYFUNCTION("""COMPUTED_VALUE"""),46173.0)</f>
        <v>46173</v>
      </c>
    </row>
    <row r="4199">
      <c r="A4199" s="153" t="str">
        <f>IFERROR(__xludf.DUMMYFUNCTION("""COMPUTED_VALUE"""),"ADK0000002201
")</f>
        <v>ADK0000002201
</v>
      </c>
      <c r="B4199" s="153" t="str">
        <f>IFERROR(__xludf.DUMMYFUNCTION("""COMPUTED_VALUE"""),"WHOLE EXOME SEQUENCING")</f>
        <v>WHOLE EXOME SEQUENCING</v>
      </c>
      <c r="C4199" s="378">
        <f>IFERROR(__xludf.DUMMYFUNCTION("""COMPUTED_VALUE"""),46168.0)</f>
        <v>46168</v>
      </c>
      <c r="D4199" s="378">
        <f>IFERROR(__xludf.DUMMYFUNCTION("""COMPUTED_VALUE"""),46178.0)</f>
        <v>46178</v>
      </c>
    </row>
    <row r="4200">
      <c r="A4200" s="153" t="str">
        <f>IFERROR(__xludf.DUMMYFUNCTION("""COMPUTED_VALUE"""),"ACO0000008491")</f>
        <v>ACO0000008491</v>
      </c>
      <c r="B4200" s="153" t="str">
        <f>IFERROR(__xludf.DUMMYFUNCTION("""COMPUTED_VALUE"""),"WHOLE EXOME SEQUENCING")</f>
        <v>WHOLE EXOME SEQUENCING</v>
      </c>
      <c r="C4200" s="378">
        <f>IFERROR(__xludf.DUMMYFUNCTION("""COMPUTED_VALUE"""),46168.0)</f>
        <v>46168</v>
      </c>
      <c r="D4200" s="378">
        <f>IFERROR(__xludf.DUMMYFUNCTION("""COMPUTED_VALUE"""),46184.0)</f>
        <v>46184</v>
      </c>
    </row>
    <row r="4201">
      <c r="A4201" s="153" t="str">
        <f>IFERROR(__xludf.DUMMYFUNCTION("""COMPUTED_VALUE"""),"ACO0000008494")</f>
        <v>ACO0000008494</v>
      </c>
      <c r="B4201" s="153" t="str">
        <f>IFERROR(__xludf.DUMMYFUNCTION("""COMPUTED_VALUE"""),"WHOLE EXOME SEQUENCING")</f>
        <v>WHOLE EXOME SEQUENCING</v>
      </c>
      <c r="C4201" s="378">
        <f>IFERROR(__xludf.DUMMYFUNCTION("""COMPUTED_VALUE"""),46168.0)</f>
        <v>46168</v>
      </c>
      <c r="D4201" s="378">
        <f>IFERROR(__xludf.DUMMYFUNCTION("""COMPUTED_VALUE"""),46184.0)</f>
        <v>46184</v>
      </c>
    </row>
    <row r="4202">
      <c r="A4202" s="153" t="str">
        <f>IFERROR(__xludf.DUMMYFUNCTION("""COMPUTED_VALUE"""),"ADB0000037566")</f>
        <v>ADB0000037566</v>
      </c>
      <c r="B4202" s="153" t="str">
        <f>IFERROR(__xludf.DUMMYFUNCTION("""COMPUTED_VALUE"""),"FEMALE INFERTILITY NGS PANEL")</f>
        <v>FEMALE INFERTILITY NGS PANEL</v>
      </c>
      <c r="C4202" s="378">
        <f>IFERROR(__xludf.DUMMYFUNCTION("""COMPUTED_VALUE"""),46168.0)</f>
        <v>46168</v>
      </c>
      <c r="D4202" s="378">
        <f>IFERROR(__xludf.DUMMYFUNCTION("""COMPUTED_VALUE"""),46173.0)</f>
        <v>46173</v>
      </c>
    </row>
    <row r="4203">
      <c r="A4203" s="153" t="str">
        <f>IFERROR(__xludf.DUMMYFUNCTION("""COMPUTED_VALUE"""),"ADB0000037872")</f>
        <v>ADB0000037872</v>
      </c>
      <c r="B4203" s="153" t="str">
        <f>IFERROR(__xludf.DUMMYFUNCTION("""COMPUTED_VALUE"""),"WHOLE EXOME SEQUENCING")</f>
        <v>WHOLE EXOME SEQUENCING</v>
      </c>
      <c r="C4203" s="378">
        <f>IFERROR(__xludf.DUMMYFUNCTION("""COMPUTED_VALUE"""),46168.0)</f>
        <v>46168</v>
      </c>
      <c r="D4203" s="378">
        <f>IFERROR(__xludf.DUMMYFUNCTION("""COMPUTED_VALUE"""),46186.0)</f>
        <v>46186</v>
      </c>
    </row>
    <row r="4204">
      <c r="A4204" s="153" t="str">
        <f>IFERROR(__xludf.DUMMYFUNCTION("""COMPUTED_VALUE"""),"ADH0000026606")</f>
        <v>ADH0000026606</v>
      </c>
      <c r="B4204" s="153" t="str">
        <f>IFERROR(__xludf.DUMMYFUNCTION("""COMPUTED_VALUE"""),"WHOLE EXOME SEQUENCING")</f>
        <v>WHOLE EXOME SEQUENCING</v>
      </c>
      <c r="C4204" s="378">
        <f>IFERROR(__xludf.DUMMYFUNCTION("""COMPUTED_VALUE"""),46168.0)</f>
        <v>46168</v>
      </c>
      <c r="D4204" s="378">
        <f>IFERROR(__xludf.DUMMYFUNCTION("""COMPUTED_VALUE"""),46186.0)</f>
        <v>46186</v>
      </c>
    </row>
    <row r="4205">
      <c r="A4205" s="153" t="str">
        <f>IFERROR(__xludf.DUMMYFUNCTION("""COMPUTED_VALUE"""),"ADB0000037565
")</f>
        <v>ADB0000037565
</v>
      </c>
      <c r="B4205" s="153" t="str">
        <f>IFERROR(__xludf.DUMMYFUNCTION("""COMPUTED_VALUE"""),"MALE INFERTILITY NGS PANEL")</f>
        <v>MALE INFERTILITY NGS PANEL</v>
      </c>
      <c r="C4205" s="378">
        <f>IFERROR(__xludf.DUMMYFUNCTION("""COMPUTED_VALUE"""),46168.0)</f>
        <v>46168</v>
      </c>
      <c r="D4205" s="378">
        <f>IFERROR(__xludf.DUMMYFUNCTION("""COMPUTED_VALUE"""),46173.0)</f>
        <v>46173</v>
      </c>
    </row>
    <row r="4206">
      <c r="A4206" s="153" t="str">
        <f>IFERROR(__xludf.DUMMYFUNCTION("""COMPUTED_VALUE"""),"HYP0000001831
")</f>
        <v>HYP0000001831
</v>
      </c>
      <c r="B4206" s="153" t="str">
        <f>IFERROR(__xludf.DUMMYFUNCTION("""COMPUTED_VALUE"""),"HEREDITARY CANCER GENE PANEL")</f>
        <v>HEREDITARY CANCER GENE PANEL</v>
      </c>
      <c r="C4206" s="378">
        <f>IFERROR(__xludf.DUMMYFUNCTION("""COMPUTED_VALUE"""),46168.0)</f>
        <v>46168</v>
      </c>
      <c r="D4206" s="153"/>
    </row>
    <row r="4207">
      <c r="A4207" s="153" t="str">
        <f>IFERROR(__xludf.DUMMYFUNCTION("""COMPUTED_VALUE"""),"ADK0000002180
")</f>
        <v>ADK0000002180
</v>
      </c>
      <c r="B4207" s="153" t="str">
        <f>IFERROR(__xludf.DUMMYFUNCTION("""COMPUTED_VALUE"""),"WHOLE EXOME SEQUENCING")</f>
        <v>WHOLE EXOME SEQUENCING</v>
      </c>
      <c r="C4207" s="378">
        <f>IFERROR(__xludf.DUMMYFUNCTION("""COMPUTED_VALUE"""),46168.0)</f>
        <v>46168</v>
      </c>
      <c r="D4207" s="378">
        <f>IFERROR(__xludf.DUMMYFUNCTION("""COMPUTED_VALUE"""),46178.0)</f>
        <v>46178</v>
      </c>
    </row>
    <row r="4208">
      <c r="A4208" s="153" t="str">
        <f>IFERROR(__xludf.DUMMYFUNCTION("""COMPUTED_VALUE"""),"ADK0000002192")</f>
        <v>ADK0000002192</v>
      </c>
      <c r="B4208" s="153" t="str">
        <f>IFERROR(__xludf.DUMMYFUNCTION("""COMPUTED_VALUE"""),"WHOLE EXOME SEQUENCING")</f>
        <v>WHOLE EXOME SEQUENCING</v>
      </c>
      <c r="C4208" s="378">
        <f>IFERROR(__xludf.DUMMYFUNCTION("""COMPUTED_VALUE"""),46168.0)</f>
        <v>46168</v>
      </c>
      <c r="D4208" s="378">
        <f>IFERROR(__xludf.DUMMYFUNCTION("""COMPUTED_VALUE"""),46178.0)</f>
        <v>46178</v>
      </c>
    </row>
    <row r="4209">
      <c r="A4209" s="153" t="str">
        <f>IFERROR(__xludf.DUMMYFUNCTION("""COMPUTED_VALUE"""),"ADK0000002193")</f>
        <v>ADK0000002193</v>
      </c>
      <c r="B4209" s="153" t="str">
        <f>IFERROR(__xludf.DUMMYFUNCTION("""COMPUTED_VALUE"""),"WHOLE EXOME SEQUENCING")</f>
        <v>WHOLE EXOME SEQUENCING</v>
      </c>
      <c r="C4209" s="378">
        <f>IFERROR(__xludf.DUMMYFUNCTION("""COMPUTED_VALUE"""),46168.0)</f>
        <v>46168</v>
      </c>
      <c r="D4209" s="378">
        <f>IFERROR(__xludf.DUMMYFUNCTION("""COMPUTED_VALUE"""),46178.0)</f>
        <v>46178</v>
      </c>
    </row>
    <row r="4210">
      <c r="A4210" s="153" t="str">
        <f>IFERROR(__xludf.DUMMYFUNCTION("""COMPUTED_VALUE"""),"ADK0000002194")</f>
        <v>ADK0000002194</v>
      </c>
      <c r="B4210" s="153" t="str">
        <f>IFERROR(__xludf.DUMMYFUNCTION("""COMPUTED_VALUE"""),"WHOLE EXOME SEQUENCING")</f>
        <v>WHOLE EXOME SEQUENCING</v>
      </c>
      <c r="C4210" s="378">
        <f>IFERROR(__xludf.DUMMYFUNCTION("""COMPUTED_VALUE"""),46168.0)</f>
        <v>46168</v>
      </c>
      <c r="D4210" s="378">
        <f>IFERROR(__xludf.DUMMYFUNCTION("""COMPUTED_VALUE"""),46178.0)</f>
        <v>46178</v>
      </c>
    </row>
    <row r="4211">
      <c r="A4211" s="153" t="str">
        <f>IFERROR(__xludf.DUMMYFUNCTION("""COMPUTED_VALUE"""),"ADK0000002195")</f>
        <v>ADK0000002195</v>
      </c>
      <c r="B4211" s="153" t="str">
        <f>IFERROR(__xludf.DUMMYFUNCTION("""COMPUTED_VALUE"""),"WHOLE EXOME SEQUENCING")</f>
        <v>WHOLE EXOME SEQUENCING</v>
      </c>
      <c r="C4211" s="378">
        <f>IFERROR(__xludf.DUMMYFUNCTION("""COMPUTED_VALUE"""),46168.0)</f>
        <v>46168</v>
      </c>
      <c r="D4211" s="378">
        <f>IFERROR(__xludf.DUMMYFUNCTION("""COMPUTED_VALUE"""),46178.0)</f>
        <v>46178</v>
      </c>
    </row>
    <row r="4212">
      <c r="A4212" s="153" t="str">
        <f>IFERROR(__xludf.DUMMYFUNCTION("""COMPUTED_VALUE"""),"ADK0000002196")</f>
        <v>ADK0000002196</v>
      </c>
      <c r="B4212" s="153" t="str">
        <f>IFERROR(__xludf.DUMMYFUNCTION("""COMPUTED_VALUE"""),"WHOLE EXOME SEQUENCING")</f>
        <v>WHOLE EXOME SEQUENCING</v>
      </c>
      <c r="C4212" s="378">
        <f>IFERROR(__xludf.DUMMYFUNCTION("""COMPUTED_VALUE"""),46168.0)</f>
        <v>46168</v>
      </c>
      <c r="D4212" s="378">
        <f>IFERROR(__xludf.DUMMYFUNCTION("""COMPUTED_VALUE"""),46178.0)</f>
        <v>46178</v>
      </c>
    </row>
    <row r="4213">
      <c r="A4213" s="153" t="str">
        <f>IFERROR(__xludf.DUMMYFUNCTION("""COMPUTED_VALUE"""),"ADK0000002197")</f>
        <v>ADK0000002197</v>
      </c>
      <c r="B4213" s="153" t="str">
        <f>IFERROR(__xludf.DUMMYFUNCTION("""COMPUTED_VALUE"""),"WHOLE EXOME SEQUENCING")</f>
        <v>WHOLE EXOME SEQUENCING</v>
      </c>
      <c r="C4213" s="378">
        <f>IFERROR(__xludf.DUMMYFUNCTION("""COMPUTED_VALUE"""),46168.0)</f>
        <v>46168</v>
      </c>
      <c r="D4213" s="378">
        <f>IFERROR(__xludf.DUMMYFUNCTION("""COMPUTED_VALUE"""),46178.0)</f>
        <v>46178</v>
      </c>
    </row>
    <row r="4214">
      <c r="A4214" s="153" t="str">
        <f>IFERROR(__xludf.DUMMYFUNCTION("""COMPUTED_VALUE"""),"ADK0000002198")</f>
        <v>ADK0000002198</v>
      </c>
      <c r="B4214" s="153" t="str">
        <f>IFERROR(__xludf.DUMMYFUNCTION("""COMPUTED_VALUE"""),"WHOLE EXOME SEQUENCING")</f>
        <v>WHOLE EXOME SEQUENCING</v>
      </c>
      <c r="C4214" s="378">
        <f>IFERROR(__xludf.DUMMYFUNCTION("""COMPUTED_VALUE"""),46168.0)</f>
        <v>46168</v>
      </c>
      <c r="D4214" s="378">
        <f>IFERROR(__xludf.DUMMYFUNCTION("""COMPUTED_VALUE"""),46178.0)</f>
        <v>46178</v>
      </c>
    </row>
    <row r="4215">
      <c r="A4215" s="153" t="str">
        <f>IFERROR(__xludf.DUMMYFUNCTION("""COMPUTED_VALUE"""),"ADK0000002199")</f>
        <v>ADK0000002199</v>
      </c>
      <c r="B4215" s="153" t="str">
        <f>IFERROR(__xludf.DUMMYFUNCTION("""COMPUTED_VALUE"""),"WHOLE EXOME SEQUENCING")</f>
        <v>WHOLE EXOME SEQUENCING</v>
      </c>
      <c r="C4215" s="378">
        <f>IFERROR(__xludf.DUMMYFUNCTION("""COMPUTED_VALUE"""),46168.0)</f>
        <v>46168</v>
      </c>
      <c r="D4215" s="378">
        <f>IFERROR(__xludf.DUMMYFUNCTION("""COMPUTED_VALUE"""),46178.0)</f>
        <v>46178</v>
      </c>
    </row>
    <row r="4216">
      <c r="A4216" s="153" t="str">
        <f>IFERROR(__xludf.DUMMYFUNCTION("""COMPUTED_VALUE"""),"ADK0000002200")</f>
        <v>ADK0000002200</v>
      </c>
      <c r="B4216" s="153" t="str">
        <f>IFERROR(__xludf.DUMMYFUNCTION("""COMPUTED_VALUE"""),"WHOLE EXOME SEQUENCING")</f>
        <v>WHOLE EXOME SEQUENCING</v>
      </c>
      <c r="C4216" s="378">
        <f>IFERROR(__xludf.DUMMYFUNCTION("""COMPUTED_VALUE"""),46168.0)</f>
        <v>46168</v>
      </c>
      <c r="D4216" s="378">
        <f>IFERROR(__xludf.DUMMYFUNCTION("""COMPUTED_VALUE"""),46178.0)</f>
        <v>46178</v>
      </c>
    </row>
    <row r="4217">
      <c r="A4217" s="153" t="str">
        <f>IFERROR(__xludf.DUMMYFUNCTION("""COMPUTED_VALUE"""),"ADK0000002247")</f>
        <v>ADK0000002247</v>
      </c>
      <c r="B4217" s="153" t="str">
        <f>IFERROR(__xludf.DUMMYFUNCTION("""COMPUTED_VALUE"""),"WHOLE EXOME SEQUENCING")</f>
        <v>WHOLE EXOME SEQUENCING</v>
      </c>
      <c r="C4217" s="378">
        <f>IFERROR(__xludf.DUMMYFUNCTION("""COMPUTED_VALUE"""),46168.0)</f>
        <v>46168</v>
      </c>
      <c r="D4217" s="378">
        <f>IFERROR(__xludf.DUMMYFUNCTION("""COMPUTED_VALUE"""),46178.0)</f>
        <v>46178</v>
      </c>
    </row>
    <row r="4218">
      <c r="A4218" s="153" t="str">
        <f>IFERROR(__xludf.DUMMYFUNCTION("""COMPUTED_VALUE"""),"ADK0000002248")</f>
        <v>ADK0000002248</v>
      </c>
      <c r="B4218" s="153" t="str">
        <f>IFERROR(__xludf.DUMMYFUNCTION("""COMPUTED_VALUE"""),"WHOLE EXOME SEQUENCING")</f>
        <v>WHOLE EXOME SEQUENCING</v>
      </c>
      <c r="C4218" s="378">
        <f>IFERROR(__xludf.DUMMYFUNCTION("""COMPUTED_VALUE"""),46168.0)</f>
        <v>46168</v>
      </c>
      <c r="D4218" s="378">
        <f>IFERROR(__xludf.DUMMYFUNCTION("""COMPUTED_VALUE"""),46178.0)</f>
        <v>46178</v>
      </c>
    </row>
    <row r="4219">
      <c r="A4219" s="153" t="str">
        <f>IFERROR(__xludf.DUMMYFUNCTION("""COMPUTED_VALUE"""),"ADK0000002249")</f>
        <v>ADK0000002249</v>
      </c>
      <c r="B4219" s="153" t="str">
        <f>IFERROR(__xludf.DUMMYFUNCTION("""COMPUTED_VALUE"""),"WHOLE EXOME SEQUENCING")</f>
        <v>WHOLE EXOME SEQUENCING</v>
      </c>
      <c r="C4219" s="378">
        <f>IFERROR(__xludf.DUMMYFUNCTION("""COMPUTED_VALUE"""),46168.0)</f>
        <v>46168</v>
      </c>
      <c r="D4219" s="378">
        <f>IFERROR(__xludf.DUMMYFUNCTION("""COMPUTED_VALUE"""),46178.0)</f>
        <v>46178</v>
      </c>
    </row>
    <row r="4220">
      <c r="A4220" s="153" t="str">
        <f>IFERROR(__xludf.DUMMYFUNCTION("""COMPUTED_VALUE"""),"ADK0000002251")</f>
        <v>ADK0000002251</v>
      </c>
      <c r="B4220" s="153" t="str">
        <f>IFERROR(__xludf.DUMMYFUNCTION("""COMPUTED_VALUE"""),"WHOLE EXOME SEQUENCING")</f>
        <v>WHOLE EXOME SEQUENCING</v>
      </c>
      <c r="C4220" s="378">
        <f>IFERROR(__xludf.DUMMYFUNCTION("""COMPUTED_VALUE"""),46168.0)</f>
        <v>46168</v>
      </c>
      <c r="D4220" s="378">
        <f>IFERROR(__xludf.DUMMYFUNCTION("""COMPUTED_VALUE"""),46178.0)</f>
        <v>46178</v>
      </c>
    </row>
    <row r="4221">
      <c r="A4221" s="153" t="str">
        <f>IFERROR(__xludf.DUMMYFUNCTION("""COMPUTED_VALUE"""),"ADK0000002252")</f>
        <v>ADK0000002252</v>
      </c>
      <c r="B4221" s="153" t="str">
        <f>IFERROR(__xludf.DUMMYFUNCTION("""COMPUTED_VALUE"""),"WHOLE EXOME SEQUENCING")</f>
        <v>WHOLE EXOME SEQUENCING</v>
      </c>
      <c r="C4221" s="378">
        <f>IFERROR(__xludf.DUMMYFUNCTION("""COMPUTED_VALUE"""),46168.0)</f>
        <v>46168</v>
      </c>
      <c r="D4221" s="378">
        <f>IFERROR(__xludf.DUMMYFUNCTION("""COMPUTED_VALUE"""),46178.0)</f>
        <v>46178</v>
      </c>
    </row>
    <row r="4222">
      <c r="A4222" s="153" t="str">
        <f>IFERROR(__xludf.DUMMYFUNCTION("""COMPUTED_VALUE"""),"ADK0000002253")</f>
        <v>ADK0000002253</v>
      </c>
      <c r="B4222" s="153" t="str">
        <f>IFERROR(__xludf.DUMMYFUNCTION("""COMPUTED_VALUE"""),"WHOLE EXOME SEQUENCING")</f>
        <v>WHOLE EXOME SEQUENCING</v>
      </c>
      <c r="C4222" s="378">
        <f>IFERROR(__xludf.DUMMYFUNCTION("""COMPUTED_VALUE"""),46168.0)</f>
        <v>46168</v>
      </c>
      <c r="D4222" s="378">
        <f>IFERROR(__xludf.DUMMYFUNCTION("""COMPUTED_VALUE"""),46178.0)</f>
        <v>46178</v>
      </c>
    </row>
    <row r="4223">
      <c r="A4223" s="153" t="str">
        <f>IFERROR(__xludf.DUMMYFUNCTION("""COMPUTED_VALUE"""),"ADK0000002254")</f>
        <v>ADK0000002254</v>
      </c>
      <c r="B4223" s="153" t="str">
        <f>IFERROR(__xludf.DUMMYFUNCTION("""COMPUTED_VALUE"""),"WHOLE EXOME SEQUENCING")</f>
        <v>WHOLE EXOME SEQUENCING</v>
      </c>
      <c r="C4223" s="378">
        <f>IFERROR(__xludf.DUMMYFUNCTION("""COMPUTED_VALUE"""),46168.0)</f>
        <v>46168</v>
      </c>
      <c r="D4223" s="378">
        <f>IFERROR(__xludf.DUMMYFUNCTION("""COMPUTED_VALUE"""),46178.0)</f>
        <v>46178</v>
      </c>
    </row>
    <row r="4224">
      <c r="A4224" s="153" t="str">
        <f>IFERROR(__xludf.DUMMYFUNCTION("""COMPUTED_VALUE"""),"ADK0000002255")</f>
        <v>ADK0000002255</v>
      </c>
      <c r="B4224" s="153" t="str">
        <f>IFERROR(__xludf.DUMMYFUNCTION("""COMPUTED_VALUE"""),"WHOLE EXOME SEQUENCING")</f>
        <v>WHOLE EXOME SEQUENCING</v>
      </c>
      <c r="C4224" s="378">
        <f>IFERROR(__xludf.DUMMYFUNCTION("""COMPUTED_VALUE"""),46168.0)</f>
        <v>46168</v>
      </c>
      <c r="D4224" s="378">
        <f>IFERROR(__xludf.DUMMYFUNCTION("""COMPUTED_VALUE"""),46178.0)</f>
        <v>46178</v>
      </c>
    </row>
    <row r="4225">
      <c r="A4225" s="153" t="str">
        <f>IFERROR(__xludf.DUMMYFUNCTION("""COMPUTED_VALUE"""),"ADK0000002256")</f>
        <v>ADK0000002256</v>
      </c>
      <c r="B4225" s="153" t="str">
        <f>IFERROR(__xludf.DUMMYFUNCTION("""COMPUTED_VALUE"""),"WHOLE EXOME SEQUENCING")</f>
        <v>WHOLE EXOME SEQUENCING</v>
      </c>
      <c r="C4225" s="378">
        <f>IFERROR(__xludf.DUMMYFUNCTION("""COMPUTED_VALUE"""),46168.0)</f>
        <v>46168</v>
      </c>
      <c r="D4225" s="378">
        <f>IFERROR(__xludf.DUMMYFUNCTION("""COMPUTED_VALUE"""),46178.0)</f>
        <v>46178</v>
      </c>
    </row>
    <row r="4226">
      <c r="A4226" s="153" t="str">
        <f>IFERROR(__xludf.DUMMYFUNCTION("""COMPUTED_VALUE"""),"ADK0000002257")</f>
        <v>ADK0000002257</v>
      </c>
      <c r="B4226" s="153" t="str">
        <f>IFERROR(__xludf.DUMMYFUNCTION("""COMPUTED_VALUE"""),"WHOLE EXOME SEQUENCING")</f>
        <v>WHOLE EXOME SEQUENCING</v>
      </c>
      <c r="C4226" s="378">
        <f>IFERROR(__xludf.DUMMYFUNCTION("""COMPUTED_VALUE"""),46168.0)</f>
        <v>46168</v>
      </c>
      <c r="D4226" s="378">
        <f>IFERROR(__xludf.DUMMYFUNCTION("""COMPUTED_VALUE"""),46178.0)</f>
        <v>46178</v>
      </c>
    </row>
    <row r="4227">
      <c r="A4227" s="153" t="str">
        <f>IFERROR(__xludf.DUMMYFUNCTION("""COMPUTED_VALUE"""),"ADK0000002258")</f>
        <v>ADK0000002258</v>
      </c>
      <c r="B4227" s="153" t="str">
        <f>IFERROR(__xludf.DUMMYFUNCTION("""COMPUTED_VALUE"""),"WHOLE EXOME SEQUENCING")</f>
        <v>WHOLE EXOME SEQUENCING</v>
      </c>
      <c r="C4227" s="378">
        <f>IFERROR(__xludf.DUMMYFUNCTION("""COMPUTED_VALUE"""),46168.0)</f>
        <v>46168</v>
      </c>
      <c r="D4227" s="378">
        <f>IFERROR(__xludf.DUMMYFUNCTION("""COMPUTED_VALUE"""),46178.0)</f>
        <v>46178</v>
      </c>
    </row>
    <row r="4228">
      <c r="A4228" s="153" t="str">
        <f>IFERROR(__xludf.DUMMYFUNCTION("""COMPUTED_VALUE"""),"ADK0000002259")</f>
        <v>ADK0000002259</v>
      </c>
      <c r="B4228" s="153" t="str">
        <f>IFERROR(__xludf.DUMMYFUNCTION("""COMPUTED_VALUE"""),"WHOLE EXOME SEQUENCING")</f>
        <v>WHOLE EXOME SEQUENCING</v>
      </c>
      <c r="C4228" s="378">
        <f>IFERROR(__xludf.DUMMYFUNCTION("""COMPUTED_VALUE"""),46168.0)</f>
        <v>46168</v>
      </c>
      <c r="D4228" s="378">
        <f>IFERROR(__xludf.DUMMYFUNCTION("""COMPUTED_VALUE"""),46178.0)</f>
        <v>46178</v>
      </c>
    </row>
    <row r="4229">
      <c r="A4229" s="153" t="str">
        <f>IFERROR(__xludf.DUMMYFUNCTION("""COMPUTED_VALUE"""),"ADK0000002260")</f>
        <v>ADK0000002260</v>
      </c>
      <c r="B4229" s="153" t="str">
        <f>IFERROR(__xludf.DUMMYFUNCTION("""COMPUTED_VALUE"""),"WHOLE EXOME SEQUENCING")</f>
        <v>WHOLE EXOME SEQUENCING</v>
      </c>
      <c r="C4229" s="378">
        <f>IFERROR(__xludf.DUMMYFUNCTION("""COMPUTED_VALUE"""),46168.0)</f>
        <v>46168</v>
      </c>
      <c r="D4229" s="378">
        <f>IFERROR(__xludf.DUMMYFUNCTION("""COMPUTED_VALUE"""),46178.0)</f>
        <v>46178</v>
      </c>
    </row>
    <row r="4230">
      <c r="A4230" s="153" t="str">
        <f>IFERROR(__xludf.DUMMYFUNCTION("""COMPUTED_VALUE"""),"ADK0000002261")</f>
        <v>ADK0000002261</v>
      </c>
      <c r="B4230" s="153" t="str">
        <f>IFERROR(__xludf.DUMMYFUNCTION("""COMPUTED_VALUE"""),"WHOLE EXOME SEQUENCING")</f>
        <v>WHOLE EXOME SEQUENCING</v>
      </c>
      <c r="C4230" s="378">
        <f>IFERROR(__xludf.DUMMYFUNCTION("""COMPUTED_VALUE"""),46168.0)</f>
        <v>46168</v>
      </c>
      <c r="D4230" s="378">
        <f>IFERROR(__xludf.DUMMYFUNCTION("""COMPUTED_VALUE"""),46178.0)</f>
        <v>46178</v>
      </c>
    </row>
    <row r="4231">
      <c r="A4231" s="153" t="str">
        <f>IFERROR(__xludf.DUMMYFUNCTION("""COMPUTED_VALUE"""),"ADK0000002262")</f>
        <v>ADK0000002262</v>
      </c>
      <c r="B4231" s="153" t="str">
        <f>IFERROR(__xludf.DUMMYFUNCTION("""COMPUTED_VALUE"""),"WHOLE EXOME SEQUENCING")</f>
        <v>WHOLE EXOME SEQUENCING</v>
      </c>
      <c r="C4231" s="378">
        <f>IFERROR(__xludf.DUMMYFUNCTION("""COMPUTED_VALUE"""),46168.0)</f>
        <v>46168</v>
      </c>
      <c r="D4231" s="378">
        <f>IFERROR(__xludf.DUMMYFUNCTION("""COMPUTED_VALUE"""),46178.0)</f>
        <v>46178</v>
      </c>
    </row>
    <row r="4232">
      <c r="A4232" s="153" t="str">
        <f>IFERROR(__xludf.DUMMYFUNCTION("""COMPUTED_VALUE"""),"ATR0000014142")</f>
        <v>ATR0000014142</v>
      </c>
      <c r="B4232" s="153" t="str">
        <f>IFERROR(__xludf.DUMMYFUNCTION("""COMPUTED_VALUE"""),"WHOLE EXOME SEQUENCING")</f>
        <v>WHOLE EXOME SEQUENCING</v>
      </c>
      <c r="C4232" s="378">
        <f>IFERROR(__xludf.DUMMYFUNCTION("""COMPUTED_VALUE"""),46168.0)</f>
        <v>46168</v>
      </c>
      <c r="D4232" s="378">
        <f>IFERROR(__xludf.DUMMYFUNCTION("""COMPUTED_VALUE"""),46185.0)</f>
        <v>46185</v>
      </c>
    </row>
    <row r="4233">
      <c r="A4233" s="153" t="str">
        <f>IFERROR(__xludf.DUMMYFUNCTION("""COMPUTED_VALUE"""),"ADB0000037717")</f>
        <v>ADB0000037717</v>
      </c>
      <c r="B4233" s="153" t="str">
        <f>IFERROR(__xludf.DUMMYFUNCTION("""COMPUTED_VALUE"""),"FEMALE INFERTILITY NGS PANEL")</f>
        <v>FEMALE INFERTILITY NGS PANEL</v>
      </c>
      <c r="C4233" s="378">
        <f>IFERROR(__xludf.DUMMYFUNCTION("""COMPUTED_VALUE"""),46168.0)</f>
        <v>46168</v>
      </c>
      <c r="D4233" s="378">
        <f>IFERROR(__xludf.DUMMYFUNCTION("""COMPUTED_VALUE"""),46174.0)</f>
        <v>46174</v>
      </c>
    </row>
    <row r="4234">
      <c r="A4234" s="153" t="str">
        <f>IFERROR(__xludf.DUMMYFUNCTION("""COMPUTED_VALUE"""),"ADH0000026465")</f>
        <v>ADH0000026465</v>
      </c>
      <c r="B4234" s="153" t="str">
        <f>IFERROR(__xludf.DUMMYFUNCTION("""COMPUTED_VALUE"""),"WHOLE EXOME SEQUENCING")</f>
        <v>WHOLE EXOME SEQUENCING</v>
      </c>
      <c r="C4234" s="378">
        <f>IFERROR(__xludf.DUMMYFUNCTION("""COMPUTED_VALUE"""),46171.0)</f>
        <v>46171</v>
      </c>
      <c r="D4234" s="378">
        <f>IFERROR(__xludf.DUMMYFUNCTION("""COMPUTED_VALUE"""),46185.0)</f>
        <v>46185</v>
      </c>
    </row>
    <row r="4235">
      <c r="A4235" s="153" t="str">
        <f>IFERROR(__xludf.DUMMYFUNCTION("""COMPUTED_VALUE"""),"ADH0000026466")</f>
        <v>ADH0000026466</v>
      </c>
      <c r="B4235" s="153" t="str">
        <f>IFERROR(__xludf.DUMMYFUNCTION("""COMPUTED_VALUE"""),"WHOLE EXOME SEQUENCING")</f>
        <v>WHOLE EXOME SEQUENCING</v>
      </c>
      <c r="C4235" s="378">
        <f>IFERROR(__xludf.DUMMYFUNCTION("""COMPUTED_VALUE"""),46171.0)</f>
        <v>46171</v>
      </c>
      <c r="D4235" s="378">
        <f>IFERROR(__xludf.DUMMYFUNCTION("""COMPUTED_VALUE"""),46185.0)</f>
        <v>46185</v>
      </c>
    </row>
    <row r="4236">
      <c r="A4236" s="153" t="str">
        <f>IFERROR(__xludf.DUMMYFUNCTION("""COMPUTED_VALUE"""),"ADK0000002215")</f>
        <v>ADK0000002215</v>
      </c>
      <c r="B4236" s="153" t="str">
        <f>IFERROR(__xludf.DUMMYFUNCTION("""COMPUTED_VALUE"""),"WES+WMGS")</f>
        <v>WES+WMGS</v>
      </c>
      <c r="C4236" s="378">
        <f>IFERROR(__xludf.DUMMYFUNCTION("""COMPUTED_VALUE"""),46171.0)</f>
        <v>46171</v>
      </c>
      <c r="D4236" s="378">
        <f>IFERROR(__xludf.DUMMYFUNCTION("""COMPUTED_VALUE"""),46185.0)</f>
        <v>46185</v>
      </c>
    </row>
    <row r="4237">
      <c r="A4237" s="153" t="str">
        <f>IFERROR(__xludf.DUMMYFUNCTION("""COMPUTED_VALUE"""),"HYP0000001912")</f>
        <v>HYP0000001912</v>
      </c>
      <c r="B4237" s="153" t="str">
        <f>IFERROR(__xludf.DUMMYFUNCTION("""COMPUTED_VALUE"""),"MALE INFERTILITY NGS PANEL")</f>
        <v>MALE INFERTILITY NGS PANEL</v>
      </c>
      <c r="C4237" s="378">
        <f>IFERROR(__xludf.DUMMYFUNCTION("""COMPUTED_VALUE"""),46171.0)</f>
        <v>46171</v>
      </c>
      <c r="D4237" s="378">
        <f>IFERROR(__xludf.DUMMYFUNCTION("""COMPUTED_VALUE"""),46174.0)</f>
        <v>46174</v>
      </c>
    </row>
    <row r="4238">
      <c r="A4238" s="153" t="str">
        <f>IFERROR(__xludf.DUMMYFUNCTION("""COMPUTED_VALUE"""),"HYP0000001880")</f>
        <v>HYP0000001880</v>
      </c>
      <c r="B4238" s="153" t="str">
        <f>IFERROR(__xludf.DUMMYFUNCTION("""COMPUTED_VALUE"""),"ADVAT FOCUS CARRIER SCREENING - NGS")</f>
        <v>ADVAT FOCUS CARRIER SCREENING - NGS</v>
      </c>
      <c r="C4238" s="378">
        <f>IFERROR(__xludf.DUMMYFUNCTION("""COMPUTED_VALUE"""),46171.0)</f>
        <v>46171</v>
      </c>
      <c r="D4238" s="378">
        <f>IFERROR(__xludf.DUMMYFUNCTION("""COMPUTED_VALUE"""),46185.0)</f>
        <v>46185</v>
      </c>
    </row>
    <row r="4239">
      <c r="A4239" s="153" t="str">
        <f>IFERROR(__xludf.DUMMYFUNCTION("""COMPUTED_VALUE"""),"HYP0000001881")</f>
        <v>HYP0000001881</v>
      </c>
      <c r="B4239" s="153" t="str">
        <f>IFERROR(__xludf.DUMMYFUNCTION("""COMPUTED_VALUE"""),"ADVAT FOCUS CARRIER SCREENING - NGS")</f>
        <v>ADVAT FOCUS CARRIER SCREENING - NGS</v>
      </c>
      <c r="C4239" s="378">
        <f>IFERROR(__xludf.DUMMYFUNCTION("""COMPUTED_VALUE"""),46171.0)</f>
        <v>46171</v>
      </c>
      <c r="D4239" s="378">
        <f>IFERROR(__xludf.DUMMYFUNCTION("""COMPUTED_VALUE"""),46185.0)</f>
        <v>46185</v>
      </c>
    </row>
    <row r="4240">
      <c r="A4240" s="153" t="str">
        <f>IFERROR(__xludf.DUMMYFUNCTION("""COMPUTED_VALUE"""),"HYP0000001882")</f>
        <v>HYP0000001882</v>
      </c>
      <c r="B4240" s="153" t="str">
        <f>IFERROR(__xludf.DUMMYFUNCTION("""COMPUTED_VALUE"""),"ADVAT FOCUS CARRIER SCREENING - NGS")</f>
        <v>ADVAT FOCUS CARRIER SCREENING - NGS</v>
      </c>
      <c r="C4240" s="378">
        <f>IFERROR(__xludf.DUMMYFUNCTION("""COMPUTED_VALUE"""),46171.0)</f>
        <v>46171</v>
      </c>
      <c r="D4240" s="378">
        <f>IFERROR(__xludf.DUMMYFUNCTION("""COMPUTED_VALUE"""),46185.0)</f>
        <v>46185</v>
      </c>
    </row>
    <row r="4241">
      <c r="A4241" s="153" t="str">
        <f>IFERROR(__xludf.DUMMYFUNCTION("""COMPUTED_VALUE"""),"ATR0000014155")</f>
        <v>ATR0000014155</v>
      </c>
      <c r="B4241" s="153" t="str">
        <f>IFERROR(__xludf.DUMMYFUNCTION("""COMPUTED_VALUE"""),"WHOLE EXOME SEQUENCING")</f>
        <v>WHOLE EXOME SEQUENCING</v>
      </c>
      <c r="C4241" s="378">
        <f>IFERROR(__xludf.DUMMYFUNCTION("""COMPUTED_VALUE"""),46171.0)</f>
        <v>46171</v>
      </c>
      <c r="D4241" s="378">
        <f>IFERROR(__xludf.DUMMYFUNCTION("""COMPUTED_VALUE"""),46186.0)</f>
        <v>46186</v>
      </c>
    </row>
    <row r="4242">
      <c r="A4242" s="153" t="str">
        <f>IFERROR(__xludf.DUMMYFUNCTION("""COMPUTED_VALUE"""),"HYP0000001847")</f>
        <v>HYP0000001847</v>
      </c>
      <c r="B4242" s="153" t="str">
        <f>IFERROR(__xludf.DUMMYFUNCTION("""COMPUTED_VALUE"""),"WHOLE EXOME SEQUENCING")</f>
        <v>WHOLE EXOME SEQUENCING</v>
      </c>
      <c r="C4242" s="378">
        <f>IFERROR(__xludf.DUMMYFUNCTION("""COMPUTED_VALUE"""),46168.0)</f>
        <v>46168</v>
      </c>
      <c r="D4242" s="378">
        <f>IFERROR(__xludf.DUMMYFUNCTION("""COMPUTED_VALUE"""),46184.0)</f>
        <v>46184</v>
      </c>
    </row>
    <row r="4243">
      <c r="A4243" s="153" t="str">
        <f>IFERROR(__xludf.DUMMYFUNCTION("""COMPUTED_VALUE"""),"ADB0000037906")</f>
        <v>ADB0000037906</v>
      </c>
      <c r="B4243" s="153" t="str">
        <f>IFERROR(__xludf.DUMMYFUNCTION("""COMPUTED_VALUE"""),"WHOLE EXOME SEQUENCING")</f>
        <v>WHOLE EXOME SEQUENCING</v>
      </c>
      <c r="C4243" s="378">
        <f>IFERROR(__xludf.DUMMYFUNCTION("""COMPUTED_VALUE"""),46168.0)</f>
        <v>46168</v>
      </c>
      <c r="D4243" s="378">
        <f>IFERROR(__xludf.DUMMYFUNCTION("""COMPUTED_VALUE"""),46184.0)</f>
        <v>46184</v>
      </c>
    </row>
    <row r="4244">
      <c r="A4244" s="153" t="str">
        <f>IFERROR(__xludf.DUMMYFUNCTION("""COMPUTED_VALUE"""),"ADH0000026605
")</f>
        <v>ADH0000026605
</v>
      </c>
      <c r="B4244" s="153" t="str">
        <f>IFERROR(__xludf.DUMMYFUNCTION("""COMPUTED_VALUE"""),"WHOLE EXOME SEQUENCING")</f>
        <v>WHOLE EXOME SEQUENCING</v>
      </c>
      <c r="C4244" s="378">
        <f>IFERROR(__xludf.DUMMYFUNCTION("""COMPUTED_VALUE"""),46168.0)</f>
        <v>46168</v>
      </c>
      <c r="D4244" s="378">
        <f>IFERROR(__xludf.DUMMYFUNCTION("""COMPUTED_VALUE"""),46186.0)</f>
        <v>46186</v>
      </c>
    </row>
    <row r="4245">
      <c r="A4245" s="153" t="str">
        <f>IFERROR(__xludf.DUMMYFUNCTION("""COMPUTED_VALUE"""),"AND0000033384
")</f>
        <v>AND0000033384
</v>
      </c>
      <c r="B4245" s="153" t="str">
        <f>IFERROR(__xludf.DUMMYFUNCTION("""COMPUTED_VALUE"""),"CLINICAL EXOME SEQUENCING")</f>
        <v>CLINICAL EXOME SEQUENCING</v>
      </c>
      <c r="C4245" s="378">
        <f>IFERROR(__xludf.DUMMYFUNCTION("""COMPUTED_VALUE"""),46168.0)</f>
        <v>46168</v>
      </c>
      <c r="D4245" s="378">
        <f>IFERROR(__xludf.DUMMYFUNCTION("""COMPUTED_VALUE"""),46184.0)</f>
        <v>46184</v>
      </c>
    </row>
    <row r="4246">
      <c r="A4246" s="153" t="str">
        <f>IFERROR(__xludf.DUMMYFUNCTION("""COMPUTED_VALUE"""),"MDU0000016755")</f>
        <v>MDU0000016755</v>
      </c>
      <c r="B4246" s="153" t="str">
        <f>IFERROR(__xludf.DUMMYFUNCTION("""COMPUTED_VALUE"""),"WHOLE EXOME SEQUENCING")</f>
        <v>WHOLE EXOME SEQUENCING</v>
      </c>
      <c r="C4246" s="378">
        <f>IFERROR(__xludf.DUMMYFUNCTION("""COMPUTED_VALUE"""),46168.0)</f>
        <v>46168</v>
      </c>
      <c r="D4246" s="378">
        <f>IFERROR(__xludf.DUMMYFUNCTION("""COMPUTED_VALUE"""),46184.0)</f>
        <v>46184</v>
      </c>
    </row>
    <row r="4247">
      <c r="A4247" s="153"/>
      <c r="B4247" s="153"/>
      <c r="C4247" s="378">
        <f>IFERROR(__xludf.DUMMYFUNCTION("""COMPUTED_VALUE"""),46168.0)</f>
        <v>46168</v>
      </c>
      <c r="D4247" s="153"/>
    </row>
    <row r="4248">
      <c r="A4248" s="153" t="str">
        <f>IFERROR(__xludf.DUMMYFUNCTION("""COMPUTED_VALUE"""),"MDU0000014063")</f>
        <v>MDU0000014063</v>
      </c>
      <c r="B4248" s="153" t="str">
        <f>IFERROR(__xludf.DUMMYFUNCTION("""COMPUTED_VALUE"""),"WHOLE EXOME SEQUENCING")</f>
        <v>WHOLE EXOME SEQUENCING</v>
      </c>
      <c r="C4248" s="378">
        <f>IFERROR(__xludf.DUMMYFUNCTION("""COMPUTED_VALUE"""),46168.0)</f>
        <v>46168</v>
      </c>
      <c r="D4248" s="378">
        <f>IFERROR(__xludf.DUMMYFUNCTION("""COMPUTED_VALUE"""),46167.0)</f>
        <v>46167</v>
      </c>
    </row>
    <row r="4249">
      <c r="A4249" s="153" t="str">
        <f>IFERROR(__xludf.DUMMYFUNCTION("""COMPUTED_VALUE"""),"ADK0000002312
")</f>
        <v>ADK0000002312
</v>
      </c>
      <c r="B4249" s="153" t="str">
        <f>IFERROR(__xludf.DUMMYFUNCTION("""COMPUTED_VALUE"""),"WHOLE EXOME SEQUENCING + MITOCHONDRIAL GENOME SEQUENCING")</f>
        <v>WHOLE EXOME SEQUENCING + MITOCHONDRIAL GENOME SEQUENCING</v>
      </c>
      <c r="C4249" s="378">
        <f>IFERROR(__xludf.DUMMYFUNCTION("""COMPUTED_VALUE"""),46168.0)</f>
        <v>46168</v>
      </c>
      <c r="D4249" s="378">
        <f>IFERROR(__xludf.DUMMYFUNCTION("""COMPUTED_VALUE"""),46182.0)</f>
        <v>46182</v>
      </c>
    </row>
    <row r="4250">
      <c r="A4250" s="153" t="str">
        <f>IFERROR(__xludf.DUMMYFUNCTION("""COMPUTED_VALUE"""),"ADK0000002313")</f>
        <v>ADK0000002313</v>
      </c>
      <c r="B4250" s="153" t="str">
        <f>IFERROR(__xludf.DUMMYFUNCTION("""COMPUTED_VALUE"""),"WHOLE EXOME SEQUENCING")</f>
        <v>WHOLE EXOME SEQUENCING</v>
      </c>
      <c r="C4250" s="378">
        <f>IFERROR(__xludf.DUMMYFUNCTION("""COMPUTED_VALUE"""),46171.0)</f>
        <v>46171</v>
      </c>
      <c r="D4250" s="378">
        <f>IFERROR(__xludf.DUMMYFUNCTION("""COMPUTED_VALUE"""),46182.0)</f>
        <v>46182</v>
      </c>
    </row>
    <row r="4251">
      <c r="A4251" s="153" t="str">
        <f>IFERROR(__xludf.DUMMYFUNCTION("""COMPUTED_VALUE"""),"ADB0000037935")</f>
        <v>ADB0000037935</v>
      </c>
      <c r="B4251" s="153" t="str">
        <f>IFERROR(__xludf.DUMMYFUNCTION("""COMPUTED_VALUE"""),"MALE INFERTILITY NGS PANEL")</f>
        <v>MALE INFERTILITY NGS PANEL</v>
      </c>
      <c r="C4251" s="378">
        <f>IFERROR(__xludf.DUMMYFUNCTION("""COMPUTED_VALUE"""),46171.0)</f>
        <v>46171</v>
      </c>
      <c r="D4251" s="378">
        <f>IFERROR(__xludf.DUMMYFUNCTION("""COMPUTED_VALUE"""),46176.0)</f>
        <v>46176</v>
      </c>
    </row>
    <row r="4252">
      <c r="A4252" s="153" t="str">
        <f>IFERROR(__xludf.DUMMYFUNCTION("""COMPUTED_VALUE"""),"ADB0000037937")</f>
        <v>ADB0000037937</v>
      </c>
      <c r="B4252" s="153" t="str">
        <f>IFERROR(__xludf.DUMMYFUNCTION("""COMPUTED_VALUE"""),"FEMALE INFERTILITY NGS PANEL")</f>
        <v>FEMALE INFERTILITY NGS PANEL</v>
      </c>
      <c r="C4252" s="378">
        <f>IFERROR(__xludf.DUMMYFUNCTION("""COMPUTED_VALUE"""),46171.0)</f>
        <v>46171</v>
      </c>
      <c r="D4252" s="378">
        <f>IFERROR(__xludf.DUMMYFUNCTION("""COMPUTED_VALUE"""),46176.0)</f>
        <v>46176</v>
      </c>
    </row>
    <row r="4253">
      <c r="A4253" s="153" t="str">
        <f>IFERROR(__xludf.DUMMYFUNCTION("""COMPUTED_VALUE"""),"ABC0000001391")</f>
        <v>ABC0000001391</v>
      </c>
      <c r="B4253" s="153" t="str">
        <f>IFERROR(__xludf.DUMMYFUNCTION("""COMPUTED_VALUE"""),"CLINICAL EXOME SEQUENCING")</f>
        <v>CLINICAL EXOME SEQUENCING</v>
      </c>
      <c r="C4253" s="378">
        <f>IFERROR(__xludf.DUMMYFUNCTION("""COMPUTED_VALUE"""),46171.0)</f>
        <v>46171</v>
      </c>
      <c r="D4253" s="378">
        <f>IFERROR(__xludf.DUMMYFUNCTION("""COMPUTED_VALUE"""),46187.0)</f>
        <v>46187</v>
      </c>
    </row>
    <row r="4254">
      <c r="A4254" s="153" t="str">
        <f>IFERROR(__xludf.DUMMYFUNCTION("""COMPUTED_VALUE"""),"HYP0000001927")</f>
        <v>HYP0000001927</v>
      </c>
      <c r="B4254" s="153" t="str">
        <f>IFERROR(__xludf.DUMMYFUNCTION("""COMPUTED_VALUE"""),"WHOLE EXOME SEQUENCING")</f>
        <v>WHOLE EXOME SEQUENCING</v>
      </c>
      <c r="C4254" s="378">
        <f>IFERROR(__xludf.DUMMYFUNCTION("""COMPUTED_VALUE"""),46171.0)</f>
        <v>46171</v>
      </c>
      <c r="D4254" s="378">
        <f>IFERROR(__xludf.DUMMYFUNCTION("""COMPUTED_VALUE"""),46187.0)</f>
        <v>46187</v>
      </c>
    </row>
    <row r="4255">
      <c r="A4255" s="153" t="str">
        <f>IFERROR(__xludf.DUMMYFUNCTION("""COMPUTED_VALUE"""),"HYP0000001928")</f>
        <v>HYP0000001928</v>
      </c>
      <c r="B4255" s="153" t="str">
        <f>IFERROR(__xludf.DUMMYFUNCTION("""COMPUTED_VALUE"""),"WHOLE EXOME SEQUENCING")</f>
        <v>WHOLE EXOME SEQUENCING</v>
      </c>
      <c r="C4255" s="378">
        <f>IFERROR(__xludf.DUMMYFUNCTION("""COMPUTED_VALUE"""),46171.0)</f>
        <v>46171</v>
      </c>
      <c r="D4255" s="378">
        <f>IFERROR(__xludf.DUMMYFUNCTION("""COMPUTED_VALUE"""),46187.0)</f>
        <v>46187</v>
      </c>
    </row>
    <row r="4256">
      <c r="A4256" s="153" t="str">
        <f>IFERROR(__xludf.DUMMYFUNCTION("""COMPUTED_VALUE"""),"PH50000019089")</f>
        <v>PH50000019089</v>
      </c>
      <c r="B4256" s="153" t="str">
        <f>IFERROR(__xludf.DUMMYFUNCTION("""COMPUTED_VALUE"""),"WHOLE EXOME SEQUENCING")</f>
        <v>WHOLE EXOME SEQUENCING</v>
      </c>
      <c r="C4256" s="378">
        <f>IFERROR(__xludf.DUMMYFUNCTION("""COMPUTED_VALUE"""),46171.0)</f>
        <v>46171</v>
      </c>
      <c r="D4256" s="378">
        <f>IFERROR(__xludf.DUMMYFUNCTION("""COMPUTED_VALUE"""),46187.0)</f>
        <v>46187</v>
      </c>
    </row>
    <row r="4257">
      <c r="A4257" s="153" t="str">
        <f>IFERROR(__xludf.DUMMYFUNCTION("""COMPUTED_VALUE"""),"AMB0000010226")</f>
        <v>AMB0000010226</v>
      </c>
      <c r="B4257" s="153" t="str">
        <f>IFERROR(__xludf.DUMMYFUNCTION("""COMPUTED_VALUE"""),"WHOLE EXOME SEQUENCING")</f>
        <v>WHOLE EXOME SEQUENCING</v>
      </c>
      <c r="C4257" s="378">
        <f>IFERROR(__xludf.DUMMYFUNCTION("""COMPUTED_VALUE"""),46171.0)</f>
        <v>46171</v>
      </c>
      <c r="D4257" s="378">
        <f>IFERROR(__xludf.DUMMYFUNCTION("""COMPUTED_VALUE"""),46187.0)</f>
        <v>46187</v>
      </c>
    </row>
    <row r="4258">
      <c r="A4258" s="153" t="str">
        <f>IFERROR(__xludf.DUMMYFUNCTION("""COMPUTED_VALUE"""),"ADB0000038143")</f>
        <v>ADB0000038143</v>
      </c>
      <c r="B4258" s="153" t="str">
        <f>IFERROR(__xludf.DUMMYFUNCTION("""COMPUTED_VALUE"""),"WHOLE EXOME SEQUENCING")</f>
        <v>WHOLE EXOME SEQUENCING</v>
      </c>
      <c r="C4258" s="378">
        <f>IFERROR(__xludf.DUMMYFUNCTION("""COMPUTED_VALUE"""),46171.0)</f>
        <v>46171</v>
      </c>
      <c r="D4258" s="378">
        <f>IFERROR(__xludf.DUMMYFUNCTION("""COMPUTED_VALUE"""),46188.0)</f>
        <v>46188</v>
      </c>
    </row>
    <row r="4259">
      <c r="A4259" s="153" t="str">
        <f>IFERROR(__xludf.DUMMYFUNCTION("""COMPUTED_VALUE"""),"ADB0000038104")</f>
        <v>ADB0000038104</v>
      </c>
      <c r="B4259" s="153" t="str">
        <f>IFERROR(__xludf.DUMMYFUNCTION("""COMPUTED_VALUE"""),"WHOLE EXOME SEQUENCING")</f>
        <v>WHOLE EXOME SEQUENCING</v>
      </c>
      <c r="C4259" s="378">
        <f>IFERROR(__xludf.DUMMYFUNCTION("""COMPUTED_VALUE"""),46171.0)</f>
        <v>46171</v>
      </c>
      <c r="D4259" s="378">
        <f>IFERROR(__xludf.DUMMYFUNCTION("""COMPUTED_VALUE"""),46188.0)</f>
        <v>46188</v>
      </c>
    </row>
    <row r="4260">
      <c r="A4260" s="153" t="str">
        <f>IFERROR(__xludf.DUMMYFUNCTION("""COMPUTED_VALUE"""),"ADK0000002370")</f>
        <v>ADK0000002370</v>
      </c>
      <c r="B4260" s="153" t="str">
        <f>IFERROR(__xludf.DUMMYFUNCTION("""COMPUTED_VALUE"""),"WHOLE EXOME SEQUENCING")</f>
        <v>WHOLE EXOME SEQUENCING</v>
      </c>
      <c r="C4260" s="378">
        <f>IFERROR(__xludf.DUMMYFUNCTION("""COMPUTED_VALUE"""),46171.0)</f>
        <v>46171</v>
      </c>
      <c r="D4260" s="378">
        <f>IFERROR(__xludf.DUMMYFUNCTION("""COMPUTED_VALUE"""),46183.0)</f>
        <v>46183</v>
      </c>
    </row>
    <row r="4261">
      <c r="A4261" s="153" t="str">
        <f>IFERROR(__xludf.DUMMYFUNCTION("""COMPUTED_VALUE"""),"ADK0000002371")</f>
        <v>ADK0000002371</v>
      </c>
      <c r="B4261" s="153" t="str">
        <f>IFERROR(__xludf.DUMMYFUNCTION("""COMPUTED_VALUE"""),"WHOLE EXOME SEQUENCING")</f>
        <v>WHOLE EXOME SEQUENCING</v>
      </c>
      <c r="C4261" s="378">
        <f>IFERROR(__xludf.DUMMYFUNCTION("""COMPUTED_VALUE"""),46171.0)</f>
        <v>46171</v>
      </c>
      <c r="D4261" s="378">
        <f>IFERROR(__xludf.DUMMYFUNCTION("""COMPUTED_VALUE"""),46183.0)</f>
        <v>46183</v>
      </c>
    </row>
    <row r="4262">
      <c r="A4262" s="153" t="str">
        <f>IFERROR(__xludf.DUMMYFUNCTION("""COMPUTED_VALUE"""),"ADK0000002372")</f>
        <v>ADK0000002372</v>
      </c>
      <c r="B4262" s="153" t="str">
        <f>IFERROR(__xludf.DUMMYFUNCTION("""COMPUTED_VALUE"""),"WHOLE EXOME SEQUENCING")</f>
        <v>WHOLE EXOME SEQUENCING</v>
      </c>
      <c r="C4262" s="378">
        <f>IFERROR(__xludf.DUMMYFUNCTION("""COMPUTED_VALUE"""),46171.0)</f>
        <v>46171</v>
      </c>
      <c r="D4262" s="378">
        <f>IFERROR(__xludf.DUMMYFUNCTION("""COMPUTED_VALUE"""),46183.0)</f>
        <v>46183</v>
      </c>
    </row>
    <row r="4263">
      <c r="A4263" s="153" t="str">
        <f>IFERROR(__xludf.DUMMYFUNCTION("""COMPUTED_VALUE"""),"ADK0000002373")</f>
        <v>ADK0000002373</v>
      </c>
      <c r="B4263" s="153" t="str">
        <f>IFERROR(__xludf.DUMMYFUNCTION("""COMPUTED_VALUE"""),"WHOLE EXOME SEQUENCING")</f>
        <v>WHOLE EXOME SEQUENCING</v>
      </c>
      <c r="C4263" s="378">
        <f>IFERROR(__xludf.DUMMYFUNCTION("""COMPUTED_VALUE"""),46171.0)</f>
        <v>46171</v>
      </c>
      <c r="D4263" s="378">
        <f>IFERROR(__xludf.DUMMYFUNCTION("""COMPUTED_VALUE"""),46183.0)</f>
        <v>46183</v>
      </c>
    </row>
    <row r="4264">
      <c r="A4264" s="153" t="str">
        <f>IFERROR(__xludf.DUMMYFUNCTION("""COMPUTED_VALUE"""),"ADK0000002374")</f>
        <v>ADK0000002374</v>
      </c>
      <c r="B4264" s="153" t="str">
        <f>IFERROR(__xludf.DUMMYFUNCTION("""COMPUTED_VALUE"""),"WHOLE EXOME SEQUENCING")</f>
        <v>WHOLE EXOME SEQUENCING</v>
      </c>
      <c r="C4264" s="378">
        <f>IFERROR(__xludf.DUMMYFUNCTION("""COMPUTED_VALUE"""),46171.0)</f>
        <v>46171</v>
      </c>
      <c r="D4264" s="378">
        <f>IFERROR(__xludf.DUMMYFUNCTION("""COMPUTED_VALUE"""),46183.0)</f>
        <v>46183</v>
      </c>
    </row>
    <row r="4265">
      <c r="A4265" s="153" t="str">
        <f>IFERROR(__xludf.DUMMYFUNCTION("""COMPUTED_VALUE"""),"ADK0000002375")</f>
        <v>ADK0000002375</v>
      </c>
      <c r="B4265" s="153" t="str">
        <f>IFERROR(__xludf.DUMMYFUNCTION("""COMPUTED_VALUE"""),"WHOLE EXOME SEQUENCING")</f>
        <v>WHOLE EXOME SEQUENCING</v>
      </c>
      <c r="C4265" s="378">
        <f>IFERROR(__xludf.DUMMYFUNCTION("""COMPUTED_VALUE"""),46171.0)</f>
        <v>46171</v>
      </c>
      <c r="D4265" s="378">
        <f>IFERROR(__xludf.DUMMYFUNCTION("""COMPUTED_VALUE"""),46183.0)</f>
        <v>46183</v>
      </c>
    </row>
    <row r="4266">
      <c r="A4266" s="153" t="str">
        <f>IFERROR(__xludf.DUMMYFUNCTION("""COMPUTED_VALUE"""),"PH50000019374")</f>
        <v>PH50000019374</v>
      </c>
      <c r="B4266" s="153" t="str">
        <f>IFERROR(__xludf.DUMMYFUNCTION("""COMPUTED_VALUE"""),"WES+WMGS")</f>
        <v>WES+WMGS</v>
      </c>
      <c r="C4266" s="153"/>
      <c r="D4266" s="413">
        <f>IFERROR(__xludf.DUMMYFUNCTION("""COMPUTED_VALUE"""),46189.0)</f>
        <v>46189</v>
      </c>
    </row>
    <row r="4267">
      <c r="A4267" s="153" t="str">
        <f>IFERROR(__xludf.DUMMYFUNCTION("""COMPUTED_VALUE"""),"PH50000019375")</f>
        <v>PH50000019375</v>
      </c>
      <c r="B4267" s="153" t="str">
        <f>IFERROR(__xludf.DUMMYFUNCTION("""COMPUTED_VALUE"""),"WES+WMGS")</f>
        <v>WES+WMGS</v>
      </c>
      <c r="C4267" s="153"/>
      <c r="D4267" s="413">
        <f>IFERROR(__xludf.DUMMYFUNCTION("""COMPUTED_VALUE"""),46189.0)</f>
        <v>46189</v>
      </c>
    </row>
    <row r="4268">
      <c r="A4268" s="153" t="str">
        <f>IFERROR(__xludf.DUMMYFUNCTION("""COMPUTED_VALUE"""),"PH50000019259")</f>
        <v>PH50000019259</v>
      </c>
      <c r="B4268" s="153" t="str">
        <f>IFERROR(__xludf.DUMMYFUNCTION("""COMPUTED_VALUE"""),"WES+WMGS")</f>
        <v>WES+WMGS</v>
      </c>
      <c r="C4268" s="153"/>
      <c r="D4268" s="413">
        <f>IFERROR(__xludf.DUMMYFUNCTION("""COMPUTED_VALUE"""),46188.0)</f>
        <v>46188</v>
      </c>
    </row>
    <row r="4269">
      <c r="A4269" s="153" t="str">
        <f>IFERROR(__xludf.DUMMYFUNCTION("""COMPUTED_VALUE"""),"ADB0000038106")</f>
        <v>ADB0000038106</v>
      </c>
      <c r="B4269" s="153" t="str">
        <f>IFERROR(__xludf.DUMMYFUNCTION("""COMPUTED_VALUE"""),"WHOLE EXOME SEQUENCING")</f>
        <v>WHOLE EXOME SEQUENCING</v>
      </c>
      <c r="C4269" s="153"/>
      <c r="D4269" s="413">
        <f>IFERROR(__xludf.DUMMYFUNCTION("""COMPUTED_VALUE"""),46188.0)</f>
        <v>46188</v>
      </c>
    </row>
    <row r="4270">
      <c r="A4270" s="153" t="str">
        <f>IFERROR(__xludf.DUMMYFUNCTION("""COMPUTED_VALUE"""),"ADB0000038115")</f>
        <v>ADB0000038115</v>
      </c>
      <c r="B4270" s="153" t="str">
        <f>IFERROR(__xludf.DUMMYFUNCTION("""COMPUTED_VALUE"""),"FEMALE INFERTILITY NGS PANEL")</f>
        <v>FEMALE INFERTILITY NGS PANEL</v>
      </c>
      <c r="C4270" s="153"/>
      <c r="D4270" s="413">
        <f>IFERROR(__xludf.DUMMYFUNCTION("""COMPUTED_VALUE"""),46177.0)</f>
        <v>46177</v>
      </c>
    </row>
    <row r="4271">
      <c r="A4271" s="153" t="str">
        <f>IFERROR(__xludf.DUMMYFUNCTION("""COMPUTED_VALUE"""),"ADS0000011976")</f>
        <v>ADS0000011976</v>
      </c>
      <c r="B4271" s="153" t="str">
        <f>IFERROR(__xludf.DUMMYFUNCTION("""COMPUTED_VALUE"""),"FEMALE INFERTILITY NGS PANEL")</f>
        <v>FEMALE INFERTILITY NGS PANEL</v>
      </c>
      <c r="C4271" s="153"/>
      <c r="D4271" s="413">
        <f>IFERROR(__xludf.DUMMYFUNCTION("""COMPUTED_VALUE"""),46177.0)</f>
        <v>46177</v>
      </c>
    </row>
    <row r="4272">
      <c r="A4272" s="153" t="str">
        <f>IFERROR(__xludf.DUMMYFUNCTION("""COMPUTED_VALUE"""),"ADS0000011977")</f>
        <v>ADS0000011977</v>
      </c>
      <c r="B4272" s="153" t="str">
        <f>IFERROR(__xludf.DUMMYFUNCTION("""COMPUTED_VALUE"""),"MALE INFERTILITY NGS PANEL")</f>
        <v>MALE INFERTILITY NGS PANEL</v>
      </c>
      <c r="C4272" s="153"/>
      <c r="D4272" s="413">
        <f>IFERROR(__xludf.DUMMYFUNCTION("""COMPUTED_VALUE"""),46177.0)</f>
        <v>46177</v>
      </c>
    </row>
    <row r="4273">
      <c r="A4273" s="153" t="str">
        <f>IFERROR(__xludf.DUMMYFUNCTION("""COMPUTED_VALUE"""),"ADK0000002381")</f>
        <v>ADK0000002381</v>
      </c>
      <c r="B4273" s="153" t="str">
        <f>IFERROR(__xludf.DUMMYFUNCTION("""COMPUTED_VALUE"""),"WES+WMGS")</f>
        <v>WES+WMGS</v>
      </c>
      <c r="C4273" s="153"/>
      <c r="D4273" s="413">
        <f>IFERROR(__xludf.DUMMYFUNCTION("""COMPUTED_VALUE"""),46189.0)</f>
        <v>46189</v>
      </c>
    </row>
    <row r="4274">
      <c r="A4274" s="153" t="str">
        <f>IFERROR(__xludf.DUMMYFUNCTION("""COMPUTED_VALUE"""),"AND0000036010")</f>
        <v>AND0000036010</v>
      </c>
      <c r="B4274" s="153" t="str">
        <f>IFERROR(__xludf.DUMMYFUNCTION("""COMPUTED_VALUE"""),"WHOLE EXOME SEQUENCING")</f>
        <v>WHOLE EXOME SEQUENCING</v>
      </c>
      <c r="C4274" s="153"/>
      <c r="D4274" s="413">
        <f>IFERROR(__xludf.DUMMYFUNCTION("""COMPUTED_VALUE"""),46188.0)</f>
        <v>46188</v>
      </c>
    </row>
    <row r="4275">
      <c r="A4275" s="153" t="str">
        <f>IFERROR(__xludf.DUMMYFUNCTION("""COMPUTED_VALUE"""),"DCC0000004788")</f>
        <v>DCC0000004788</v>
      </c>
      <c r="B4275" s="153" t="str">
        <f>IFERROR(__xludf.DUMMYFUNCTION("""COMPUTED_VALUE"""),"WHOLE EXOME SEQUENCING")</f>
        <v>WHOLE EXOME SEQUENCING</v>
      </c>
      <c r="C4275" s="153"/>
      <c r="D4275" s="413">
        <f>IFERROR(__xludf.DUMMYFUNCTION("""COMPUTED_VALUE"""),46188.0)</f>
        <v>46188</v>
      </c>
    </row>
    <row r="4276">
      <c r="A4276" s="153" t="str">
        <f>IFERROR(__xludf.DUMMYFUNCTION("""COMPUTED_VALUE"""),"HYP0000001963")</f>
        <v>HYP0000001963</v>
      </c>
      <c r="B4276" s="153" t="str">
        <f>IFERROR(__xludf.DUMMYFUNCTION("""COMPUTED_VALUE"""),"ADVAT FOCUS CARRIER SCREENING - NGS")</f>
        <v>ADVAT FOCUS CARRIER SCREENING - NGS</v>
      </c>
      <c r="C4276" s="153"/>
      <c r="D4276" s="413">
        <f>IFERROR(__xludf.DUMMYFUNCTION("""COMPUTED_VALUE"""),46188.0)</f>
        <v>46188</v>
      </c>
    </row>
    <row r="4277">
      <c r="A4277" s="153" t="str">
        <f>IFERROR(__xludf.DUMMYFUNCTION("""COMPUTED_VALUE"""),"HYP0000001964")</f>
        <v>HYP0000001964</v>
      </c>
      <c r="B4277" s="153" t="str">
        <f>IFERROR(__xludf.DUMMYFUNCTION("""COMPUTED_VALUE"""),"ADVAT FOCUS CARRIER SCREENING - NGS")</f>
        <v>ADVAT FOCUS CARRIER SCREENING - NGS</v>
      </c>
      <c r="C4277" s="153"/>
      <c r="D4277" s="413">
        <f>IFERROR(__xludf.DUMMYFUNCTION("""COMPUTED_VALUE"""),46188.0)</f>
        <v>46188</v>
      </c>
    </row>
    <row r="4278">
      <c r="A4278" s="153" t="str">
        <f>IFERROR(__xludf.DUMMYFUNCTION("""COMPUTED_VALUE"""),"CHM0000033504")</f>
        <v>CHM0000033504</v>
      </c>
      <c r="B4278" s="153" t="str">
        <f>IFERROR(__xludf.DUMMYFUNCTION("""COMPUTED_VALUE"""),"COMPREHENSIVE HEREDITARY CANCER PANEL (NGS+MLPA)")</f>
        <v>COMPREHENSIVE HEREDITARY CANCER PANEL (NGS+MLPA)</v>
      </c>
      <c r="C4278" s="153"/>
      <c r="D4278" s="153"/>
    </row>
    <row r="4279">
      <c r="A4279" s="153" t="str">
        <f>IFERROR(__xludf.DUMMYFUNCTION("""COMPUTED_VALUE"""),"TCC0000001043")</f>
        <v>TCC0000001043</v>
      </c>
      <c r="B4279" s="153" t="str">
        <f>IFERROR(__xludf.DUMMYFUNCTION("""COMPUTED_VALUE"""),"CLINICAL EXOME SEQUENCING")</f>
        <v>CLINICAL EXOME SEQUENCING</v>
      </c>
      <c r="C4279" s="153"/>
      <c r="D4279" s="413">
        <f>IFERROR(__xludf.DUMMYFUNCTION("""COMPUTED_VALUE"""),46189.0)</f>
        <v>46189</v>
      </c>
    </row>
    <row r="4280">
      <c r="A4280" s="153" t="str">
        <f>IFERROR(__xludf.DUMMYFUNCTION("""COMPUTED_VALUE"""),"AND0000036488")</f>
        <v>AND0000036488</v>
      </c>
      <c r="B4280" s="153" t="str">
        <f>IFERROR(__xludf.DUMMYFUNCTION("""COMPUTED_VALUE"""),"WHOLE EXOME SEQUENCING")</f>
        <v>WHOLE EXOME SEQUENCING</v>
      </c>
      <c r="C4280" s="153"/>
      <c r="D4280" s="413">
        <f>IFERROR(__xludf.DUMMYFUNCTION("""COMPUTED_VALUE"""),46189.0)</f>
        <v>46189</v>
      </c>
    </row>
    <row r="4281">
      <c r="A4281" s="153" t="str">
        <f>IFERROR(__xludf.DUMMYFUNCTION("""COMPUTED_VALUE"""),"ATR0000014389")</f>
        <v>ATR0000014389</v>
      </c>
      <c r="B4281" s="153" t="str">
        <f>IFERROR(__xludf.DUMMYFUNCTION("""COMPUTED_VALUE"""),"WHOLE EXOME SEQUENCING")</f>
        <v>WHOLE EXOME SEQUENCING</v>
      </c>
      <c r="C4281" s="153"/>
      <c r="D4281" s="413">
        <f>IFERROR(__xludf.DUMMYFUNCTION("""COMPUTED_VALUE"""),46189.0)</f>
        <v>46189</v>
      </c>
    </row>
    <row r="4282">
      <c r="A4282" s="153" t="str">
        <f>IFERROR(__xludf.DUMMYFUNCTION("""COMPUTED_VALUE"""),"ADN0000025385")</f>
        <v>ADN0000025385</v>
      </c>
      <c r="B4282" s="153" t="str">
        <f>IFERROR(__xludf.DUMMYFUNCTION("""COMPUTED_VALUE"""),"WHOLE EXOME SEQUENCING")</f>
        <v>WHOLE EXOME SEQUENCING</v>
      </c>
      <c r="C4282" s="378">
        <f>IFERROR(__xludf.DUMMYFUNCTION("""COMPUTED_VALUE"""),46171.0)</f>
        <v>46171</v>
      </c>
      <c r="D4282" s="413">
        <f>IFERROR(__xludf.DUMMYFUNCTION("""COMPUTED_VALUE"""),46185.0)</f>
        <v>46185</v>
      </c>
    </row>
    <row r="4283">
      <c r="A4283" s="153" t="str">
        <f>IFERROR(__xludf.DUMMYFUNCTION("""COMPUTED_VALUE"""),"AVP0000008750")</f>
        <v>AVP0000008750</v>
      </c>
      <c r="B4283" s="153" t="str">
        <f>IFERROR(__xludf.DUMMYFUNCTION("""COMPUTED_VALUE"""),"WHOLE EXOME SEQUENCING")</f>
        <v>WHOLE EXOME SEQUENCING</v>
      </c>
      <c r="C4283" s="378">
        <f>IFERROR(__xludf.DUMMYFUNCTION("""COMPUTED_VALUE"""),46171.0)</f>
        <v>46171</v>
      </c>
      <c r="D4283" s="413">
        <f>IFERROR(__xludf.DUMMYFUNCTION("""COMPUTED_VALUE"""),46191.0)</f>
        <v>46191</v>
      </c>
    </row>
    <row r="4284">
      <c r="A4284" s="153" t="str">
        <f>IFERROR(__xludf.DUMMYFUNCTION("""COMPUTED_VALUE"""),"ADK0000002446")</f>
        <v>ADK0000002446</v>
      </c>
      <c r="B4284" s="153" t="str">
        <f>IFERROR(__xludf.DUMMYFUNCTION("""COMPUTED_VALUE"""),"WHOLE EXOME SEQUENCING")</f>
        <v>WHOLE EXOME SEQUENCING</v>
      </c>
      <c r="C4284" s="378">
        <f>IFERROR(__xludf.DUMMYFUNCTION("""COMPUTED_VALUE"""),46171.0)</f>
        <v>46171</v>
      </c>
      <c r="D4284" s="413">
        <f>IFERROR(__xludf.DUMMYFUNCTION("""COMPUTED_VALUE"""),46185.0)</f>
        <v>46185</v>
      </c>
    </row>
    <row r="4285">
      <c r="A4285" s="153" t="str">
        <f>IFERROR(__xludf.DUMMYFUNCTION("""COMPUTED_VALUE"""),"HYP0000002045")</f>
        <v>HYP0000002045</v>
      </c>
      <c r="B4285" s="153" t="str">
        <f>IFERROR(__xludf.DUMMYFUNCTION("""COMPUTED_VALUE"""),"WHOLE EXOME SEQUENCING")</f>
        <v>WHOLE EXOME SEQUENCING</v>
      </c>
      <c r="C4285" s="378">
        <f>IFERROR(__xludf.DUMMYFUNCTION("""COMPUTED_VALUE"""),46171.0)</f>
        <v>46171</v>
      </c>
      <c r="D4285" s="413">
        <f>IFERROR(__xludf.DUMMYFUNCTION("""COMPUTED_VALUE"""),46190.0)</f>
        <v>46190</v>
      </c>
    </row>
    <row r="4286">
      <c r="A4286" s="153" t="str">
        <f>IFERROR(__xludf.DUMMYFUNCTION("""COMPUTED_VALUE"""),"HYP0000002046")</f>
        <v>HYP0000002046</v>
      </c>
      <c r="B4286" s="153" t="str">
        <f>IFERROR(__xludf.DUMMYFUNCTION("""COMPUTED_VALUE"""),"WHOLE EXOME SEQUENCING")</f>
        <v>WHOLE EXOME SEQUENCING</v>
      </c>
      <c r="C4286" s="378">
        <f>IFERROR(__xludf.DUMMYFUNCTION("""COMPUTED_VALUE"""),46171.0)</f>
        <v>46171</v>
      </c>
      <c r="D4286" s="413">
        <f>IFERROR(__xludf.DUMMYFUNCTION("""COMPUTED_VALUE"""),46190.0)</f>
        <v>46190</v>
      </c>
    </row>
    <row r="4287">
      <c r="A4287" s="153" t="str">
        <f>IFERROR(__xludf.DUMMYFUNCTION("""COMPUTED_VALUE"""),"ADH0000027434")</f>
        <v>ADH0000027434</v>
      </c>
      <c r="B4287" s="153" t="str">
        <f>IFERROR(__xludf.DUMMYFUNCTION("""COMPUTED_VALUE"""),"WHOLE EXOME SEQUENCING")</f>
        <v>WHOLE EXOME SEQUENCING</v>
      </c>
      <c r="C4287" s="378">
        <f>IFERROR(__xludf.DUMMYFUNCTION("""COMPUTED_VALUE"""),46171.0)</f>
        <v>46171</v>
      </c>
      <c r="D4287" s="413">
        <f>IFERROR(__xludf.DUMMYFUNCTION("""COMPUTED_VALUE"""),46186.0)</f>
        <v>46186</v>
      </c>
    </row>
    <row r="4288">
      <c r="A4288" s="153" t="str">
        <f>IFERROR(__xludf.DUMMYFUNCTION("""COMPUTED_VALUE"""),"AMB0000010297")</f>
        <v>AMB0000010297</v>
      </c>
      <c r="B4288" s="153" t="str">
        <f>IFERROR(__xludf.DUMMYFUNCTION("""COMPUTED_VALUE"""),"WHOLE EXOME SEQUENCING")</f>
        <v>WHOLE EXOME SEQUENCING</v>
      </c>
      <c r="C4288" s="378">
        <f>IFERROR(__xludf.DUMMYFUNCTION("""COMPUTED_VALUE"""),46171.0)</f>
        <v>46171</v>
      </c>
      <c r="D4288" s="413">
        <f>IFERROR(__xludf.DUMMYFUNCTION("""COMPUTED_VALUE"""),46191.0)</f>
        <v>46191</v>
      </c>
    </row>
    <row r="4289">
      <c r="A4289" s="153" t="str">
        <f>IFERROR(__xludf.DUMMYFUNCTION("""COMPUTED_VALUE"""),"ANG0000009197")</f>
        <v>ANG0000009197</v>
      </c>
      <c r="B4289" s="153" t="str">
        <f>IFERROR(__xludf.DUMMYFUNCTION("""COMPUTED_VALUE"""),"WHOLE EXOME SEQUENCING")</f>
        <v>WHOLE EXOME SEQUENCING</v>
      </c>
      <c r="C4289" s="378">
        <f>IFERROR(__xludf.DUMMYFUNCTION("""COMPUTED_VALUE"""),46171.0)</f>
        <v>46171</v>
      </c>
      <c r="D4289" s="413">
        <f>IFERROR(__xludf.DUMMYFUNCTION("""COMPUTED_VALUE"""),46191.0)</f>
        <v>46191</v>
      </c>
    </row>
    <row r="4290">
      <c r="A4290" s="153" t="str">
        <f>IFERROR(__xludf.DUMMYFUNCTION("""COMPUTED_VALUE"""),"ADK0000002447")</f>
        <v>ADK0000002447</v>
      </c>
      <c r="B4290" s="153" t="str">
        <f>IFERROR(__xludf.DUMMYFUNCTION("""COMPUTED_VALUE"""),"WHOLE EXOME SEQUENCING")</f>
        <v>WHOLE EXOME SEQUENCING</v>
      </c>
      <c r="C4290" s="378">
        <f>IFERROR(__xludf.DUMMYFUNCTION("""COMPUTED_VALUE"""),46171.0)</f>
        <v>46171</v>
      </c>
      <c r="D4290" s="413">
        <f>IFERROR(__xludf.DUMMYFUNCTION("""COMPUTED_VALUE"""),46185.0)</f>
        <v>46185</v>
      </c>
    </row>
    <row r="4291">
      <c r="A4291" s="153" t="str">
        <f>IFERROR(__xludf.DUMMYFUNCTION("""COMPUTED_VALUE"""),"ADK0000002448")</f>
        <v>ADK0000002448</v>
      </c>
      <c r="B4291" s="153" t="str">
        <f>IFERROR(__xludf.DUMMYFUNCTION("""COMPUTED_VALUE"""),"WHOLE EXOME SEQUENCING")</f>
        <v>WHOLE EXOME SEQUENCING</v>
      </c>
      <c r="C4291" s="378">
        <f>IFERROR(__xludf.DUMMYFUNCTION("""COMPUTED_VALUE"""),46171.0)</f>
        <v>46171</v>
      </c>
      <c r="D4291" s="413">
        <f>IFERROR(__xludf.DUMMYFUNCTION("""COMPUTED_VALUE"""),46185.0)</f>
        <v>46185</v>
      </c>
    </row>
    <row r="4292">
      <c r="A4292" s="153" t="str">
        <f>IFERROR(__xludf.DUMMYFUNCTION("""COMPUTED_VALUE"""),"ADK0000002449")</f>
        <v>ADK0000002449</v>
      </c>
      <c r="B4292" s="153" t="str">
        <f>IFERROR(__xludf.DUMMYFUNCTION("""COMPUTED_VALUE"""),"WHOLE EXOME SEQUENCING")</f>
        <v>WHOLE EXOME SEQUENCING</v>
      </c>
      <c r="C4292" s="378">
        <f>IFERROR(__xludf.DUMMYFUNCTION("""COMPUTED_VALUE"""),46171.0)</f>
        <v>46171</v>
      </c>
      <c r="D4292" s="413">
        <f>IFERROR(__xludf.DUMMYFUNCTION("""COMPUTED_VALUE"""),46185.0)</f>
        <v>46185</v>
      </c>
    </row>
    <row r="4293">
      <c r="A4293" s="153" t="str">
        <f>IFERROR(__xludf.DUMMYFUNCTION("""COMPUTED_VALUE"""),"ADK0000002450")</f>
        <v>ADK0000002450</v>
      </c>
      <c r="B4293" s="153" t="str">
        <f>IFERROR(__xludf.DUMMYFUNCTION("""COMPUTED_VALUE"""),"WHOLE EXOME SEQUENCING")</f>
        <v>WHOLE EXOME SEQUENCING</v>
      </c>
      <c r="C4293" s="378">
        <f>IFERROR(__xludf.DUMMYFUNCTION("""COMPUTED_VALUE"""),46171.0)</f>
        <v>46171</v>
      </c>
      <c r="D4293" s="413">
        <f>IFERROR(__xludf.DUMMYFUNCTION("""COMPUTED_VALUE"""),46185.0)</f>
        <v>46185</v>
      </c>
    </row>
    <row r="4294">
      <c r="A4294" s="153" t="str">
        <f>IFERROR(__xludf.DUMMYFUNCTION("""COMPUTED_VALUE"""),"ADK0000002451")</f>
        <v>ADK0000002451</v>
      </c>
      <c r="B4294" s="153" t="str">
        <f>IFERROR(__xludf.DUMMYFUNCTION("""COMPUTED_VALUE"""),"WHOLE EXOME SEQUENCING")</f>
        <v>WHOLE EXOME SEQUENCING</v>
      </c>
      <c r="C4294" s="378">
        <f>IFERROR(__xludf.DUMMYFUNCTION("""COMPUTED_VALUE"""),46171.0)</f>
        <v>46171</v>
      </c>
      <c r="D4294" s="413">
        <f>IFERROR(__xludf.DUMMYFUNCTION("""COMPUTED_VALUE"""),46185.0)</f>
        <v>46185</v>
      </c>
    </row>
    <row r="4295">
      <c r="A4295" s="153" t="str">
        <f>IFERROR(__xludf.DUMMYFUNCTION("""COMPUTED_VALUE"""),"ADK0000002452")</f>
        <v>ADK0000002452</v>
      </c>
      <c r="B4295" s="153" t="str">
        <f>IFERROR(__xludf.DUMMYFUNCTION("""COMPUTED_VALUE"""),"WHOLE EXOME SEQUENCING")</f>
        <v>WHOLE EXOME SEQUENCING</v>
      </c>
      <c r="C4295" s="378">
        <f>IFERROR(__xludf.DUMMYFUNCTION("""COMPUTED_VALUE"""),46171.0)</f>
        <v>46171</v>
      </c>
      <c r="D4295" s="413">
        <f>IFERROR(__xludf.DUMMYFUNCTION("""COMPUTED_VALUE"""),46185.0)</f>
        <v>46185</v>
      </c>
    </row>
    <row r="4296">
      <c r="A4296" s="153" t="str">
        <f>IFERROR(__xludf.DUMMYFUNCTION("""COMPUTED_VALUE"""),"ADK0000002453")</f>
        <v>ADK0000002453</v>
      </c>
      <c r="B4296" s="153" t="str">
        <f>IFERROR(__xludf.DUMMYFUNCTION("""COMPUTED_VALUE"""),"WHOLE EXOME SEQUENCING")</f>
        <v>WHOLE EXOME SEQUENCING</v>
      </c>
      <c r="C4296" s="378">
        <f>IFERROR(__xludf.DUMMYFUNCTION("""COMPUTED_VALUE"""),46171.0)</f>
        <v>46171</v>
      </c>
      <c r="D4296" s="413">
        <f>IFERROR(__xludf.DUMMYFUNCTION("""COMPUTED_VALUE"""),46185.0)</f>
        <v>46185</v>
      </c>
    </row>
    <row r="4297">
      <c r="A4297" s="153" t="str">
        <f>IFERROR(__xludf.DUMMYFUNCTION("""COMPUTED_VALUE"""),"ADK0000002454")</f>
        <v>ADK0000002454</v>
      </c>
      <c r="B4297" s="153" t="str">
        <f>IFERROR(__xludf.DUMMYFUNCTION("""COMPUTED_VALUE"""),"WHOLE EXOME SEQUENCING")</f>
        <v>WHOLE EXOME SEQUENCING</v>
      </c>
      <c r="C4297" s="378">
        <f>IFERROR(__xludf.DUMMYFUNCTION("""COMPUTED_VALUE"""),46171.0)</f>
        <v>46171</v>
      </c>
      <c r="D4297" s="413">
        <f>IFERROR(__xludf.DUMMYFUNCTION("""COMPUTED_VALUE"""),46185.0)</f>
        <v>46185</v>
      </c>
    </row>
    <row r="4298">
      <c r="A4298" s="153" t="str">
        <f>IFERROR(__xludf.DUMMYFUNCTION("""COMPUTED_VALUE"""),"ADK0000002455")</f>
        <v>ADK0000002455</v>
      </c>
      <c r="B4298" s="153" t="str">
        <f>IFERROR(__xludf.DUMMYFUNCTION("""COMPUTED_VALUE"""),"WHOLE EXOME SEQUENCING")</f>
        <v>WHOLE EXOME SEQUENCING</v>
      </c>
      <c r="C4298" s="378">
        <f>IFERROR(__xludf.DUMMYFUNCTION("""COMPUTED_VALUE"""),46171.0)</f>
        <v>46171</v>
      </c>
      <c r="D4298" s="413">
        <f>IFERROR(__xludf.DUMMYFUNCTION("""COMPUTED_VALUE"""),46185.0)</f>
        <v>46185</v>
      </c>
    </row>
    <row r="4299">
      <c r="A4299" s="153" t="str">
        <f>IFERROR(__xludf.DUMMYFUNCTION("""COMPUTED_VALUE"""),"ADB0000038508")</f>
        <v>ADB0000038508</v>
      </c>
      <c r="B4299" s="153" t="str">
        <f>IFERROR(__xludf.DUMMYFUNCTION("""COMPUTED_VALUE"""),"FEMALE INFERTILITY NGS PANEL")</f>
        <v>FEMALE INFERTILITY NGS PANEL</v>
      </c>
      <c r="C4299" s="378">
        <f>IFERROR(__xludf.DUMMYFUNCTION("""COMPUTED_VALUE"""),46171.0)</f>
        <v>46171</v>
      </c>
      <c r="D4299" s="413">
        <f>IFERROR(__xludf.DUMMYFUNCTION("""COMPUTED_VALUE"""),46181.0)</f>
        <v>46181</v>
      </c>
    </row>
    <row r="4300">
      <c r="A4300" s="153" t="str">
        <f>IFERROR(__xludf.DUMMYFUNCTION("""COMPUTED_VALUE"""),"ADB0000038593")</f>
        <v>ADB0000038593</v>
      </c>
      <c r="B4300" s="153" t="str">
        <f>IFERROR(__xludf.DUMMYFUNCTION("""COMPUTED_VALUE"""),"WHOLE EXOME SEQUENCING")</f>
        <v>WHOLE EXOME SEQUENCING</v>
      </c>
      <c r="C4300" s="378">
        <f>IFERROR(__xludf.DUMMYFUNCTION("""COMPUTED_VALUE"""),46171.0)</f>
        <v>46171</v>
      </c>
      <c r="D4300" s="413">
        <f>IFERROR(__xludf.DUMMYFUNCTION("""COMPUTED_VALUE"""),46192.0)</f>
        <v>46192</v>
      </c>
    </row>
    <row r="4301">
      <c r="A4301" s="153" t="str">
        <f>IFERROR(__xludf.DUMMYFUNCTION("""COMPUTED_VALUE"""),"ADB0000038581")</f>
        <v>ADB0000038581</v>
      </c>
      <c r="B4301" s="153" t="str">
        <f>IFERROR(__xludf.DUMMYFUNCTION("""COMPUTED_VALUE"""),"WHOLE EXOME SEQUENCING")</f>
        <v>WHOLE EXOME SEQUENCING</v>
      </c>
      <c r="C4301" s="378">
        <f>IFERROR(__xludf.DUMMYFUNCTION("""COMPUTED_VALUE"""),46171.0)</f>
        <v>46171</v>
      </c>
      <c r="D4301" s="413">
        <f>IFERROR(__xludf.DUMMYFUNCTION("""COMPUTED_VALUE"""),46192.0)</f>
        <v>46192</v>
      </c>
    </row>
    <row r="4302">
      <c r="A4302" s="153" t="str">
        <f>IFERROR(__xludf.DUMMYFUNCTION("""COMPUTED_VALUE"""),"MDU0000018449")</f>
        <v>MDU0000018449</v>
      </c>
      <c r="B4302" s="153" t="str">
        <f>IFERROR(__xludf.DUMMYFUNCTION("""COMPUTED_VALUE"""),"WHOLE EXOME SEQUENCING")</f>
        <v>WHOLE EXOME SEQUENCING</v>
      </c>
      <c r="C4302" s="378">
        <f>IFERROR(__xludf.DUMMYFUNCTION("""COMPUTED_VALUE"""),46171.0)</f>
        <v>46171</v>
      </c>
      <c r="D4302" s="413">
        <f>IFERROR(__xludf.DUMMYFUNCTION("""COMPUTED_VALUE"""),46192.0)</f>
        <v>46192</v>
      </c>
    </row>
    <row r="4303">
      <c r="A4303" s="153" t="str">
        <f>IFERROR(__xludf.DUMMYFUNCTION("""COMPUTED_VALUE"""),"MDU0000018450")</f>
        <v>MDU0000018450</v>
      </c>
      <c r="B4303" s="153" t="str">
        <f>IFERROR(__xludf.DUMMYFUNCTION("""COMPUTED_VALUE"""),"WHOLE EXOME SEQUENCING")</f>
        <v>WHOLE EXOME SEQUENCING</v>
      </c>
      <c r="C4303" s="378">
        <f>IFERROR(__xludf.DUMMYFUNCTION("""COMPUTED_VALUE"""),46171.0)</f>
        <v>46171</v>
      </c>
      <c r="D4303" s="413">
        <f>IFERROR(__xludf.DUMMYFUNCTION("""COMPUTED_VALUE"""),46192.0)</f>
        <v>46192</v>
      </c>
    </row>
    <row r="4304">
      <c r="A4304" s="153" t="str">
        <f>IFERROR(__xludf.DUMMYFUNCTION("""COMPUTED_VALUE"""),"ADK0000002456")</f>
        <v>ADK0000002456</v>
      </c>
      <c r="B4304" s="153" t="str">
        <f>IFERROR(__xludf.DUMMYFUNCTION("""COMPUTED_VALUE"""),"WES+WMGS")</f>
        <v>WES+WMGS</v>
      </c>
      <c r="C4304" s="378">
        <f>IFERROR(__xludf.DUMMYFUNCTION("""COMPUTED_VALUE"""),46171.0)</f>
        <v>46171</v>
      </c>
      <c r="D4304" s="413">
        <f>IFERROR(__xludf.DUMMYFUNCTION("""COMPUTED_VALUE"""),46191.0)</f>
        <v>46191</v>
      </c>
    </row>
    <row r="4305">
      <c r="A4305" s="153" t="str">
        <f>IFERROR(__xludf.DUMMYFUNCTION("""COMPUTED_VALUE"""),"ADK0000002457")</f>
        <v>ADK0000002457</v>
      </c>
      <c r="B4305" s="153" t="str">
        <f>IFERROR(__xludf.DUMMYFUNCTION("""COMPUTED_VALUE"""),"WES+WMGS")</f>
        <v>WES+WMGS</v>
      </c>
      <c r="C4305" s="378">
        <f>IFERROR(__xludf.DUMMYFUNCTION("""COMPUTED_VALUE"""),46171.0)</f>
        <v>46171</v>
      </c>
      <c r="D4305" s="413">
        <f>IFERROR(__xludf.DUMMYFUNCTION("""COMPUTED_VALUE"""),46191.0)</f>
        <v>46191</v>
      </c>
    </row>
    <row r="4306">
      <c r="A4306" s="153" t="str">
        <f>IFERROR(__xludf.DUMMYFUNCTION("""COMPUTED_VALUE"""),"PH50000020196
")</f>
        <v>PH50000020196
</v>
      </c>
      <c r="B4306" s="153" t="str">
        <f>IFERROR(__xludf.DUMMYFUNCTION("""COMPUTED_VALUE"""),"WES+WMGS")</f>
        <v>WES+WMGS</v>
      </c>
      <c r="C4306" s="153"/>
      <c r="D4306" s="413">
        <f>IFERROR(__xludf.DUMMYFUNCTION("""COMPUTED_VALUE"""),46193.0)</f>
        <v>46193</v>
      </c>
    </row>
    <row r="4307">
      <c r="A4307" s="153" t="str">
        <f>IFERROR(__xludf.DUMMYFUNCTION("""COMPUTED_VALUE"""),"PH50000020259
")</f>
        <v>PH50000020259
</v>
      </c>
      <c r="B4307" s="153" t="str">
        <f>IFERROR(__xludf.DUMMYFUNCTION("""COMPUTED_VALUE"""),"WES+WMGS")</f>
        <v>WES+WMGS</v>
      </c>
      <c r="C4307" s="153"/>
      <c r="D4307" s="413">
        <f>IFERROR(__xludf.DUMMYFUNCTION("""COMPUTED_VALUE"""),46193.0)</f>
        <v>46193</v>
      </c>
    </row>
    <row r="4308">
      <c r="A4308" s="153" t="str">
        <f>IFERROR(__xludf.DUMMYFUNCTION("""COMPUTED_VALUE"""),"ADK0000002477")</f>
        <v>ADK0000002477</v>
      </c>
      <c r="B4308" s="153" t="str">
        <f>IFERROR(__xludf.DUMMYFUNCTION("""COMPUTED_VALUE"""),"WES+WMGS")</f>
        <v>WES+WMGS</v>
      </c>
      <c r="C4308" s="153"/>
      <c r="D4308" s="413">
        <f>IFERROR(__xludf.DUMMYFUNCTION("""COMPUTED_VALUE"""),46193.0)</f>
        <v>46193</v>
      </c>
    </row>
    <row r="4309">
      <c r="A4309" s="153" t="str">
        <f>IFERROR(__xludf.DUMMYFUNCTION("""COMPUTED_VALUE"""),"PH50000020439")</f>
        <v>PH50000020439</v>
      </c>
      <c r="B4309" s="153" t="str">
        <f>IFERROR(__xludf.DUMMYFUNCTION("""COMPUTED_VALUE"""),"WES+WMGS")</f>
        <v>WES+WMGS</v>
      </c>
      <c r="C4309" s="153"/>
      <c r="D4309" s="413">
        <f>IFERROR(__xludf.DUMMYFUNCTION("""COMPUTED_VALUE"""),46194.0)</f>
        <v>46194</v>
      </c>
    </row>
    <row r="4310">
      <c r="A4310" s="153" t="str">
        <f>IFERROR(__xludf.DUMMYFUNCTION("""COMPUTED_VALUE"""),"PH50000020441")</f>
        <v>PH50000020441</v>
      </c>
      <c r="B4310" s="153" t="str">
        <f>IFERROR(__xludf.DUMMYFUNCTION("""COMPUTED_VALUE"""),"WES+WMGS")</f>
        <v>WES+WMGS</v>
      </c>
      <c r="C4310" s="153"/>
      <c r="D4310" s="413">
        <f>IFERROR(__xludf.DUMMYFUNCTION("""COMPUTED_VALUE"""),46194.0)</f>
        <v>46194</v>
      </c>
    </row>
    <row r="4311">
      <c r="A4311" s="153" t="str">
        <f>IFERROR(__xludf.DUMMYFUNCTION("""COMPUTED_VALUE"""),"PH50000020844")</f>
        <v>PH50000020844</v>
      </c>
      <c r="B4311" s="153" t="str">
        <f>IFERROR(__xludf.DUMMYFUNCTION("""COMPUTED_VALUE"""),"WES+WMGS")</f>
        <v>WES+WMGS</v>
      </c>
      <c r="C4311" s="153"/>
      <c r="D4311" s="413">
        <f>IFERROR(__xludf.DUMMYFUNCTION("""COMPUTED_VALUE"""),46196.0)</f>
        <v>46196</v>
      </c>
    </row>
    <row r="4312">
      <c r="A4312" s="153" t="str">
        <f>IFERROR(__xludf.DUMMYFUNCTION("""COMPUTED_VALUE"""),"ACL0000000827")</f>
        <v>ACL0000000827</v>
      </c>
      <c r="B4312" s="153" t="str">
        <f>IFERROR(__xludf.DUMMYFUNCTION("""COMPUTED_VALUE"""),"WHOLE EXOME SEQUENCING + MITOCHONDRIAL GENOME SEQUENCING")</f>
        <v>WHOLE EXOME SEQUENCING + MITOCHONDRIAL GENOME SEQUENCING</v>
      </c>
      <c r="C4312" s="153"/>
      <c r="D4312" s="413">
        <f>IFERROR(__xludf.DUMMYFUNCTION("""COMPUTED_VALUE"""),46191.0)</f>
        <v>46191</v>
      </c>
    </row>
    <row r="4313">
      <c r="A4313" s="153" t="str">
        <f>IFERROR(__xludf.DUMMYFUNCTION("""COMPUTED_VALUE"""),"ADH0000027633")</f>
        <v>ADH0000027633</v>
      </c>
      <c r="B4313" s="153" t="str">
        <f>IFERROR(__xludf.DUMMYFUNCTION("""COMPUTED_VALUE"""),"WHOLE EXOME SEQUENCING")</f>
        <v>WHOLE EXOME SEQUENCING</v>
      </c>
      <c r="C4313" s="153"/>
      <c r="D4313" s="413">
        <f>IFERROR(__xludf.DUMMYFUNCTION("""COMPUTED_VALUE"""),46187.0)</f>
        <v>46187</v>
      </c>
    </row>
    <row r="4314">
      <c r="A4314" s="153" t="str">
        <f>IFERROR(__xludf.DUMMYFUNCTION("""COMPUTED_VALUE"""),"ADH0000027755
")</f>
        <v>ADH0000027755
</v>
      </c>
      <c r="B4314" s="153" t="str">
        <f>IFERROR(__xludf.DUMMYFUNCTION("""COMPUTED_VALUE"""),"WHOLE EXOME SEQUENCING")</f>
        <v>WHOLE EXOME SEQUENCING</v>
      </c>
      <c r="C4314" s="153"/>
      <c r="D4314" s="413">
        <f>IFERROR(__xludf.DUMMYFUNCTION("""COMPUTED_VALUE"""),46193.0)</f>
        <v>46193</v>
      </c>
    </row>
    <row r="4315">
      <c r="A4315" s="153" t="str">
        <f>IFERROR(__xludf.DUMMYFUNCTION("""COMPUTED_VALUE"""),"ATR0000014560")</f>
        <v>ATR0000014560</v>
      </c>
      <c r="B4315" s="153" t="str">
        <f>IFERROR(__xludf.DUMMYFUNCTION("""COMPUTED_VALUE"""),"WHOLE EXOME SEQUENCING")</f>
        <v>WHOLE EXOME SEQUENCING</v>
      </c>
      <c r="C4315" s="153"/>
      <c r="D4315" s="413">
        <f>IFERROR(__xludf.DUMMYFUNCTION("""COMPUTED_VALUE"""),46193.0)</f>
        <v>46193</v>
      </c>
    </row>
    <row r="4316">
      <c r="A4316" s="153" t="str">
        <f>IFERROR(__xludf.DUMMYFUNCTION("""COMPUTED_VALUE"""),"ATR0000014561
")</f>
        <v>ATR0000014561
</v>
      </c>
      <c r="B4316" s="153" t="str">
        <f>IFERROR(__xludf.DUMMYFUNCTION("""COMPUTED_VALUE"""),"WHOLE EXOME SEQUENCING")</f>
        <v>WHOLE EXOME SEQUENCING</v>
      </c>
      <c r="C4316" s="153"/>
      <c r="D4316" s="413">
        <f>IFERROR(__xludf.DUMMYFUNCTION("""COMPUTED_VALUE"""),46193.0)</f>
        <v>46193</v>
      </c>
    </row>
    <row r="4317">
      <c r="A4317" s="153" t="str">
        <f>IFERROR(__xludf.DUMMYFUNCTION("""COMPUTED_VALUE"""),"ATR0000014562")</f>
        <v>ATR0000014562</v>
      </c>
      <c r="B4317" s="153" t="str">
        <f>IFERROR(__xludf.DUMMYFUNCTION("""COMPUTED_VALUE"""),"WHOLE EXOME SEQUENCING")</f>
        <v>WHOLE EXOME SEQUENCING</v>
      </c>
      <c r="C4317" s="153"/>
      <c r="D4317" s="413">
        <f>IFERROR(__xludf.DUMMYFUNCTION("""COMPUTED_VALUE"""),46193.0)</f>
        <v>46193</v>
      </c>
    </row>
    <row r="4318">
      <c r="A4318" s="153" t="str">
        <f>IFERROR(__xludf.DUMMYFUNCTION("""COMPUTED_VALUE"""),"ADK0000002478")</f>
        <v>ADK0000002478</v>
      </c>
      <c r="B4318" s="153" t="str">
        <f>IFERROR(__xludf.DUMMYFUNCTION("""COMPUTED_VALUE"""),"WES+WMGS")</f>
        <v>WES+WMGS</v>
      </c>
      <c r="C4318" s="153"/>
      <c r="D4318" s="413">
        <f>IFERROR(__xludf.DUMMYFUNCTION("""COMPUTED_VALUE"""),46193.0)</f>
        <v>46193</v>
      </c>
    </row>
    <row r="4319">
      <c r="A4319" s="153" t="str">
        <f>IFERROR(__xludf.DUMMYFUNCTION("""COMPUTED_VALUE"""),"ADK0000002479")</f>
        <v>ADK0000002479</v>
      </c>
      <c r="B4319" s="153" t="str">
        <f>IFERROR(__xludf.DUMMYFUNCTION("""COMPUTED_VALUE"""),"WES+WMGS")</f>
        <v>WES+WMGS</v>
      </c>
      <c r="C4319" s="153"/>
      <c r="D4319" s="413">
        <f>IFERROR(__xludf.DUMMYFUNCTION("""COMPUTED_VALUE"""),46193.0)</f>
        <v>46193</v>
      </c>
    </row>
    <row r="4320">
      <c r="A4320" s="153" t="str">
        <f>IFERROR(__xludf.DUMMYFUNCTION("""COMPUTED_VALUE"""),"ADK0000002480")</f>
        <v>ADK0000002480</v>
      </c>
      <c r="B4320" s="153" t="str">
        <f>IFERROR(__xludf.DUMMYFUNCTION("""COMPUTED_VALUE"""),"WES+WMGS")</f>
        <v>WES+WMGS</v>
      </c>
      <c r="C4320" s="153"/>
      <c r="D4320" s="413">
        <f>IFERROR(__xludf.DUMMYFUNCTION("""COMPUTED_VALUE"""),46193.0)</f>
        <v>46193</v>
      </c>
    </row>
    <row r="4321">
      <c r="A4321" s="153" t="str">
        <f>IFERROR(__xludf.DUMMYFUNCTION("""COMPUTED_VALUE"""),"ADK0000002546")</f>
        <v>ADK0000002546</v>
      </c>
      <c r="B4321" s="153" t="str">
        <f>IFERROR(__xludf.DUMMYFUNCTION("""COMPUTED_VALUE"""),"WHOLE EXOME SEQUENCING")</f>
        <v>WHOLE EXOME SEQUENCING</v>
      </c>
      <c r="C4321" s="153"/>
      <c r="D4321" s="413">
        <f>IFERROR(__xludf.DUMMYFUNCTION("""COMPUTED_VALUE"""),46188.0)</f>
        <v>46188</v>
      </c>
    </row>
    <row r="4322">
      <c r="A4322" s="153" t="str">
        <f>IFERROR(__xludf.DUMMYFUNCTION("""COMPUTED_VALUE"""),"ADK0000002549")</f>
        <v>ADK0000002549</v>
      </c>
      <c r="B4322" s="153" t="str">
        <f>IFERROR(__xludf.DUMMYFUNCTION("""COMPUTED_VALUE"""),"WHOLE EXOME SEQUENCING")</f>
        <v>WHOLE EXOME SEQUENCING</v>
      </c>
      <c r="C4322" s="153"/>
      <c r="D4322" s="413">
        <f>IFERROR(__xludf.DUMMYFUNCTION("""COMPUTED_VALUE"""),46188.0)</f>
        <v>46188</v>
      </c>
    </row>
    <row r="4323">
      <c r="A4323" s="153" t="str">
        <f>IFERROR(__xludf.DUMMYFUNCTION("""COMPUTED_VALUE"""),"ADK0000002547")</f>
        <v>ADK0000002547</v>
      </c>
      <c r="B4323" s="153" t="str">
        <f>IFERROR(__xludf.DUMMYFUNCTION("""COMPUTED_VALUE"""),"WHOLE EXOME SEQUENCING")</f>
        <v>WHOLE EXOME SEQUENCING</v>
      </c>
      <c r="C4323" s="153"/>
      <c r="D4323" s="413">
        <f>IFERROR(__xludf.DUMMYFUNCTION("""COMPUTED_VALUE"""),46188.0)</f>
        <v>46188</v>
      </c>
    </row>
    <row r="4324">
      <c r="A4324" s="153" t="str">
        <f>IFERROR(__xludf.DUMMYFUNCTION("""COMPUTED_VALUE"""),"ADK0000002545")</f>
        <v>ADK0000002545</v>
      </c>
      <c r="B4324" s="153" t="str">
        <f>IFERROR(__xludf.DUMMYFUNCTION("""COMPUTED_VALUE"""),"WHOLE EXOME SEQUENCING")</f>
        <v>WHOLE EXOME SEQUENCING</v>
      </c>
      <c r="C4324" s="153"/>
      <c r="D4324" s="413">
        <f>IFERROR(__xludf.DUMMYFUNCTION("""COMPUTED_VALUE"""),46188.0)</f>
        <v>46188</v>
      </c>
    </row>
    <row r="4325">
      <c r="A4325" s="153" t="str">
        <f>IFERROR(__xludf.DUMMYFUNCTION("""COMPUTED_VALUE"""),"ADK0000002548")</f>
        <v>ADK0000002548</v>
      </c>
      <c r="B4325" s="153" t="str">
        <f>IFERROR(__xludf.DUMMYFUNCTION("""COMPUTED_VALUE"""),"WHOLE EXOME SEQUENCING")</f>
        <v>WHOLE EXOME SEQUENCING</v>
      </c>
      <c r="C4325" s="153"/>
      <c r="D4325" s="413">
        <f>IFERROR(__xludf.DUMMYFUNCTION("""COMPUTED_VALUE"""),46188.0)</f>
        <v>46188</v>
      </c>
    </row>
    <row r="4326">
      <c r="A4326" s="153"/>
      <c r="B4326" s="153" t="str">
        <f>IFERROR(__xludf.DUMMYFUNCTION("""COMPUTED_VALUE"""),"WHOLE EXOME SEQUENCING")</f>
        <v>WHOLE EXOME SEQUENCING</v>
      </c>
      <c r="C4326" s="153"/>
      <c r="D4326" s="413">
        <f>IFERROR(__xludf.DUMMYFUNCTION("""COMPUTED_VALUE"""),46188.0)</f>
        <v>46188</v>
      </c>
    </row>
    <row r="4327">
      <c r="A4327" s="153" t="str">
        <f>IFERROR(__xludf.DUMMYFUNCTION("""COMPUTED_VALUE"""),"ADK0000002552")</f>
        <v>ADK0000002552</v>
      </c>
      <c r="B4327" s="153" t="str">
        <f>IFERROR(__xludf.DUMMYFUNCTION("""COMPUTED_VALUE"""),"WHOLE EXOME SEQUENCING")</f>
        <v>WHOLE EXOME SEQUENCING</v>
      </c>
      <c r="C4327" s="153"/>
      <c r="D4327" s="413">
        <f>IFERROR(__xludf.DUMMYFUNCTION("""COMPUTED_VALUE"""),46188.0)</f>
        <v>46188</v>
      </c>
    </row>
    <row r="4328">
      <c r="A4328" s="153" t="str">
        <f>IFERROR(__xludf.DUMMYFUNCTION("""COMPUTED_VALUE"""),"ABC0000001519")</f>
        <v>ABC0000001519</v>
      </c>
      <c r="B4328" s="153" t="str">
        <f>IFERROR(__xludf.DUMMYFUNCTION("""COMPUTED_VALUE"""),"CLINICAL EXOME SEQUENCING")</f>
        <v>CLINICAL EXOME SEQUENCING</v>
      </c>
      <c r="C4328" s="153"/>
      <c r="D4328" s="413">
        <f>IFERROR(__xludf.DUMMYFUNCTION("""COMPUTED_VALUE"""),46194.0)</f>
        <v>46194</v>
      </c>
    </row>
    <row r="4329">
      <c r="A4329" s="153" t="str">
        <f>IFERROR(__xludf.DUMMYFUNCTION("""COMPUTED_VALUE"""),"ACL0000002638
")</f>
        <v>ACL0000002638
</v>
      </c>
      <c r="B4329" s="153" t="str">
        <f>IFERROR(__xludf.DUMMYFUNCTION("""COMPUTED_VALUE"""),"CLINICAL EXOME SEQUENCING")</f>
        <v>CLINICAL EXOME SEQUENCING</v>
      </c>
      <c r="C4329" s="153"/>
      <c r="D4329" s="413">
        <f>IFERROR(__xludf.DUMMYFUNCTION("""COMPUTED_VALUE"""),46194.0)</f>
        <v>46194</v>
      </c>
    </row>
    <row r="4330">
      <c r="A4330" s="153" t="str">
        <f>IFERROR(__xludf.DUMMYFUNCTION("""COMPUTED_VALUE"""),"CHM0000035831")</f>
        <v>CHM0000035831</v>
      </c>
      <c r="B4330" s="153" t="str">
        <f>IFERROR(__xludf.DUMMYFUNCTION("""COMPUTED_VALUE"""),"WHOLE EXOME SEQUENCING")</f>
        <v>WHOLE EXOME SEQUENCING</v>
      </c>
      <c r="C4330" s="153"/>
      <c r="D4330" s="413">
        <f>IFERROR(__xludf.DUMMYFUNCTION("""COMPUTED_VALUE"""),46195.0)</f>
        <v>46195</v>
      </c>
    </row>
    <row r="4331">
      <c r="A4331" s="153" t="str">
        <f>IFERROR(__xludf.DUMMYFUNCTION("""COMPUTED_VALUE"""),"GRM0000004440")</f>
        <v>GRM0000004440</v>
      </c>
      <c r="B4331" s="153" t="str">
        <f>IFERROR(__xludf.DUMMYFUNCTION("""COMPUTED_VALUE"""),"CLINICAL EXOME SEQUENCING")</f>
        <v>CLINICAL EXOME SEQUENCING</v>
      </c>
      <c r="C4331" s="153"/>
      <c r="D4331" s="413">
        <f>IFERROR(__xludf.DUMMYFUNCTION("""COMPUTED_VALUE"""),46194.0)</f>
        <v>46194</v>
      </c>
    </row>
    <row r="4332">
      <c r="A4332" s="153" t="str">
        <f>IFERROR(__xludf.DUMMYFUNCTION("""COMPUTED_VALUE"""),"ADB0000038978")</f>
        <v>ADB0000038978</v>
      </c>
      <c r="B4332" s="153" t="str">
        <f>IFERROR(__xludf.DUMMYFUNCTION("""COMPUTED_VALUE"""),"WHOLE EXOME SEQUENCING")</f>
        <v>WHOLE EXOME SEQUENCING</v>
      </c>
      <c r="C4332" s="153"/>
      <c r="D4332" s="413">
        <f>IFERROR(__xludf.DUMMYFUNCTION("""COMPUTED_VALUE"""),46195.0)</f>
        <v>46195</v>
      </c>
    </row>
    <row r="4333">
      <c r="A4333" s="153" t="str">
        <f>IFERROR(__xludf.DUMMYFUNCTION("""COMPUTED_VALUE"""),"ADB0000039071")</f>
        <v>ADB0000039071</v>
      </c>
      <c r="B4333" s="153" t="str">
        <f>IFERROR(__xludf.DUMMYFUNCTION("""COMPUTED_VALUE"""),"WHOLE EXOME SEQUENCING")</f>
        <v>WHOLE EXOME SEQUENCING</v>
      </c>
      <c r="C4333" s="153"/>
      <c r="D4333" s="413">
        <f>IFERROR(__xludf.DUMMYFUNCTION("""COMPUTED_VALUE"""),46195.0)</f>
        <v>46195</v>
      </c>
    </row>
    <row r="4334">
      <c r="A4334" s="153" t="str">
        <f>IFERROR(__xludf.DUMMYFUNCTION("""COMPUTED_VALUE"""),"ADK0000002531")</f>
        <v>ADK0000002531</v>
      </c>
      <c r="B4334" s="153" t="str">
        <f>IFERROR(__xludf.DUMMYFUNCTION("""COMPUTED_VALUE"""),"WHOLE EXOME SEQUENCING")</f>
        <v>WHOLE EXOME SEQUENCING</v>
      </c>
      <c r="C4334" s="153"/>
      <c r="D4334" s="413">
        <f>IFERROR(__xludf.DUMMYFUNCTION("""COMPUTED_VALUE"""),46189.0)</f>
        <v>46189</v>
      </c>
    </row>
    <row r="4335">
      <c r="A4335" s="153" t="str">
        <f>IFERROR(__xludf.DUMMYFUNCTION("""COMPUTED_VALUE"""),"ADK0000002532")</f>
        <v>ADK0000002532</v>
      </c>
      <c r="B4335" s="153" t="str">
        <f>IFERROR(__xludf.DUMMYFUNCTION("""COMPUTED_VALUE"""),"WHOLE EXOME SEQUENCING")</f>
        <v>WHOLE EXOME SEQUENCING</v>
      </c>
      <c r="C4335" s="153"/>
      <c r="D4335" s="413">
        <f>IFERROR(__xludf.DUMMYFUNCTION("""COMPUTED_VALUE"""),46189.0)</f>
        <v>46189</v>
      </c>
    </row>
    <row r="4336">
      <c r="A4336" s="153" t="str">
        <f>IFERROR(__xludf.DUMMYFUNCTION("""COMPUTED_VALUE"""),"ADK0000002533")</f>
        <v>ADK0000002533</v>
      </c>
      <c r="B4336" s="153" t="str">
        <f>IFERROR(__xludf.DUMMYFUNCTION("""COMPUTED_VALUE"""),"WHOLE EXOME SEQUENCING")</f>
        <v>WHOLE EXOME SEQUENCING</v>
      </c>
      <c r="C4336" s="153"/>
      <c r="D4336" s="413">
        <f>IFERROR(__xludf.DUMMYFUNCTION("""COMPUTED_VALUE"""),46189.0)</f>
        <v>46189</v>
      </c>
    </row>
    <row r="4337">
      <c r="A4337" s="153"/>
      <c r="B4337" s="153"/>
      <c r="C4337" s="153"/>
      <c r="D4337" s="413">
        <f>IFERROR(__xludf.DUMMYFUNCTION("""COMPUTED_VALUE"""),46190.0)</f>
        <v>46190</v>
      </c>
    </row>
    <row r="4338">
      <c r="A4338" s="153"/>
      <c r="B4338" s="153"/>
      <c r="C4338" s="153"/>
      <c r="D4338" s="153"/>
    </row>
    <row r="4339">
      <c r="A4339" s="153"/>
      <c r="B4339" s="153"/>
      <c r="C4339" s="153"/>
      <c r="D4339" s="153"/>
    </row>
    <row r="4340">
      <c r="A4340" s="153"/>
      <c r="B4340" s="153"/>
      <c r="C4340" s="153"/>
      <c r="D4340" s="153"/>
    </row>
    <row r="4341">
      <c r="A4341" s="153"/>
      <c r="B4341" s="153"/>
      <c r="C4341" s="153"/>
      <c r="D4341" s="153"/>
    </row>
    <row r="4342">
      <c r="A4342" s="153"/>
      <c r="B4342" s="153"/>
      <c r="C4342" s="153"/>
      <c r="D4342" s="153"/>
    </row>
    <row r="4343">
      <c r="A4343" s="153"/>
      <c r="B4343" s="153"/>
      <c r="C4343" s="153"/>
      <c r="D4343" s="153"/>
    </row>
    <row r="4344">
      <c r="A4344" s="153"/>
      <c r="B4344" s="153"/>
      <c r="C4344" s="153"/>
      <c r="D4344" s="153"/>
    </row>
    <row r="4345">
      <c r="A4345" s="153"/>
      <c r="B4345" s="153"/>
      <c r="C4345" s="153"/>
      <c r="D4345" s="153"/>
    </row>
    <row r="4346">
      <c r="A4346" s="153"/>
      <c r="B4346" s="153"/>
      <c r="C4346" s="153"/>
      <c r="D4346" s="153"/>
    </row>
    <row r="4347">
      <c r="A4347" s="153"/>
      <c r="B4347" s="153"/>
      <c r="C4347" s="153"/>
      <c r="D4347" s="153"/>
    </row>
    <row r="4348">
      <c r="A4348" s="153"/>
      <c r="B4348" s="153"/>
      <c r="C4348" s="153"/>
      <c r="D4348" s="153"/>
    </row>
    <row r="4349">
      <c r="A4349" s="153"/>
      <c r="B4349" s="153"/>
      <c r="C4349" s="153"/>
      <c r="D4349" s="153"/>
    </row>
    <row r="4350">
      <c r="A4350" s="153"/>
      <c r="B4350" s="153"/>
      <c r="C4350" s="153"/>
      <c r="D4350" s="153"/>
    </row>
    <row r="4351">
      <c r="A4351" s="153"/>
      <c r="B4351" s="153"/>
      <c r="C4351" s="153"/>
      <c r="D4351" s="153"/>
    </row>
    <row r="4352">
      <c r="A4352" s="153"/>
      <c r="B4352" s="153"/>
      <c r="C4352" s="153"/>
      <c r="D4352" s="153"/>
    </row>
    <row r="4353">
      <c r="A4353" s="153"/>
      <c r="B4353" s="153"/>
      <c r="C4353" s="153"/>
      <c r="D4353" s="153"/>
    </row>
    <row r="4354">
      <c r="A4354" s="153"/>
      <c r="B4354" s="153"/>
      <c r="C4354" s="153"/>
      <c r="D4354" s="153"/>
    </row>
    <row r="4355">
      <c r="A4355" s="153"/>
      <c r="B4355" s="153"/>
      <c r="C4355" s="153"/>
      <c r="D4355" s="153"/>
    </row>
    <row r="4356">
      <c r="A4356" s="153"/>
      <c r="B4356" s="153"/>
      <c r="C4356" s="153"/>
      <c r="D4356" s="153"/>
    </row>
    <row r="4357">
      <c r="A4357" s="153"/>
      <c r="B4357" s="153"/>
      <c r="C4357" s="153"/>
      <c r="D4357" s="153"/>
    </row>
    <row r="4358">
      <c r="A4358" s="153"/>
      <c r="B4358" s="153"/>
      <c r="C4358" s="153"/>
      <c r="D4358" s="153"/>
    </row>
    <row r="4359">
      <c r="A4359" s="153"/>
      <c r="B4359" s="153"/>
      <c r="C4359" s="153"/>
      <c r="D4359" s="153"/>
    </row>
    <row r="4360">
      <c r="A4360" s="153"/>
      <c r="B4360" s="153"/>
      <c r="C4360" s="153"/>
      <c r="D4360" s="153"/>
    </row>
    <row r="4361">
      <c r="A4361" s="153"/>
      <c r="B4361" s="153"/>
      <c r="C4361" s="153"/>
      <c r="D4361" s="153"/>
    </row>
    <row r="4362">
      <c r="A4362" s="153"/>
      <c r="B4362" s="153"/>
      <c r="C4362" s="153"/>
      <c r="D4362" s="153"/>
    </row>
    <row r="4363">
      <c r="A4363" s="153"/>
      <c r="B4363" s="153"/>
      <c r="C4363" s="153"/>
      <c r="D4363" s="153"/>
    </row>
    <row r="4364">
      <c r="A4364" s="153"/>
      <c r="B4364" s="153"/>
      <c r="C4364" s="153"/>
      <c r="D4364" s="153"/>
    </row>
    <row r="4365">
      <c r="A4365" s="153"/>
      <c r="B4365" s="153"/>
      <c r="C4365" s="153"/>
      <c r="D4365" s="153"/>
    </row>
    <row r="4366">
      <c r="A4366" s="153"/>
      <c r="B4366" s="153"/>
      <c r="C4366" s="153"/>
      <c r="D4366" s="153"/>
    </row>
    <row r="4367">
      <c r="A4367" s="153"/>
      <c r="B4367" s="153"/>
      <c r="C4367" s="153"/>
      <c r="D4367" s="153"/>
    </row>
    <row r="4368">
      <c r="A4368" s="153"/>
      <c r="B4368" s="153"/>
      <c r="C4368" s="153"/>
      <c r="D4368" s="153"/>
    </row>
    <row r="4369">
      <c r="A4369" s="153"/>
      <c r="B4369" s="153"/>
      <c r="C4369" s="153"/>
      <c r="D4369" s="153"/>
    </row>
    <row r="4370">
      <c r="A4370" s="153"/>
      <c r="B4370" s="153"/>
      <c r="C4370" s="153"/>
      <c r="D4370" s="153"/>
    </row>
    <row r="4371">
      <c r="A4371" s="153"/>
      <c r="B4371" s="153"/>
      <c r="C4371" s="153"/>
      <c r="D4371" s="153"/>
    </row>
    <row r="4372">
      <c r="A4372" s="153"/>
      <c r="B4372" s="153"/>
      <c r="C4372" s="153"/>
      <c r="D4372" s="153"/>
    </row>
    <row r="4373">
      <c r="A4373" s="153"/>
      <c r="B4373" s="153"/>
      <c r="C4373" s="153"/>
      <c r="D4373" s="153"/>
    </row>
    <row r="4374">
      <c r="A4374" s="153"/>
      <c r="B4374" s="153"/>
      <c r="C4374" s="153"/>
      <c r="D4374" s="153"/>
    </row>
    <row r="4375">
      <c r="A4375" s="153"/>
      <c r="B4375" s="153"/>
      <c r="C4375" s="153"/>
      <c r="D4375" s="153"/>
    </row>
    <row r="4376">
      <c r="A4376" s="153"/>
      <c r="B4376" s="153"/>
      <c r="C4376" s="153"/>
      <c r="D4376" s="153"/>
    </row>
    <row r="4377">
      <c r="A4377" s="153"/>
      <c r="B4377" s="153"/>
      <c r="C4377" s="153"/>
      <c r="D4377" s="153"/>
    </row>
    <row r="4378">
      <c r="A4378" s="153"/>
      <c r="B4378" s="153"/>
      <c r="C4378" s="153"/>
      <c r="D4378" s="153"/>
    </row>
    <row r="4379">
      <c r="A4379" s="153"/>
      <c r="B4379" s="153"/>
      <c r="C4379" s="153"/>
      <c r="D4379" s="153"/>
    </row>
    <row r="4380">
      <c r="A4380" s="153"/>
      <c r="B4380" s="153"/>
      <c r="C4380" s="153"/>
      <c r="D4380" s="153"/>
    </row>
    <row r="4381">
      <c r="A4381" s="153"/>
      <c r="B4381" s="153"/>
      <c r="C4381" s="153"/>
      <c r="D4381" s="153"/>
    </row>
    <row r="4382">
      <c r="A4382" s="153"/>
      <c r="B4382" s="153"/>
      <c r="C4382" s="153"/>
      <c r="D4382" s="153"/>
    </row>
    <row r="4383">
      <c r="A4383" s="153"/>
      <c r="B4383" s="153"/>
      <c r="C4383" s="153"/>
      <c r="D4383" s="153"/>
    </row>
    <row r="4384">
      <c r="A4384" s="153"/>
      <c r="B4384" s="153"/>
      <c r="C4384" s="153"/>
      <c r="D4384" s="153"/>
    </row>
    <row r="4385">
      <c r="A4385" s="153"/>
      <c r="B4385" s="153"/>
      <c r="C4385" s="153"/>
      <c r="D4385" s="153"/>
    </row>
    <row r="4386">
      <c r="A4386" s="153"/>
      <c r="B4386" s="153"/>
      <c r="C4386" s="153"/>
      <c r="D4386" s="153"/>
    </row>
    <row r="4387">
      <c r="A4387" s="153"/>
      <c r="B4387" s="153"/>
      <c r="C4387" s="153"/>
      <c r="D4387" s="153"/>
    </row>
    <row r="4388">
      <c r="A4388" s="153"/>
      <c r="B4388" s="153"/>
      <c r="C4388" s="153"/>
      <c r="D4388" s="153"/>
    </row>
    <row r="4389">
      <c r="A4389" s="153"/>
      <c r="B4389" s="153"/>
      <c r="C4389" s="153"/>
      <c r="D4389" s="153"/>
    </row>
    <row r="4390">
      <c r="A4390" s="153"/>
      <c r="B4390" s="153"/>
      <c r="C4390" s="153"/>
      <c r="D4390" s="153"/>
    </row>
    <row r="4391">
      <c r="A4391" s="153"/>
      <c r="B4391" s="153"/>
      <c r="C4391" s="153"/>
      <c r="D4391" s="153"/>
    </row>
    <row r="4392">
      <c r="A4392" s="153"/>
      <c r="B4392" s="153"/>
      <c r="C4392" s="153"/>
      <c r="D4392" s="153"/>
    </row>
    <row r="4393">
      <c r="A4393" s="153"/>
      <c r="B4393" s="153"/>
      <c r="C4393" s="153"/>
      <c r="D4393" s="153"/>
    </row>
    <row r="4394">
      <c r="A4394" s="153"/>
      <c r="B4394" s="153"/>
      <c r="C4394" s="153"/>
      <c r="D4394" s="153"/>
    </row>
    <row r="4395">
      <c r="A4395" s="153"/>
      <c r="B4395" s="153"/>
      <c r="C4395" s="153"/>
      <c r="D4395" s="153"/>
    </row>
    <row r="4396">
      <c r="A4396" s="153"/>
      <c r="B4396" s="153"/>
      <c r="C4396" s="153"/>
      <c r="D4396" s="153"/>
    </row>
    <row r="4397">
      <c r="A4397" s="153"/>
      <c r="B4397" s="153"/>
      <c r="C4397" s="153"/>
      <c r="D4397" s="153"/>
    </row>
    <row r="4398">
      <c r="A4398" s="153"/>
      <c r="B4398" s="153"/>
      <c r="C4398" s="153"/>
      <c r="D4398" s="153"/>
    </row>
    <row r="4399">
      <c r="A4399" s="153"/>
      <c r="B4399" s="153"/>
      <c r="C4399" s="153"/>
      <c r="D4399" s="153"/>
    </row>
    <row r="4400">
      <c r="A4400" s="153"/>
      <c r="B4400" s="153"/>
      <c r="C4400" s="153"/>
      <c r="D4400" s="153"/>
    </row>
    <row r="4401">
      <c r="A4401" s="153"/>
      <c r="B4401" s="153"/>
      <c r="C4401" s="153"/>
      <c r="D4401" s="153"/>
    </row>
    <row r="4402">
      <c r="A4402" s="153"/>
      <c r="B4402" s="153"/>
      <c r="C4402" s="153"/>
      <c r="D4402" s="153"/>
    </row>
    <row r="4403">
      <c r="A4403" s="153"/>
      <c r="B4403" s="153"/>
      <c r="C4403" s="153"/>
      <c r="D4403" s="153"/>
    </row>
    <row r="4404">
      <c r="A4404" s="153"/>
      <c r="B4404" s="153"/>
      <c r="C4404" s="153"/>
      <c r="D4404" s="153"/>
    </row>
    <row r="4405">
      <c r="A4405" s="153"/>
      <c r="B4405" s="153"/>
      <c r="C4405" s="153"/>
      <c r="D4405" s="153"/>
    </row>
    <row r="4406">
      <c r="A4406" s="153"/>
      <c r="B4406" s="153"/>
      <c r="C4406" s="153"/>
      <c r="D4406" s="153"/>
    </row>
    <row r="4407">
      <c r="A4407" s="153"/>
      <c r="B4407" s="153"/>
      <c r="C4407" s="153"/>
      <c r="D4407" s="153"/>
    </row>
    <row r="4408">
      <c r="A4408" s="153"/>
      <c r="B4408" s="153"/>
      <c r="C4408" s="153"/>
      <c r="D4408" s="153"/>
    </row>
    <row r="4409">
      <c r="A4409" s="153"/>
      <c r="B4409" s="153"/>
      <c r="C4409" s="153"/>
      <c r="D4409" s="153"/>
    </row>
    <row r="4410">
      <c r="A4410" s="153"/>
      <c r="B4410" s="153"/>
      <c r="C4410" s="153"/>
      <c r="D4410" s="153"/>
    </row>
    <row r="4411">
      <c r="A4411" s="153"/>
      <c r="B4411" s="153"/>
      <c r="C4411" s="153"/>
      <c r="D4411" s="153"/>
    </row>
    <row r="4412">
      <c r="A4412" s="153"/>
      <c r="B4412" s="153"/>
      <c r="C4412" s="153"/>
      <c r="D4412" s="153"/>
    </row>
    <row r="4413">
      <c r="A4413" s="153"/>
      <c r="B4413" s="153"/>
      <c r="C4413" s="153"/>
      <c r="D4413" s="153"/>
    </row>
    <row r="4414">
      <c r="A4414" s="153"/>
      <c r="B4414" s="153"/>
      <c r="C4414" s="153"/>
      <c r="D4414" s="153"/>
    </row>
    <row r="4415">
      <c r="A4415" s="153"/>
      <c r="B4415" s="153"/>
      <c r="C4415" s="153"/>
      <c r="D4415" s="153"/>
    </row>
    <row r="4416">
      <c r="A4416" s="153"/>
      <c r="B4416" s="153"/>
      <c r="C4416" s="153"/>
      <c r="D4416" s="153"/>
    </row>
    <row r="4417">
      <c r="A4417" s="153"/>
      <c r="B4417" s="153"/>
      <c r="C4417" s="153"/>
      <c r="D4417" s="153"/>
    </row>
    <row r="4418">
      <c r="A4418" s="153"/>
      <c r="B4418" s="153"/>
      <c r="C4418" s="153"/>
      <c r="D4418" s="153"/>
    </row>
    <row r="4419">
      <c r="A4419" s="153"/>
      <c r="B4419" s="153"/>
      <c r="C4419" s="153"/>
      <c r="D4419" s="153"/>
    </row>
    <row r="4420">
      <c r="A4420" s="153"/>
      <c r="B4420" s="153"/>
      <c r="C4420" s="153"/>
      <c r="D4420" s="153"/>
    </row>
    <row r="4421">
      <c r="A4421" s="153"/>
      <c r="B4421" s="153"/>
      <c r="C4421" s="153"/>
      <c r="D4421" s="153"/>
    </row>
    <row r="4422">
      <c r="A4422" s="153"/>
      <c r="B4422" s="153"/>
      <c r="C4422" s="153"/>
      <c r="D4422" s="153"/>
    </row>
    <row r="4423">
      <c r="A4423" s="153"/>
      <c r="B4423" s="153"/>
      <c r="C4423" s="153"/>
      <c r="D4423" s="153"/>
    </row>
    <row r="4424">
      <c r="A4424" s="153"/>
      <c r="B4424" s="153"/>
      <c r="C4424" s="153"/>
      <c r="D4424" s="153"/>
    </row>
    <row r="4425">
      <c r="A4425" s="153"/>
      <c r="B4425" s="153"/>
      <c r="C4425" s="153"/>
      <c r="D4425" s="153"/>
    </row>
    <row r="4426">
      <c r="A4426" s="153"/>
      <c r="B4426" s="153"/>
      <c r="C4426" s="153"/>
      <c r="D4426" s="153"/>
    </row>
    <row r="4427">
      <c r="A4427" s="153"/>
      <c r="B4427" s="153"/>
      <c r="C4427" s="153"/>
      <c r="D4427" s="153"/>
    </row>
    <row r="4428">
      <c r="A4428" s="153"/>
      <c r="B4428" s="153"/>
      <c r="C4428" s="153"/>
      <c r="D4428" s="153"/>
    </row>
    <row r="4429">
      <c r="A4429" s="153"/>
      <c r="B4429" s="153"/>
      <c r="C4429" s="153"/>
      <c r="D4429" s="153"/>
    </row>
    <row r="4430">
      <c r="A4430" s="153"/>
      <c r="B4430" s="153"/>
      <c r="C4430" s="153"/>
      <c r="D4430" s="153"/>
    </row>
    <row r="4431">
      <c r="A4431" s="153"/>
      <c r="B4431" s="153"/>
      <c r="C4431" s="153"/>
      <c r="D4431" s="153"/>
    </row>
    <row r="4432">
      <c r="A4432" s="153"/>
      <c r="B4432" s="153"/>
      <c r="C4432" s="153"/>
      <c r="D4432" s="153"/>
    </row>
    <row r="4433">
      <c r="A4433" s="153"/>
      <c r="B4433" s="153"/>
      <c r="C4433" s="153"/>
      <c r="D4433" s="153"/>
    </row>
    <row r="4434">
      <c r="A4434" s="153"/>
      <c r="B4434" s="153"/>
      <c r="C4434" s="153"/>
      <c r="D4434" s="153"/>
    </row>
    <row r="4435">
      <c r="A4435" s="153"/>
      <c r="B4435" s="153"/>
      <c r="C4435" s="153"/>
      <c r="D4435" s="153"/>
    </row>
    <row r="4436">
      <c r="A4436" s="153"/>
      <c r="B4436" s="153"/>
      <c r="C4436" s="153"/>
      <c r="D4436" s="153"/>
    </row>
    <row r="4437">
      <c r="A4437" s="153"/>
      <c r="B4437" s="153"/>
      <c r="C4437" s="153"/>
      <c r="D4437" s="153"/>
    </row>
    <row r="4438">
      <c r="A4438" s="153"/>
      <c r="B4438" s="153"/>
      <c r="C4438" s="153"/>
      <c r="D4438" s="153"/>
    </row>
    <row r="4439">
      <c r="A4439" s="153"/>
      <c r="B4439" s="153"/>
      <c r="C4439" s="153"/>
      <c r="D4439" s="153"/>
    </row>
    <row r="4440">
      <c r="A4440" s="153"/>
      <c r="B4440" s="153"/>
      <c r="C4440" s="153"/>
      <c r="D4440" s="153"/>
    </row>
    <row r="4441">
      <c r="A4441" s="153"/>
      <c r="B4441" s="153"/>
      <c r="C4441" s="153"/>
      <c r="D4441" s="153"/>
    </row>
    <row r="4442">
      <c r="A4442" s="153"/>
      <c r="B4442" s="153"/>
      <c r="C4442" s="153"/>
      <c r="D4442" s="153"/>
    </row>
    <row r="4443">
      <c r="A4443" s="153"/>
      <c r="B4443" s="153"/>
      <c r="C4443" s="153"/>
      <c r="D4443" s="153"/>
    </row>
    <row r="4444">
      <c r="A4444" s="153"/>
      <c r="B4444" s="153"/>
      <c r="C4444" s="153"/>
      <c r="D4444" s="153"/>
    </row>
    <row r="4445">
      <c r="A4445" s="153"/>
      <c r="B4445" s="153"/>
      <c r="C4445" s="153"/>
      <c r="D4445" s="153"/>
    </row>
    <row r="4446">
      <c r="A4446" s="153"/>
      <c r="B4446" s="153"/>
      <c r="C4446" s="153"/>
      <c r="D4446" s="153"/>
    </row>
    <row r="4447">
      <c r="A4447" s="153"/>
      <c r="B4447" s="153"/>
      <c r="C4447" s="153"/>
      <c r="D4447" s="153"/>
    </row>
    <row r="4448">
      <c r="A4448" s="153"/>
      <c r="B4448" s="153"/>
      <c r="C4448" s="153"/>
      <c r="D4448" s="153"/>
    </row>
    <row r="4449">
      <c r="A4449" s="153"/>
      <c r="B4449" s="153"/>
      <c r="C4449" s="153"/>
      <c r="D4449" s="153"/>
    </row>
    <row r="4450">
      <c r="A4450" s="153"/>
      <c r="B4450" s="153"/>
      <c r="C4450" s="153"/>
      <c r="D4450" s="153"/>
    </row>
    <row r="4451">
      <c r="A4451" s="153"/>
      <c r="B4451" s="153"/>
      <c r="C4451" s="153"/>
      <c r="D4451" s="153"/>
    </row>
    <row r="4452">
      <c r="A4452" s="153"/>
      <c r="B4452" s="153"/>
      <c r="C4452" s="153"/>
      <c r="D4452" s="153"/>
    </row>
    <row r="4453">
      <c r="A4453" s="153"/>
      <c r="B4453" s="153"/>
      <c r="C4453" s="153"/>
      <c r="D4453" s="153"/>
    </row>
    <row r="4454">
      <c r="A4454" s="153"/>
      <c r="B4454" s="153"/>
      <c r="C4454" s="153"/>
      <c r="D4454" s="153"/>
    </row>
    <row r="4455">
      <c r="A4455" s="153"/>
      <c r="B4455" s="153"/>
      <c r="C4455" s="153"/>
      <c r="D4455" s="153"/>
    </row>
    <row r="4456">
      <c r="A4456" s="153"/>
      <c r="B4456" s="153"/>
      <c r="C4456" s="153"/>
      <c r="D4456" s="153"/>
    </row>
    <row r="4457">
      <c r="A4457" s="153"/>
      <c r="B4457" s="153"/>
      <c r="C4457" s="153"/>
      <c r="D4457" s="153"/>
    </row>
    <row r="4458">
      <c r="A4458" s="153"/>
      <c r="B4458" s="153"/>
      <c r="C4458" s="153"/>
      <c r="D4458" s="153"/>
    </row>
    <row r="4459">
      <c r="A4459" s="153"/>
      <c r="B4459" s="153"/>
      <c r="C4459" s="153"/>
      <c r="D4459" s="153"/>
    </row>
    <row r="4460">
      <c r="A4460" s="153"/>
      <c r="B4460" s="153"/>
      <c r="C4460" s="153"/>
      <c r="D4460" s="153"/>
    </row>
    <row r="4461">
      <c r="A4461" s="153"/>
      <c r="B4461" s="153"/>
      <c r="C4461" s="153"/>
      <c r="D4461" s="153"/>
    </row>
    <row r="4462">
      <c r="A4462" s="153"/>
      <c r="B4462" s="153"/>
      <c r="C4462" s="153"/>
      <c r="D4462" s="153"/>
    </row>
    <row r="4463">
      <c r="A4463" s="153"/>
      <c r="B4463" s="153"/>
      <c r="C4463" s="153"/>
      <c r="D4463" s="153"/>
    </row>
    <row r="4464">
      <c r="A4464" s="153"/>
      <c r="B4464" s="153"/>
      <c r="C4464" s="153"/>
      <c r="D4464" s="153"/>
    </row>
    <row r="4465">
      <c r="A4465" s="153"/>
      <c r="B4465" s="153"/>
      <c r="C4465" s="153"/>
      <c r="D4465" s="153"/>
    </row>
    <row r="4466">
      <c r="A4466" s="153"/>
      <c r="B4466" s="153"/>
      <c r="C4466" s="153"/>
      <c r="D4466" s="153"/>
    </row>
    <row r="4467">
      <c r="A4467" s="153"/>
      <c r="B4467" s="153"/>
      <c r="C4467" s="153"/>
      <c r="D4467" s="153"/>
    </row>
    <row r="4468">
      <c r="A4468" s="153"/>
      <c r="B4468" s="153"/>
      <c r="C4468" s="153"/>
      <c r="D4468" s="153"/>
    </row>
    <row r="4469">
      <c r="A4469" s="153"/>
      <c r="B4469" s="153"/>
      <c r="C4469" s="153"/>
      <c r="D4469" s="153"/>
    </row>
    <row r="4470">
      <c r="A4470" s="153"/>
      <c r="B4470" s="153"/>
      <c r="C4470" s="153"/>
      <c r="D4470" s="153"/>
    </row>
    <row r="4471">
      <c r="A4471" s="153"/>
      <c r="B4471" s="153"/>
      <c r="C4471" s="153"/>
      <c r="D4471" s="153"/>
    </row>
    <row r="4472">
      <c r="A4472" s="153"/>
      <c r="B4472" s="153"/>
      <c r="C4472" s="153"/>
      <c r="D4472" s="153"/>
    </row>
    <row r="4473">
      <c r="A4473" s="153"/>
      <c r="B4473" s="153"/>
      <c r="C4473" s="153"/>
      <c r="D4473" s="153"/>
    </row>
    <row r="4474">
      <c r="A4474" s="153"/>
      <c r="B4474" s="153"/>
      <c r="C4474" s="153"/>
      <c r="D4474" s="153"/>
    </row>
    <row r="4475">
      <c r="A4475" s="153"/>
      <c r="B4475" s="153"/>
      <c r="C4475" s="153"/>
      <c r="D4475" s="153"/>
    </row>
    <row r="4476">
      <c r="A4476" s="153"/>
      <c r="B4476" s="153"/>
      <c r="C4476" s="153"/>
      <c r="D4476" s="153"/>
    </row>
    <row r="4477">
      <c r="A4477" s="153"/>
      <c r="B4477" s="153"/>
      <c r="C4477" s="153"/>
      <c r="D4477" s="153"/>
    </row>
    <row r="4478">
      <c r="A4478" s="153"/>
      <c r="B4478" s="153"/>
      <c r="C4478" s="153"/>
      <c r="D4478" s="153"/>
    </row>
    <row r="4479">
      <c r="A4479" s="153"/>
      <c r="B4479" s="153"/>
      <c r="C4479" s="153"/>
      <c r="D4479" s="153"/>
    </row>
    <row r="4480">
      <c r="A4480" s="153"/>
      <c r="B4480" s="153"/>
      <c r="C4480" s="153"/>
      <c r="D4480" s="153"/>
    </row>
    <row r="4481">
      <c r="A4481" s="153"/>
      <c r="B4481" s="153"/>
      <c r="C4481" s="153"/>
      <c r="D4481" s="153"/>
    </row>
    <row r="4482">
      <c r="A4482" s="153"/>
      <c r="B4482" s="153"/>
      <c r="C4482" s="153"/>
      <c r="D4482" s="153"/>
    </row>
    <row r="4483">
      <c r="A4483" s="153"/>
      <c r="B4483" s="153"/>
      <c r="C4483" s="153"/>
      <c r="D4483" s="153"/>
    </row>
    <row r="4484">
      <c r="A4484" s="153"/>
      <c r="B4484" s="153"/>
      <c r="C4484" s="153"/>
      <c r="D4484" s="153"/>
    </row>
    <row r="4485">
      <c r="A4485" s="153"/>
      <c r="B4485" s="153"/>
      <c r="C4485" s="153"/>
      <c r="D4485" s="153"/>
    </row>
    <row r="4486">
      <c r="A4486" s="153"/>
      <c r="B4486" s="153"/>
      <c r="C4486" s="153"/>
      <c r="D4486" s="153"/>
    </row>
    <row r="4487">
      <c r="A4487" s="153"/>
      <c r="B4487" s="153"/>
      <c r="C4487" s="153"/>
      <c r="D4487" s="153"/>
    </row>
    <row r="4488">
      <c r="A4488" s="153"/>
      <c r="B4488" s="153"/>
      <c r="C4488" s="153"/>
      <c r="D4488" s="153"/>
    </row>
    <row r="4489">
      <c r="A4489" s="153"/>
      <c r="B4489" s="153"/>
      <c r="C4489" s="153"/>
      <c r="D4489" s="153"/>
    </row>
    <row r="4490">
      <c r="A4490" s="153"/>
      <c r="B4490" s="153"/>
      <c r="C4490" s="153"/>
      <c r="D4490" s="153"/>
    </row>
    <row r="4491">
      <c r="A4491" s="153"/>
      <c r="B4491" s="153"/>
      <c r="C4491" s="153"/>
      <c r="D4491" s="153"/>
    </row>
    <row r="4492">
      <c r="A4492" s="153"/>
      <c r="B4492" s="153"/>
      <c r="C4492" s="153"/>
      <c r="D4492" s="153"/>
    </row>
    <row r="4493">
      <c r="A4493" s="153"/>
      <c r="B4493" s="153"/>
      <c r="C4493" s="153"/>
      <c r="D4493" s="153"/>
    </row>
    <row r="4494">
      <c r="A4494" s="153"/>
      <c r="B4494" s="153"/>
      <c r="C4494" s="153"/>
      <c r="D4494" s="153"/>
    </row>
    <row r="4495">
      <c r="A4495" s="153"/>
      <c r="B4495" s="153"/>
      <c r="C4495" s="153"/>
      <c r="D4495" s="153"/>
    </row>
    <row r="4496">
      <c r="A4496" s="153"/>
      <c r="B4496" s="153"/>
      <c r="C4496" s="153"/>
      <c r="D4496" s="153"/>
    </row>
    <row r="4497">
      <c r="A4497" s="153"/>
      <c r="B4497" s="153"/>
      <c r="C4497" s="153"/>
      <c r="D4497" s="153"/>
    </row>
    <row r="4498">
      <c r="A4498" s="153"/>
      <c r="B4498" s="153"/>
      <c r="C4498" s="153"/>
      <c r="D4498" s="153"/>
    </row>
    <row r="4499">
      <c r="A4499" s="153"/>
      <c r="B4499" s="153"/>
      <c r="C4499" s="153"/>
      <c r="D4499" s="153"/>
    </row>
    <row r="4500">
      <c r="A4500" s="153"/>
      <c r="B4500" s="153"/>
      <c r="C4500" s="153"/>
      <c r="D4500" s="153"/>
    </row>
    <row r="4501">
      <c r="A4501" s="153"/>
      <c r="B4501" s="153"/>
      <c r="C4501" s="153"/>
      <c r="D4501" s="153"/>
    </row>
    <row r="4502">
      <c r="A4502" s="153"/>
      <c r="B4502" s="153"/>
      <c r="C4502" s="153"/>
      <c r="D4502" s="153"/>
    </row>
    <row r="4503">
      <c r="A4503" s="153"/>
      <c r="B4503" s="153"/>
      <c r="C4503" s="153"/>
      <c r="D4503" s="153"/>
    </row>
    <row r="4504">
      <c r="A4504" s="153"/>
      <c r="B4504" s="153"/>
      <c r="C4504" s="153"/>
      <c r="D4504" s="153"/>
    </row>
    <row r="4505">
      <c r="A4505" s="153"/>
      <c r="B4505" s="153"/>
      <c r="C4505" s="153"/>
      <c r="D4505" s="153"/>
    </row>
    <row r="4506">
      <c r="A4506" s="153"/>
      <c r="B4506" s="153"/>
      <c r="C4506" s="153"/>
      <c r="D4506" s="153"/>
    </row>
    <row r="4507">
      <c r="A4507" s="153"/>
      <c r="B4507" s="153"/>
      <c r="C4507" s="153"/>
      <c r="D4507" s="153"/>
    </row>
    <row r="4508">
      <c r="A4508" s="153"/>
      <c r="B4508" s="153"/>
      <c r="C4508" s="153"/>
      <c r="D4508" s="153"/>
    </row>
    <row r="4509">
      <c r="A4509" s="153"/>
      <c r="B4509" s="153"/>
      <c r="C4509" s="153"/>
      <c r="D4509" s="153"/>
    </row>
    <row r="4510">
      <c r="A4510" s="153"/>
      <c r="B4510" s="153"/>
      <c r="C4510" s="153"/>
      <c r="D4510" s="153"/>
    </row>
    <row r="4511">
      <c r="A4511" s="153"/>
      <c r="B4511" s="153"/>
      <c r="C4511" s="153"/>
      <c r="D4511" s="153"/>
    </row>
    <row r="4512">
      <c r="A4512" s="153"/>
      <c r="B4512" s="153"/>
      <c r="C4512" s="153"/>
      <c r="D4512" s="153"/>
    </row>
    <row r="4513">
      <c r="A4513" s="153"/>
      <c r="B4513" s="153"/>
      <c r="C4513" s="153"/>
      <c r="D4513" s="153"/>
    </row>
    <row r="4514">
      <c r="A4514" s="153"/>
      <c r="B4514" s="153"/>
      <c r="C4514" s="153"/>
      <c r="D4514" s="153"/>
    </row>
    <row r="4515">
      <c r="A4515" s="153"/>
      <c r="B4515" s="153"/>
      <c r="C4515" s="153"/>
      <c r="D4515" s="153"/>
    </row>
    <row r="4516">
      <c r="A4516" s="153"/>
      <c r="B4516" s="153"/>
      <c r="C4516" s="153"/>
      <c r="D4516" s="153"/>
    </row>
    <row r="4517">
      <c r="A4517" s="153"/>
      <c r="B4517" s="153"/>
      <c r="C4517" s="153"/>
      <c r="D4517" s="153"/>
    </row>
    <row r="4518">
      <c r="A4518" s="153"/>
      <c r="B4518" s="153"/>
      <c r="C4518" s="153"/>
      <c r="D4518" s="153"/>
    </row>
    <row r="4519">
      <c r="A4519" s="153"/>
      <c r="B4519" s="153"/>
      <c r="C4519" s="153"/>
      <c r="D4519" s="153"/>
    </row>
    <row r="4520">
      <c r="A4520" s="153"/>
      <c r="B4520" s="153"/>
      <c r="C4520" s="153"/>
      <c r="D4520" s="153"/>
    </row>
    <row r="4521">
      <c r="A4521" s="153"/>
      <c r="B4521" s="153"/>
      <c r="C4521" s="153"/>
      <c r="D4521" s="153"/>
    </row>
    <row r="4522">
      <c r="A4522" s="153"/>
      <c r="B4522" s="153"/>
      <c r="C4522" s="153"/>
      <c r="D4522" s="153"/>
    </row>
    <row r="4523">
      <c r="A4523" s="153"/>
      <c r="B4523" s="153"/>
      <c r="C4523" s="153"/>
      <c r="D4523" s="153"/>
    </row>
    <row r="4524">
      <c r="A4524" s="153"/>
      <c r="B4524" s="153"/>
      <c r="C4524" s="153"/>
      <c r="D4524" s="153"/>
    </row>
    <row r="4525">
      <c r="A4525" s="153"/>
      <c r="B4525" s="153"/>
      <c r="C4525" s="153"/>
      <c r="D4525" s="153"/>
    </row>
    <row r="4526">
      <c r="A4526" s="153"/>
      <c r="B4526" s="153"/>
      <c r="C4526" s="153"/>
      <c r="D4526" s="153"/>
    </row>
    <row r="4527">
      <c r="A4527" s="153"/>
      <c r="B4527" s="153"/>
      <c r="C4527" s="153"/>
      <c r="D4527" s="153"/>
    </row>
    <row r="4528">
      <c r="A4528" s="153"/>
      <c r="B4528" s="153"/>
      <c r="C4528" s="153"/>
      <c r="D4528" s="153"/>
    </row>
    <row r="4529">
      <c r="A4529" s="153"/>
      <c r="B4529" s="153"/>
      <c r="C4529" s="153"/>
      <c r="D4529" s="153"/>
    </row>
    <row r="4530">
      <c r="A4530" s="153"/>
      <c r="B4530" s="153"/>
      <c r="C4530" s="153"/>
      <c r="D4530" s="153"/>
    </row>
    <row r="4531">
      <c r="A4531" s="153"/>
      <c r="B4531" s="153"/>
      <c r="C4531" s="153"/>
      <c r="D4531" s="153"/>
    </row>
    <row r="4532">
      <c r="A4532" s="153"/>
      <c r="B4532" s="153"/>
      <c r="C4532" s="153"/>
      <c r="D4532" s="153"/>
    </row>
    <row r="4533">
      <c r="A4533" s="153"/>
      <c r="B4533" s="153"/>
      <c r="C4533" s="153"/>
      <c r="D4533" s="153"/>
    </row>
    <row r="4534">
      <c r="A4534" s="153"/>
      <c r="B4534" s="153"/>
      <c r="C4534" s="153"/>
      <c r="D4534" s="153"/>
    </row>
    <row r="4535">
      <c r="A4535" s="153"/>
      <c r="B4535" s="153"/>
      <c r="C4535" s="153"/>
      <c r="D4535" s="153"/>
    </row>
    <row r="4536">
      <c r="A4536" s="153"/>
      <c r="B4536" s="153"/>
      <c r="C4536" s="153"/>
      <c r="D4536" s="153"/>
    </row>
    <row r="4537">
      <c r="A4537" s="153"/>
      <c r="B4537" s="153"/>
      <c r="C4537" s="153"/>
      <c r="D4537" s="153"/>
    </row>
    <row r="4538">
      <c r="A4538" s="153"/>
      <c r="B4538" s="153"/>
      <c r="C4538" s="153"/>
      <c r="D4538" s="153"/>
    </row>
    <row r="4539">
      <c r="A4539" s="153"/>
      <c r="B4539" s="153"/>
      <c r="C4539" s="153"/>
      <c r="D4539" s="153"/>
    </row>
    <row r="4540">
      <c r="A4540" s="153"/>
      <c r="B4540" s="153"/>
      <c r="C4540" s="153"/>
      <c r="D4540" s="153"/>
    </row>
    <row r="4541">
      <c r="A4541" s="153"/>
      <c r="B4541" s="153"/>
      <c r="C4541" s="153"/>
      <c r="D4541" s="153"/>
    </row>
    <row r="4542">
      <c r="A4542" s="153"/>
      <c r="B4542" s="153"/>
      <c r="C4542" s="153"/>
      <c r="D4542" s="153"/>
    </row>
    <row r="4543">
      <c r="A4543" s="153"/>
      <c r="B4543" s="153"/>
      <c r="C4543" s="153"/>
      <c r="D4543" s="153"/>
    </row>
    <row r="4544">
      <c r="A4544" s="153"/>
      <c r="B4544" s="153"/>
      <c r="C4544" s="153"/>
      <c r="D4544" s="153"/>
    </row>
    <row r="4545">
      <c r="A4545" s="153"/>
      <c r="B4545" s="153"/>
      <c r="C4545" s="153"/>
      <c r="D4545" s="153"/>
    </row>
    <row r="4546">
      <c r="A4546" s="153"/>
      <c r="B4546" s="153"/>
      <c r="C4546" s="153"/>
      <c r="D4546" s="153"/>
    </row>
    <row r="4547">
      <c r="A4547" s="153"/>
      <c r="B4547" s="153"/>
      <c r="C4547" s="153"/>
      <c r="D4547" s="153"/>
    </row>
    <row r="4548">
      <c r="A4548" s="153"/>
      <c r="B4548" s="153"/>
      <c r="C4548" s="153"/>
      <c r="D4548" s="153"/>
    </row>
    <row r="4549">
      <c r="A4549" s="153"/>
      <c r="B4549" s="153"/>
      <c r="C4549" s="153"/>
      <c r="D4549" s="153"/>
    </row>
    <row r="4550">
      <c r="A4550" s="153"/>
      <c r="B4550" s="153"/>
      <c r="C4550" s="153"/>
      <c r="D4550" s="153"/>
    </row>
    <row r="4551">
      <c r="A4551" s="153"/>
      <c r="B4551" s="153"/>
      <c r="C4551" s="153"/>
      <c r="D4551" s="153"/>
    </row>
    <row r="4552">
      <c r="A4552" s="153"/>
      <c r="B4552" s="153"/>
      <c r="C4552" s="153"/>
      <c r="D4552" s="153"/>
    </row>
    <row r="4553">
      <c r="A4553" s="153"/>
      <c r="B4553" s="153"/>
      <c r="C4553" s="153"/>
      <c r="D4553" s="153"/>
    </row>
    <row r="4554">
      <c r="A4554" s="153"/>
      <c r="B4554" s="153"/>
      <c r="C4554" s="153"/>
      <c r="D4554" s="153"/>
    </row>
    <row r="4555">
      <c r="A4555" s="153"/>
      <c r="B4555" s="153"/>
      <c r="C4555" s="153"/>
      <c r="D4555" s="153"/>
    </row>
    <row r="4556">
      <c r="A4556" s="153"/>
      <c r="B4556" s="153"/>
      <c r="C4556" s="153"/>
      <c r="D4556" s="153"/>
    </row>
    <row r="4557">
      <c r="A4557" s="153"/>
      <c r="B4557" s="153"/>
      <c r="C4557" s="153"/>
      <c r="D4557" s="153"/>
    </row>
    <row r="4558">
      <c r="A4558" s="153"/>
      <c r="B4558" s="153"/>
      <c r="C4558" s="153"/>
      <c r="D4558" s="153"/>
    </row>
    <row r="4559">
      <c r="A4559" s="153"/>
      <c r="B4559" s="153"/>
      <c r="C4559" s="153"/>
      <c r="D4559" s="153"/>
    </row>
    <row r="4560">
      <c r="A4560" s="153"/>
      <c r="B4560" s="153"/>
      <c r="C4560" s="153"/>
      <c r="D4560" s="153"/>
    </row>
    <row r="4561">
      <c r="A4561" s="153"/>
      <c r="B4561" s="153"/>
      <c r="C4561" s="153"/>
      <c r="D4561" s="153"/>
    </row>
    <row r="4562">
      <c r="A4562" s="153"/>
      <c r="B4562" s="153"/>
      <c r="C4562" s="153"/>
      <c r="D4562" s="153"/>
    </row>
    <row r="4563">
      <c r="A4563" s="153"/>
      <c r="B4563" s="153"/>
      <c r="C4563" s="153"/>
      <c r="D4563" s="153"/>
    </row>
    <row r="4564">
      <c r="A4564" s="153"/>
      <c r="B4564" s="153"/>
      <c r="C4564" s="153"/>
      <c r="D4564" s="153"/>
    </row>
    <row r="4565">
      <c r="A4565" s="153"/>
      <c r="B4565" s="153"/>
      <c r="C4565" s="153"/>
      <c r="D4565" s="153"/>
    </row>
    <row r="4566">
      <c r="A4566" s="153"/>
      <c r="B4566" s="153"/>
      <c r="C4566" s="153"/>
      <c r="D4566" s="153"/>
    </row>
    <row r="4567">
      <c r="A4567" s="153"/>
      <c r="B4567" s="153"/>
      <c r="C4567" s="153"/>
      <c r="D4567" s="153"/>
    </row>
    <row r="4568">
      <c r="A4568" s="153"/>
      <c r="B4568" s="153"/>
      <c r="C4568" s="153"/>
      <c r="D4568" s="153"/>
    </row>
    <row r="4569">
      <c r="A4569" s="153"/>
      <c r="B4569" s="153"/>
      <c r="C4569" s="153"/>
      <c r="D4569" s="153"/>
    </row>
    <row r="4570">
      <c r="A4570" s="153"/>
      <c r="B4570" s="153"/>
      <c r="C4570" s="153"/>
      <c r="D4570" s="153"/>
    </row>
    <row r="4571">
      <c r="A4571" s="153"/>
      <c r="B4571" s="153"/>
      <c r="C4571" s="153"/>
      <c r="D4571" s="153"/>
    </row>
    <row r="4572">
      <c r="A4572" s="153"/>
      <c r="B4572" s="153"/>
      <c r="C4572" s="153"/>
      <c r="D4572" s="153"/>
    </row>
    <row r="4573">
      <c r="A4573" s="153"/>
      <c r="B4573" s="153"/>
      <c r="C4573" s="153"/>
      <c r="D4573" s="153"/>
    </row>
    <row r="4574">
      <c r="A4574" s="153"/>
      <c r="B4574" s="153"/>
      <c r="C4574" s="153"/>
      <c r="D4574" s="153"/>
    </row>
    <row r="4575">
      <c r="A4575" s="153"/>
      <c r="B4575" s="153"/>
      <c r="C4575" s="153"/>
      <c r="D4575" s="153"/>
    </row>
    <row r="4576">
      <c r="A4576" s="153"/>
      <c r="B4576" s="153"/>
      <c r="C4576" s="153"/>
      <c r="D4576" s="153"/>
    </row>
    <row r="4577">
      <c r="A4577" s="153"/>
      <c r="B4577" s="153"/>
      <c r="C4577" s="153"/>
      <c r="D4577" s="153"/>
    </row>
    <row r="4578">
      <c r="A4578" s="153"/>
      <c r="B4578" s="153"/>
      <c r="C4578" s="153"/>
      <c r="D4578" s="153"/>
    </row>
    <row r="4579">
      <c r="A4579" s="153"/>
      <c r="B4579" s="153"/>
      <c r="C4579" s="153"/>
      <c r="D4579" s="153"/>
    </row>
    <row r="4580">
      <c r="A4580" s="153"/>
      <c r="B4580" s="153"/>
      <c r="C4580" s="153"/>
      <c r="D4580" s="153"/>
    </row>
    <row r="4581">
      <c r="A4581" s="153"/>
      <c r="B4581" s="153"/>
      <c r="C4581" s="153"/>
      <c r="D4581" s="153"/>
    </row>
    <row r="4582">
      <c r="A4582" s="153"/>
      <c r="B4582" s="153"/>
      <c r="C4582" s="153"/>
      <c r="D4582" s="153"/>
    </row>
    <row r="4583">
      <c r="A4583" s="153"/>
      <c r="B4583" s="153"/>
      <c r="C4583" s="153"/>
      <c r="D4583" s="153"/>
    </row>
    <row r="4584">
      <c r="A4584" s="153"/>
      <c r="B4584" s="153"/>
      <c r="C4584" s="153"/>
      <c r="D4584" s="153"/>
    </row>
    <row r="4585">
      <c r="A4585" s="153"/>
      <c r="B4585" s="153"/>
      <c r="C4585" s="153"/>
      <c r="D4585" s="153"/>
    </row>
    <row r="4586">
      <c r="A4586" s="153"/>
      <c r="B4586" s="153"/>
      <c r="C4586" s="153"/>
      <c r="D4586" s="153"/>
    </row>
    <row r="4587">
      <c r="A4587" s="153"/>
      <c r="B4587" s="153"/>
      <c r="C4587" s="153"/>
      <c r="D4587" s="153"/>
    </row>
    <row r="4588">
      <c r="A4588" s="153"/>
      <c r="B4588" s="153"/>
      <c r="C4588" s="153"/>
      <c r="D4588" s="153"/>
    </row>
    <row r="4589">
      <c r="A4589" s="153"/>
      <c r="B4589" s="153"/>
      <c r="C4589" s="153"/>
      <c r="D4589" s="153"/>
    </row>
    <row r="4590">
      <c r="A4590" s="153"/>
      <c r="B4590" s="153"/>
      <c r="C4590" s="153"/>
      <c r="D4590" s="153"/>
    </row>
    <row r="4591">
      <c r="A4591" s="153"/>
      <c r="B4591" s="153"/>
      <c r="C4591" s="153"/>
      <c r="D4591" s="153"/>
    </row>
    <row r="4592">
      <c r="A4592" s="153"/>
      <c r="B4592" s="153"/>
      <c r="C4592" s="153"/>
      <c r="D4592" s="153"/>
    </row>
    <row r="4593">
      <c r="A4593" s="153"/>
      <c r="B4593" s="153"/>
      <c r="C4593" s="153"/>
      <c r="D4593" s="153"/>
    </row>
    <row r="4594">
      <c r="A4594" s="153"/>
      <c r="B4594" s="153"/>
      <c r="C4594" s="153"/>
      <c r="D4594" s="153"/>
    </row>
    <row r="4595">
      <c r="A4595" s="153"/>
      <c r="B4595" s="153"/>
      <c r="C4595" s="153"/>
      <c r="D4595" s="153"/>
    </row>
    <row r="4596">
      <c r="A4596" s="153"/>
      <c r="B4596" s="153"/>
      <c r="C4596" s="153"/>
      <c r="D4596" s="153"/>
    </row>
    <row r="4597">
      <c r="A4597" s="153"/>
      <c r="B4597" s="153"/>
      <c r="C4597" s="153"/>
      <c r="D4597" s="153"/>
    </row>
    <row r="4598">
      <c r="A4598" s="153"/>
      <c r="B4598" s="153"/>
      <c r="C4598" s="153"/>
      <c r="D4598" s="153"/>
    </row>
    <row r="4599">
      <c r="A4599" s="153"/>
      <c r="B4599" s="153"/>
      <c r="C4599" s="153"/>
      <c r="D4599" s="153"/>
    </row>
    <row r="4600">
      <c r="A4600" s="153"/>
      <c r="B4600" s="153"/>
      <c r="C4600" s="153"/>
      <c r="D4600" s="153"/>
    </row>
    <row r="4601">
      <c r="A4601" s="153"/>
      <c r="B4601" s="153"/>
      <c r="C4601" s="153"/>
      <c r="D4601" s="153"/>
    </row>
    <row r="4602">
      <c r="A4602" s="153"/>
      <c r="B4602" s="153"/>
      <c r="C4602" s="153"/>
      <c r="D4602" s="153"/>
    </row>
    <row r="4603">
      <c r="A4603" s="153"/>
      <c r="B4603" s="153"/>
      <c r="C4603" s="153"/>
      <c r="D4603" s="153"/>
    </row>
    <row r="4604">
      <c r="A4604" s="153"/>
      <c r="B4604" s="153"/>
      <c r="C4604" s="153"/>
      <c r="D4604" s="153"/>
    </row>
    <row r="4605">
      <c r="A4605" s="153"/>
      <c r="B4605" s="153"/>
      <c r="C4605" s="153"/>
      <c r="D4605" s="153"/>
    </row>
    <row r="4606">
      <c r="A4606" s="153"/>
      <c r="B4606" s="153"/>
      <c r="C4606" s="153"/>
      <c r="D4606" s="153"/>
    </row>
    <row r="4607">
      <c r="A4607" s="153"/>
      <c r="B4607" s="153"/>
      <c r="C4607" s="153"/>
      <c r="D4607" s="153"/>
    </row>
    <row r="4608">
      <c r="A4608" s="153"/>
      <c r="B4608" s="153"/>
      <c r="C4608" s="153"/>
      <c r="D4608" s="153"/>
    </row>
    <row r="4609">
      <c r="A4609" s="153"/>
      <c r="B4609" s="153"/>
      <c r="C4609" s="153"/>
      <c r="D4609" s="153"/>
    </row>
    <row r="4610">
      <c r="A4610" s="153"/>
      <c r="B4610" s="153"/>
      <c r="C4610" s="153"/>
      <c r="D4610" s="153"/>
    </row>
    <row r="4611">
      <c r="A4611" s="153"/>
      <c r="B4611" s="153"/>
      <c r="C4611" s="153"/>
      <c r="D4611" s="153"/>
    </row>
    <row r="4612">
      <c r="A4612" s="153"/>
      <c r="B4612" s="153"/>
      <c r="C4612" s="153"/>
      <c r="D4612" s="153"/>
    </row>
    <row r="4613">
      <c r="A4613" s="153"/>
      <c r="B4613" s="153"/>
      <c r="C4613" s="153"/>
      <c r="D4613" s="153"/>
    </row>
    <row r="4614">
      <c r="A4614" s="153"/>
      <c r="B4614" s="153"/>
      <c r="C4614" s="153"/>
      <c r="D4614" s="153"/>
    </row>
    <row r="4615">
      <c r="A4615" s="153"/>
      <c r="B4615" s="153"/>
      <c r="C4615" s="153"/>
      <c r="D4615" s="153"/>
    </row>
    <row r="4616">
      <c r="A4616" s="153"/>
      <c r="B4616" s="153"/>
      <c r="C4616" s="153"/>
      <c r="D4616" s="153"/>
    </row>
    <row r="4617">
      <c r="A4617" s="153"/>
      <c r="B4617" s="153"/>
      <c r="C4617" s="153"/>
      <c r="D4617" s="153"/>
    </row>
    <row r="4618">
      <c r="A4618" s="153"/>
      <c r="B4618" s="153"/>
      <c r="C4618" s="153"/>
      <c r="D4618" s="153"/>
    </row>
    <row r="4619">
      <c r="A4619" s="153"/>
      <c r="B4619" s="153"/>
      <c r="C4619" s="153"/>
      <c r="D4619" s="153"/>
    </row>
    <row r="4620">
      <c r="A4620" s="153"/>
      <c r="B4620" s="153"/>
      <c r="C4620" s="153"/>
      <c r="D4620" s="153"/>
    </row>
    <row r="4621">
      <c r="A4621" s="153"/>
      <c r="B4621" s="153"/>
      <c r="C4621" s="153"/>
      <c r="D4621" s="153"/>
    </row>
    <row r="4622">
      <c r="A4622" s="153"/>
      <c r="B4622" s="153"/>
      <c r="C4622" s="153"/>
      <c r="D4622" s="153"/>
    </row>
    <row r="4623">
      <c r="A4623" s="153"/>
      <c r="B4623" s="153"/>
      <c r="C4623" s="153"/>
      <c r="D4623" s="153"/>
    </row>
    <row r="4624">
      <c r="A4624" s="153"/>
      <c r="B4624" s="153"/>
      <c r="C4624" s="153"/>
      <c r="D4624" s="153"/>
    </row>
    <row r="4625">
      <c r="A4625" s="153"/>
      <c r="B4625" s="153"/>
      <c r="C4625" s="153"/>
      <c r="D4625" s="153"/>
    </row>
    <row r="4626">
      <c r="A4626" s="153"/>
      <c r="B4626" s="153"/>
      <c r="C4626" s="153"/>
      <c r="D4626" s="153"/>
    </row>
    <row r="4627">
      <c r="A4627" s="153"/>
      <c r="B4627" s="153"/>
      <c r="C4627" s="153"/>
      <c r="D4627" s="153"/>
    </row>
    <row r="4628">
      <c r="A4628" s="153"/>
      <c r="B4628" s="153"/>
      <c r="C4628" s="153"/>
      <c r="D4628" s="153"/>
    </row>
    <row r="4629">
      <c r="A4629" s="153"/>
      <c r="B4629" s="153"/>
      <c r="C4629" s="153"/>
      <c r="D4629" s="153"/>
    </row>
    <row r="4630">
      <c r="A4630" s="153"/>
      <c r="B4630" s="153"/>
      <c r="C4630" s="153"/>
      <c r="D4630" s="153"/>
    </row>
    <row r="4631">
      <c r="A4631" s="153"/>
      <c r="B4631" s="153"/>
      <c r="C4631" s="153"/>
      <c r="D4631" s="153"/>
    </row>
    <row r="4632">
      <c r="A4632" s="153"/>
      <c r="B4632" s="153"/>
      <c r="C4632" s="153"/>
      <c r="D4632" s="153"/>
    </row>
    <row r="4633">
      <c r="A4633" s="153"/>
      <c r="B4633" s="153"/>
      <c r="C4633" s="153"/>
      <c r="D4633" s="153"/>
    </row>
    <row r="4634">
      <c r="A4634" s="153"/>
      <c r="B4634" s="153"/>
      <c r="C4634" s="153"/>
      <c r="D4634" s="153"/>
    </row>
    <row r="4635">
      <c r="A4635" s="153"/>
      <c r="B4635" s="153"/>
      <c r="C4635" s="153"/>
      <c r="D4635" s="153"/>
    </row>
    <row r="4636">
      <c r="A4636" s="153"/>
      <c r="B4636" s="153"/>
      <c r="C4636" s="153"/>
      <c r="D4636" s="153"/>
    </row>
    <row r="4637">
      <c r="A4637" s="153"/>
      <c r="B4637" s="153"/>
      <c r="C4637" s="153"/>
      <c r="D4637" s="153"/>
    </row>
    <row r="4638">
      <c r="A4638" s="153"/>
      <c r="B4638" s="153"/>
      <c r="C4638" s="153"/>
      <c r="D4638" s="153"/>
    </row>
    <row r="4639">
      <c r="A4639" s="153"/>
      <c r="B4639" s="153"/>
      <c r="C4639" s="153"/>
      <c r="D4639" s="153"/>
    </row>
    <row r="4640">
      <c r="A4640" s="153"/>
      <c r="B4640" s="153"/>
      <c r="C4640" s="153"/>
      <c r="D4640" s="153"/>
    </row>
    <row r="4641">
      <c r="A4641" s="153"/>
      <c r="B4641" s="153"/>
      <c r="C4641" s="153"/>
      <c r="D4641" s="153"/>
    </row>
    <row r="4642">
      <c r="A4642" s="153"/>
      <c r="B4642" s="153"/>
      <c r="C4642" s="153"/>
      <c r="D4642" s="153"/>
    </row>
    <row r="4643">
      <c r="A4643" s="153"/>
      <c r="B4643" s="153"/>
      <c r="C4643" s="153"/>
      <c r="D4643" s="153"/>
    </row>
    <row r="4644">
      <c r="A4644" s="153"/>
      <c r="B4644" s="153"/>
      <c r="C4644" s="153"/>
      <c r="D4644" s="153"/>
    </row>
    <row r="4645">
      <c r="A4645" s="153"/>
      <c r="B4645" s="153"/>
      <c r="C4645" s="153"/>
      <c r="D4645" s="153"/>
    </row>
    <row r="4646">
      <c r="A4646" s="153"/>
      <c r="B4646" s="153"/>
      <c r="C4646" s="153"/>
      <c r="D4646" s="153"/>
    </row>
    <row r="4647">
      <c r="A4647" s="153"/>
      <c r="B4647" s="153"/>
      <c r="C4647" s="153"/>
      <c r="D4647" s="153"/>
    </row>
    <row r="4648">
      <c r="A4648" s="153"/>
      <c r="B4648" s="153"/>
      <c r="C4648" s="153"/>
      <c r="D4648" s="153"/>
    </row>
    <row r="4649">
      <c r="A4649" s="153"/>
      <c r="B4649" s="153"/>
      <c r="C4649" s="153"/>
      <c r="D4649" s="153"/>
    </row>
    <row r="4650">
      <c r="A4650" s="153"/>
      <c r="B4650" s="153"/>
      <c r="C4650" s="153"/>
      <c r="D4650" s="153"/>
    </row>
    <row r="4651">
      <c r="A4651" s="153"/>
      <c r="B4651" s="153"/>
      <c r="C4651" s="153"/>
      <c r="D4651" s="153"/>
    </row>
    <row r="4652">
      <c r="A4652" s="153"/>
      <c r="B4652" s="153"/>
      <c r="C4652" s="153"/>
      <c r="D4652" s="153"/>
    </row>
    <row r="4653">
      <c r="A4653" s="153"/>
      <c r="B4653" s="153"/>
      <c r="C4653" s="153"/>
      <c r="D4653" s="153"/>
    </row>
    <row r="4654">
      <c r="A4654" s="153"/>
      <c r="B4654" s="153"/>
      <c r="C4654" s="153"/>
      <c r="D4654" s="153"/>
    </row>
    <row r="4655">
      <c r="A4655" s="153"/>
      <c r="B4655" s="153"/>
      <c r="C4655" s="153"/>
      <c r="D4655" s="153"/>
    </row>
    <row r="4656">
      <c r="A4656" s="153"/>
      <c r="B4656" s="153"/>
      <c r="C4656" s="153"/>
      <c r="D4656" s="153"/>
    </row>
    <row r="4657">
      <c r="A4657" s="153"/>
      <c r="B4657" s="153"/>
      <c r="C4657" s="153"/>
      <c r="D4657" s="153"/>
    </row>
    <row r="4658">
      <c r="A4658" s="153"/>
      <c r="B4658" s="153"/>
      <c r="C4658" s="153"/>
      <c r="D4658" s="153"/>
    </row>
    <row r="4659">
      <c r="A4659" s="153"/>
      <c r="B4659" s="153"/>
      <c r="C4659" s="153"/>
      <c r="D4659" s="153"/>
    </row>
    <row r="4660">
      <c r="A4660" s="153"/>
      <c r="B4660" s="153"/>
      <c r="C4660" s="153"/>
      <c r="D4660" s="153"/>
    </row>
    <row r="4661">
      <c r="A4661" s="153"/>
      <c r="B4661" s="153"/>
      <c r="C4661" s="153"/>
      <c r="D4661" s="153"/>
    </row>
    <row r="4662">
      <c r="A4662" s="153"/>
      <c r="B4662" s="153"/>
      <c r="C4662" s="153"/>
      <c r="D4662" s="153"/>
    </row>
    <row r="4663">
      <c r="A4663" s="153"/>
      <c r="B4663" s="153"/>
      <c r="C4663" s="153"/>
      <c r="D4663" s="153"/>
    </row>
    <row r="4664">
      <c r="A4664" s="153"/>
      <c r="B4664" s="153"/>
      <c r="C4664" s="153"/>
      <c r="D4664" s="153"/>
    </row>
    <row r="4665">
      <c r="A4665" s="153"/>
      <c r="B4665" s="153"/>
      <c r="C4665" s="153"/>
      <c r="D4665" s="153"/>
    </row>
    <row r="4666">
      <c r="A4666" s="153"/>
      <c r="B4666" s="153"/>
      <c r="C4666" s="153"/>
      <c r="D4666" s="153"/>
    </row>
    <row r="4667">
      <c r="A4667" s="153"/>
      <c r="B4667" s="153"/>
      <c r="C4667" s="153"/>
      <c r="D4667" s="153"/>
    </row>
    <row r="4668">
      <c r="A4668" s="153"/>
      <c r="B4668" s="153"/>
      <c r="C4668" s="153"/>
      <c r="D4668" s="153"/>
    </row>
    <row r="4669">
      <c r="A4669" s="153"/>
      <c r="B4669" s="153"/>
      <c r="C4669" s="153"/>
      <c r="D4669" s="153"/>
    </row>
    <row r="4670">
      <c r="A4670" s="153"/>
      <c r="B4670" s="153"/>
      <c r="C4670" s="153"/>
      <c r="D4670" s="153"/>
    </row>
    <row r="4671">
      <c r="A4671" s="153"/>
      <c r="B4671" s="153"/>
      <c r="C4671" s="153"/>
      <c r="D4671" s="153"/>
    </row>
    <row r="4672">
      <c r="A4672" s="153"/>
      <c r="B4672" s="153"/>
      <c r="C4672" s="153"/>
      <c r="D4672" s="153"/>
    </row>
    <row r="4673">
      <c r="A4673" s="153"/>
      <c r="B4673" s="153"/>
      <c r="C4673" s="153"/>
      <c r="D4673" s="153"/>
    </row>
    <row r="4674">
      <c r="A4674" s="153"/>
      <c r="B4674" s="153"/>
      <c r="C4674" s="153"/>
      <c r="D4674" s="153"/>
    </row>
    <row r="4675">
      <c r="A4675" s="153"/>
      <c r="B4675" s="153"/>
      <c r="C4675" s="153"/>
      <c r="D4675" s="153"/>
    </row>
    <row r="4676">
      <c r="A4676" s="153"/>
      <c r="B4676" s="153"/>
      <c r="C4676" s="153"/>
      <c r="D4676" s="153"/>
    </row>
    <row r="4677">
      <c r="A4677" s="153"/>
      <c r="B4677" s="153"/>
      <c r="C4677" s="153"/>
      <c r="D4677" s="153"/>
    </row>
    <row r="4678">
      <c r="A4678" s="153"/>
      <c r="B4678" s="153"/>
      <c r="C4678" s="153"/>
      <c r="D4678" s="153"/>
    </row>
    <row r="4679">
      <c r="A4679" s="153"/>
      <c r="B4679" s="153"/>
      <c r="C4679" s="153"/>
      <c r="D4679" s="153"/>
    </row>
    <row r="4680">
      <c r="A4680" s="153"/>
      <c r="B4680" s="153"/>
      <c r="C4680" s="153"/>
      <c r="D4680" s="153"/>
    </row>
    <row r="4681">
      <c r="A4681" s="153"/>
      <c r="B4681" s="153"/>
      <c r="C4681" s="153"/>
      <c r="D4681" s="153"/>
    </row>
    <row r="4682">
      <c r="A4682" s="153"/>
      <c r="B4682" s="153"/>
      <c r="C4682" s="153"/>
      <c r="D4682" s="153"/>
    </row>
    <row r="4683">
      <c r="A4683" s="153"/>
      <c r="B4683" s="153"/>
      <c r="C4683" s="153"/>
      <c r="D4683" s="153"/>
    </row>
    <row r="4684">
      <c r="A4684" s="153"/>
      <c r="B4684" s="153"/>
      <c r="C4684" s="153"/>
      <c r="D4684" s="153"/>
    </row>
    <row r="4685">
      <c r="A4685" s="153"/>
      <c r="B4685" s="153"/>
      <c r="C4685" s="153"/>
      <c r="D4685" s="153"/>
    </row>
    <row r="4686">
      <c r="A4686" s="153"/>
      <c r="B4686" s="153"/>
      <c r="C4686" s="153"/>
      <c r="D4686" s="153"/>
    </row>
    <row r="4687">
      <c r="A4687" s="153"/>
      <c r="B4687" s="153"/>
      <c r="C4687" s="153"/>
      <c r="D4687" s="153"/>
    </row>
    <row r="4688">
      <c r="A4688" s="153"/>
      <c r="B4688" s="153"/>
      <c r="C4688" s="153"/>
      <c r="D4688" s="153"/>
    </row>
    <row r="4689">
      <c r="A4689" s="153"/>
      <c r="B4689" s="153"/>
      <c r="C4689" s="153"/>
      <c r="D4689" s="153"/>
    </row>
    <row r="4690">
      <c r="A4690" s="153"/>
      <c r="B4690" s="153"/>
      <c r="C4690" s="153"/>
      <c r="D4690" s="153"/>
    </row>
    <row r="4691">
      <c r="A4691" s="153"/>
      <c r="B4691" s="153"/>
      <c r="C4691" s="153"/>
      <c r="D4691" s="153"/>
    </row>
    <row r="4692">
      <c r="A4692" s="153"/>
      <c r="B4692" s="153"/>
      <c r="C4692" s="153"/>
      <c r="D4692" s="153"/>
    </row>
    <row r="4693">
      <c r="A4693" s="153"/>
      <c r="B4693" s="153"/>
      <c r="C4693" s="153"/>
      <c r="D4693" s="153"/>
    </row>
    <row r="4694">
      <c r="A4694" s="153"/>
      <c r="B4694" s="153"/>
      <c r="C4694" s="153"/>
      <c r="D4694" s="153"/>
    </row>
    <row r="4695">
      <c r="A4695" s="153"/>
      <c r="B4695" s="153"/>
      <c r="C4695" s="153"/>
      <c r="D4695" s="153"/>
    </row>
    <row r="4696">
      <c r="A4696" s="153"/>
      <c r="B4696" s="153"/>
      <c r="C4696" s="153"/>
      <c r="D4696" s="153"/>
    </row>
    <row r="4697">
      <c r="A4697" s="153"/>
      <c r="B4697" s="153"/>
      <c r="C4697" s="153"/>
      <c r="D4697" s="153"/>
    </row>
    <row r="4698">
      <c r="A4698" s="153"/>
      <c r="B4698" s="153"/>
      <c r="C4698" s="153"/>
      <c r="D4698" s="153"/>
    </row>
    <row r="4699">
      <c r="A4699" s="153"/>
      <c r="B4699" s="153"/>
      <c r="C4699" s="153"/>
      <c r="D4699" s="153"/>
    </row>
    <row r="4700">
      <c r="A4700" s="153"/>
      <c r="B4700" s="153"/>
      <c r="C4700" s="153"/>
      <c r="D4700" s="153"/>
    </row>
    <row r="4701">
      <c r="A4701" s="153"/>
      <c r="B4701" s="153"/>
      <c r="C4701" s="153"/>
      <c r="D4701" s="153"/>
    </row>
    <row r="4702">
      <c r="A4702" s="153"/>
      <c r="B4702" s="153"/>
      <c r="C4702" s="153"/>
      <c r="D4702" s="153"/>
    </row>
    <row r="4703">
      <c r="A4703" s="153"/>
      <c r="B4703" s="153"/>
      <c r="C4703" s="153"/>
      <c r="D4703" s="153"/>
    </row>
    <row r="4704">
      <c r="A4704" s="153"/>
      <c r="B4704" s="153"/>
      <c r="C4704" s="153"/>
      <c r="D4704" s="153"/>
    </row>
    <row r="4705">
      <c r="A4705" s="153"/>
      <c r="B4705" s="153"/>
      <c r="C4705" s="153"/>
      <c r="D4705" s="153"/>
    </row>
    <row r="4706">
      <c r="A4706" s="153"/>
      <c r="B4706" s="153"/>
      <c r="C4706" s="153"/>
      <c r="D4706" s="153"/>
    </row>
    <row r="4707">
      <c r="A4707" s="153"/>
      <c r="B4707" s="153"/>
      <c r="C4707" s="153"/>
      <c r="D4707" s="153"/>
    </row>
    <row r="4708">
      <c r="A4708" s="153"/>
      <c r="B4708" s="153"/>
      <c r="C4708" s="153"/>
      <c r="D4708" s="153"/>
    </row>
    <row r="4709">
      <c r="A4709" s="153"/>
      <c r="B4709" s="153"/>
      <c r="C4709" s="153"/>
      <c r="D4709" s="153"/>
    </row>
    <row r="4710">
      <c r="A4710" s="153"/>
      <c r="B4710" s="153"/>
      <c r="C4710" s="153"/>
      <c r="D4710" s="153"/>
    </row>
    <row r="4711">
      <c r="A4711" s="153"/>
      <c r="B4711" s="153"/>
      <c r="C4711" s="153"/>
      <c r="D4711" s="153"/>
    </row>
    <row r="4712">
      <c r="A4712" s="153"/>
      <c r="B4712" s="153"/>
      <c r="C4712" s="153"/>
      <c r="D4712" s="153"/>
    </row>
    <row r="4713">
      <c r="A4713" s="153"/>
      <c r="B4713" s="153"/>
      <c r="C4713" s="153"/>
      <c r="D4713" s="153"/>
    </row>
    <row r="4714">
      <c r="A4714" s="153"/>
      <c r="B4714" s="153"/>
      <c r="C4714" s="153"/>
      <c r="D4714" s="153"/>
    </row>
    <row r="4715">
      <c r="A4715" s="153"/>
      <c r="B4715" s="153"/>
      <c r="C4715" s="153"/>
      <c r="D4715" s="153"/>
    </row>
    <row r="4716">
      <c r="A4716" s="153"/>
      <c r="B4716" s="153"/>
      <c r="C4716" s="153"/>
      <c r="D4716" s="153"/>
    </row>
    <row r="4717">
      <c r="A4717" s="153"/>
      <c r="B4717" s="153"/>
      <c r="C4717" s="153"/>
      <c r="D4717" s="153"/>
    </row>
    <row r="4718">
      <c r="A4718" s="153"/>
      <c r="B4718" s="153"/>
      <c r="C4718" s="153"/>
      <c r="D4718" s="153"/>
    </row>
    <row r="4719">
      <c r="A4719" s="153"/>
      <c r="B4719" s="153"/>
      <c r="C4719" s="153"/>
      <c r="D4719" s="153"/>
    </row>
    <row r="4720">
      <c r="A4720" s="153"/>
      <c r="B4720" s="153"/>
      <c r="C4720" s="153"/>
      <c r="D4720" s="153"/>
    </row>
    <row r="4721">
      <c r="A4721" s="153"/>
      <c r="B4721" s="153"/>
      <c r="C4721" s="153"/>
      <c r="D4721" s="153"/>
    </row>
    <row r="4722">
      <c r="A4722" s="153"/>
      <c r="B4722" s="153"/>
      <c r="C4722" s="153"/>
      <c r="D4722" s="153"/>
    </row>
    <row r="4723">
      <c r="A4723" s="153"/>
      <c r="B4723" s="153"/>
      <c r="C4723" s="153"/>
      <c r="D4723" s="153"/>
    </row>
    <row r="4724">
      <c r="A4724" s="153"/>
      <c r="B4724" s="153"/>
      <c r="C4724" s="153"/>
      <c r="D4724" s="153"/>
    </row>
    <row r="4725">
      <c r="A4725" s="153"/>
      <c r="B4725" s="153"/>
      <c r="C4725" s="153"/>
      <c r="D4725" s="153"/>
    </row>
    <row r="4726">
      <c r="A4726" s="153"/>
      <c r="B4726" s="153"/>
      <c r="C4726" s="153"/>
      <c r="D4726" s="153"/>
    </row>
    <row r="4727">
      <c r="A4727" s="153"/>
      <c r="B4727" s="153"/>
      <c r="C4727" s="153"/>
      <c r="D4727" s="153"/>
    </row>
    <row r="4728">
      <c r="A4728" s="153"/>
      <c r="B4728" s="153"/>
      <c r="C4728" s="153"/>
      <c r="D4728" s="153"/>
    </row>
    <row r="4729">
      <c r="A4729" s="153"/>
      <c r="B4729" s="153"/>
      <c r="C4729" s="153"/>
      <c r="D4729" s="153"/>
    </row>
    <row r="4730">
      <c r="A4730" s="153"/>
      <c r="B4730" s="153"/>
      <c r="C4730" s="153"/>
      <c r="D4730" s="153"/>
    </row>
    <row r="4731">
      <c r="A4731" s="153"/>
      <c r="B4731" s="153"/>
      <c r="C4731" s="153"/>
      <c r="D4731" s="153"/>
    </row>
    <row r="4732">
      <c r="A4732" s="153"/>
      <c r="B4732" s="153"/>
      <c r="C4732" s="153"/>
      <c r="D4732" s="153"/>
    </row>
    <row r="4733">
      <c r="A4733" s="153"/>
      <c r="B4733" s="153"/>
      <c r="C4733" s="153"/>
      <c r="D4733" s="153"/>
    </row>
    <row r="4734">
      <c r="A4734" s="153"/>
      <c r="B4734" s="153"/>
      <c r="C4734" s="153"/>
      <c r="D4734" s="153"/>
    </row>
    <row r="4735">
      <c r="A4735" s="153"/>
      <c r="B4735" s="153"/>
      <c r="C4735" s="153"/>
      <c r="D4735" s="153"/>
    </row>
    <row r="4736">
      <c r="A4736" s="153"/>
      <c r="B4736" s="153"/>
      <c r="C4736" s="153"/>
      <c r="D4736" s="153"/>
    </row>
    <row r="4737">
      <c r="A4737" s="153"/>
      <c r="B4737" s="153"/>
      <c r="C4737" s="153"/>
      <c r="D4737" s="153"/>
    </row>
    <row r="4738">
      <c r="A4738" s="153"/>
      <c r="B4738" s="153"/>
      <c r="C4738" s="153"/>
      <c r="D4738" s="153"/>
    </row>
    <row r="4739">
      <c r="A4739" s="153"/>
      <c r="B4739" s="153"/>
      <c r="C4739" s="153"/>
      <c r="D4739" s="153"/>
    </row>
    <row r="4740">
      <c r="A4740" s="153"/>
      <c r="B4740" s="153"/>
      <c r="C4740" s="153"/>
      <c r="D4740" s="153"/>
    </row>
    <row r="4741">
      <c r="A4741" s="153"/>
      <c r="B4741" s="153"/>
      <c r="C4741" s="153"/>
      <c r="D4741" s="153"/>
    </row>
    <row r="4742">
      <c r="A4742" s="153"/>
      <c r="B4742" s="153"/>
      <c r="C4742" s="153"/>
      <c r="D4742" s="153"/>
    </row>
    <row r="4743">
      <c r="A4743" s="153"/>
      <c r="B4743" s="153"/>
      <c r="C4743" s="153"/>
      <c r="D4743" s="153"/>
    </row>
    <row r="4744">
      <c r="A4744" s="153"/>
      <c r="B4744" s="153"/>
      <c r="C4744" s="153"/>
      <c r="D4744" s="153"/>
    </row>
    <row r="4745">
      <c r="A4745" s="153"/>
      <c r="B4745" s="153"/>
      <c r="C4745" s="153"/>
      <c r="D4745" s="153"/>
    </row>
    <row r="4746">
      <c r="A4746" s="153"/>
      <c r="B4746" s="153"/>
      <c r="C4746" s="153"/>
      <c r="D4746" s="153"/>
    </row>
    <row r="4747">
      <c r="A4747" s="153"/>
      <c r="B4747" s="153"/>
      <c r="C4747" s="153"/>
      <c r="D4747" s="153"/>
    </row>
    <row r="4748">
      <c r="A4748" s="153"/>
      <c r="B4748" s="153"/>
      <c r="C4748" s="153"/>
      <c r="D4748" s="153"/>
    </row>
    <row r="4749">
      <c r="A4749" s="153"/>
      <c r="B4749" s="153"/>
      <c r="C4749" s="153"/>
      <c r="D4749" s="153"/>
    </row>
    <row r="4750">
      <c r="A4750" s="153"/>
      <c r="B4750" s="153"/>
      <c r="C4750" s="153"/>
      <c r="D4750" s="153"/>
    </row>
    <row r="4751">
      <c r="A4751" s="153"/>
      <c r="B4751" s="153"/>
      <c r="C4751" s="153"/>
      <c r="D4751" s="153"/>
    </row>
    <row r="4752">
      <c r="A4752" s="153"/>
      <c r="B4752" s="153"/>
      <c r="C4752" s="153"/>
      <c r="D4752" s="153"/>
    </row>
    <row r="4753">
      <c r="A4753" s="153"/>
      <c r="B4753" s="153"/>
      <c r="C4753" s="153"/>
      <c r="D4753" s="153"/>
    </row>
    <row r="4754">
      <c r="A4754" s="153"/>
      <c r="B4754" s="153"/>
      <c r="C4754" s="153"/>
      <c r="D4754" s="153"/>
    </row>
    <row r="4755">
      <c r="A4755" s="153"/>
      <c r="B4755" s="153"/>
      <c r="C4755" s="153"/>
      <c r="D4755" s="153"/>
    </row>
    <row r="4756">
      <c r="A4756" s="153"/>
      <c r="B4756" s="153"/>
      <c r="C4756" s="153"/>
      <c r="D4756" s="153"/>
    </row>
    <row r="4757">
      <c r="A4757" s="153"/>
      <c r="B4757" s="153"/>
      <c r="C4757" s="153"/>
      <c r="D4757" s="153"/>
    </row>
    <row r="4758">
      <c r="A4758" s="153"/>
      <c r="B4758" s="153"/>
      <c r="C4758" s="153"/>
      <c r="D4758" s="153"/>
    </row>
    <row r="4759">
      <c r="A4759" s="153"/>
      <c r="B4759" s="153"/>
      <c r="C4759" s="153"/>
      <c r="D4759" s="153"/>
    </row>
    <row r="4760">
      <c r="A4760" s="153"/>
      <c r="B4760" s="153"/>
      <c r="C4760" s="153"/>
      <c r="D4760" s="153"/>
    </row>
    <row r="4761">
      <c r="A4761" s="153"/>
      <c r="B4761" s="153"/>
      <c r="C4761" s="153"/>
      <c r="D4761" s="153"/>
    </row>
    <row r="4762">
      <c r="A4762" s="153"/>
      <c r="B4762" s="153"/>
      <c r="C4762" s="153"/>
      <c r="D4762" s="153"/>
    </row>
    <row r="4763">
      <c r="A4763" s="153"/>
      <c r="B4763" s="153"/>
      <c r="C4763" s="153"/>
      <c r="D4763" s="153"/>
    </row>
    <row r="4764">
      <c r="A4764" s="153"/>
      <c r="B4764" s="153"/>
      <c r="C4764" s="153"/>
      <c r="D4764" s="153"/>
    </row>
    <row r="4765">
      <c r="A4765" s="153"/>
      <c r="B4765" s="153"/>
      <c r="C4765" s="153"/>
      <c r="D4765" s="153"/>
    </row>
    <row r="4766">
      <c r="A4766" s="153"/>
      <c r="B4766" s="153"/>
      <c r="C4766" s="153"/>
      <c r="D4766" s="153"/>
    </row>
    <row r="4767">
      <c r="A4767" s="153"/>
      <c r="B4767" s="153"/>
      <c r="C4767" s="153"/>
      <c r="D4767" s="153"/>
    </row>
    <row r="4768">
      <c r="A4768" s="153"/>
      <c r="B4768" s="153"/>
      <c r="C4768" s="153"/>
      <c r="D4768" s="153"/>
    </row>
    <row r="4769">
      <c r="A4769" s="153"/>
      <c r="B4769" s="153"/>
      <c r="C4769" s="153"/>
      <c r="D4769" s="153"/>
    </row>
    <row r="4770">
      <c r="A4770" s="153"/>
      <c r="B4770" s="153"/>
      <c r="C4770" s="153"/>
      <c r="D4770" s="153"/>
    </row>
    <row r="4771">
      <c r="A4771" s="153"/>
      <c r="B4771" s="153"/>
      <c r="C4771" s="153"/>
      <c r="D4771" s="153"/>
    </row>
    <row r="4772">
      <c r="A4772" s="153"/>
      <c r="B4772" s="153"/>
      <c r="C4772" s="153"/>
      <c r="D4772" s="153"/>
    </row>
    <row r="4773">
      <c r="A4773" s="153"/>
      <c r="B4773" s="153"/>
      <c r="C4773" s="153"/>
      <c r="D4773" s="153"/>
    </row>
    <row r="4774">
      <c r="A4774" s="153"/>
      <c r="B4774" s="153"/>
      <c r="C4774" s="153"/>
      <c r="D4774" s="153"/>
    </row>
    <row r="4775">
      <c r="A4775" s="153"/>
      <c r="B4775" s="153"/>
      <c r="C4775" s="153"/>
      <c r="D4775" s="153"/>
    </row>
    <row r="4776">
      <c r="A4776" s="153"/>
      <c r="B4776" s="153"/>
      <c r="C4776" s="153"/>
      <c r="D4776" s="153"/>
    </row>
    <row r="4777">
      <c r="A4777" s="153"/>
      <c r="B4777" s="153"/>
      <c r="C4777" s="153"/>
      <c r="D4777" s="153"/>
    </row>
    <row r="4778">
      <c r="A4778" s="153"/>
      <c r="B4778" s="153"/>
      <c r="C4778" s="153"/>
      <c r="D4778" s="153"/>
    </row>
    <row r="4779">
      <c r="A4779" s="153"/>
      <c r="B4779" s="153"/>
      <c r="C4779" s="153"/>
      <c r="D4779" s="153"/>
    </row>
    <row r="4780">
      <c r="A4780" s="153"/>
      <c r="B4780" s="153"/>
      <c r="C4780" s="153"/>
      <c r="D4780" s="153"/>
    </row>
    <row r="4781">
      <c r="A4781" s="153"/>
      <c r="B4781" s="153"/>
      <c r="C4781" s="153"/>
      <c r="D4781" s="153"/>
    </row>
    <row r="4782">
      <c r="A4782" s="153"/>
      <c r="B4782" s="153"/>
      <c r="C4782" s="153"/>
      <c r="D4782" s="153"/>
    </row>
    <row r="4783">
      <c r="A4783" s="153"/>
      <c r="B4783" s="153"/>
      <c r="C4783" s="153"/>
      <c r="D4783" s="153"/>
    </row>
    <row r="4784">
      <c r="A4784" s="153"/>
      <c r="B4784" s="153"/>
      <c r="C4784" s="153"/>
      <c r="D4784" s="153"/>
    </row>
    <row r="4785">
      <c r="A4785" s="153"/>
      <c r="B4785" s="153"/>
      <c r="C4785" s="153"/>
      <c r="D4785" s="153"/>
    </row>
    <row r="4786">
      <c r="A4786" s="153"/>
      <c r="B4786" s="153"/>
      <c r="C4786" s="153"/>
      <c r="D4786" s="153"/>
    </row>
    <row r="4787">
      <c r="A4787" s="153"/>
      <c r="B4787" s="153"/>
      <c r="C4787" s="153"/>
      <c r="D4787" s="153"/>
    </row>
    <row r="4788">
      <c r="A4788" s="153"/>
      <c r="B4788" s="153"/>
      <c r="C4788" s="153"/>
      <c r="D4788" s="153"/>
    </row>
    <row r="4789">
      <c r="A4789" s="153"/>
      <c r="B4789" s="153"/>
      <c r="C4789" s="153"/>
      <c r="D4789" s="153"/>
    </row>
    <row r="4790">
      <c r="A4790" s="153"/>
      <c r="B4790" s="153"/>
      <c r="C4790" s="153"/>
      <c r="D4790" s="153"/>
    </row>
    <row r="4791">
      <c r="A4791" s="153"/>
      <c r="B4791" s="153"/>
      <c r="C4791" s="153"/>
      <c r="D4791" s="153"/>
    </row>
    <row r="4792">
      <c r="A4792" s="153"/>
      <c r="B4792" s="153"/>
      <c r="C4792" s="153"/>
      <c r="D4792" s="153"/>
    </row>
    <row r="4793">
      <c r="A4793" s="153"/>
      <c r="B4793" s="153"/>
      <c r="C4793" s="153"/>
      <c r="D4793" s="153"/>
    </row>
    <row r="4794">
      <c r="A4794" s="153"/>
      <c r="B4794" s="153"/>
      <c r="C4794" s="153"/>
      <c r="D4794" s="153"/>
    </row>
    <row r="4795">
      <c r="A4795" s="153"/>
      <c r="B4795" s="153"/>
      <c r="C4795" s="153"/>
      <c r="D4795" s="153"/>
    </row>
    <row r="4796">
      <c r="A4796" s="153"/>
      <c r="B4796" s="153"/>
      <c r="C4796" s="153"/>
      <c r="D4796" s="153"/>
    </row>
    <row r="4797">
      <c r="A4797" s="153"/>
      <c r="B4797" s="153"/>
      <c r="C4797" s="153"/>
      <c r="D4797" s="153"/>
    </row>
    <row r="4798">
      <c r="A4798" s="153"/>
      <c r="B4798" s="153"/>
      <c r="C4798" s="153"/>
      <c r="D4798" s="153"/>
    </row>
    <row r="4799">
      <c r="A4799" s="153"/>
      <c r="B4799" s="153"/>
      <c r="C4799" s="153"/>
      <c r="D4799" s="153"/>
    </row>
    <row r="4800">
      <c r="A4800" s="153"/>
      <c r="B4800" s="153"/>
      <c r="C4800" s="153"/>
      <c r="D4800" s="153"/>
    </row>
    <row r="4801">
      <c r="A4801" s="153"/>
      <c r="B4801" s="153"/>
      <c r="C4801" s="153"/>
      <c r="D4801" s="153"/>
    </row>
    <row r="4802">
      <c r="A4802" s="153"/>
      <c r="B4802" s="153"/>
      <c r="C4802" s="153"/>
      <c r="D4802" s="153"/>
    </row>
    <row r="4803">
      <c r="A4803" s="153"/>
      <c r="B4803" s="153"/>
      <c r="C4803" s="153"/>
      <c r="D4803" s="153"/>
    </row>
    <row r="4804">
      <c r="A4804" s="153"/>
      <c r="B4804" s="153"/>
      <c r="C4804" s="153"/>
      <c r="D4804" s="153"/>
    </row>
    <row r="4805">
      <c r="A4805" s="153"/>
      <c r="B4805" s="153"/>
      <c r="C4805" s="153"/>
      <c r="D4805" s="153"/>
    </row>
    <row r="4806">
      <c r="A4806" s="153"/>
      <c r="B4806" s="153"/>
      <c r="C4806" s="153"/>
      <c r="D4806" s="153"/>
    </row>
    <row r="4807">
      <c r="A4807" s="153"/>
      <c r="B4807" s="153"/>
      <c r="C4807" s="153"/>
      <c r="D4807" s="153"/>
    </row>
    <row r="4808">
      <c r="A4808" s="153"/>
      <c r="B4808" s="153"/>
      <c r="C4808" s="153"/>
      <c r="D4808" s="153"/>
    </row>
    <row r="4809">
      <c r="A4809" s="153"/>
      <c r="B4809" s="153"/>
      <c r="C4809" s="153"/>
      <c r="D4809" s="153"/>
    </row>
    <row r="4810">
      <c r="A4810" s="153"/>
      <c r="B4810" s="153"/>
      <c r="C4810" s="153"/>
      <c r="D4810" s="153"/>
    </row>
    <row r="4811">
      <c r="A4811" s="153"/>
      <c r="B4811" s="153"/>
      <c r="C4811" s="153"/>
      <c r="D4811" s="153"/>
    </row>
    <row r="4812">
      <c r="A4812" s="153"/>
      <c r="B4812" s="153"/>
      <c r="C4812" s="153"/>
      <c r="D4812" s="153"/>
    </row>
    <row r="4813">
      <c r="A4813" s="153"/>
      <c r="B4813" s="153"/>
      <c r="C4813" s="153"/>
      <c r="D4813" s="153"/>
    </row>
    <row r="4814">
      <c r="A4814" s="153"/>
      <c r="B4814" s="153"/>
      <c r="C4814" s="153"/>
      <c r="D4814" s="153"/>
    </row>
    <row r="4815">
      <c r="A4815" s="153"/>
      <c r="B4815" s="153"/>
      <c r="C4815" s="153"/>
      <c r="D4815" s="153"/>
    </row>
    <row r="4816">
      <c r="A4816" s="153"/>
      <c r="B4816" s="153"/>
      <c r="C4816" s="153"/>
      <c r="D4816" s="153"/>
    </row>
    <row r="4817">
      <c r="A4817" s="153"/>
      <c r="B4817" s="153"/>
      <c r="C4817" s="153"/>
      <c r="D4817" s="153"/>
    </row>
    <row r="4818">
      <c r="A4818" s="153"/>
      <c r="B4818" s="153"/>
      <c r="C4818" s="153"/>
      <c r="D4818" s="153"/>
    </row>
    <row r="4819">
      <c r="A4819" s="153"/>
      <c r="B4819" s="153"/>
      <c r="C4819" s="153"/>
      <c r="D4819" s="153"/>
    </row>
    <row r="4820">
      <c r="A4820" s="153"/>
      <c r="B4820" s="153"/>
      <c r="C4820" s="153"/>
      <c r="D4820" s="153"/>
    </row>
    <row r="4821">
      <c r="A4821" s="153"/>
      <c r="B4821" s="153"/>
      <c r="C4821" s="153"/>
      <c r="D4821" s="153"/>
    </row>
    <row r="4822">
      <c r="A4822" s="153"/>
      <c r="B4822" s="153"/>
      <c r="C4822" s="153"/>
      <c r="D4822" s="153"/>
    </row>
    <row r="4823">
      <c r="A4823" s="153"/>
      <c r="B4823" s="153"/>
      <c r="C4823" s="153"/>
      <c r="D4823" s="153"/>
    </row>
    <row r="4824">
      <c r="A4824" s="153"/>
      <c r="B4824" s="153"/>
      <c r="C4824" s="153"/>
      <c r="D4824" s="153"/>
    </row>
    <row r="4825">
      <c r="A4825" s="153"/>
      <c r="B4825" s="153"/>
      <c r="C4825" s="153"/>
      <c r="D4825" s="153"/>
    </row>
    <row r="4826">
      <c r="A4826" s="153"/>
      <c r="B4826" s="153"/>
      <c r="C4826" s="153"/>
      <c r="D4826" s="153"/>
    </row>
    <row r="4827">
      <c r="A4827" s="153"/>
      <c r="B4827" s="153"/>
      <c r="C4827" s="153"/>
      <c r="D4827" s="153"/>
    </row>
    <row r="4828">
      <c r="A4828" s="153"/>
      <c r="B4828" s="153"/>
      <c r="C4828" s="153"/>
      <c r="D4828" s="153"/>
    </row>
    <row r="4829">
      <c r="A4829" s="153"/>
      <c r="B4829" s="153"/>
      <c r="C4829" s="153"/>
      <c r="D4829" s="153"/>
    </row>
    <row r="4830">
      <c r="A4830" s="153"/>
      <c r="B4830" s="153"/>
      <c r="C4830" s="153"/>
      <c r="D4830" s="153"/>
    </row>
    <row r="4831">
      <c r="A4831" s="153"/>
      <c r="B4831" s="153"/>
      <c r="C4831" s="153"/>
      <c r="D4831" s="153"/>
    </row>
    <row r="4832">
      <c r="A4832" s="153"/>
      <c r="B4832" s="153"/>
      <c r="C4832" s="153"/>
      <c r="D4832" s="153"/>
    </row>
    <row r="4833">
      <c r="A4833" s="153"/>
      <c r="B4833" s="153"/>
      <c r="C4833" s="153"/>
      <c r="D4833" s="153"/>
    </row>
    <row r="4834">
      <c r="A4834" s="153"/>
      <c r="B4834" s="153"/>
      <c r="C4834" s="153"/>
      <c r="D4834" s="153"/>
    </row>
    <row r="4835">
      <c r="A4835" s="153"/>
      <c r="B4835" s="153"/>
      <c r="C4835" s="153"/>
      <c r="D4835" s="153"/>
    </row>
    <row r="4836">
      <c r="A4836" s="153"/>
      <c r="B4836" s="153"/>
      <c r="C4836" s="153"/>
      <c r="D4836" s="153"/>
    </row>
    <row r="4837">
      <c r="A4837" s="153"/>
      <c r="B4837" s="153"/>
      <c r="C4837" s="153"/>
      <c r="D4837" s="153"/>
    </row>
    <row r="4838">
      <c r="A4838" s="153"/>
      <c r="B4838" s="153"/>
      <c r="C4838" s="153"/>
      <c r="D4838" s="153"/>
    </row>
    <row r="4839">
      <c r="A4839" s="153"/>
      <c r="B4839" s="153"/>
      <c r="C4839" s="153"/>
      <c r="D4839" s="153"/>
    </row>
    <row r="4840">
      <c r="A4840" s="153"/>
      <c r="B4840" s="153"/>
      <c r="C4840" s="153"/>
      <c r="D4840" s="153"/>
    </row>
    <row r="4841">
      <c r="A4841" s="153"/>
      <c r="B4841" s="153"/>
      <c r="C4841" s="153"/>
      <c r="D4841" s="153"/>
    </row>
    <row r="4842">
      <c r="A4842" s="153"/>
      <c r="B4842" s="153"/>
      <c r="C4842" s="153"/>
      <c r="D4842" s="153"/>
    </row>
    <row r="4843">
      <c r="A4843" s="153"/>
      <c r="B4843" s="153"/>
      <c r="C4843" s="153"/>
      <c r="D4843" s="153"/>
    </row>
    <row r="4844">
      <c r="A4844" s="153"/>
      <c r="B4844" s="153"/>
      <c r="C4844" s="153"/>
      <c r="D4844" s="153"/>
    </row>
    <row r="4845">
      <c r="A4845" s="153"/>
      <c r="B4845" s="153"/>
      <c r="C4845" s="153"/>
      <c r="D4845" s="153"/>
    </row>
    <row r="4846">
      <c r="A4846" s="153"/>
      <c r="B4846" s="153"/>
      <c r="C4846" s="153"/>
      <c r="D4846" s="153"/>
    </row>
    <row r="4847">
      <c r="A4847" s="153"/>
      <c r="B4847" s="153"/>
      <c r="C4847" s="153"/>
      <c r="D4847" s="153"/>
    </row>
    <row r="4848">
      <c r="A4848" s="153"/>
      <c r="B4848" s="153"/>
      <c r="C4848" s="153"/>
      <c r="D4848" s="153"/>
    </row>
    <row r="4849">
      <c r="A4849" s="153"/>
      <c r="B4849" s="153"/>
      <c r="C4849" s="153"/>
      <c r="D4849" s="153"/>
    </row>
    <row r="4850">
      <c r="A4850" s="153"/>
      <c r="B4850" s="153"/>
      <c r="C4850" s="153"/>
      <c r="D4850" s="153"/>
    </row>
    <row r="4851">
      <c r="A4851" s="153"/>
      <c r="B4851" s="153"/>
      <c r="C4851" s="153"/>
      <c r="D4851" s="153"/>
    </row>
    <row r="4852">
      <c r="A4852" s="153"/>
      <c r="B4852" s="153"/>
      <c r="C4852" s="153"/>
      <c r="D4852" s="153"/>
    </row>
    <row r="4853">
      <c r="A4853" s="153"/>
      <c r="B4853" s="153"/>
      <c r="C4853" s="153"/>
      <c r="D4853" s="153"/>
    </row>
    <row r="4854">
      <c r="A4854" s="153"/>
      <c r="B4854" s="153"/>
      <c r="C4854" s="153"/>
      <c r="D4854" s="153"/>
    </row>
    <row r="4855">
      <c r="A4855" s="153"/>
      <c r="B4855" s="153"/>
      <c r="C4855" s="153"/>
      <c r="D4855" s="153"/>
    </row>
    <row r="4856">
      <c r="A4856" s="153"/>
      <c r="B4856" s="153"/>
      <c r="C4856" s="153"/>
      <c r="D4856" s="153"/>
    </row>
    <row r="4857">
      <c r="A4857" s="153"/>
      <c r="B4857" s="153"/>
      <c r="C4857" s="153"/>
      <c r="D4857" s="153"/>
    </row>
    <row r="4858">
      <c r="A4858" s="153"/>
      <c r="B4858" s="153"/>
      <c r="C4858" s="153"/>
      <c r="D4858" s="153"/>
    </row>
    <row r="4859">
      <c r="A4859" s="153"/>
      <c r="B4859" s="153"/>
      <c r="C4859" s="153"/>
      <c r="D4859" s="153"/>
    </row>
    <row r="4860">
      <c r="A4860" s="153"/>
      <c r="B4860" s="153"/>
      <c r="C4860" s="153"/>
      <c r="D4860" s="153"/>
    </row>
    <row r="4861">
      <c r="A4861" s="153"/>
      <c r="B4861" s="153"/>
      <c r="C4861" s="153"/>
      <c r="D4861" s="153"/>
    </row>
    <row r="4862">
      <c r="A4862" s="153"/>
      <c r="B4862" s="153"/>
      <c r="C4862" s="153"/>
      <c r="D4862" s="153"/>
    </row>
    <row r="4863">
      <c r="A4863" s="153"/>
      <c r="B4863" s="153"/>
      <c r="C4863" s="153"/>
      <c r="D4863" s="153"/>
    </row>
    <row r="4864">
      <c r="A4864" s="153"/>
      <c r="B4864" s="153"/>
      <c r="C4864" s="153"/>
      <c r="D4864" s="153"/>
    </row>
    <row r="4865">
      <c r="A4865" s="153"/>
      <c r="B4865" s="153"/>
      <c r="C4865" s="153"/>
      <c r="D4865" s="153"/>
    </row>
    <row r="4866">
      <c r="A4866" s="153"/>
      <c r="B4866" s="153"/>
      <c r="C4866" s="153"/>
      <c r="D4866" s="153"/>
    </row>
    <row r="4867">
      <c r="A4867" s="153"/>
      <c r="B4867" s="153"/>
      <c r="C4867" s="153"/>
      <c r="D4867" s="153"/>
    </row>
    <row r="4868">
      <c r="A4868" s="153"/>
      <c r="B4868" s="153"/>
      <c r="C4868" s="153"/>
      <c r="D4868" s="153"/>
    </row>
    <row r="4869">
      <c r="A4869" s="153"/>
      <c r="B4869" s="153"/>
      <c r="C4869" s="153"/>
      <c r="D4869" s="153"/>
    </row>
    <row r="4870">
      <c r="A4870" s="153"/>
      <c r="B4870" s="153"/>
      <c r="C4870" s="153"/>
      <c r="D4870" s="153"/>
    </row>
    <row r="4871">
      <c r="A4871" s="153"/>
      <c r="B4871" s="153"/>
      <c r="C4871" s="153"/>
      <c r="D4871" s="153"/>
    </row>
    <row r="4872">
      <c r="A4872" s="153"/>
      <c r="B4872" s="153"/>
      <c r="C4872" s="153"/>
      <c r="D4872" s="153"/>
    </row>
    <row r="4873">
      <c r="A4873" s="153"/>
      <c r="B4873" s="153"/>
      <c r="C4873" s="153"/>
      <c r="D4873" s="153"/>
    </row>
    <row r="4874">
      <c r="A4874" s="153"/>
      <c r="B4874" s="153"/>
      <c r="C4874" s="153"/>
      <c r="D4874" s="153"/>
    </row>
    <row r="4875">
      <c r="A4875" s="153"/>
      <c r="B4875" s="153"/>
      <c r="C4875" s="153"/>
      <c r="D4875" s="153"/>
    </row>
    <row r="4876">
      <c r="A4876" s="153"/>
      <c r="B4876" s="153"/>
      <c r="C4876" s="153"/>
      <c r="D4876" s="153"/>
    </row>
    <row r="4877">
      <c r="A4877" s="153"/>
      <c r="B4877" s="153"/>
      <c r="C4877" s="153"/>
      <c r="D4877" s="153"/>
    </row>
    <row r="4878">
      <c r="A4878" s="153"/>
      <c r="B4878" s="153"/>
      <c r="C4878" s="153"/>
      <c r="D4878" s="153"/>
    </row>
    <row r="4879">
      <c r="A4879" s="153"/>
      <c r="B4879" s="153"/>
      <c r="C4879" s="153"/>
      <c r="D4879" s="153"/>
    </row>
    <row r="4880">
      <c r="A4880" s="153"/>
      <c r="B4880" s="153"/>
      <c r="C4880" s="153"/>
      <c r="D4880" s="153"/>
    </row>
    <row r="4881">
      <c r="A4881" s="153"/>
      <c r="B4881" s="153"/>
      <c r="C4881" s="153"/>
      <c r="D4881" s="153"/>
    </row>
    <row r="4882">
      <c r="A4882" s="153"/>
      <c r="B4882" s="153"/>
      <c r="C4882" s="153"/>
      <c r="D4882" s="153"/>
    </row>
    <row r="4883">
      <c r="A4883" s="153"/>
      <c r="B4883" s="153"/>
      <c r="C4883" s="153"/>
      <c r="D4883" s="153"/>
    </row>
    <row r="4884">
      <c r="A4884" s="153"/>
      <c r="B4884" s="153"/>
      <c r="C4884" s="153"/>
      <c r="D4884" s="153"/>
    </row>
    <row r="4885">
      <c r="A4885" s="153"/>
      <c r="B4885" s="153"/>
      <c r="C4885" s="153"/>
      <c r="D4885" s="153"/>
    </row>
    <row r="4886">
      <c r="A4886" s="153"/>
      <c r="B4886" s="153"/>
      <c r="C4886" s="153"/>
      <c r="D4886" s="153"/>
    </row>
    <row r="4887">
      <c r="A4887" s="153"/>
      <c r="B4887" s="153"/>
      <c r="C4887" s="153"/>
      <c r="D4887" s="153"/>
    </row>
    <row r="4888">
      <c r="A4888" s="153"/>
      <c r="B4888" s="153"/>
      <c r="C4888" s="153"/>
      <c r="D4888" s="153"/>
    </row>
    <row r="4889">
      <c r="A4889" s="153"/>
      <c r="B4889" s="153"/>
      <c r="C4889" s="153"/>
      <c r="D4889" s="153"/>
    </row>
    <row r="4890">
      <c r="A4890" s="153"/>
      <c r="B4890" s="153"/>
      <c r="C4890" s="153"/>
      <c r="D4890" s="153"/>
    </row>
    <row r="4891">
      <c r="A4891" s="153"/>
      <c r="B4891" s="153"/>
      <c r="C4891" s="153"/>
      <c r="D4891" s="153"/>
    </row>
    <row r="4892">
      <c r="A4892" s="153"/>
      <c r="B4892" s="153"/>
      <c r="C4892" s="153"/>
      <c r="D4892" s="153"/>
    </row>
    <row r="4893">
      <c r="A4893" s="153"/>
      <c r="B4893" s="153"/>
      <c r="C4893" s="153"/>
      <c r="D4893" s="153"/>
    </row>
    <row r="4894">
      <c r="A4894" s="153"/>
      <c r="B4894" s="153"/>
      <c r="C4894" s="153"/>
      <c r="D4894" s="153"/>
    </row>
    <row r="4895">
      <c r="A4895" s="153"/>
      <c r="B4895" s="153"/>
      <c r="C4895" s="153"/>
      <c r="D4895" s="153"/>
    </row>
    <row r="4896">
      <c r="A4896" s="153"/>
      <c r="B4896" s="153"/>
      <c r="C4896" s="153"/>
      <c r="D4896" s="153"/>
    </row>
    <row r="4897">
      <c r="A4897" s="153"/>
      <c r="B4897" s="153"/>
      <c r="C4897" s="153"/>
      <c r="D4897" s="153"/>
    </row>
    <row r="4898">
      <c r="A4898" s="153"/>
      <c r="B4898" s="153"/>
      <c r="C4898" s="153"/>
      <c r="D4898" s="153"/>
    </row>
    <row r="4899">
      <c r="A4899" s="153"/>
      <c r="B4899" s="153"/>
      <c r="C4899" s="153"/>
      <c r="D4899" s="153"/>
    </row>
    <row r="4900">
      <c r="A4900" s="153"/>
      <c r="B4900" s="153"/>
      <c r="C4900" s="153"/>
      <c r="D4900" s="153"/>
    </row>
    <row r="4901">
      <c r="A4901" s="153"/>
      <c r="B4901" s="153"/>
      <c r="C4901" s="153"/>
      <c r="D4901" s="153"/>
    </row>
    <row r="4902">
      <c r="A4902" s="153"/>
      <c r="B4902" s="153"/>
      <c r="C4902" s="153"/>
      <c r="D4902" s="153"/>
    </row>
    <row r="4903">
      <c r="A4903" s="153"/>
      <c r="B4903" s="153"/>
      <c r="C4903" s="153"/>
      <c r="D4903" s="153"/>
    </row>
    <row r="4904">
      <c r="A4904" s="153"/>
      <c r="B4904" s="153"/>
      <c r="C4904" s="153"/>
      <c r="D4904" s="153"/>
    </row>
    <row r="4905">
      <c r="A4905" s="153"/>
      <c r="B4905" s="153"/>
      <c r="C4905" s="153"/>
      <c r="D4905" s="153"/>
    </row>
    <row r="4906">
      <c r="A4906" s="153"/>
      <c r="B4906" s="153"/>
      <c r="C4906" s="153"/>
      <c r="D4906" s="153"/>
    </row>
    <row r="4907">
      <c r="A4907" s="153"/>
      <c r="B4907" s="153"/>
      <c r="C4907" s="153"/>
      <c r="D4907" s="153"/>
    </row>
    <row r="4908">
      <c r="A4908" s="153"/>
      <c r="B4908" s="153"/>
      <c r="C4908" s="153"/>
      <c r="D4908" s="153"/>
    </row>
    <row r="4909">
      <c r="A4909" s="153"/>
      <c r="B4909" s="153"/>
      <c r="C4909" s="153"/>
      <c r="D4909" s="153"/>
    </row>
    <row r="4910">
      <c r="A4910" s="153"/>
      <c r="B4910" s="153"/>
      <c r="C4910" s="153"/>
      <c r="D4910" s="153"/>
    </row>
    <row r="4911">
      <c r="A4911" s="153"/>
      <c r="B4911" s="153"/>
      <c r="C4911" s="153"/>
      <c r="D4911" s="153"/>
    </row>
    <row r="4912">
      <c r="A4912" s="153"/>
      <c r="B4912" s="153"/>
      <c r="C4912" s="153"/>
      <c r="D4912" s="153"/>
    </row>
    <row r="4913">
      <c r="A4913" s="153"/>
      <c r="B4913" s="153"/>
      <c r="C4913" s="153"/>
      <c r="D4913" s="153"/>
    </row>
    <row r="4914">
      <c r="A4914" s="153"/>
      <c r="B4914" s="153"/>
      <c r="C4914" s="153"/>
      <c r="D4914" s="153"/>
    </row>
    <row r="4915">
      <c r="A4915" s="153"/>
      <c r="B4915" s="153"/>
      <c r="C4915" s="153"/>
      <c r="D4915" s="153"/>
    </row>
    <row r="4916">
      <c r="A4916" s="153"/>
      <c r="B4916" s="153"/>
      <c r="C4916" s="153"/>
      <c r="D4916" s="153"/>
    </row>
    <row r="4917">
      <c r="A4917" s="153"/>
      <c r="B4917" s="153"/>
      <c r="C4917" s="153"/>
      <c r="D4917" s="153"/>
    </row>
    <row r="4918">
      <c r="A4918" s="153"/>
      <c r="B4918" s="153"/>
      <c r="C4918" s="153"/>
      <c r="D4918" s="153"/>
    </row>
    <row r="4919">
      <c r="A4919" s="153"/>
      <c r="B4919" s="153"/>
      <c r="C4919" s="153"/>
      <c r="D4919" s="153"/>
    </row>
    <row r="4920">
      <c r="A4920" s="153"/>
      <c r="B4920" s="153"/>
      <c r="C4920" s="153"/>
      <c r="D4920" s="153"/>
    </row>
    <row r="4921">
      <c r="A4921" s="153"/>
      <c r="B4921" s="153"/>
      <c r="C4921" s="153"/>
      <c r="D4921" s="153"/>
    </row>
    <row r="4922">
      <c r="A4922" s="153"/>
      <c r="B4922" s="153"/>
      <c r="C4922" s="153"/>
      <c r="D4922" s="153"/>
    </row>
    <row r="4923">
      <c r="A4923" s="153"/>
      <c r="B4923" s="153"/>
      <c r="C4923" s="153"/>
      <c r="D4923" s="153"/>
    </row>
    <row r="4924">
      <c r="A4924" s="153"/>
      <c r="B4924" s="153"/>
      <c r="C4924" s="153"/>
      <c r="D4924" s="153"/>
    </row>
    <row r="4925">
      <c r="A4925" s="153"/>
      <c r="B4925" s="153"/>
      <c r="C4925" s="153"/>
      <c r="D4925" s="153"/>
    </row>
    <row r="4926">
      <c r="A4926" s="153"/>
      <c r="B4926" s="153"/>
      <c r="C4926" s="153"/>
      <c r="D4926" s="153"/>
    </row>
    <row r="4927">
      <c r="A4927" s="153"/>
      <c r="B4927" s="153"/>
      <c r="C4927" s="153"/>
      <c r="D4927" s="153"/>
    </row>
    <row r="4928">
      <c r="A4928" s="153"/>
      <c r="B4928" s="153"/>
      <c r="C4928" s="153"/>
      <c r="D4928" s="153"/>
    </row>
    <row r="4929">
      <c r="A4929" s="153"/>
      <c r="B4929" s="153"/>
      <c r="C4929" s="153"/>
      <c r="D4929" s="153"/>
    </row>
    <row r="4930">
      <c r="A4930" s="153"/>
      <c r="B4930" s="153"/>
      <c r="C4930" s="153"/>
      <c r="D4930" s="153"/>
    </row>
    <row r="4931">
      <c r="A4931" s="153"/>
      <c r="B4931" s="153"/>
      <c r="C4931" s="153"/>
      <c r="D4931" s="153"/>
    </row>
    <row r="4932">
      <c r="A4932" s="153"/>
      <c r="B4932" s="153"/>
      <c r="C4932" s="153"/>
      <c r="D4932" s="153"/>
    </row>
    <row r="4933">
      <c r="A4933" s="153"/>
      <c r="B4933" s="153"/>
      <c r="C4933" s="153"/>
      <c r="D4933" s="153"/>
    </row>
    <row r="4934">
      <c r="A4934" s="153"/>
      <c r="B4934" s="153"/>
      <c r="C4934" s="153"/>
      <c r="D4934" s="153"/>
    </row>
    <row r="4935">
      <c r="A4935" s="153"/>
      <c r="B4935" s="153"/>
      <c r="C4935" s="153"/>
      <c r="D4935" s="153"/>
    </row>
    <row r="4936">
      <c r="A4936" s="153"/>
      <c r="B4936" s="153"/>
      <c r="C4936" s="153"/>
      <c r="D4936" s="153"/>
    </row>
    <row r="4937">
      <c r="A4937" s="153"/>
      <c r="B4937" s="153"/>
      <c r="C4937" s="153"/>
      <c r="D4937" s="153"/>
    </row>
    <row r="4938">
      <c r="A4938" s="153"/>
      <c r="B4938" s="153"/>
      <c r="C4938" s="153"/>
      <c r="D4938" s="153"/>
    </row>
    <row r="4939">
      <c r="A4939" s="153"/>
      <c r="B4939" s="153"/>
      <c r="C4939" s="153"/>
      <c r="D4939" s="153"/>
    </row>
    <row r="4940">
      <c r="A4940" s="153"/>
      <c r="B4940" s="153"/>
      <c r="C4940" s="153"/>
      <c r="D4940" s="153"/>
    </row>
    <row r="4941">
      <c r="A4941" s="153"/>
      <c r="B4941" s="153"/>
      <c r="C4941" s="153"/>
      <c r="D4941" s="153"/>
    </row>
    <row r="4942">
      <c r="A4942" s="153"/>
      <c r="B4942" s="153"/>
      <c r="C4942" s="153"/>
      <c r="D4942" s="153"/>
    </row>
    <row r="4943">
      <c r="A4943" s="153"/>
      <c r="B4943" s="153"/>
      <c r="C4943" s="153"/>
      <c r="D4943" s="153"/>
    </row>
    <row r="4944">
      <c r="A4944" s="153"/>
      <c r="B4944" s="153"/>
      <c r="C4944" s="153"/>
      <c r="D4944" s="153"/>
    </row>
    <row r="4945">
      <c r="A4945" s="153"/>
      <c r="B4945" s="153"/>
      <c r="C4945" s="153"/>
      <c r="D4945" s="153"/>
    </row>
    <row r="4946">
      <c r="A4946" s="153"/>
      <c r="B4946" s="153"/>
      <c r="C4946" s="153"/>
      <c r="D4946" s="153"/>
    </row>
    <row r="4947">
      <c r="A4947" s="153"/>
      <c r="B4947" s="153"/>
      <c r="C4947" s="153"/>
      <c r="D4947" s="153"/>
    </row>
    <row r="4948">
      <c r="A4948" s="153"/>
      <c r="B4948" s="153"/>
      <c r="C4948" s="153"/>
      <c r="D4948" s="153"/>
    </row>
    <row r="4949">
      <c r="A4949" s="153"/>
      <c r="B4949" s="153"/>
      <c r="C4949" s="153"/>
      <c r="D4949" s="153"/>
    </row>
    <row r="4950">
      <c r="A4950" s="153"/>
      <c r="B4950" s="153"/>
      <c r="C4950" s="153"/>
      <c r="D4950" s="153"/>
    </row>
    <row r="4951">
      <c r="A4951" s="153"/>
      <c r="B4951" s="153"/>
      <c r="C4951" s="153"/>
      <c r="D4951" s="153"/>
    </row>
    <row r="4952">
      <c r="A4952" s="153"/>
      <c r="B4952" s="153"/>
      <c r="C4952" s="153"/>
      <c r="D4952" s="153"/>
    </row>
    <row r="4953">
      <c r="A4953" s="153"/>
      <c r="B4953" s="153"/>
      <c r="C4953" s="153"/>
      <c r="D4953" s="153"/>
    </row>
    <row r="4954">
      <c r="A4954" s="153"/>
      <c r="B4954" s="153"/>
      <c r="C4954" s="153"/>
      <c r="D4954" s="153"/>
    </row>
    <row r="4955">
      <c r="A4955" s="153"/>
      <c r="B4955" s="153"/>
      <c r="C4955" s="153"/>
      <c r="D4955" s="153"/>
    </row>
    <row r="4956">
      <c r="A4956" s="153"/>
      <c r="B4956" s="153"/>
      <c r="C4956" s="153"/>
      <c r="D4956" s="153"/>
    </row>
    <row r="4957">
      <c r="A4957" s="153"/>
      <c r="B4957" s="153"/>
      <c r="C4957" s="153"/>
      <c r="D4957" s="153"/>
    </row>
    <row r="4958">
      <c r="A4958" s="153"/>
      <c r="B4958" s="153"/>
      <c r="C4958" s="153"/>
      <c r="D4958" s="153"/>
    </row>
    <row r="4959">
      <c r="A4959" s="153"/>
      <c r="B4959" s="153"/>
      <c r="C4959" s="153"/>
      <c r="D4959" s="153"/>
    </row>
    <row r="4960">
      <c r="A4960" s="153"/>
      <c r="B4960" s="153"/>
      <c r="C4960" s="153"/>
      <c r="D4960" s="153"/>
    </row>
    <row r="4961">
      <c r="A4961" s="153"/>
      <c r="B4961" s="153"/>
      <c r="C4961" s="153"/>
      <c r="D4961" s="153"/>
    </row>
    <row r="4962">
      <c r="A4962" s="153"/>
      <c r="B4962" s="153"/>
      <c r="C4962" s="153"/>
      <c r="D4962" s="153"/>
    </row>
    <row r="4963">
      <c r="A4963" s="153"/>
      <c r="B4963" s="153"/>
      <c r="C4963" s="153"/>
      <c r="D4963" s="153"/>
    </row>
    <row r="4964">
      <c r="A4964" s="153"/>
      <c r="B4964" s="153"/>
      <c r="C4964" s="153"/>
      <c r="D4964" s="153"/>
    </row>
    <row r="4965">
      <c r="A4965" s="153"/>
      <c r="B4965" s="153"/>
      <c r="C4965" s="153"/>
      <c r="D4965" s="153"/>
    </row>
    <row r="4966">
      <c r="A4966" s="153"/>
      <c r="B4966" s="153"/>
      <c r="C4966" s="153"/>
      <c r="D4966" s="153"/>
    </row>
    <row r="4967">
      <c r="A4967" s="153"/>
      <c r="B4967" s="153"/>
      <c r="C4967" s="153"/>
      <c r="D4967" s="153"/>
    </row>
    <row r="4968">
      <c r="A4968" s="153"/>
      <c r="B4968" s="153"/>
      <c r="C4968" s="153"/>
      <c r="D4968" s="153"/>
    </row>
    <row r="4969">
      <c r="A4969" s="153"/>
      <c r="B4969" s="153"/>
      <c r="C4969" s="153"/>
      <c r="D4969" s="153"/>
    </row>
    <row r="4970">
      <c r="A4970" s="153"/>
      <c r="B4970" s="153"/>
      <c r="C4970" s="153"/>
      <c r="D4970" s="153"/>
    </row>
    <row r="4971">
      <c r="A4971" s="153"/>
      <c r="B4971" s="153"/>
      <c r="C4971" s="153"/>
      <c r="D4971" s="153"/>
    </row>
    <row r="4972">
      <c r="A4972" s="153"/>
      <c r="B4972" s="153"/>
      <c r="C4972" s="153"/>
      <c r="D4972" s="153"/>
    </row>
    <row r="4973">
      <c r="A4973" s="153"/>
      <c r="B4973" s="153"/>
      <c r="C4973" s="153"/>
      <c r="D4973" s="153"/>
    </row>
    <row r="4974">
      <c r="A4974" s="153"/>
      <c r="B4974" s="153"/>
      <c r="C4974" s="153"/>
      <c r="D4974" s="153"/>
    </row>
    <row r="4975">
      <c r="A4975" s="153"/>
      <c r="B4975" s="153"/>
      <c r="C4975" s="153"/>
      <c r="D4975" s="153"/>
    </row>
    <row r="4976">
      <c r="A4976" s="153"/>
      <c r="B4976" s="153"/>
      <c r="C4976" s="153"/>
      <c r="D4976" s="153"/>
    </row>
    <row r="4977">
      <c r="A4977" s="153"/>
      <c r="B4977" s="153"/>
      <c r="C4977" s="153"/>
      <c r="D4977" s="153"/>
    </row>
    <row r="4978">
      <c r="A4978" s="153"/>
      <c r="B4978" s="153"/>
      <c r="C4978" s="153"/>
      <c r="D4978" s="153"/>
    </row>
    <row r="4979">
      <c r="A4979" s="153"/>
      <c r="B4979" s="153"/>
      <c r="C4979" s="153"/>
      <c r="D4979" s="153"/>
    </row>
    <row r="4980">
      <c r="A4980" s="153"/>
      <c r="B4980" s="153"/>
      <c r="C4980" s="153"/>
      <c r="D4980" s="153"/>
    </row>
    <row r="4981">
      <c r="A4981" s="153"/>
      <c r="B4981" s="153"/>
      <c r="C4981" s="153"/>
      <c r="D4981" s="153"/>
    </row>
    <row r="4982">
      <c r="A4982" s="153"/>
      <c r="B4982" s="153"/>
      <c r="C4982" s="153"/>
      <c r="D4982" s="153"/>
    </row>
    <row r="4983">
      <c r="A4983" s="153"/>
      <c r="B4983" s="153"/>
      <c r="C4983" s="153"/>
      <c r="D4983" s="153"/>
    </row>
    <row r="4984">
      <c r="A4984" s="153"/>
      <c r="B4984" s="153"/>
      <c r="C4984" s="153"/>
      <c r="D4984" s="153"/>
    </row>
    <row r="4985">
      <c r="A4985" s="153"/>
      <c r="B4985" s="153"/>
      <c r="C4985" s="153"/>
      <c r="D4985" s="153"/>
    </row>
    <row r="4986">
      <c r="A4986" s="153"/>
      <c r="B4986" s="153"/>
      <c r="C4986" s="153"/>
      <c r="D4986" s="153"/>
    </row>
    <row r="4987">
      <c r="A4987" s="153"/>
      <c r="B4987" s="153"/>
      <c r="C4987" s="153"/>
      <c r="D4987" s="153"/>
    </row>
    <row r="4988">
      <c r="A4988" s="153"/>
      <c r="B4988" s="153"/>
      <c r="C4988" s="153"/>
      <c r="D4988" s="153"/>
    </row>
    <row r="4989">
      <c r="A4989" s="153"/>
      <c r="B4989" s="153"/>
      <c r="C4989" s="153"/>
      <c r="D4989" s="153"/>
    </row>
    <row r="4990">
      <c r="A4990" s="153"/>
      <c r="B4990" s="153"/>
      <c r="C4990" s="153"/>
      <c r="D4990" s="153"/>
    </row>
    <row r="4991">
      <c r="A4991" s="153"/>
      <c r="B4991" s="153"/>
      <c r="C4991" s="153"/>
      <c r="D4991" s="153"/>
    </row>
    <row r="4992">
      <c r="A4992" s="153"/>
      <c r="B4992" s="153"/>
      <c r="C4992" s="153"/>
      <c r="D4992" s="153"/>
    </row>
    <row r="4993">
      <c r="A4993" s="153"/>
      <c r="B4993" s="153"/>
      <c r="C4993" s="153"/>
      <c r="D4993" s="153"/>
    </row>
    <row r="4994">
      <c r="A4994" s="153"/>
      <c r="B4994" s="153"/>
      <c r="C4994" s="153"/>
      <c r="D4994" s="153"/>
    </row>
    <row r="4995">
      <c r="A4995" s="153"/>
      <c r="B4995" s="153"/>
      <c r="C4995" s="153"/>
      <c r="D4995" s="153"/>
    </row>
    <row r="4996">
      <c r="A4996" s="153" t="str">
        <f>IFERROR(__xludf.DUMMYFUNCTION("""COMPUTED_VALUE"""),"ANDERSON ID")</f>
        <v>ANDERSON ID</v>
      </c>
      <c r="B4996" s="153" t="str">
        <f>IFERROR(__xludf.DUMMYFUNCTION("""COMPUTED_VALUE"""),"CATEGORY")</f>
        <v>CATEGORY</v>
      </c>
      <c r="C4996" s="153" t="str">
        <f>IFERROR(__xludf.DUMMYFUNCTION("""COMPUTED_VALUE"""),"RAW DATA RECEIVED")</f>
        <v>RAW DATA RECEIVED</v>
      </c>
      <c r="D4996" s="153" t="str">
        <f>IFERROR(__xludf.DUMMYFUNCTION("""COMPUTED_VALUE"""),"ANDERSON TAT")</f>
        <v>ANDERSON TAT</v>
      </c>
    </row>
    <row r="4997">
      <c r="A4997" s="153" t="str">
        <f>IFERROR(__xludf.DUMMYFUNCTION("""COMPUTED_VALUE"""),"GRM0000004515")</f>
        <v>GRM0000004515</v>
      </c>
      <c r="B4997" s="153" t="str">
        <f>IFERROR(__xludf.DUMMYFUNCTION("""COMPUTED_VALUE"""),"WHOLE EXOME SEQUENCING")</f>
        <v>WHOLE EXOME SEQUENCING</v>
      </c>
      <c r="C4997" s="378">
        <f>IFERROR(__xludf.DUMMYFUNCTION("""COMPUTED_VALUE"""),46150.0)</f>
        <v>46150</v>
      </c>
      <c r="D4997" s="378">
        <f>IFERROR(__xludf.DUMMYFUNCTION("""COMPUTED_VALUE"""),46196.0)</f>
        <v>46196</v>
      </c>
    </row>
    <row r="4998">
      <c r="A4998" s="153" t="str">
        <f>IFERROR(__xludf.DUMMYFUNCTION("""COMPUTED_VALUE"""),"GRM0000004516")</f>
        <v>GRM0000004516</v>
      </c>
      <c r="B4998" s="153" t="str">
        <f>IFERROR(__xludf.DUMMYFUNCTION("""COMPUTED_VALUE"""),"WHOLE EXOME SEQUENCING")</f>
        <v>WHOLE EXOME SEQUENCING</v>
      </c>
      <c r="C4998" s="378">
        <f>IFERROR(__xludf.DUMMYFUNCTION("""COMPUTED_VALUE"""),46150.0)</f>
        <v>46150</v>
      </c>
      <c r="D4998" s="378">
        <f>IFERROR(__xludf.DUMMYFUNCTION("""COMPUTED_VALUE"""),46196.0)</f>
        <v>46196</v>
      </c>
    </row>
    <row r="4999">
      <c r="A4999" s="153" t="str">
        <f>IFERROR(__xludf.DUMMYFUNCTION("""COMPUTED_VALUE"""),"ADK0000002551")</f>
        <v>ADK0000002551</v>
      </c>
      <c r="B4999" s="153" t="str">
        <f>IFERROR(__xludf.DUMMYFUNCTION("""COMPUTED_VALUE"""),"WHOLE EXOME SEQUENCING")</f>
        <v>WHOLE EXOME SEQUENCING</v>
      </c>
      <c r="C4999" s="378">
        <f>IFERROR(__xludf.DUMMYFUNCTION("""COMPUTED_VALUE"""),46150.0)</f>
        <v>46150</v>
      </c>
      <c r="D4999" s="378">
        <f>IFERROR(__xludf.DUMMYFUNCTION("""COMPUTED_VALUE"""),46191.0)</f>
        <v>46191</v>
      </c>
    </row>
    <row r="5000">
      <c r="A5000" s="153" t="str">
        <f>IFERROR(__xludf.DUMMYFUNCTION("""COMPUTED_VALUE"""),"ADK0000002550")</f>
        <v>ADK0000002550</v>
      </c>
      <c r="B5000" s="153" t="str">
        <f>IFERROR(__xludf.DUMMYFUNCTION("""COMPUTED_VALUE"""),"WHOLE EXOME SEQUENCING")</f>
        <v>WHOLE EXOME SEQUENCING</v>
      </c>
      <c r="C5000" s="378">
        <f>IFERROR(__xludf.DUMMYFUNCTION("""COMPUTED_VALUE"""),46150.0)</f>
        <v>46150</v>
      </c>
      <c r="D5000" s="378">
        <f>IFERROR(__xludf.DUMMYFUNCTION("""COMPUTED_VALUE"""),46191.0)</f>
        <v>46191</v>
      </c>
    </row>
    <row r="5001">
      <c r="A5001" s="153" t="str">
        <f>IFERROR(__xludf.DUMMYFUNCTION("""COMPUTED_VALUE"""),"ARP0000000938")</f>
        <v>ARP0000000938</v>
      </c>
      <c r="B5001" s="153" t="str">
        <f>IFERROR(__xludf.DUMMYFUNCTION("""COMPUTED_VALUE"""),"COMPREHENSIVE CARRIER SCREENING")</f>
        <v>COMPREHENSIVE CARRIER SCREENING</v>
      </c>
      <c r="C5001" s="378">
        <f>IFERROR(__xludf.DUMMYFUNCTION("""COMPUTED_VALUE"""),46150.0)</f>
        <v>46150</v>
      </c>
      <c r="D5001" s="378">
        <f>IFERROR(__xludf.DUMMYFUNCTION("""COMPUTED_VALUE"""),46196.0)</f>
        <v>46196</v>
      </c>
    </row>
    <row r="5002">
      <c r="A5002" s="153" t="str">
        <f>IFERROR(__xludf.DUMMYFUNCTION("""COMPUTED_VALUE"""),"ADB0000039349")</f>
        <v>ADB0000039349</v>
      </c>
      <c r="B5002" s="153" t="str">
        <f>IFERROR(__xludf.DUMMYFUNCTION("""COMPUTED_VALUE"""),"FEMALE INFERTILITY NGS PANEL")</f>
        <v>FEMALE INFERTILITY NGS PANEL</v>
      </c>
      <c r="C5002" s="378">
        <f>IFERROR(__xludf.DUMMYFUNCTION("""COMPUTED_VALUE"""),46150.0)</f>
        <v>46150</v>
      </c>
      <c r="D5002" s="378">
        <f>IFERROR(__xludf.DUMMYFUNCTION("""COMPUTED_VALUE"""),46186.0)</f>
        <v>46186</v>
      </c>
    </row>
    <row r="5003">
      <c r="A5003" s="153" t="str">
        <f>IFERROR(__xludf.DUMMYFUNCTION("""COMPUTED_VALUE"""),"ARP0000000942")</f>
        <v>ARP0000000942</v>
      </c>
      <c r="B5003" s="153" t="str">
        <f>IFERROR(__xludf.DUMMYFUNCTION("""COMPUTED_VALUE"""),"COMPREHENSIVE CARRIER SCREENING")</f>
        <v>COMPREHENSIVE CARRIER SCREENING</v>
      </c>
      <c r="C5003" s="378">
        <f>IFERROR(__xludf.DUMMYFUNCTION("""COMPUTED_VALUE"""),46150.0)</f>
        <v>46150</v>
      </c>
      <c r="D5003" s="378">
        <f>IFERROR(__xludf.DUMMYFUNCTION("""COMPUTED_VALUE"""),46196.0)</f>
        <v>46196</v>
      </c>
    </row>
    <row r="5004">
      <c r="A5004" s="153" t="str">
        <f>IFERROR(__xludf.DUMMYFUNCTION("""COMPUTED_VALUE"""),"HYP0000002124")</f>
        <v>HYP0000002124</v>
      </c>
      <c r="B5004" s="153" t="str">
        <f>IFERROR(__xludf.DUMMYFUNCTION("""COMPUTED_VALUE"""),"FEMALE INFERTILITY NGS PANEL")</f>
        <v>FEMALE INFERTILITY NGS PANEL</v>
      </c>
      <c r="C5004" s="378">
        <f>IFERROR(__xludf.DUMMYFUNCTION("""COMPUTED_VALUE"""),46150.0)</f>
        <v>46150</v>
      </c>
      <c r="D5004" s="378">
        <f>IFERROR(__xludf.DUMMYFUNCTION("""COMPUTED_VALUE"""),46186.0)</f>
        <v>46186</v>
      </c>
    </row>
    <row r="5005">
      <c r="A5005" s="153" t="str">
        <f>IFERROR(__xludf.DUMMYFUNCTION("""COMPUTED_VALUE"""),"ADB0000039390")</f>
        <v>ADB0000039390</v>
      </c>
      <c r="B5005" s="153" t="str">
        <f>IFERROR(__xludf.DUMMYFUNCTION("""COMPUTED_VALUE"""),"WHOLE EXOME SEQUENCING")</f>
        <v>WHOLE EXOME SEQUENCING</v>
      </c>
      <c r="C5005" s="378">
        <f>IFERROR(__xludf.DUMMYFUNCTION("""COMPUTED_VALUE"""),46150.0)</f>
        <v>46150</v>
      </c>
      <c r="D5005" s="378">
        <f>IFERROR(__xludf.DUMMYFUNCTION("""COMPUTED_VALUE"""),46197.0)</f>
        <v>46197</v>
      </c>
    </row>
    <row r="5006">
      <c r="A5006" s="153" t="str">
        <f>IFERROR(__xludf.DUMMYFUNCTION("""COMPUTED_VALUE"""),"ADB0000039393")</f>
        <v>ADB0000039393</v>
      </c>
      <c r="B5006" s="153" t="str">
        <f>IFERROR(__xludf.DUMMYFUNCTION("""COMPUTED_VALUE"""),"WHOLE EXOME SEQUENCING")</f>
        <v>WHOLE EXOME SEQUENCING</v>
      </c>
      <c r="C5006" s="378">
        <f>IFERROR(__xludf.DUMMYFUNCTION("""COMPUTED_VALUE"""),46150.0)</f>
        <v>46150</v>
      </c>
      <c r="D5006" s="378">
        <f>IFERROR(__xludf.DUMMYFUNCTION("""COMPUTED_VALUE"""),46197.0)</f>
        <v>46197</v>
      </c>
    </row>
    <row r="5007">
      <c r="A5007" s="153" t="str">
        <f>IFERROR(__xludf.DUMMYFUNCTION("""COMPUTED_VALUE"""),"ADB0000039416")</f>
        <v>ADB0000039416</v>
      </c>
      <c r="B5007" s="153" t="str">
        <f>IFERROR(__xludf.DUMMYFUNCTION("""COMPUTED_VALUE"""),"WHOLE EXOME SEQUENCING")</f>
        <v>WHOLE EXOME SEQUENCING</v>
      </c>
      <c r="C5007" s="378">
        <f>IFERROR(__xludf.DUMMYFUNCTION("""COMPUTED_VALUE"""),46150.0)</f>
        <v>46150</v>
      </c>
      <c r="D5007" s="378">
        <f>IFERROR(__xludf.DUMMYFUNCTION("""COMPUTED_VALUE"""),46197.0)</f>
        <v>46197</v>
      </c>
    </row>
    <row r="5008">
      <c r="A5008" s="153" t="str">
        <f>IFERROR(__xludf.DUMMYFUNCTION("""COMPUTED_VALUE"""),"HYP0000002166")</f>
        <v>HYP0000002166</v>
      </c>
      <c r="B5008" s="153" t="str">
        <f>IFERROR(__xludf.DUMMYFUNCTION("""COMPUTED_VALUE"""),"ADVAT FOCUS CARRIER SCREENING - NGS")</f>
        <v>ADVAT FOCUS CARRIER SCREENING - NGS</v>
      </c>
      <c r="C5008" s="378">
        <f>IFERROR(__xludf.DUMMYFUNCTION("""COMPUTED_VALUE"""),46150.0)</f>
        <v>46150</v>
      </c>
      <c r="D5008" s="378">
        <f>IFERROR(__xludf.DUMMYFUNCTION("""COMPUTED_VALUE"""),46197.0)</f>
        <v>46197</v>
      </c>
    </row>
    <row r="5009">
      <c r="A5009" s="153" t="str">
        <f>IFERROR(__xludf.DUMMYFUNCTION("""COMPUTED_VALUE"""),"HYP0000002167")</f>
        <v>HYP0000002167</v>
      </c>
      <c r="B5009" s="153" t="str">
        <f>IFERROR(__xludf.DUMMYFUNCTION("""COMPUTED_VALUE"""),"ADVAT FOCUS CARRIER SCREENING - NGS")</f>
        <v>ADVAT FOCUS CARRIER SCREENING - NGS</v>
      </c>
      <c r="C5009" s="378">
        <f>IFERROR(__xludf.DUMMYFUNCTION("""COMPUTED_VALUE"""),46150.0)</f>
        <v>46150</v>
      </c>
      <c r="D5009" s="378">
        <f>IFERROR(__xludf.DUMMYFUNCTION("""COMPUTED_VALUE"""),46197.0)</f>
        <v>46197</v>
      </c>
    </row>
    <row r="5010">
      <c r="A5010" s="153" t="str">
        <f>IFERROR(__xludf.DUMMYFUNCTION("""COMPUTED_VALUE"""),"HCC0000013536
")</f>
        <v>HCC0000013536
</v>
      </c>
      <c r="B5010" s="153" t="str">
        <f>IFERROR(__xludf.DUMMYFUNCTION("""COMPUTED_VALUE"""),"WHOLE EXOME SEQUENCING")</f>
        <v>WHOLE EXOME SEQUENCING</v>
      </c>
      <c r="C5010" s="378">
        <f>IFERROR(__xludf.DUMMYFUNCTION("""COMPUTED_VALUE"""),46150.0)</f>
        <v>46150</v>
      </c>
      <c r="D5010" s="378">
        <f>IFERROR(__xludf.DUMMYFUNCTION("""COMPUTED_VALUE"""),46197.0)</f>
        <v>46197</v>
      </c>
    </row>
    <row r="5011">
      <c r="A5011" s="153" t="str">
        <f>IFERROR(__xludf.DUMMYFUNCTION("""COMPUTED_VALUE"""),"ACL0000004069")</f>
        <v>ACL0000004069</v>
      </c>
      <c r="B5011" s="153" t="str">
        <f>IFERROR(__xludf.DUMMYFUNCTION("""COMPUTED_VALUE"""),"WHOLE EXOME SEQUENCING")</f>
        <v>WHOLE EXOME SEQUENCING</v>
      </c>
      <c r="C5011" s="378">
        <f>IFERROR(__xludf.DUMMYFUNCTION("""COMPUTED_VALUE"""),46150.0)</f>
        <v>46150</v>
      </c>
      <c r="D5011" s="378">
        <f>IFERROR(__xludf.DUMMYFUNCTION("""COMPUTED_VALUE"""),46197.0)</f>
        <v>46197</v>
      </c>
    </row>
    <row r="5012">
      <c r="A5012" s="153" t="str">
        <f>IFERROR(__xludf.DUMMYFUNCTION("""COMPUTED_VALUE"""),"ACO0000009775")</f>
        <v>ACO0000009775</v>
      </c>
      <c r="B5012" s="153" t="str">
        <f>IFERROR(__xludf.DUMMYFUNCTION("""COMPUTED_VALUE"""),"WHOLE EXOME SEQUENCING")</f>
        <v>WHOLE EXOME SEQUENCING</v>
      </c>
      <c r="C5012" s="378">
        <f>IFERROR(__xludf.DUMMYFUNCTION("""COMPUTED_VALUE"""),46150.0)</f>
        <v>46150</v>
      </c>
      <c r="D5012" s="378">
        <f>IFERROR(__xludf.DUMMYFUNCTION("""COMPUTED_VALUE"""),46197.0)</f>
        <v>46197</v>
      </c>
    </row>
    <row r="5013">
      <c r="A5013" s="153" t="str">
        <f>IFERROR(__xludf.DUMMYFUNCTION("""COMPUTED_VALUE"""),"ADK0000002577")</f>
        <v>ADK0000002577</v>
      </c>
      <c r="B5013" s="153" t="str">
        <f>IFERROR(__xludf.DUMMYFUNCTION("""COMPUTED_VALUE"""),"WHOLE EXOME SEQUENCING")</f>
        <v>WHOLE EXOME SEQUENCING</v>
      </c>
      <c r="C5013" s="378">
        <f>IFERROR(__xludf.DUMMYFUNCTION("""COMPUTED_VALUE"""),46150.0)</f>
        <v>46150</v>
      </c>
      <c r="D5013" s="378">
        <f>IFERROR(__xludf.DUMMYFUNCTION("""COMPUTED_VALUE"""),46192.0)</f>
        <v>46192</v>
      </c>
    </row>
    <row r="5014">
      <c r="A5014" s="153" t="str">
        <f>IFERROR(__xludf.DUMMYFUNCTION("""COMPUTED_VALUE"""),"ADK0000002578")</f>
        <v>ADK0000002578</v>
      </c>
      <c r="B5014" s="153" t="str">
        <f>IFERROR(__xludf.DUMMYFUNCTION("""COMPUTED_VALUE"""),"WHOLE EXOME SEQUENCING")</f>
        <v>WHOLE EXOME SEQUENCING</v>
      </c>
      <c r="C5014" s="378">
        <f>IFERROR(__xludf.DUMMYFUNCTION("""COMPUTED_VALUE"""),46150.0)</f>
        <v>46150</v>
      </c>
      <c r="D5014" s="378">
        <f>IFERROR(__xludf.DUMMYFUNCTION("""COMPUTED_VALUE"""),46192.0)</f>
        <v>46192</v>
      </c>
    </row>
    <row r="5015">
      <c r="A5015" s="153" t="str">
        <f>IFERROR(__xludf.DUMMYFUNCTION("""COMPUTED_VALUE"""),"ADK0000002579")</f>
        <v>ADK0000002579</v>
      </c>
      <c r="B5015" s="153" t="str">
        <f>IFERROR(__xludf.DUMMYFUNCTION("""COMPUTED_VALUE"""),"WHOLE EXOME SEQUENCING")</f>
        <v>WHOLE EXOME SEQUENCING</v>
      </c>
      <c r="C5015" s="378">
        <f>IFERROR(__xludf.DUMMYFUNCTION("""COMPUTED_VALUE"""),46150.0)</f>
        <v>46150</v>
      </c>
      <c r="D5015" s="378">
        <f>IFERROR(__xludf.DUMMYFUNCTION("""COMPUTED_VALUE"""),46192.0)</f>
        <v>46192</v>
      </c>
    </row>
    <row r="5016">
      <c r="A5016" s="153" t="str">
        <f>IFERROR(__xludf.DUMMYFUNCTION("""COMPUTED_VALUE"""),"ADK0000002580")</f>
        <v>ADK0000002580</v>
      </c>
      <c r="B5016" s="153" t="str">
        <f>IFERROR(__xludf.DUMMYFUNCTION("""COMPUTED_VALUE"""),"WHOLE EXOME SEQUENCING")</f>
        <v>WHOLE EXOME SEQUENCING</v>
      </c>
      <c r="C5016" s="378">
        <f>IFERROR(__xludf.DUMMYFUNCTION("""COMPUTED_VALUE"""),46150.0)</f>
        <v>46150</v>
      </c>
      <c r="D5016" s="378">
        <f>IFERROR(__xludf.DUMMYFUNCTION("""COMPUTED_VALUE"""),46192.0)</f>
        <v>46192</v>
      </c>
    </row>
    <row r="5017">
      <c r="A5017" s="153" t="str">
        <f>IFERROR(__xludf.DUMMYFUNCTION("""COMPUTED_VALUE"""),"ADK0000002581")</f>
        <v>ADK0000002581</v>
      </c>
      <c r="B5017" s="153" t="str">
        <f>IFERROR(__xludf.DUMMYFUNCTION("""COMPUTED_VALUE"""),"WHOLE EXOME SEQUENCING")</f>
        <v>WHOLE EXOME SEQUENCING</v>
      </c>
      <c r="C5017" s="378">
        <f>IFERROR(__xludf.DUMMYFUNCTION("""COMPUTED_VALUE"""),46150.0)</f>
        <v>46150</v>
      </c>
      <c r="D5017" s="378">
        <f>IFERROR(__xludf.DUMMYFUNCTION("""COMPUTED_VALUE"""),46192.0)</f>
        <v>46192</v>
      </c>
    </row>
    <row r="5018">
      <c r="A5018" s="153" t="str">
        <f>IFERROR(__xludf.DUMMYFUNCTION("""COMPUTED_VALUE"""),"ADK0000002582")</f>
        <v>ADK0000002582</v>
      </c>
      <c r="B5018" s="153" t="str">
        <f>IFERROR(__xludf.DUMMYFUNCTION("""COMPUTED_VALUE"""),"WHOLE EXOME SEQUENCING")</f>
        <v>WHOLE EXOME SEQUENCING</v>
      </c>
      <c r="C5018" s="378">
        <f>IFERROR(__xludf.DUMMYFUNCTION("""COMPUTED_VALUE"""),46150.0)</f>
        <v>46150</v>
      </c>
      <c r="D5018" s="378">
        <f>IFERROR(__xludf.DUMMYFUNCTION("""COMPUTED_VALUE"""),46192.0)</f>
        <v>46192</v>
      </c>
    </row>
    <row r="5019">
      <c r="A5019" s="153" t="str">
        <f>IFERROR(__xludf.DUMMYFUNCTION("""COMPUTED_VALUE"""),"ADK0000002583")</f>
        <v>ADK0000002583</v>
      </c>
      <c r="B5019" s="153" t="str">
        <f>IFERROR(__xludf.DUMMYFUNCTION("""COMPUTED_VALUE"""),"WHOLE EXOME SEQUENCING")</f>
        <v>WHOLE EXOME SEQUENCING</v>
      </c>
      <c r="C5019" s="378">
        <f>IFERROR(__xludf.DUMMYFUNCTION("""COMPUTED_VALUE"""),46150.0)</f>
        <v>46150</v>
      </c>
      <c r="D5019" s="378">
        <f>IFERROR(__xludf.DUMMYFUNCTION("""COMPUTED_VALUE"""),46192.0)</f>
        <v>46192</v>
      </c>
    </row>
    <row r="5020">
      <c r="A5020" s="153" t="str">
        <f>IFERROR(__xludf.DUMMYFUNCTION("""COMPUTED_VALUE"""),"ADK0000002584")</f>
        <v>ADK0000002584</v>
      </c>
      <c r="B5020" s="153" t="str">
        <f>IFERROR(__xludf.DUMMYFUNCTION("""COMPUTED_VALUE"""),"WHOLE EXOME SEQUENCING")</f>
        <v>WHOLE EXOME SEQUENCING</v>
      </c>
      <c r="C5020" s="378">
        <f>IFERROR(__xludf.DUMMYFUNCTION("""COMPUTED_VALUE"""),46150.0)</f>
        <v>46150</v>
      </c>
      <c r="D5020" s="378">
        <f>IFERROR(__xludf.DUMMYFUNCTION("""COMPUTED_VALUE"""),46192.0)</f>
        <v>46192</v>
      </c>
    </row>
    <row r="5021">
      <c r="A5021" s="153" t="str">
        <f>IFERROR(__xludf.DUMMYFUNCTION("""COMPUTED_VALUE"""),"ADK0000002526")</f>
        <v>ADK0000002526</v>
      </c>
      <c r="B5021" s="153" t="str">
        <f>IFERROR(__xludf.DUMMYFUNCTION("""COMPUTED_VALUE"""),"WES+WMGS")</f>
        <v>WES+WMGS</v>
      </c>
      <c r="C5021" s="378">
        <f>IFERROR(__xludf.DUMMYFUNCTION("""COMPUTED_VALUE"""),46181.0)</f>
        <v>46181</v>
      </c>
      <c r="D5021" s="378">
        <f>IFERROR(__xludf.DUMMYFUNCTION("""COMPUTED_VALUE"""),46195.0)</f>
        <v>46195</v>
      </c>
    </row>
    <row r="5022">
      <c r="A5022" s="153" t="str">
        <f>IFERROR(__xludf.DUMMYFUNCTION("""COMPUTED_VALUE"""),"HYP0000002098")</f>
        <v>HYP0000002098</v>
      </c>
      <c r="B5022" s="153" t="str">
        <f>IFERROR(__xludf.DUMMYFUNCTION("""COMPUTED_VALUE"""),"WHOLE EXOME SEQUENCING")</f>
        <v>WHOLE EXOME SEQUENCING</v>
      </c>
      <c r="C5022" s="378">
        <f>IFERROR(__xludf.DUMMYFUNCTION("""COMPUTED_VALUE"""),46181.0)</f>
        <v>46181</v>
      </c>
      <c r="D5022" s="378">
        <f>IFERROR(__xludf.DUMMYFUNCTION("""COMPUTED_VALUE"""),46195.0)</f>
        <v>46195</v>
      </c>
    </row>
    <row r="5023">
      <c r="A5023" s="153" t="str">
        <f>IFERROR(__xludf.DUMMYFUNCTION("""COMPUTED_VALUE"""),"DCC0000004963")</f>
        <v>DCC0000004963</v>
      </c>
      <c r="B5023" s="153" t="str">
        <f>IFERROR(__xludf.DUMMYFUNCTION("""COMPUTED_VALUE"""),"FEMALE INFERTILITY NGS PANEL")</f>
        <v>FEMALE INFERTILITY NGS PANEL</v>
      </c>
      <c r="C5023" s="378">
        <f>IFERROR(__xludf.DUMMYFUNCTION("""COMPUTED_VALUE"""),46181.0)</f>
        <v>46181</v>
      </c>
      <c r="D5023" s="378">
        <f>IFERROR(__xludf.DUMMYFUNCTION("""COMPUTED_VALUE"""),46184.0)</f>
        <v>46184</v>
      </c>
    </row>
    <row r="5024">
      <c r="A5024" s="153" t="str">
        <f>IFERROR(__xludf.DUMMYFUNCTION("""COMPUTED_VALUE"""),"HYP0000002097")</f>
        <v>HYP0000002097</v>
      </c>
      <c r="B5024" s="153" t="str">
        <f>IFERROR(__xludf.DUMMYFUNCTION("""COMPUTED_VALUE"""),"WHOLE EXOME SEQUENCING /FEMALE INFERTILITY NGS PANEL")</f>
        <v>WHOLE EXOME SEQUENCING /FEMALE INFERTILITY NGS PANEL</v>
      </c>
      <c r="C5024" s="378">
        <f>IFERROR(__xludf.DUMMYFUNCTION("""COMPUTED_VALUE"""),46181.0)</f>
        <v>46181</v>
      </c>
      <c r="D5024" s="378">
        <f>IFERROR(__xludf.DUMMYFUNCTION("""COMPUTED_VALUE"""),46195.0)</f>
        <v>46195</v>
      </c>
    </row>
    <row r="5025">
      <c r="A5025" s="153" t="str">
        <f>IFERROR(__xludf.DUMMYFUNCTION("""COMPUTED_VALUE"""),"ADB0000039135")</f>
        <v>ADB0000039135</v>
      </c>
      <c r="B5025" s="153" t="str">
        <f>IFERROR(__xludf.DUMMYFUNCTION("""COMPUTED_VALUE"""),"WHOLE EXOME SEQUENCING")</f>
        <v>WHOLE EXOME SEQUENCING</v>
      </c>
      <c r="C5025" s="378">
        <f>IFERROR(__xludf.DUMMYFUNCTION("""COMPUTED_VALUE"""),46181.0)</f>
        <v>46181</v>
      </c>
      <c r="D5025" s="378">
        <f>IFERROR(__xludf.DUMMYFUNCTION("""COMPUTED_VALUE"""),46196.0)</f>
        <v>46196</v>
      </c>
    </row>
    <row r="5026">
      <c r="A5026" s="153" t="str">
        <f>IFERROR(__xludf.DUMMYFUNCTION("""COMPUTED_VALUE"""),"FR20000010801")</f>
        <v>FR20000010801</v>
      </c>
      <c r="B5026" s="153" t="str">
        <f>IFERROR(__xludf.DUMMYFUNCTION("""COMPUTED_VALUE"""),"WHOLE EXOME SEQUENCING")</f>
        <v>WHOLE EXOME SEQUENCING</v>
      </c>
      <c r="C5026" s="378">
        <f>IFERROR(__xludf.DUMMYFUNCTION("""COMPUTED_VALUE"""),46181.0)</f>
        <v>46181</v>
      </c>
      <c r="D5026" s="378">
        <f>IFERROR(__xludf.DUMMYFUNCTION("""COMPUTED_VALUE"""),46196.0)</f>
        <v>46196</v>
      </c>
    </row>
    <row r="5027">
      <c r="A5027" s="153" t="str">
        <f>IFERROR(__xludf.DUMMYFUNCTION("""COMPUTED_VALUE"""),"ACL0000003379")</f>
        <v>ACL0000003379</v>
      </c>
      <c r="B5027" s="153" t="str">
        <f>IFERROR(__xludf.DUMMYFUNCTION("""COMPUTED_VALUE"""),"WHOLE EXOME SEQUENCING")</f>
        <v>WHOLE EXOME SEQUENCING</v>
      </c>
      <c r="C5027" s="378">
        <f>IFERROR(__xludf.DUMMYFUNCTION("""COMPUTED_VALUE"""),46181.0)</f>
        <v>46181</v>
      </c>
      <c r="D5027" s="378">
        <f>IFERROR(__xludf.DUMMYFUNCTION("""COMPUTED_VALUE"""),46196.0)</f>
        <v>46196</v>
      </c>
    </row>
    <row r="5028">
      <c r="A5028" s="153" t="str">
        <f>IFERROR(__xludf.DUMMYFUNCTION("""COMPUTED_VALUE"""),"CHM0000036641")</f>
        <v>CHM0000036641</v>
      </c>
      <c r="B5028" s="153" t="str">
        <f>IFERROR(__xludf.DUMMYFUNCTION("""COMPUTED_VALUE"""),"WHOLE EXOME SEQUENCING + MITOCHONDRIAL GENOME SEQUENCING")</f>
        <v>WHOLE EXOME SEQUENCING + MITOCHONDRIAL GENOME SEQUENCING</v>
      </c>
      <c r="C5028" s="378">
        <f>IFERROR(__xludf.DUMMYFUNCTION("""COMPUTED_VALUE"""),46181.0)</f>
        <v>46181</v>
      </c>
      <c r="D5028" s="378">
        <f>IFERROR(__xludf.DUMMYFUNCTION("""COMPUTED_VALUE"""),46196.0)</f>
        <v>46196</v>
      </c>
    </row>
    <row r="5029">
      <c r="A5029" s="153" t="str">
        <f>IFERROR(__xludf.DUMMYFUNCTION("""COMPUTED_VALUE"""),"MDU0000019592")</f>
        <v>MDU0000019592</v>
      </c>
      <c r="B5029" s="153" t="str">
        <f>IFERROR(__xludf.DUMMYFUNCTION("""COMPUTED_VALUE"""),"WHOLE EXOME SEQUENCING")</f>
        <v>WHOLE EXOME SEQUENCING</v>
      </c>
      <c r="C5029" s="378">
        <f>IFERROR(__xludf.DUMMYFUNCTION("""COMPUTED_VALUE"""),46181.0)</f>
        <v>46181</v>
      </c>
      <c r="D5029" s="378">
        <f>IFERROR(__xludf.DUMMYFUNCTION("""COMPUTED_VALUE"""),46192.0)</f>
        <v>46192</v>
      </c>
    </row>
    <row r="5030">
      <c r="A5030" s="153" t="str">
        <f>IFERROR(__xludf.DUMMYFUNCTION("""COMPUTED_VALUE"""),"AKP0000026573")</f>
        <v>AKP0000026573</v>
      </c>
      <c r="B5030" s="153" t="str">
        <f>IFERROR(__xludf.DUMMYFUNCTION("""COMPUTED_VALUE"""),"WHOLE EXOME SEQUENCING")</f>
        <v>WHOLE EXOME SEQUENCING</v>
      </c>
      <c r="C5030" s="378">
        <f>IFERROR(__xludf.DUMMYFUNCTION("""COMPUTED_VALUE"""),46181.0)</f>
        <v>46181</v>
      </c>
      <c r="D5030" s="378">
        <f>IFERROR(__xludf.DUMMYFUNCTION("""COMPUTED_VALUE"""),46195.0)</f>
        <v>46195</v>
      </c>
    </row>
    <row r="5031">
      <c r="A5031" s="153" t="str">
        <f>IFERROR(__xludf.DUMMYFUNCTION("""COMPUTED_VALUE"""),"ADB0000039545")</f>
        <v>ADB0000039545</v>
      </c>
      <c r="B5031" s="153" t="str">
        <f>IFERROR(__xludf.DUMMYFUNCTION("""COMPUTED_VALUE"""),"WHOLE EXOME SEQUENCING")</f>
        <v>WHOLE EXOME SEQUENCING</v>
      </c>
      <c r="C5031" s="378">
        <f>IFERROR(__xludf.DUMMYFUNCTION("""COMPUTED_VALUE"""),46181.0)</f>
        <v>46181</v>
      </c>
      <c r="D5031" s="378">
        <f>IFERROR(__xludf.DUMMYFUNCTION("""COMPUTED_VALUE"""),46198.0)</f>
        <v>46198</v>
      </c>
    </row>
    <row r="5032">
      <c r="A5032" s="153" t="str">
        <f>IFERROR(__xludf.DUMMYFUNCTION("""COMPUTED_VALUE"""),"ADB0000039565")</f>
        <v>ADB0000039565</v>
      </c>
      <c r="B5032" s="153" t="str">
        <f>IFERROR(__xludf.DUMMYFUNCTION("""COMPUTED_VALUE"""),"WHOLE EXOME SEQUENCING")</f>
        <v>WHOLE EXOME SEQUENCING</v>
      </c>
      <c r="C5032" s="378">
        <f>IFERROR(__xludf.DUMMYFUNCTION("""COMPUTED_VALUE"""),46181.0)</f>
        <v>46181</v>
      </c>
      <c r="D5032" s="378">
        <f>IFERROR(__xludf.DUMMYFUNCTION("""COMPUTED_VALUE"""),46198.0)</f>
        <v>46198</v>
      </c>
    </row>
    <row r="5033">
      <c r="A5033" s="153" t="str">
        <f>IFERROR(__xludf.DUMMYFUNCTION("""COMPUTED_VALUE"""),"MDU0000019313
")</f>
        <v>MDU0000019313
</v>
      </c>
      <c r="B5033" s="153" t="str">
        <f>IFERROR(__xludf.DUMMYFUNCTION("""COMPUTED_VALUE"""),"WHOLE EXOME SEQUENCING")</f>
        <v>WHOLE EXOME SEQUENCING</v>
      </c>
      <c r="C5033" s="378">
        <f>IFERROR(__xludf.DUMMYFUNCTION("""COMPUTED_VALUE"""),46181.0)</f>
        <v>46181</v>
      </c>
      <c r="D5033" s="378">
        <f>IFERROR(__xludf.DUMMYFUNCTION("""COMPUTED_VALUE"""),46190.0)</f>
        <v>46190</v>
      </c>
    </row>
    <row r="5034">
      <c r="A5034" s="153" t="str">
        <f>IFERROR(__xludf.DUMMYFUNCTION("""COMPUTED_VALUE"""),"ADK0000002587")</f>
        <v>ADK0000002587</v>
      </c>
      <c r="B5034" s="153" t="str">
        <f>IFERROR(__xludf.DUMMYFUNCTION("""COMPUTED_VALUE"""),"WES+WMGS")</f>
        <v>WES+WMGS</v>
      </c>
      <c r="C5034" s="378">
        <f>IFERROR(__xludf.DUMMYFUNCTION("""COMPUTED_VALUE"""),46181.0)</f>
        <v>46181</v>
      </c>
      <c r="D5034" s="378">
        <f>IFERROR(__xludf.DUMMYFUNCTION("""COMPUTED_VALUE"""),46198.0)</f>
        <v>46198</v>
      </c>
    </row>
    <row r="5035">
      <c r="A5035" s="153" t="str">
        <f>IFERROR(__xludf.DUMMYFUNCTION("""COMPUTED_VALUE"""),"NKM0000007650")</f>
        <v>NKM0000007650</v>
      </c>
      <c r="B5035" s="153" t="str">
        <f>IFERROR(__xludf.DUMMYFUNCTION("""COMPUTED_VALUE"""),"WHOLE EXOME SEQUENCING")</f>
        <v>WHOLE EXOME SEQUENCING</v>
      </c>
      <c r="C5035" s="378">
        <f>IFERROR(__xludf.DUMMYFUNCTION("""COMPUTED_VALUE"""),46181.0)</f>
        <v>46181</v>
      </c>
      <c r="D5035" s="378">
        <f>IFERROR(__xludf.DUMMYFUNCTION("""COMPUTED_VALUE"""),46202.0)</f>
        <v>46202</v>
      </c>
    </row>
    <row r="5036">
      <c r="A5036" s="153" t="str">
        <f>IFERROR(__xludf.DUMMYFUNCTION("""COMPUTED_VALUE"""),"ADB0000039682")</f>
        <v>ADB0000039682</v>
      </c>
      <c r="B5036" s="153" t="str">
        <f>IFERROR(__xludf.DUMMYFUNCTION("""COMPUTED_VALUE"""),"WHOLE EXOME SEQUENCING")</f>
        <v>WHOLE EXOME SEQUENCING</v>
      </c>
      <c r="C5036" s="378">
        <f>IFERROR(__xludf.DUMMYFUNCTION("""COMPUTED_VALUE"""),46181.0)</f>
        <v>46181</v>
      </c>
      <c r="D5036" s="378">
        <f>IFERROR(__xludf.DUMMYFUNCTION("""COMPUTED_VALUE"""),46199.0)</f>
        <v>46199</v>
      </c>
    </row>
    <row r="5037">
      <c r="A5037" s="153" t="str">
        <f>IFERROR(__xludf.DUMMYFUNCTION("""COMPUTED_VALUE"""),"ADB0000039709")</f>
        <v>ADB0000039709</v>
      </c>
      <c r="B5037" s="153" t="str">
        <f>IFERROR(__xludf.DUMMYFUNCTION("""COMPUTED_VALUE"""),"WHOLE EXOME SEQUENCING")</f>
        <v>WHOLE EXOME SEQUENCING</v>
      </c>
      <c r="C5037" s="378">
        <f>IFERROR(__xludf.DUMMYFUNCTION("""COMPUTED_VALUE"""),46181.0)</f>
        <v>46181</v>
      </c>
      <c r="D5037" s="378">
        <f>IFERROR(__xludf.DUMMYFUNCTION("""COMPUTED_VALUE"""),46199.0)</f>
        <v>46199</v>
      </c>
    </row>
    <row r="5038">
      <c r="A5038" s="153" t="str">
        <f>IFERROR(__xludf.DUMMYFUNCTION("""COMPUTED_VALUE"""),"ATR0000014966")</f>
        <v>ATR0000014966</v>
      </c>
      <c r="B5038" s="153" t="str">
        <f>IFERROR(__xludf.DUMMYFUNCTION("""COMPUTED_VALUE"""),"WHOLE EXOME SEQUENCING")</f>
        <v>WHOLE EXOME SEQUENCING</v>
      </c>
      <c r="C5038" s="378">
        <f>IFERROR(__xludf.DUMMYFUNCTION("""COMPUTED_VALUE"""),46181.0)</f>
        <v>46181</v>
      </c>
      <c r="D5038" s="378">
        <f>IFERROR(__xludf.DUMMYFUNCTION("""COMPUTED_VALUE"""),46200.0)</f>
        <v>46200</v>
      </c>
    </row>
    <row r="5039">
      <c r="A5039" s="153" t="str">
        <f>IFERROR(__xludf.DUMMYFUNCTION("""COMPUTED_VALUE"""),"GRM0000004582")</f>
        <v>GRM0000004582</v>
      </c>
      <c r="B5039" s="153" t="str">
        <f>IFERROR(__xludf.DUMMYFUNCTION("""COMPUTED_VALUE"""),"FEMALE INFERTILITY NGS PANEL")</f>
        <v>FEMALE INFERTILITY NGS PANEL</v>
      </c>
      <c r="C5039" s="378">
        <f>IFERROR(__xludf.DUMMYFUNCTION("""COMPUTED_VALUE"""),46181.0)</f>
        <v>46181</v>
      </c>
      <c r="D5039" s="378">
        <f>IFERROR(__xludf.DUMMYFUNCTION("""COMPUTED_VALUE"""),46187.0)</f>
        <v>46187</v>
      </c>
    </row>
    <row r="5040">
      <c r="A5040" s="153" t="str">
        <f>IFERROR(__xludf.DUMMYFUNCTION("""COMPUTED_VALUE"""),"ADK0000002586")</f>
        <v>ADK0000002586</v>
      </c>
      <c r="B5040" s="153" t="str">
        <f>IFERROR(__xludf.DUMMYFUNCTION("""COMPUTED_VALUE"""),"WES+WMGS")</f>
        <v>WES+WMGS</v>
      </c>
      <c r="C5040" s="378">
        <f>IFERROR(__xludf.DUMMYFUNCTION("""COMPUTED_VALUE"""),46181.0)</f>
        <v>46181</v>
      </c>
      <c r="D5040" s="378">
        <f>IFERROR(__xludf.DUMMYFUNCTION("""COMPUTED_VALUE"""),46198.0)</f>
        <v>46198</v>
      </c>
    </row>
    <row r="5041">
      <c r="A5041" s="153" t="str">
        <f>IFERROR(__xludf.DUMMYFUNCTION("""COMPUTED_VALUE"""),"ADH0000028762")</f>
        <v>ADH0000028762</v>
      </c>
      <c r="B5041" s="153" t="str">
        <f>IFERROR(__xludf.DUMMYFUNCTION("""COMPUTED_VALUE"""),"WHOLE EXOME SEQUENCING")</f>
        <v>WHOLE EXOME SEQUENCING</v>
      </c>
      <c r="C5041" s="378">
        <f>IFERROR(__xludf.DUMMYFUNCTION("""COMPUTED_VALUE"""),46181.0)</f>
        <v>46181</v>
      </c>
      <c r="D5041" s="378">
        <f>IFERROR(__xludf.DUMMYFUNCTION("""COMPUTED_VALUE"""),46198.0)</f>
        <v>46198</v>
      </c>
    </row>
    <row r="5042">
      <c r="A5042" s="153" t="str">
        <f>IFERROR(__xludf.DUMMYFUNCTION("""COMPUTED_VALUE"""),"ADH0000028763")</f>
        <v>ADH0000028763</v>
      </c>
      <c r="B5042" s="153" t="str">
        <f>IFERROR(__xludf.DUMMYFUNCTION("""COMPUTED_VALUE"""),"WHOLE EXOME SEQUENCING")</f>
        <v>WHOLE EXOME SEQUENCING</v>
      </c>
      <c r="C5042" s="378">
        <f>IFERROR(__xludf.DUMMYFUNCTION("""COMPUTED_VALUE"""),46181.0)</f>
        <v>46181</v>
      </c>
      <c r="D5042" s="378">
        <f>IFERROR(__xludf.DUMMYFUNCTION("""COMPUTED_VALUE"""),46198.0)</f>
        <v>46198</v>
      </c>
    </row>
    <row r="5043">
      <c r="A5043" s="153" t="str">
        <f>IFERROR(__xludf.DUMMYFUNCTION("""COMPUTED_VALUE"""),"HYP0000002204")</f>
        <v>HYP0000002204</v>
      </c>
      <c r="B5043" s="153" t="str">
        <f>IFERROR(__xludf.DUMMYFUNCTION("""COMPUTED_VALUE"""),"HEREDITARY CANCER GENE PANEL")</f>
        <v>HEREDITARY CANCER GENE PANEL</v>
      </c>
      <c r="C5043" s="378">
        <f>IFERROR(__xludf.DUMMYFUNCTION("""COMPUTED_VALUE"""),46181.0)</f>
        <v>46181</v>
      </c>
      <c r="D5043" s="153"/>
    </row>
    <row r="5044">
      <c r="A5044" s="153" t="str">
        <f>IFERROR(__xludf.DUMMYFUNCTION("""COMPUTED_VALUE"""),"NKM0000007500")</f>
        <v>NKM0000007500</v>
      </c>
      <c r="B5044" s="153" t="str">
        <f>IFERROR(__xludf.DUMMYFUNCTION("""COMPUTED_VALUE"""),"HEREDITARY CANCER GENE PANEL")</f>
        <v>HEREDITARY CANCER GENE PANEL</v>
      </c>
      <c r="C5044" s="378">
        <f>IFERROR(__xludf.DUMMYFUNCTION("""COMPUTED_VALUE"""),46181.0)</f>
        <v>46181</v>
      </c>
      <c r="D5044" s="153"/>
    </row>
    <row r="5045">
      <c r="A5045" s="153" t="str">
        <f>IFERROR(__xludf.DUMMYFUNCTION("""COMPUTED_VALUE"""),"ADK0000002699")</f>
        <v>ADK0000002699</v>
      </c>
      <c r="B5045" s="153" t="str">
        <f>IFERROR(__xludf.DUMMYFUNCTION("""COMPUTED_VALUE"""),"WHOLE EXOME SEQUENCING + MITOCHONDRIAL GENOME SEQUENCING")</f>
        <v>WHOLE EXOME SEQUENCING + MITOCHONDRIAL GENOME SEQUENCING</v>
      </c>
      <c r="C5045" s="378">
        <f>IFERROR(__xludf.DUMMYFUNCTION("""COMPUTED_VALUE"""),46181.0)</f>
        <v>46181</v>
      </c>
      <c r="D5045" s="378">
        <f>IFERROR(__xludf.DUMMYFUNCTION("""COMPUTED_VALUE"""),46197.0)</f>
        <v>46197</v>
      </c>
    </row>
    <row r="5046">
      <c r="A5046" s="153" t="str">
        <f>IFERROR(__xludf.DUMMYFUNCTION("""COMPUTED_VALUE"""),"ADK0000002698")</f>
        <v>ADK0000002698</v>
      </c>
      <c r="B5046" s="153" t="str">
        <f>IFERROR(__xludf.DUMMYFUNCTION("""COMPUTED_VALUE"""),"WHOLE EXOME SEQUENCING + MITOCHONDRIAL GENOME SEQUENCING")</f>
        <v>WHOLE EXOME SEQUENCING + MITOCHONDRIAL GENOME SEQUENCING</v>
      </c>
      <c r="C5046" s="378">
        <f>IFERROR(__xludf.DUMMYFUNCTION("""COMPUTED_VALUE"""),46181.0)</f>
        <v>46181</v>
      </c>
      <c r="D5046" s="378">
        <f>IFERROR(__xludf.DUMMYFUNCTION("""COMPUTED_VALUE"""),46197.0)</f>
        <v>46197</v>
      </c>
    </row>
    <row r="5047">
      <c r="A5047" s="153" t="str">
        <f>IFERROR(__xludf.DUMMYFUNCTION("""COMPUTED_VALUE"""),"
ADK0000002690
")</f>
        <v>
ADK0000002690
</v>
      </c>
      <c r="B5047" s="153" t="str">
        <f>IFERROR(__xludf.DUMMYFUNCTION("""COMPUTED_VALUE"""),"WHOLE EXOME SEQUENCING")</f>
        <v>WHOLE EXOME SEQUENCING</v>
      </c>
      <c r="C5047" s="378">
        <f>IFERROR(__xludf.DUMMYFUNCTION("""COMPUTED_VALUE"""),46181.0)</f>
        <v>46181</v>
      </c>
      <c r="D5047" s="378">
        <f>IFERROR(__xludf.DUMMYFUNCTION("""COMPUTED_VALUE"""),46197.0)</f>
        <v>46197</v>
      </c>
    </row>
    <row r="5048">
      <c r="A5048" s="153" t="str">
        <f>IFERROR(__xludf.DUMMYFUNCTION("""COMPUTED_VALUE"""),"ADK0000002685")</f>
        <v>ADK0000002685</v>
      </c>
      <c r="B5048" s="153" t="str">
        <f>IFERROR(__xludf.DUMMYFUNCTION("""COMPUTED_VALUE"""),"WHOLE EXOME SEQUENCING")</f>
        <v>WHOLE EXOME SEQUENCING</v>
      </c>
      <c r="C5048" s="378">
        <f>IFERROR(__xludf.DUMMYFUNCTION("""COMPUTED_VALUE"""),46181.0)</f>
        <v>46181</v>
      </c>
      <c r="D5048" s="378">
        <f>IFERROR(__xludf.DUMMYFUNCTION("""COMPUTED_VALUE"""),46197.0)</f>
        <v>46197</v>
      </c>
    </row>
    <row r="5049">
      <c r="A5049" s="153" t="str">
        <f>IFERROR(__xludf.DUMMYFUNCTION("""COMPUTED_VALUE"""),"ADK0000002686")</f>
        <v>ADK0000002686</v>
      </c>
      <c r="B5049" s="153" t="str">
        <f>IFERROR(__xludf.DUMMYFUNCTION("""COMPUTED_VALUE"""),"WHOLE EXOME SEQUENCING")</f>
        <v>WHOLE EXOME SEQUENCING</v>
      </c>
      <c r="C5049" s="378">
        <f>IFERROR(__xludf.DUMMYFUNCTION("""COMPUTED_VALUE"""),46181.0)</f>
        <v>46181</v>
      </c>
      <c r="D5049" s="378">
        <f>IFERROR(__xludf.DUMMYFUNCTION("""COMPUTED_VALUE"""),46197.0)</f>
        <v>46197</v>
      </c>
    </row>
    <row r="5050">
      <c r="A5050" s="153" t="str">
        <f>IFERROR(__xludf.DUMMYFUNCTION("""COMPUTED_VALUE"""),"ADK0000002688")</f>
        <v>ADK0000002688</v>
      </c>
      <c r="B5050" s="153" t="str">
        <f>IFERROR(__xludf.DUMMYFUNCTION("""COMPUTED_VALUE"""),"WHOLE EXOME SEQUENCING")</f>
        <v>WHOLE EXOME SEQUENCING</v>
      </c>
      <c r="C5050" s="378">
        <f>IFERROR(__xludf.DUMMYFUNCTION("""COMPUTED_VALUE"""),46181.0)</f>
        <v>46181</v>
      </c>
      <c r="D5050" s="378">
        <f>IFERROR(__xludf.DUMMYFUNCTION("""COMPUTED_VALUE"""),46197.0)</f>
        <v>46197</v>
      </c>
    </row>
    <row r="5051">
      <c r="A5051" s="153" t="str">
        <f>IFERROR(__xludf.DUMMYFUNCTION("""COMPUTED_VALUE"""),"DCC0000005116")</f>
        <v>DCC0000005116</v>
      </c>
      <c r="B5051" s="153" t="str">
        <f>IFERROR(__xludf.DUMMYFUNCTION("""COMPUTED_VALUE"""),"WHOLE EXOME SEQUENCING")</f>
        <v>WHOLE EXOME SEQUENCING</v>
      </c>
      <c r="C5051" s="378">
        <f>IFERROR(__xludf.DUMMYFUNCTION("""COMPUTED_VALUE"""),46181.0)</f>
        <v>46181</v>
      </c>
      <c r="D5051" s="378">
        <f>IFERROR(__xludf.DUMMYFUNCTION("""COMPUTED_VALUE"""),46199.0)</f>
        <v>46199</v>
      </c>
    </row>
    <row r="5052">
      <c r="A5052" s="153" t="str">
        <f>IFERROR(__xludf.DUMMYFUNCTION("""COMPUTED_VALUE"""),"DCC0000005115")</f>
        <v>DCC0000005115</v>
      </c>
      <c r="B5052" s="153" t="str">
        <f>IFERROR(__xludf.DUMMYFUNCTION("""COMPUTED_VALUE"""),"WHOLE EXOME SEQUENCING")</f>
        <v>WHOLE EXOME SEQUENCING</v>
      </c>
      <c r="C5052" s="378">
        <f>IFERROR(__xludf.DUMMYFUNCTION("""COMPUTED_VALUE"""),46181.0)</f>
        <v>46181</v>
      </c>
      <c r="D5052" s="378">
        <f>IFERROR(__xludf.DUMMYFUNCTION("""COMPUTED_VALUE"""),46199.0)</f>
        <v>46199</v>
      </c>
    </row>
    <row r="5053">
      <c r="A5053" s="153" t="str">
        <f>IFERROR(__xludf.DUMMYFUNCTION("""COMPUTED_VALUE"""),"ADK0000002616")</f>
        <v>ADK0000002616</v>
      </c>
      <c r="B5053" s="153" t="str">
        <f>IFERROR(__xludf.DUMMYFUNCTION("""COMPUTED_VALUE"""),"WES+WMGS")</f>
        <v>WES+WMGS</v>
      </c>
      <c r="C5053" s="378">
        <f>IFERROR(__xludf.DUMMYFUNCTION("""COMPUTED_VALUE"""),46181.0)</f>
        <v>46181</v>
      </c>
      <c r="D5053" s="378">
        <f>IFERROR(__xludf.DUMMYFUNCTION("""COMPUTED_VALUE"""),46200.0)</f>
        <v>46200</v>
      </c>
    </row>
    <row r="5054">
      <c r="A5054" s="153" t="str">
        <f>IFERROR(__xludf.DUMMYFUNCTION("""COMPUTED_VALUE"""),"ADK0000002617")</f>
        <v>ADK0000002617</v>
      </c>
      <c r="B5054" s="153" t="str">
        <f>IFERROR(__xludf.DUMMYFUNCTION("""COMPUTED_VALUE"""),"WES+WMGS")</f>
        <v>WES+WMGS</v>
      </c>
      <c r="C5054" s="378">
        <f>IFERROR(__xludf.DUMMYFUNCTION("""COMPUTED_VALUE"""),46181.0)</f>
        <v>46181</v>
      </c>
      <c r="D5054" s="378">
        <f>IFERROR(__xludf.DUMMYFUNCTION("""COMPUTED_VALUE"""),46200.0)</f>
        <v>46200</v>
      </c>
    </row>
    <row r="5055">
      <c r="A5055" s="153" t="str">
        <f>IFERROR(__xludf.DUMMYFUNCTION("""COMPUTED_VALUE"""),"ACL0000005864")</f>
        <v>ACL0000005864</v>
      </c>
      <c r="B5055" s="153" t="str">
        <f>IFERROR(__xludf.DUMMYFUNCTION("""COMPUTED_VALUE"""),"CLINICAL EXOME SEQUENCING")</f>
        <v>CLINICAL EXOME SEQUENCING</v>
      </c>
      <c r="C5055" s="378">
        <f>IFERROR(__xludf.DUMMYFUNCTION("""COMPUTED_VALUE"""),46181.0)</f>
        <v>46181</v>
      </c>
      <c r="D5055" s="378">
        <f>IFERROR(__xludf.DUMMYFUNCTION("""COMPUTED_VALUE"""),46201.0)</f>
        <v>46201</v>
      </c>
    </row>
    <row r="5056">
      <c r="A5056" s="153" t="str">
        <f>IFERROR(__xludf.DUMMYFUNCTION("""COMPUTED_VALUE"""),"MDU0000015028")</f>
        <v>MDU0000015028</v>
      </c>
      <c r="B5056" s="153" t="str">
        <f>IFERROR(__xludf.DUMMYFUNCTION("""COMPUTED_VALUE"""),"FEMALE INFERTILITY NGS PANEL")</f>
        <v>FEMALE INFERTILITY NGS PANEL</v>
      </c>
      <c r="C5056" s="378">
        <f>IFERROR(__xludf.DUMMYFUNCTION("""COMPUTED_VALUE"""),46181.0)</f>
        <v>46181</v>
      </c>
      <c r="D5056" s="378">
        <f>IFERROR(__xludf.DUMMYFUNCTION("""COMPUTED_VALUE"""),46190.0)</f>
        <v>46190</v>
      </c>
    </row>
    <row r="5057">
      <c r="A5057" s="153" t="str">
        <f>IFERROR(__xludf.DUMMYFUNCTION("""COMPUTED_VALUE"""),"MDU0000015029")</f>
        <v>MDU0000015029</v>
      </c>
      <c r="B5057" s="153" t="str">
        <f>IFERROR(__xludf.DUMMYFUNCTION("""COMPUTED_VALUE"""),"MALE INFERTILITY NGS PANEL")</f>
        <v>MALE INFERTILITY NGS PANEL</v>
      </c>
      <c r="C5057" s="378">
        <f>IFERROR(__xludf.DUMMYFUNCTION("""COMPUTED_VALUE"""),46181.0)</f>
        <v>46181</v>
      </c>
      <c r="D5057" s="378">
        <f>IFERROR(__xludf.DUMMYFUNCTION("""COMPUTED_VALUE"""),46190.0)</f>
        <v>46190</v>
      </c>
    </row>
    <row r="5058">
      <c r="A5058" s="153" t="str">
        <f>IFERROR(__xludf.DUMMYFUNCTION("""COMPUTED_VALUE"""),"ADK0000002655")</f>
        <v>ADK0000002655</v>
      </c>
      <c r="B5058" s="153" t="str">
        <f>IFERROR(__xludf.DUMMYFUNCTION("""COMPUTED_VALUE"""),"WHOLE EXOME SEQUENCING")</f>
        <v>WHOLE EXOME SEQUENCING</v>
      </c>
      <c r="C5058" s="378">
        <f>IFERROR(__xludf.DUMMYFUNCTION("""COMPUTED_VALUE"""),46181.0)</f>
        <v>46181</v>
      </c>
      <c r="D5058" s="378">
        <f>IFERROR(__xludf.DUMMYFUNCTION("""COMPUTED_VALUE"""),46195.0)</f>
        <v>46195</v>
      </c>
    </row>
    <row r="5059">
      <c r="A5059" s="153" t="str">
        <f>IFERROR(__xludf.DUMMYFUNCTION("""COMPUTED_VALUE"""),"ADK0000002706
")</f>
        <v>ADK0000002706
</v>
      </c>
      <c r="B5059" s="153" t="str">
        <f>IFERROR(__xludf.DUMMYFUNCTION("""COMPUTED_VALUE"""),"WHOLE EXOME SEQUENCING")</f>
        <v>WHOLE EXOME SEQUENCING</v>
      </c>
      <c r="C5059" s="378">
        <f>IFERROR(__xludf.DUMMYFUNCTION("""COMPUTED_VALUE"""),46181.0)</f>
        <v>46181</v>
      </c>
      <c r="D5059" s="378">
        <f>IFERROR(__xludf.DUMMYFUNCTION("""COMPUTED_VALUE"""),46195.0)</f>
        <v>46195</v>
      </c>
    </row>
    <row r="5060">
      <c r="A5060" s="153" t="str">
        <f>IFERROR(__xludf.DUMMYFUNCTION("""COMPUTED_VALUE"""),"ADK0000002654")</f>
        <v>ADK0000002654</v>
      </c>
      <c r="B5060" s="153" t="str">
        <f>IFERROR(__xludf.DUMMYFUNCTION("""COMPUTED_VALUE"""),"WHOLE EXOME SEQUENCING")</f>
        <v>WHOLE EXOME SEQUENCING</v>
      </c>
      <c r="C5060" s="378">
        <f>IFERROR(__xludf.DUMMYFUNCTION("""COMPUTED_VALUE"""),46181.0)</f>
        <v>46181</v>
      </c>
      <c r="D5060" s="378">
        <f>IFERROR(__xludf.DUMMYFUNCTION("""COMPUTED_VALUE"""),46195.0)</f>
        <v>46195</v>
      </c>
    </row>
    <row r="5061">
      <c r="A5061" s="153" t="str">
        <f>IFERROR(__xludf.DUMMYFUNCTION("""COMPUTED_VALUE"""),"ADK0000002656")</f>
        <v>ADK0000002656</v>
      </c>
      <c r="B5061" s="153" t="str">
        <f>IFERROR(__xludf.DUMMYFUNCTION("""COMPUTED_VALUE"""),"WHOLE EXOME SEQUENCING")</f>
        <v>WHOLE EXOME SEQUENCING</v>
      </c>
      <c r="C5061" s="378">
        <f>IFERROR(__xludf.DUMMYFUNCTION("""COMPUTED_VALUE"""),46181.0)</f>
        <v>46181</v>
      </c>
      <c r="D5061" s="378">
        <f>IFERROR(__xludf.DUMMYFUNCTION("""COMPUTED_VALUE"""),46195.0)</f>
        <v>46195</v>
      </c>
    </row>
    <row r="5062">
      <c r="A5062" s="153" t="str">
        <f>IFERROR(__xludf.DUMMYFUNCTION("""COMPUTED_VALUE"""),"ADB0000039866")</f>
        <v>ADB0000039866</v>
      </c>
      <c r="B5062" s="153" t="str">
        <f>IFERROR(__xludf.DUMMYFUNCTION("""COMPUTED_VALUE"""),"WHOLE EXOME SEQUENCING")</f>
        <v>WHOLE EXOME SEQUENCING</v>
      </c>
      <c r="C5062" s="378">
        <f>IFERROR(__xludf.DUMMYFUNCTION("""COMPUTED_VALUE"""),46181.0)</f>
        <v>46181</v>
      </c>
      <c r="D5062" s="378">
        <f>IFERROR(__xludf.DUMMYFUNCTION("""COMPUTED_VALUE"""),46200.0)</f>
        <v>46200</v>
      </c>
    </row>
    <row r="5063">
      <c r="A5063" s="153" t="str">
        <f>IFERROR(__xludf.DUMMYFUNCTION("""COMPUTED_VALUE"""),"ADB0000039867")</f>
        <v>ADB0000039867</v>
      </c>
      <c r="B5063" s="153" t="str">
        <f>IFERROR(__xludf.DUMMYFUNCTION("""COMPUTED_VALUE"""),"WHOLE EXOME SEQUENCING")</f>
        <v>WHOLE EXOME SEQUENCING</v>
      </c>
      <c r="C5063" s="378">
        <f>IFERROR(__xludf.DUMMYFUNCTION("""COMPUTED_VALUE"""),46181.0)</f>
        <v>46181</v>
      </c>
      <c r="D5063" s="378">
        <f>IFERROR(__xludf.DUMMYFUNCTION("""COMPUTED_VALUE"""),46200.0)</f>
        <v>46200</v>
      </c>
    </row>
    <row r="5064">
      <c r="A5064" s="153" t="str">
        <f>IFERROR(__xludf.DUMMYFUNCTION("""COMPUTED_VALUE"""),"HYP0000002213")</f>
        <v>HYP0000002213</v>
      </c>
      <c r="B5064" s="153" t="str">
        <f>IFERROR(__xludf.DUMMYFUNCTION("""COMPUTED_VALUE"""),"WHOLE EXOME SEQUENCING")</f>
        <v>WHOLE EXOME SEQUENCING</v>
      </c>
      <c r="C5064" s="378">
        <f>IFERROR(__xludf.DUMMYFUNCTION("""COMPUTED_VALUE"""),46181.0)</f>
        <v>46181</v>
      </c>
      <c r="D5064" s="378">
        <f>IFERROR(__xludf.DUMMYFUNCTION("""COMPUTED_VALUE"""),46200.0)</f>
        <v>46200</v>
      </c>
    </row>
    <row r="5065">
      <c r="A5065" s="153" t="str">
        <f>IFERROR(__xludf.DUMMYFUNCTION("""COMPUTED_VALUE"""),"CHM0000038256")</f>
        <v>CHM0000038256</v>
      </c>
      <c r="B5065" s="153" t="str">
        <f>IFERROR(__xludf.DUMMYFUNCTION("""COMPUTED_VALUE"""),"MODY PANEL")</f>
        <v>MODY PANEL</v>
      </c>
      <c r="C5065" s="378">
        <f>IFERROR(__xludf.DUMMYFUNCTION("""COMPUTED_VALUE"""),46181.0)</f>
        <v>46181</v>
      </c>
      <c r="D5065" s="378">
        <f>IFERROR(__xludf.DUMMYFUNCTION("""COMPUTED_VALUE"""),46200.0)</f>
        <v>46200</v>
      </c>
    </row>
    <row r="5066">
      <c r="A5066" s="153" t="str">
        <f>IFERROR(__xludf.DUMMYFUNCTION("""COMPUTED_VALUE"""),"ATV0000015498")</f>
        <v>ATV0000015498</v>
      </c>
      <c r="B5066" s="153" t="str">
        <f>IFERROR(__xludf.DUMMYFUNCTION("""COMPUTED_VALUE"""),"WHOLE EXOME SEQUENCING")</f>
        <v>WHOLE EXOME SEQUENCING</v>
      </c>
      <c r="C5066" s="378">
        <f>IFERROR(__xludf.DUMMYFUNCTION("""COMPUTED_VALUE"""),46181.0)</f>
        <v>46181</v>
      </c>
      <c r="D5066" s="378">
        <f>IFERROR(__xludf.DUMMYFUNCTION("""COMPUTED_VALUE"""),46201.0)</f>
        <v>46201</v>
      </c>
    </row>
    <row r="5067">
      <c r="A5067" s="153" t="str">
        <f>IFERROR(__xludf.DUMMYFUNCTION("""COMPUTED_VALUE"""),"CHM0000038691")</f>
        <v>CHM0000038691</v>
      </c>
      <c r="B5067" s="153" t="str">
        <f>IFERROR(__xludf.DUMMYFUNCTION("""COMPUTED_VALUE"""),"WHOLE EXOME SEQUENCING")</f>
        <v>WHOLE EXOME SEQUENCING</v>
      </c>
      <c r="C5067" s="378">
        <f>IFERROR(__xludf.DUMMYFUNCTION("""COMPUTED_VALUE"""),46181.0)</f>
        <v>46181</v>
      </c>
      <c r="D5067" s="378">
        <f>IFERROR(__xludf.DUMMYFUNCTION("""COMPUTED_VALUE"""),46201.0)</f>
        <v>46201</v>
      </c>
    </row>
    <row r="5068">
      <c r="A5068" s="153" t="str">
        <f>IFERROR(__xludf.DUMMYFUNCTION("""COMPUTED_VALUE"""),"CHM0000038692")</f>
        <v>CHM0000038692</v>
      </c>
      <c r="B5068" s="153" t="str">
        <f>IFERROR(__xludf.DUMMYFUNCTION("""COMPUTED_VALUE"""),"WHOLE EXOME SEQUENCING")</f>
        <v>WHOLE EXOME SEQUENCING</v>
      </c>
      <c r="C5068" s="378">
        <f>IFERROR(__xludf.DUMMYFUNCTION("""COMPUTED_VALUE"""),46181.0)</f>
        <v>46181</v>
      </c>
      <c r="D5068" s="378">
        <f>IFERROR(__xludf.DUMMYFUNCTION("""COMPUTED_VALUE"""),46201.0)</f>
        <v>46201</v>
      </c>
    </row>
    <row r="5069">
      <c r="A5069" s="153" t="str">
        <f>IFERROR(__xludf.DUMMYFUNCTION("""COMPUTED_VALUE"""),"HYP0000002221")</f>
        <v>HYP0000002221</v>
      </c>
      <c r="B5069" s="153" t="str">
        <f>IFERROR(__xludf.DUMMYFUNCTION("""COMPUTED_VALUE"""),"FEMALE INFERTILITY NGS PANEL")</f>
        <v>FEMALE INFERTILITY NGS PANEL</v>
      </c>
      <c r="C5069" s="378">
        <f>IFERROR(__xludf.DUMMYFUNCTION("""COMPUTED_VALUE"""),46181.0)</f>
        <v>46181</v>
      </c>
      <c r="D5069" s="378">
        <f>IFERROR(__xludf.DUMMYFUNCTION("""COMPUTED_VALUE"""),46190.0)</f>
        <v>46190</v>
      </c>
    </row>
    <row r="5070">
      <c r="A5070" s="153" t="str">
        <f>IFERROR(__xludf.DUMMYFUNCTION("""COMPUTED_VALUE"""),"HYP0000002222")</f>
        <v>HYP0000002222</v>
      </c>
      <c r="B5070" s="153" t="str">
        <f>IFERROR(__xludf.DUMMYFUNCTION("""COMPUTED_VALUE"""),"MALE INFERTILITY NGS PANEL")</f>
        <v>MALE INFERTILITY NGS PANEL</v>
      </c>
      <c r="C5070" s="378">
        <f>IFERROR(__xludf.DUMMYFUNCTION("""COMPUTED_VALUE"""),46181.0)</f>
        <v>46181</v>
      </c>
      <c r="D5070" s="378">
        <f>IFERROR(__xludf.DUMMYFUNCTION("""COMPUTED_VALUE"""),46190.0)</f>
        <v>46190</v>
      </c>
    </row>
    <row r="5071">
      <c r="A5071" s="153" t="str">
        <f>IFERROR(__xludf.DUMMYFUNCTION("""COMPUTED_VALUE"""),"HYP0000002223")</f>
        <v>HYP0000002223</v>
      </c>
      <c r="B5071" s="153" t="str">
        <f>IFERROR(__xludf.DUMMYFUNCTION("""COMPUTED_VALUE"""),"ADVAT FOCUS CARRIER SCREENING - NGS")</f>
        <v>ADVAT FOCUS CARRIER SCREENING - NGS</v>
      </c>
      <c r="C5071" s="378">
        <f>IFERROR(__xludf.DUMMYFUNCTION("""COMPUTED_VALUE"""),46181.0)</f>
        <v>46181</v>
      </c>
      <c r="D5071" s="378">
        <f>IFERROR(__xludf.DUMMYFUNCTION("""COMPUTED_VALUE"""),46201.0)</f>
        <v>46201</v>
      </c>
    </row>
    <row r="5072">
      <c r="A5072" s="153" t="str">
        <f>IFERROR(__xludf.DUMMYFUNCTION("""COMPUTED_VALUE"""),"HYP0000002224")</f>
        <v>HYP0000002224</v>
      </c>
      <c r="B5072" s="153" t="str">
        <f>IFERROR(__xludf.DUMMYFUNCTION("""COMPUTED_VALUE"""),"ADVAT FOCUS CARRIER SCREENING - NGS")</f>
        <v>ADVAT FOCUS CARRIER SCREENING - NGS</v>
      </c>
      <c r="C5072" s="378">
        <f>IFERROR(__xludf.DUMMYFUNCTION("""COMPUTED_VALUE"""),46181.0)</f>
        <v>46181</v>
      </c>
      <c r="D5072" s="378">
        <f>IFERROR(__xludf.DUMMYFUNCTION("""COMPUTED_VALUE"""),46201.0)</f>
        <v>46201</v>
      </c>
    </row>
    <row r="5073">
      <c r="A5073" s="153" t="str">
        <f>IFERROR(__xludf.DUMMYFUNCTION("""COMPUTED_VALUE"""),"HYP0000002225")</f>
        <v>HYP0000002225</v>
      </c>
      <c r="B5073" s="153" t="str">
        <f>IFERROR(__xludf.DUMMYFUNCTION("""COMPUTED_VALUE"""),"ADVAT FOCUS CARRIER SCREENING - NGS")</f>
        <v>ADVAT FOCUS CARRIER SCREENING - NGS</v>
      </c>
      <c r="C5073" s="378">
        <f>IFERROR(__xludf.DUMMYFUNCTION("""COMPUTED_VALUE"""),46181.0)</f>
        <v>46181</v>
      </c>
      <c r="D5073" s="378">
        <f>IFERROR(__xludf.DUMMYFUNCTION("""COMPUTED_VALUE"""),46201.0)</f>
        <v>46201</v>
      </c>
    </row>
    <row r="5074">
      <c r="A5074" s="153" t="str">
        <f>IFERROR(__xludf.DUMMYFUNCTION("""COMPUTED_VALUE"""),"HYP0000002226")</f>
        <v>HYP0000002226</v>
      </c>
      <c r="B5074" s="153" t="str">
        <f>IFERROR(__xludf.DUMMYFUNCTION("""COMPUTED_VALUE"""),"ADVAT FOCUS CARRIER SCREENING - NGS")</f>
        <v>ADVAT FOCUS CARRIER SCREENING - NGS</v>
      </c>
      <c r="C5074" s="378">
        <f>IFERROR(__xludf.DUMMYFUNCTION("""COMPUTED_VALUE"""),46181.0)</f>
        <v>46181</v>
      </c>
      <c r="D5074" s="378">
        <f>IFERROR(__xludf.DUMMYFUNCTION("""COMPUTED_VALUE"""),46201.0)</f>
        <v>46201</v>
      </c>
    </row>
    <row r="5075">
      <c r="A5075" s="153" t="str">
        <f>IFERROR(__xludf.DUMMYFUNCTION("""COMPUTED_VALUE"""),"ACO0000010165")</f>
        <v>ACO0000010165</v>
      </c>
      <c r="B5075" s="153" t="str">
        <f>IFERROR(__xludf.DUMMYFUNCTION("""COMPUTED_VALUE"""),"FEMALE INFERTILITY NGS PANEL")</f>
        <v>FEMALE INFERTILITY NGS PANEL</v>
      </c>
      <c r="C5075" s="378">
        <f>IFERROR(__xludf.DUMMYFUNCTION("""COMPUTED_VALUE"""),46181.0)</f>
        <v>46181</v>
      </c>
      <c r="D5075" s="378">
        <f>IFERROR(__xludf.DUMMYFUNCTION("""COMPUTED_VALUE"""),46191.0)</f>
        <v>46191</v>
      </c>
    </row>
    <row r="5076">
      <c r="A5076" s="153" t="str">
        <f>IFERROR(__xludf.DUMMYFUNCTION("""COMPUTED_VALUE"""),"ACO0000010166")</f>
        <v>ACO0000010166</v>
      </c>
      <c r="B5076" s="153" t="str">
        <f>IFERROR(__xludf.DUMMYFUNCTION("""COMPUTED_VALUE"""),"MALE INFERTILITY NGS PANEL")</f>
        <v>MALE INFERTILITY NGS PANEL</v>
      </c>
      <c r="C5076" s="378">
        <f>IFERROR(__xludf.DUMMYFUNCTION("""COMPUTED_VALUE"""),46181.0)</f>
        <v>46181</v>
      </c>
      <c r="D5076" s="378">
        <f>IFERROR(__xludf.DUMMYFUNCTION("""COMPUTED_VALUE"""),46191.0)</f>
        <v>46191</v>
      </c>
    </row>
    <row r="5077">
      <c r="A5077" s="153" t="str">
        <f>IFERROR(__xludf.DUMMYFUNCTION("""COMPUTED_VALUE"""),"ADK0000002646")</f>
        <v>ADK0000002646</v>
      </c>
      <c r="B5077" s="153" t="str">
        <f>IFERROR(__xludf.DUMMYFUNCTION("""COMPUTED_VALUE"""),"WHOLE EXOME SEQUENCING")</f>
        <v>WHOLE EXOME SEQUENCING</v>
      </c>
      <c r="C5077" s="378">
        <f>IFERROR(__xludf.DUMMYFUNCTION("""COMPUTED_VALUE"""),46181.0)</f>
        <v>46181</v>
      </c>
      <c r="D5077" s="378">
        <f>IFERROR(__xludf.DUMMYFUNCTION("""COMPUTED_VALUE"""),46196.0)</f>
        <v>46196</v>
      </c>
    </row>
    <row r="5078">
      <c r="A5078" s="153" t="str">
        <f>IFERROR(__xludf.DUMMYFUNCTION("""COMPUTED_VALUE"""),"ADK0000002647")</f>
        <v>ADK0000002647</v>
      </c>
      <c r="B5078" s="153" t="str">
        <f>IFERROR(__xludf.DUMMYFUNCTION("""COMPUTED_VALUE"""),"WHOLE EXOME SEQUENCING")</f>
        <v>WHOLE EXOME SEQUENCING</v>
      </c>
      <c r="C5078" s="378">
        <f>IFERROR(__xludf.DUMMYFUNCTION("""COMPUTED_VALUE"""),46181.0)</f>
        <v>46181</v>
      </c>
      <c r="D5078" s="378">
        <f>IFERROR(__xludf.DUMMYFUNCTION("""COMPUTED_VALUE"""),46196.0)</f>
        <v>46196</v>
      </c>
    </row>
    <row r="5079">
      <c r="A5079" s="153" t="str">
        <f>IFERROR(__xludf.DUMMYFUNCTION("""COMPUTED_VALUE"""),"ADK0000002648")</f>
        <v>ADK0000002648</v>
      </c>
      <c r="B5079" s="153" t="str">
        <f>IFERROR(__xludf.DUMMYFUNCTION("""COMPUTED_VALUE"""),"WHOLE EXOME SEQUENCING")</f>
        <v>WHOLE EXOME SEQUENCING</v>
      </c>
      <c r="C5079" s="378">
        <f>IFERROR(__xludf.DUMMYFUNCTION("""COMPUTED_VALUE"""),46181.0)</f>
        <v>46181</v>
      </c>
      <c r="D5079" s="378">
        <f>IFERROR(__xludf.DUMMYFUNCTION("""COMPUTED_VALUE"""),46196.0)</f>
        <v>46196</v>
      </c>
    </row>
    <row r="5080">
      <c r="A5080" s="153" t="str">
        <f>IFERROR(__xludf.DUMMYFUNCTION("""COMPUTED_VALUE"""),"ADK0000002649")</f>
        <v>ADK0000002649</v>
      </c>
      <c r="B5080" s="153" t="str">
        <f>IFERROR(__xludf.DUMMYFUNCTION("""COMPUTED_VALUE"""),"WHOLE EXOME SEQUENCING")</f>
        <v>WHOLE EXOME SEQUENCING</v>
      </c>
      <c r="C5080" s="378">
        <f>IFERROR(__xludf.DUMMYFUNCTION("""COMPUTED_VALUE"""),46181.0)</f>
        <v>46181</v>
      </c>
      <c r="D5080" s="378">
        <f>IFERROR(__xludf.DUMMYFUNCTION("""COMPUTED_VALUE"""),46196.0)</f>
        <v>46196</v>
      </c>
    </row>
    <row r="5081">
      <c r="A5081" s="153" t="str">
        <f>IFERROR(__xludf.DUMMYFUNCTION("""COMPUTED_VALUE"""),"ADK0000002650")</f>
        <v>ADK0000002650</v>
      </c>
      <c r="B5081" s="153" t="str">
        <f>IFERROR(__xludf.DUMMYFUNCTION("""COMPUTED_VALUE"""),"WHOLE EXOME SEQUENCING")</f>
        <v>WHOLE EXOME SEQUENCING</v>
      </c>
      <c r="C5081" s="378">
        <f>IFERROR(__xludf.DUMMYFUNCTION("""COMPUTED_VALUE"""),46181.0)</f>
        <v>46181</v>
      </c>
      <c r="D5081" s="378">
        <f>IFERROR(__xludf.DUMMYFUNCTION("""COMPUTED_VALUE"""),46196.0)</f>
        <v>46196</v>
      </c>
    </row>
    <row r="5082">
      <c r="A5082" s="153" t="str">
        <f>IFERROR(__xludf.DUMMYFUNCTION("""COMPUTED_VALUE"""),"ADK0000002711
")</f>
        <v>ADK0000002711
</v>
      </c>
      <c r="B5082" s="153" t="str">
        <f>IFERROR(__xludf.DUMMYFUNCTION("""COMPUTED_VALUE"""),"WHOLE EXOME SEQUENCING + MITOCHONDRIAL GENOME SEQUENCING")</f>
        <v>WHOLE EXOME SEQUENCING + MITOCHONDRIAL GENOME SEQUENCING</v>
      </c>
      <c r="C5082" s="378">
        <f>IFERROR(__xludf.DUMMYFUNCTION("""COMPUTED_VALUE"""),46181.0)</f>
        <v>46181</v>
      </c>
      <c r="D5082" s="378">
        <f>IFERROR(__xludf.DUMMYFUNCTION("""COMPUTED_VALUE"""),46196.0)</f>
        <v>46196</v>
      </c>
    </row>
    <row r="5083">
      <c r="A5083" s="153" t="str">
        <f>IFERROR(__xludf.DUMMYFUNCTION("""COMPUTED_VALUE"""),"ADK0000002708")</f>
        <v>ADK0000002708</v>
      </c>
      <c r="B5083" s="153" t="str">
        <f>IFERROR(__xludf.DUMMYFUNCTION("""COMPUTED_VALUE"""),"WHOLE EXOME SEQUENCING + MITOCHONDRIAL GENOME SEQUENCING")</f>
        <v>WHOLE EXOME SEQUENCING + MITOCHONDRIAL GENOME SEQUENCING</v>
      </c>
      <c r="C5083" s="378">
        <f>IFERROR(__xludf.DUMMYFUNCTION("""COMPUTED_VALUE"""),46181.0)</f>
        <v>46181</v>
      </c>
      <c r="D5083" s="378">
        <f>IFERROR(__xludf.DUMMYFUNCTION("""COMPUTED_VALUE"""),46196.0)</f>
        <v>46196</v>
      </c>
    </row>
    <row r="5084">
      <c r="A5084" s="153" t="str">
        <f>IFERROR(__xludf.DUMMYFUNCTION("""COMPUTED_VALUE"""),"ADK0000002713")</f>
        <v>ADK0000002713</v>
      </c>
      <c r="B5084" s="153" t="str">
        <f>IFERROR(__xludf.DUMMYFUNCTION("""COMPUTED_VALUE"""),"WHOLE EXOME SEQUENCING + MITOCHONDRIAL GENOME SEQUENCING")</f>
        <v>WHOLE EXOME SEQUENCING + MITOCHONDRIAL GENOME SEQUENCING</v>
      </c>
      <c r="C5084" s="378">
        <f>IFERROR(__xludf.DUMMYFUNCTION("""COMPUTED_VALUE"""),46181.0)</f>
        <v>46181</v>
      </c>
      <c r="D5084" s="378">
        <f>IFERROR(__xludf.DUMMYFUNCTION("""COMPUTED_VALUE"""),46196.0)</f>
        <v>46196</v>
      </c>
    </row>
    <row r="5085">
      <c r="A5085" s="153" t="str">
        <f>IFERROR(__xludf.DUMMYFUNCTION("""COMPUTED_VALUE"""),"ANG0000010989
")</f>
        <v>ANG0000010989
</v>
      </c>
      <c r="B5085" s="153" t="str">
        <f>IFERROR(__xludf.DUMMYFUNCTION("""COMPUTED_VALUE"""),"WHOLE EXOME SEQUENCING : COVERING ALL THE CODING REGIONS (23,000 GENES)")</f>
        <v>WHOLE EXOME SEQUENCING : COVERING ALL THE CODING REGIONS (23,000 GENES)</v>
      </c>
      <c r="C5085" s="378">
        <f>IFERROR(__xludf.DUMMYFUNCTION("""COMPUTED_VALUE"""),46185.0)</f>
        <v>46185</v>
      </c>
      <c r="D5085" s="378">
        <f>IFERROR(__xludf.DUMMYFUNCTION("""COMPUTED_VALUE"""),46196.0)</f>
        <v>46196</v>
      </c>
    </row>
    <row r="5086">
      <c r="A5086" s="153" t="str">
        <f>IFERROR(__xludf.DUMMYFUNCTION("""COMPUTED_VALUE"""),"ATR0000015371")</f>
        <v>ATR0000015371</v>
      </c>
      <c r="B5086" s="153" t="str">
        <f>IFERROR(__xludf.DUMMYFUNCTION("""COMPUTED_VALUE"""),"WHOLE EXOME SEQUENCING")</f>
        <v>WHOLE EXOME SEQUENCING</v>
      </c>
      <c r="C5086" s="378">
        <f>IFERROR(__xludf.DUMMYFUNCTION("""COMPUTED_VALUE"""),46185.0)</f>
        <v>46185</v>
      </c>
      <c r="D5086" s="378">
        <f>IFERROR(__xludf.DUMMYFUNCTION("""COMPUTED_VALUE"""),46206.0)</f>
        <v>46206</v>
      </c>
    </row>
    <row r="5087">
      <c r="A5087" s="153" t="str">
        <f>IFERROR(__xludf.DUMMYFUNCTION("""COMPUTED_VALUE"""),"MDU0000019300
")</f>
        <v>MDU0000019300
</v>
      </c>
      <c r="B5087" s="153" t="str">
        <f>IFERROR(__xludf.DUMMYFUNCTION("""COMPUTED_VALUE"""),"WHOLE EXOME SEQUENCING")</f>
        <v>WHOLE EXOME SEQUENCING</v>
      </c>
      <c r="C5087" s="378">
        <f>IFERROR(__xludf.DUMMYFUNCTION("""COMPUTED_VALUE"""),46185.0)</f>
        <v>46185</v>
      </c>
      <c r="D5087" s="378">
        <f>IFERROR(__xludf.DUMMYFUNCTION("""COMPUTED_VALUE"""),46191.0)</f>
        <v>46191</v>
      </c>
    </row>
    <row r="5088">
      <c r="A5088" s="153" t="str">
        <f>IFERROR(__xludf.DUMMYFUNCTION("""COMPUTED_VALUE"""),"PH50000020863")</f>
        <v>PH50000020863</v>
      </c>
      <c r="B5088" s="153" t="str">
        <f>IFERROR(__xludf.DUMMYFUNCTION("""COMPUTED_VALUE"""),"WES+WMGS")</f>
        <v>WES+WMGS</v>
      </c>
      <c r="C5088" s="378">
        <f>IFERROR(__xludf.DUMMYFUNCTION("""COMPUTED_VALUE"""),46185.0)</f>
        <v>46185</v>
      </c>
      <c r="D5088" s="378">
        <f>IFERROR(__xludf.DUMMYFUNCTION("""COMPUTED_VALUE"""),46196.0)</f>
        <v>46196</v>
      </c>
    </row>
    <row r="5089">
      <c r="A5089" s="153" t="str">
        <f>IFERROR(__xludf.DUMMYFUNCTION("""COMPUTED_VALUE"""),"ADK0000002700")</f>
        <v>ADK0000002700</v>
      </c>
      <c r="B5089" s="153" t="str">
        <f>IFERROR(__xludf.DUMMYFUNCTION("""COMPUTED_VALUE"""),"WHOLE EXOME SEQUENCING")</f>
        <v>WHOLE EXOME SEQUENCING</v>
      </c>
      <c r="C5089" s="378">
        <f>IFERROR(__xludf.DUMMYFUNCTION("""COMPUTED_VALUE"""),46185.0)</f>
        <v>46185</v>
      </c>
      <c r="D5089" s="378">
        <f>IFERROR(__xludf.DUMMYFUNCTION("""COMPUTED_VALUE"""),46196.0)</f>
        <v>46196</v>
      </c>
    </row>
    <row r="5090">
      <c r="A5090" s="153" t="str">
        <f>IFERROR(__xludf.DUMMYFUNCTION("""COMPUTED_VALUE"""),"ATR0000014919")</f>
        <v>ATR0000014919</v>
      </c>
      <c r="B5090" s="153" t="str">
        <f>IFERROR(__xludf.DUMMYFUNCTION("""COMPUTED_VALUE"""),"WHOLE EXOME SEQUENCING")</f>
        <v>WHOLE EXOME SEQUENCING</v>
      </c>
      <c r="C5090" s="378">
        <f>IFERROR(__xludf.DUMMYFUNCTION("""COMPUTED_VALUE"""),46185.0)</f>
        <v>46185</v>
      </c>
      <c r="D5090" s="378">
        <f>IFERROR(__xludf.DUMMYFUNCTION("""COMPUTED_VALUE"""),46199.0)</f>
        <v>46199</v>
      </c>
    </row>
    <row r="5091">
      <c r="A5091" s="153" t="str">
        <f>IFERROR(__xludf.DUMMYFUNCTION("""COMPUTED_VALUE"""),"ADH0000028642")</f>
        <v>ADH0000028642</v>
      </c>
      <c r="B5091" s="153" t="str">
        <f>IFERROR(__xludf.DUMMYFUNCTION("""COMPUTED_VALUE"""),"WHOLE EXOME SEQUENCING")</f>
        <v>WHOLE EXOME SEQUENCING</v>
      </c>
      <c r="C5091" s="378">
        <f>IFERROR(__xludf.DUMMYFUNCTION("""COMPUTED_VALUE"""),46185.0)</f>
        <v>46185</v>
      </c>
      <c r="D5091" s="378">
        <f>IFERROR(__xludf.DUMMYFUNCTION("""COMPUTED_VALUE"""),46194.0)</f>
        <v>46194</v>
      </c>
    </row>
    <row r="5092">
      <c r="A5092" s="153" t="str">
        <f>IFERROR(__xludf.DUMMYFUNCTION("""COMPUTED_VALUE"""),"ADK0000002652
")</f>
        <v>ADK0000002652
</v>
      </c>
      <c r="B5092" s="153" t="str">
        <f>IFERROR(__xludf.DUMMYFUNCTION("""COMPUTED_VALUE"""),"WES+WMGS")</f>
        <v>WES+WMGS</v>
      </c>
      <c r="C5092" s="378">
        <f>IFERROR(__xludf.DUMMYFUNCTION("""COMPUTED_VALUE"""),46185.0)</f>
        <v>46185</v>
      </c>
      <c r="D5092" s="378">
        <f>IFERROR(__xludf.DUMMYFUNCTION("""COMPUTED_VALUE"""),46202.0)</f>
        <v>46202</v>
      </c>
    </row>
    <row r="5093">
      <c r="A5093" s="153" t="str">
        <f>IFERROR(__xludf.DUMMYFUNCTION("""COMPUTED_VALUE"""),"ADK0000002627")</f>
        <v>ADK0000002627</v>
      </c>
      <c r="B5093" s="153" t="str">
        <f>IFERROR(__xludf.DUMMYFUNCTION("""COMPUTED_VALUE"""),"WES+WMGS")</f>
        <v>WES+WMGS</v>
      </c>
      <c r="C5093" s="378">
        <f>IFERROR(__xludf.DUMMYFUNCTION("""COMPUTED_VALUE"""),46185.0)</f>
        <v>46185</v>
      </c>
      <c r="D5093" s="378">
        <f>IFERROR(__xludf.DUMMYFUNCTION("""COMPUTED_VALUE"""),46201.0)</f>
        <v>46201</v>
      </c>
    </row>
    <row r="5094">
      <c r="A5094" s="153" t="str">
        <f>IFERROR(__xludf.DUMMYFUNCTION("""COMPUTED_VALUE"""),"ADK0000002653")</f>
        <v>ADK0000002653</v>
      </c>
      <c r="B5094" s="153" t="str">
        <f>IFERROR(__xludf.DUMMYFUNCTION("""COMPUTED_VALUE"""),"WES+WMGS")</f>
        <v>WES+WMGS</v>
      </c>
      <c r="C5094" s="378">
        <f>IFERROR(__xludf.DUMMYFUNCTION("""COMPUTED_VALUE"""),46185.0)</f>
        <v>46185</v>
      </c>
      <c r="D5094" s="378">
        <f>IFERROR(__xludf.DUMMYFUNCTION("""COMPUTED_VALUE"""),46202.0)</f>
        <v>46202</v>
      </c>
    </row>
    <row r="5095">
      <c r="A5095" s="153" t="str">
        <f>IFERROR(__xludf.DUMMYFUNCTION("""COMPUTED_VALUE"""),"AMB0000010790")</f>
        <v>AMB0000010790</v>
      </c>
      <c r="B5095" s="153" t="str">
        <f>IFERROR(__xludf.DUMMYFUNCTION("""COMPUTED_VALUE"""),"WHOLE EXOME SEQUENCING")</f>
        <v>WHOLE EXOME SEQUENCING</v>
      </c>
      <c r="C5095" s="378">
        <f>IFERROR(__xludf.DUMMYFUNCTION("""COMPUTED_VALUE"""),46185.0)</f>
        <v>46185</v>
      </c>
      <c r="D5095" s="378">
        <f>IFERROR(__xludf.DUMMYFUNCTION("""COMPUTED_VALUE"""),46202.0)</f>
        <v>46202</v>
      </c>
    </row>
    <row r="5096">
      <c r="A5096" s="153" t="str">
        <f>IFERROR(__xludf.DUMMYFUNCTION("""COMPUTED_VALUE"""),"AMB0000010791")</f>
        <v>AMB0000010791</v>
      </c>
      <c r="B5096" s="153" t="str">
        <f>IFERROR(__xludf.DUMMYFUNCTION("""COMPUTED_VALUE"""),"WHOLE EXOME SEQUENCING")</f>
        <v>WHOLE EXOME SEQUENCING</v>
      </c>
      <c r="C5096" s="378">
        <f>IFERROR(__xludf.DUMMYFUNCTION("""COMPUTED_VALUE"""),46185.0)</f>
        <v>46185</v>
      </c>
      <c r="D5096" s="378">
        <f>IFERROR(__xludf.DUMMYFUNCTION("""COMPUTED_VALUE"""),46202.0)</f>
        <v>46202</v>
      </c>
    </row>
    <row r="5097">
      <c r="A5097" s="153" t="str">
        <f>IFERROR(__xludf.DUMMYFUNCTION("""COMPUTED_VALUE"""),"ADK0000002625")</f>
        <v>ADK0000002625</v>
      </c>
      <c r="B5097" s="153" t="str">
        <f>IFERROR(__xludf.DUMMYFUNCTION("""COMPUTED_VALUE"""),"WES+WMGS")</f>
        <v>WES+WMGS</v>
      </c>
      <c r="C5097" s="378">
        <f>IFERROR(__xludf.DUMMYFUNCTION("""COMPUTED_VALUE"""),46185.0)</f>
        <v>46185</v>
      </c>
      <c r="D5097" s="378">
        <f>IFERROR(__xludf.DUMMYFUNCTION("""COMPUTED_VALUE"""),46201.0)</f>
        <v>46201</v>
      </c>
    </row>
    <row r="5098">
      <c r="A5098" s="153" t="str">
        <f>IFERROR(__xludf.DUMMYFUNCTION("""COMPUTED_VALUE"""),"ADK0000002626")</f>
        <v>ADK0000002626</v>
      </c>
      <c r="B5098" s="153" t="str">
        <f>IFERROR(__xludf.DUMMYFUNCTION("""COMPUTED_VALUE"""),"WES+WMGS")</f>
        <v>WES+WMGS</v>
      </c>
      <c r="C5098" s="378">
        <f>IFERROR(__xludf.DUMMYFUNCTION("""COMPUTED_VALUE"""),46185.0)</f>
        <v>46185</v>
      </c>
      <c r="D5098" s="378">
        <f>IFERROR(__xludf.DUMMYFUNCTION("""COMPUTED_VALUE"""),46201.0)</f>
        <v>46201</v>
      </c>
    </row>
    <row r="5099">
      <c r="A5099" s="153" t="str">
        <f>IFERROR(__xludf.DUMMYFUNCTION("""COMPUTED_VALUE"""),"ADK0000002651")</f>
        <v>ADK0000002651</v>
      </c>
      <c r="B5099" s="153" t="str">
        <f>IFERROR(__xludf.DUMMYFUNCTION("""COMPUTED_VALUE"""),"WES+WMGS")</f>
        <v>WES+WMGS</v>
      </c>
      <c r="C5099" s="378">
        <f>IFERROR(__xludf.DUMMYFUNCTION("""COMPUTED_VALUE"""),46185.0)</f>
        <v>46185</v>
      </c>
      <c r="D5099" s="378">
        <f>IFERROR(__xludf.DUMMYFUNCTION("""COMPUTED_VALUE"""),46202.0)</f>
        <v>46202</v>
      </c>
    </row>
    <row r="5100">
      <c r="A5100" s="153" t="str">
        <f>IFERROR(__xludf.DUMMYFUNCTION("""COMPUTED_VALUE"""),"FR20000011202")</f>
        <v>FR20000011202</v>
      </c>
      <c r="B5100" s="153" t="str">
        <f>IFERROR(__xludf.DUMMYFUNCTION("""COMPUTED_VALUE"""),"CLINICAL EXOME SEQUENCING")</f>
        <v>CLINICAL EXOME SEQUENCING</v>
      </c>
      <c r="C5100" s="378">
        <f>IFERROR(__xludf.DUMMYFUNCTION("""COMPUTED_VALUE"""),46185.0)</f>
        <v>46185</v>
      </c>
      <c r="D5100" s="378">
        <f>IFERROR(__xludf.DUMMYFUNCTION("""COMPUTED_VALUE"""),46203.0)</f>
        <v>46203</v>
      </c>
    </row>
    <row r="5101">
      <c r="A5101" s="153" t="str">
        <f>IFERROR(__xludf.DUMMYFUNCTION("""COMPUTED_VALUE"""),"ADB0000040443")</f>
        <v>ADB0000040443</v>
      </c>
      <c r="B5101" s="153" t="str">
        <f>IFERROR(__xludf.DUMMYFUNCTION("""COMPUTED_VALUE"""),"WHOLE EXOME SEQUENCING")</f>
        <v>WHOLE EXOME SEQUENCING</v>
      </c>
      <c r="C5101" s="378">
        <f>IFERROR(__xludf.DUMMYFUNCTION("""COMPUTED_VALUE"""),46185.0)</f>
        <v>46185</v>
      </c>
      <c r="D5101" s="378">
        <f>IFERROR(__xludf.DUMMYFUNCTION("""COMPUTED_VALUE"""),46201.0)</f>
        <v>46201</v>
      </c>
    </row>
    <row r="5102">
      <c r="A5102" s="153" t="str">
        <f>IFERROR(__xludf.DUMMYFUNCTION("""COMPUTED_VALUE"""),"ABC0000001687
")</f>
        <v>ABC0000001687
</v>
      </c>
      <c r="B5102" s="153" t="str">
        <f>IFERROR(__xludf.DUMMYFUNCTION("""COMPUTED_VALUE"""),"WHOLE EXOME SEQUENCING")</f>
        <v>WHOLE EXOME SEQUENCING</v>
      </c>
      <c r="C5102" s="378">
        <f>IFERROR(__xludf.DUMMYFUNCTION("""COMPUTED_VALUE"""),46185.0)</f>
        <v>46185</v>
      </c>
      <c r="D5102" s="378">
        <f>IFERROR(__xludf.DUMMYFUNCTION("""COMPUTED_VALUE"""),46203.0)</f>
        <v>46203</v>
      </c>
    </row>
    <row r="5103">
      <c r="A5103" s="153" t="str">
        <f>IFERROR(__xludf.DUMMYFUNCTION("""COMPUTED_VALUE"""),"ABC0000001688
")</f>
        <v>ABC0000001688
</v>
      </c>
      <c r="B5103" s="153" t="str">
        <f>IFERROR(__xludf.DUMMYFUNCTION("""COMPUTED_VALUE"""),"WHOLE EXOME SEQUENCING")</f>
        <v>WHOLE EXOME SEQUENCING</v>
      </c>
      <c r="C5103" s="378">
        <f>IFERROR(__xludf.DUMMYFUNCTION("""COMPUTED_VALUE"""),46185.0)</f>
        <v>46185</v>
      </c>
      <c r="D5103" s="378">
        <f>IFERROR(__xludf.DUMMYFUNCTION("""COMPUTED_VALUE"""),46203.0)</f>
        <v>46203</v>
      </c>
    </row>
    <row r="5104">
      <c r="A5104" s="153" t="str">
        <f>IFERROR(__xludf.DUMMYFUNCTION("""COMPUTED_VALUE"""),"ADK0000002705")</f>
        <v>ADK0000002705</v>
      </c>
      <c r="B5104" s="153" t="str">
        <f>IFERROR(__xludf.DUMMYFUNCTION("""COMPUTED_VALUE"""),"WHOLE EXOME SEQUENCING")</f>
        <v>WHOLE EXOME SEQUENCING</v>
      </c>
      <c r="C5104" s="378">
        <f>IFERROR(__xludf.DUMMYFUNCTION("""COMPUTED_VALUE"""),46185.0)</f>
        <v>46185</v>
      </c>
      <c r="D5104" s="378">
        <f>IFERROR(__xludf.DUMMYFUNCTION("""COMPUTED_VALUE"""),46198.0)</f>
        <v>46198</v>
      </c>
    </row>
    <row r="5105">
      <c r="A5105" s="153" t="str">
        <f>IFERROR(__xludf.DUMMYFUNCTION("""COMPUTED_VALUE"""),"ADK0000002704
")</f>
        <v>ADK0000002704
</v>
      </c>
      <c r="B5105" s="153" t="str">
        <f>IFERROR(__xludf.DUMMYFUNCTION("""COMPUTED_VALUE"""),"WHOLE EXOME SEQUENCING + MITOCHONDRIAL GENOME SEQUENCING")</f>
        <v>WHOLE EXOME SEQUENCING + MITOCHONDRIAL GENOME SEQUENCING</v>
      </c>
      <c r="C5105" s="378">
        <f>IFERROR(__xludf.DUMMYFUNCTION("""COMPUTED_VALUE"""),46185.0)</f>
        <v>46185</v>
      </c>
      <c r="D5105" s="378">
        <f>IFERROR(__xludf.DUMMYFUNCTION("""COMPUTED_VALUE"""),46198.0)</f>
        <v>46198</v>
      </c>
    </row>
    <row r="5106">
      <c r="A5106" s="153" t="str">
        <f>IFERROR(__xludf.DUMMYFUNCTION("""COMPUTED_VALUE"""),"ADH0000029483
")</f>
        <v>ADH0000029483
</v>
      </c>
      <c r="B5106" s="153" t="str">
        <f>IFERROR(__xludf.DUMMYFUNCTION("""COMPUTED_VALUE"""),"WHOLE EXOME SEQUENCING")</f>
        <v>WHOLE EXOME SEQUENCING</v>
      </c>
      <c r="C5106" s="378">
        <f>IFERROR(__xludf.DUMMYFUNCTION("""COMPUTED_VALUE"""),46185.0)</f>
        <v>46185</v>
      </c>
      <c r="D5106" s="378">
        <f>IFERROR(__xludf.DUMMYFUNCTION("""COMPUTED_VALUE"""),46204.0)</f>
        <v>46204</v>
      </c>
    </row>
    <row r="5107">
      <c r="A5107" s="153" t="str">
        <f>IFERROR(__xludf.DUMMYFUNCTION("""COMPUTED_VALUE"""),"ADB0000040587")</f>
        <v>ADB0000040587</v>
      </c>
      <c r="B5107" s="153" t="str">
        <f>IFERROR(__xludf.DUMMYFUNCTION("""COMPUTED_VALUE"""),"MALE INFERTILITY NGS PANEL")</f>
        <v>MALE INFERTILITY NGS PANEL</v>
      </c>
      <c r="C5107" s="378">
        <f>IFERROR(__xludf.DUMMYFUNCTION("""COMPUTED_VALUE"""),46185.0)</f>
        <v>46185</v>
      </c>
      <c r="D5107" s="378">
        <f>IFERROR(__xludf.DUMMYFUNCTION("""COMPUTED_VALUE"""),46193.0)</f>
        <v>46193</v>
      </c>
    </row>
    <row r="5108">
      <c r="A5108" s="153" t="str">
        <f>IFERROR(__xludf.DUMMYFUNCTION("""COMPUTED_VALUE"""),"ADB0000040643")</f>
        <v>ADB0000040643</v>
      </c>
      <c r="B5108" s="153" t="str">
        <f>IFERROR(__xludf.DUMMYFUNCTION("""COMPUTED_VALUE"""),"WHOLE EXOME SEQUENCING")</f>
        <v>WHOLE EXOME SEQUENCING</v>
      </c>
      <c r="C5108" s="378">
        <f>IFERROR(__xludf.DUMMYFUNCTION("""COMPUTED_VALUE"""),46185.0)</f>
        <v>46185</v>
      </c>
      <c r="D5108" s="378">
        <f>IFERROR(__xludf.DUMMYFUNCTION("""COMPUTED_VALUE"""),46204.0)</f>
        <v>46204</v>
      </c>
    </row>
    <row r="5109">
      <c r="A5109" s="153" t="str">
        <f>IFERROR(__xludf.DUMMYFUNCTION("""COMPUTED_VALUE"""),"ADB0000040640
")</f>
        <v>ADB0000040640
</v>
      </c>
      <c r="B5109" s="153" t="str">
        <f>IFERROR(__xludf.DUMMYFUNCTION("""COMPUTED_VALUE"""),"WHOLE EXOME SEQUENCING")</f>
        <v>WHOLE EXOME SEQUENCING</v>
      </c>
      <c r="C5109" s="378">
        <f>IFERROR(__xludf.DUMMYFUNCTION("""COMPUTED_VALUE"""),46185.0)</f>
        <v>46185</v>
      </c>
      <c r="D5109" s="378">
        <f>IFERROR(__xludf.DUMMYFUNCTION("""COMPUTED_VALUE"""),46204.0)</f>
        <v>46204</v>
      </c>
    </row>
    <row r="5110">
      <c r="A5110" s="153" t="str">
        <f>IFERROR(__xludf.DUMMYFUNCTION("""COMPUTED_VALUE"""),"ADB0000040641")</f>
        <v>ADB0000040641</v>
      </c>
      <c r="B5110" s="153" t="str">
        <f>IFERROR(__xludf.DUMMYFUNCTION("""COMPUTED_VALUE"""),"WHOLE EXOME SEQUENCING")</f>
        <v>WHOLE EXOME SEQUENCING</v>
      </c>
      <c r="C5110" s="378">
        <f>IFERROR(__xludf.DUMMYFUNCTION("""COMPUTED_VALUE"""),46185.0)</f>
        <v>46185</v>
      </c>
      <c r="D5110" s="378">
        <f>IFERROR(__xludf.DUMMYFUNCTION("""COMPUTED_VALUE"""),46204.0)</f>
        <v>46204</v>
      </c>
    </row>
    <row r="5111">
      <c r="A5111" s="153" t="str">
        <f>IFERROR(__xludf.DUMMYFUNCTION("""COMPUTED_VALUE"""),"DCC0000005218")</f>
        <v>DCC0000005218</v>
      </c>
      <c r="B5111" s="153" t="str">
        <f>IFERROR(__xludf.DUMMYFUNCTION("""COMPUTED_VALUE"""),"WHOLE EXOME SEQUENCING")</f>
        <v>WHOLE EXOME SEQUENCING</v>
      </c>
      <c r="C5111" s="378">
        <f>IFERROR(__xludf.DUMMYFUNCTION("""COMPUTED_VALUE"""),46185.0)</f>
        <v>46185</v>
      </c>
      <c r="D5111" s="378">
        <f>IFERROR(__xludf.DUMMYFUNCTION("""COMPUTED_VALUE"""),46205.0)</f>
        <v>46205</v>
      </c>
    </row>
    <row r="5112">
      <c r="A5112" s="153" t="str">
        <f>IFERROR(__xludf.DUMMYFUNCTION("""COMPUTED_VALUE"""),"DCC0000005219")</f>
        <v>DCC0000005219</v>
      </c>
      <c r="B5112" s="153" t="str">
        <f>IFERROR(__xludf.DUMMYFUNCTION("""COMPUTED_VALUE"""),"WHOLE EXOME SEQUENCING")</f>
        <v>WHOLE EXOME SEQUENCING</v>
      </c>
      <c r="C5112" s="378">
        <f>IFERROR(__xludf.DUMMYFUNCTION("""COMPUTED_VALUE"""),46185.0)</f>
        <v>46185</v>
      </c>
      <c r="D5112" s="378">
        <f>IFERROR(__xludf.DUMMYFUNCTION("""COMPUTED_VALUE"""),46205.0)</f>
        <v>46205</v>
      </c>
    </row>
    <row r="5113">
      <c r="A5113" s="153" t="str">
        <f>IFERROR(__xludf.DUMMYFUNCTION("""COMPUTED_VALUE"""),"ADK0000002768
")</f>
        <v>ADK0000002768
</v>
      </c>
      <c r="B5113" s="153" t="str">
        <f>IFERROR(__xludf.DUMMYFUNCTION("""COMPUTED_VALUE"""),"WHOLE EXOME SEQUENCING")</f>
        <v>WHOLE EXOME SEQUENCING</v>
      </c>
      <c r="C5113" s="378">
        <f>IFERROR(__xludf.DUMMYFUNCTION("""COMPUTED_VALUE"""),46185.0)</f>
        <v>46185</v>
      </c>
      <c r="D5113" s="378">
        <f>IFERROR(__xludf.DUMMYFUNCTION("""COMPUTED_VALUE"""),46199.0)</f>
        <v>46199</v>
      </c>
    </row>
    <row r="5114">
      <c r="A5114" s="153" t="str">
        <f>IFERROR(__xludf.DUMMYFUNCTION("""COMPUTED_VALUE"""),"ADK0000002767
")</f>
        <v>ADK0000002767
</v>
      </c>
      <c r="B5114" s="153" t="str">
        <f>IFERROR(__xludf.DUMMYFUNCTION("""COMPUTED_VALUE"""),"WHOLE EXOME SEQUENCING")</f>
        <v>WHOLE EXOME SEQUENCING</v>
      </c>
      <c r="C5114" s="378">
        <f>IFERROR(__xludf.DUMMYFUNCTION("""COMPUTED_VALUE"""),46185.0)</f>
        <v>46185</v>
      </c>
      <c r="D5114" s="378">
        <f>IFERROR(__xludf.DUMMYFUNCTION("""COMPUTED_VALUE"""),46199.0)</f>
        <v>46199</v>
      </c>
    </row>
    <row r="5115">
      <c r="A5115" s="153" t="str">
        <f>IFERROR(__xludf.DUMMYFUNCTION("""COMPUTED_VALUE"""),"ADK0000002766
")</f>
        <v>ADK0000002766
</v>
      </c>
      <c r="B5115" s="153" t="str">
        <f>IFERROR(__xludf.DUMMYFUNCTION("""COMPUTED_VALUE"""),"WHOLE EXOME SEQUENCING")</f>
        <v>WHOLE EXOME SEQUENCING</v>
      </c>
      <c r="C5115" s="378">
        <f>IFERROR(__xludf.DUMMYFUNCTION("""COMPUTED_VALUE"""),46185.0)</f>
        <v>46185</v>
      </c>
      <c r="D5115" s="378">
        <f>IFERROR(__xludf.DUMMYFUNCTION("""COMPUTED_VALUE"""),46199.0)</f>
        <v>46199</v>
      </c>
    </row>
    <row r="5116">
      <c r="A5116" s="153" t="str">
        <f>IFERROR(__xludf.DUMMYFUNCTION("""COMPUTED_VALUE"""),"ADK0000002764
")</f>
        <v>ADK0000002764
</v>
      </c>
      <c r="B5116" s="153" t="str">
        <f>IFERROR(__xludf.DUMMYFUNCTION("""COMPUTED_VALUE"""),"WHOLE EXOME SEQUENCING")</f>
        <v>WHOLE EXOME SEQUENCING</v>
      </c>
      <c r="C5116" s="378">
        <f>IFERROR(__xludf.DUMMYFUNCTION("""COMPUTED_VALUE"""),46185.0)</f>
        <v>46185</v>
      </c>
      <c r="D5116" s="378">
        <f>IFERROR(__xludf.DUMMYFUNCTION("""COMPUTED_VALUE"""),46199.0)</f>
        <v>46199</v>
      </c>
    </row>
    <row r="5117">
      <c r="A5117" s="153" t="str">
        <f>IFERROR(__xludf.DUMMYFUNCTION("""COMPUTED_VALUE"""),"ADK0000002765
")</f>
        <v>ADK0000002765
</v>
      </c>
      <c r="B5117" s="153" t="str">
        <f>IFERROR(__xludf.DUMMYFUNCTION("""COMPUTED_VALUE"""),"WHOLE EXOME SEQUENCING")</f>
        <v>WHOLE EXOME SEQUENCING</v>
      </c>
      <c r="C5117" s="378">
        <f>IFERROR(__xludf.DUMMYFUNCTION("""COMPUTED_VALUE"""),46185.0)</f>
        <v>46185</v>
      </c>
      <c r="D5117" s="378">
        <f>IFERROR(__xludf.DUMMYFUNCTION("""COMPUTED_VALUE"""),46199.0)</f>
        <v>46199</v>
      </c>
    </row>
    <row r="5118">
      <c r="A5118" s="153" t="str">
        <f>IFERROR(__xludf.DUMMYFUNCTION("""COMPUTED_VALUE"""),"AMB0000010878
")</f>
        <v>AMB0000010878
</v>
      </c>
      <c r="B5118" s="153" t="str">
        <f>IFERROR(__xludf.DUMMYFUNCTION("""COMPUTED_VALUE"""),"WHOLE EXOME SEQUENCING")</f>
        <v>WHOLE EXOME SEQUENCING</v>
      </c>
      <c r="C5118" s="378">
        <f>IFERROR(__xludf.DUMMYFUNCTION("""COMPUTED_VALUE"""),46185.0)</f>
        <v>46185</v>
      </c>
      <c r="D5118" s="378">
        <f>IFERROR(__xludf.DUMMYFUNCTION("""COMPUTED_VALUE"""),46205.0)</f>
        <v>46205</v>
      </c>
    </row>
    <row r="5119">
      <c r="A5119" s="153" t="str">
        <f>IFERROR(__xludf.DUMMYFUNCTION("""COMPUTED_VALUE"""),"ADB0000040789
")</f>
        <v>ADB0000040789
</v>
      </c>
      <c r="B5119" s="153" t="str">
        <f>IFERROR(__xludf.DUMMYFUNCTION("""COMPUTED_VALUE"""),"MALE INFERTILITY NGS PANEL")</f>
        <v>MALE INFERTILITY NGS PANEL</v>
      </c>
      <c r="C5119" s="378">
        <f>IFERROR(__xludf.DUMMYFUNCTION("""COMPUTED_VALUE"""),46185.0)</f>
        <v>46185</v>
      </c>
      <c r="D5119" s="378">
        <f>IFERROR(__xludf.DUMMYFUNCTION("""COMPUTED_VALUE"""),46194.0)</f>
        <v>46194</v>
      </c>
    </row>
    <row r="5120">
      <c r="A5120" s="153" t="str">
        <f>IFERROR(__xludf.DUMMYFUNCTION("""COMPUTED_VALUE"""),"ADB0000040791
")</f>
        <v>ADB0000040791
</v>
      </c>
      <c r="B5120" s="153" t="str">
        <f>IFERROR(__xludf.DUMMYFUNCTION("""COMPUTED_VALUE"""),"FEMALE INFERTILITY NGS PANEL")</f>
        <v>FEMALE INFERTILITY NGS PANEL</v>
      </c>
      <c r="C5120" s="378">
        <f>IFERROR(__xludf.DUMMYFUNCTION("""COMPUTED_VALUE"""),46185.0)</f>
        <v>46185</v>
      </c>
      <c r="D5120" s="378">
        <f>IFERROR(__xludf.DUMMYFUNCTION("""COMPUTED_VALUE"""),46194.0)</f>
        <v>46194</v>
      </c>
    </row>
    <row r="5121">
      <c r="A5121" s="153" t="str">
        <f>IFERROR(__xludf.DUMMYFUNCTION("""COMPUTED_VALUE"""),"ADB0000040792")</f>
        <v>ADB0000040792</v>
      </c>
      <c r="B5121" s="153" t="str">
        <f>IFERROR(__xludf.DUMMYFUNCTION("""COMPUTED_VALUE"""),"WHOLE EXOME SEQUENCING")</f>
        <v>WHOLE EXOME SEQUENCING</v>
      </c>
      <c r="C5121" s="378">
        <f>IFERROR(__xludf.DUMMYFUNCTION("""COMPUTED_VALUE"""),46185.0)</f>
        <v>46185</v>
      </c>
      <c r="D5121" s="378">
        <f>IFERROR(__xludf.DUMMYFUNCTION("""COMPUTED_VALUE"""),46205.0)</f>
        <v>46205</v>
      </c>
    </row>
    <row r="5122">
      <c r="A5122" s="153" t="str">
        <f>IFERROR(__xludf.DUMMYFUNCTION("""COMPUTED_VALUE"""),"ADB0000040793
")</f>
        <v>ADB0000040793
</v>
      </c>
      <c r="B5122" s="153" t="str">
        <f>IFERROR(__xludf.DUMMYFUNCTION("""COMPUTED_VALUE"""),"WHOLE EXOME SEQUENCING")</f>
        <v>WHOLE EXOME SEQUENCING</v>
      </c>
      <c r="C5122" s="378">
        <f>IFERROR(__xludf.DUMMYFUNCTION("""COMPUTED_VALUE"""),46185.0)</f>
        <v>46185</v>
      </c>
      <c r="D5122" s="378">
        <f>IFERROR(__xludf.DUMMYFUNCTION("""COMPUTED_VALUE"""),46205.0)</f>
        <v>46205</v>
      </c>
    </row>
    <row r="5123">
      <c r="A5123" s="153" t="str">
        <f>IFERROR(__xludf.DUMMYFUNCTION("""COMPUTED_VALUE"""),"HYP0000002326")</f>
        <v>HYP0000002326</v>
      </c>
      <c r="B5123" s="153" t="str">
        <f>IFERROR(__xludf.DUMMYFUNCTION("""COMPUTED_VALUE"""),"FEMALE INFERTILITY NGS PANEL")</f>
        <v>FEMALE INFERTILITY NGS PANEL</v>
      </c>
      <c r="C5123" s="378">
        <f>IFERROR(__xludf.DUMMYFUNCTION("""COMPUTED_VALUE"""),46185.0)</f>
        <v>46185</v>
      </c>
      <c r="D5123" s="378">
        <f>IFERROR(__xludf.DUMMYFUNCTION("""COMPUTED_VALUE"""),46194.0)</f>
        <v>46194</v>
      </c>
    </row>
    <row r="5124">
      <c r="A5124" s="153" t="str">
        <f>IFERROR(__xludf.DUMMYFUNCTION("""COMPUTED_VALUE"""),"ADB0000040845")</f>
        <v>ADB0000040845</v>
      </c>
      <c r="B5124" s="153" t="str">
        <f>IFERROR(__xludf.DUMMYFUNCTION("""COMPUTED_VALUE"""),"WHOLE EXOME SEQUENCING")</f>
        <v>WHOLE EXOME SEQUENCING</v>
      </c>
      <c r="C5124" s="378">
        <f>IFERROR(__xludf.DUMMYFUNCTION("""COMPUTED_VALUE"""),46185.0)</f>
        <v>46185</v>
      </c>
      <c r="D5124" s="378">
        <f>IFERROR(__xludf.DUMMYFUNCTION("""COMPUTED_VALUE"""),46205.0)</f>
        <v>46205</v>
      </c>
    </row>
    <row r="5125">
      <c r="A5125" s="153" t="str">
        <f>IFERROR(__xludf.DUMMYFUNCTION("""COMPUTED_VALUE"""),"ADK0000002729")</f>
        <v>ADK0000002729</v>
      </c>
      <c r="B5125" s="153" t="str">
        <f>IFERROR(__xludf.DUMMYFUNCTION("""COMPUTED_VALUE"""),"WES+WMGS")</f>
        <v>WES+WMGS</v>
      </c>
      <c r="C5125" s="378">
        <f>IFERROR(__xludf.DUMMYFUNCTION("""COMPUTED_VALUE"""),46185.0)</f>
        <v>46185</v>
      </c>
      <c r="D5125" s="378">
        <f>IFERROR(__xludf.DUMMYFUNCTION("""COMPUTED_VALUE"""),46204.0)</f>
        <v>46204</v>
      </c>
    </row>
    <row r="5126">
      <c r="A5126" s="153" t="str">
        <f>IFERROR(__xludf.DUMMYFUNCTION("""COMPUTED_VALUE"""),"ADK0000002763
")</f>
        <v>ADK0000002763
</v>
      </c>
      <c r="B5126" s="153" t="str">
        <f>IFERROR(__xludf.DUMMYFUNCTION("""COMPUTED_VALUE"""),"WHOLE EXOME SEQUENCING")</f>
        <v>WHOLE EXOME SEQUENCING</v>
      </c>
      <c r="C5126" s="378">
        <f>IFERROR(__xludf.DUMMYFUNCTION("""COMPUTED_VALUE"""),46185.0)</f>
        <v>46185</v>
      </c>
      <c r="D5126" s="378">
        <f>IFERROR(__xludf.DUMMYFUNCTION("""COMPUTED_VALUE"""),46206.0)</f>
        <v>46206</v>
      </c>
    </row>
    <row r="5127">
      <c r="A5127" s="153" t="str">
        <f>IFERROR(__xludf.DUMMYFUNCTION("""COMPUTED_VALUE"""),"HYP0000002378
")</f>
        <v>HYP0000002378
</v>
      </c>
      <c r="B5127" s="153" t="str">
        <f>IFERROR(__xludf.DUMMYFUNCTION("""COMPUTED_VALUE"""),"MALE INFERTILITY NGS PANEL")</f>
        <v>MALE INFERTILITY NGS PANEL</v>
      </c>
      <c r="C5127" s="378">
        <f>IFERROR(__xludf.DUMMYFUNCTION("""COMPUTED_VALUE"""),46185.0)</f>
        <v>46185</v>
      </c>
      <c r="D5127" s="378">
        <f>IFERROR(__xludf.DUMMYFUNCTION("""COMPUTED_VALUE"""),46195.0)</f>
        <v>46195</v>
      </c>
    </row>
    <row r="5128">
      <c r="A5128" s="153" t="str">
        <f>IFERROR(__xludf.DUMMYFUNCTION("""COMPUTED_VALUE"""),"HYP0000002379
")</f>
        <v>HYP0000002379
</v>
      </c>
      <c r="B5128" s="153" t="str">
        <f>IFERROR(__xludf.DUMMYFUNCTION("""COMPUTED_VALUE"""),"FEMALE INFERTILITY NGS PANEL")</f>
        <v>FEMALE INFERTILITY NGS PANEL</v>
      </c>
      <c r="C5128" s="378">
        <f>IFERROR(__xludf.DUMMYFUNCTION("""COMPUTED_VALUE"""),46185.0)</f>
        <v>46185</v>
      </c>
      <c r="D5128" s="378">
        <f>IFERROR(__xludf.DUMMYFUNCTION("""COMPUTED_VALUE"""),46195.0)</f>
        <v>46195</v>
      </c>
    </row>
    <row r="5129">
      <c r="A5129" s="153" t="str">
        <f>IFERROR(__xludf.DUMMYFUNCTION("""COMPUTED_VALUE"""),"ADH0000029793")</f>
        <v>ADH0000029793</v>
      </c>
      <c r="B5129" s="153" t="str">
        <f>IFERROR(__xludf.DUMMYFUNCTION("""COMPUTED_VALUE"""),"WHOLE EXOME SEQUENCING")</f>
        <v>WHOLE EXOME SEQUENCING</v>
      </c>
      <c r="C5129" s="378">
        <f>IFERROR(__xludf.DUMMYFUNCTION("""COMPUTED_VALUE"""),46185.0)</f>
        <v>46185</v>
      </c>
      <c r="D5129" s="378">
        <f>IFERROR(__xludf.DUMMYFUNCTION("""COMPUTED_VALUE"""),46206.0)</f>
        <v>46206</v>
      </c>
    </row>
    <row r="5130">
      <c r="A5130" s="153" t="str">
        <f>IFERROR(__xludf.DUMMYFUNCTION("""COMPUTED_VALUE"""),"PH50000013647")</f>
        <v>PH50000013647</v>
      </c>
      <c r="B5130" s="153" t="str">
        <f>IFERROR(__xludf.DUMMYFUNCTION("""COMPUTED_VALUE"""),"NEPHROTIC SYNDROME GENE PANEL")</f>
        <v>NEPHROTIC SYNDROME GENE PANEL</v>
      </c>
      <c r="C5130" s="378">
        <f>IFERROR(__xludf.DUMMYFUNCTION("""COMPUTED_VALUE"""),46185.0)</f>
        <v>46185</v>
      </c>
      <c r="D5130" s="153" t="str">
        <f>IFERROR(__xludf.DUMMYFUNCTION("""COMPUTED_VALUE"""),"22-06-2026")</f>
        <v>22-06-2026</v>
      </c>
    </row>
    <row r="5131">
      <c r="A5131" s="153" t="str">
        <f>IFERROR(__xludf.DUMMYFUNCTION("""COMPUTED_VALUE"""),"PH50000014590")</f>
        <v>PH50000014590</v>
      </c>
      <c r="B5131" s="153" t="str">
        <f>IFERROR(__xludf.DUMMYFUNCTION("""COMPUTED_VALUE"""),"NEPHROTIC SYNDROME GENE PANEL")</f>
        <v>NEPHROTIC SYNDROME GENE PANEL</v>
      </c>
      <c r="C5131" s="378">
        <f>IFERROR(__xludf.DUMMYFUNCTION("""COMPUTED_VALUE"""),46185.0)</f>
        <v>46185</v>
      </c>
      <c r="D5131" s="153" t="str">
        <f>IFERROR(__xludf.DUMMYFUNCTION("""COMPUTED_VALUE"""),"22-06-2026")</f>
        <v>22-06-2026</v>
      </c>
    </row>
    <row r="5132">
      <c r="A5132" s="153" t="str">
        <f>IFERROR(__xludf.DUMMYFUNCTION("""COMPUTED_VALUE"""),"PH50000013648")</f>
        <v>PH50000013648</v>
      </c>
      <c r="B5132" s="153" t="str">
        <f>IFERROR(__xludf.DUMMYFUNCTION("""COMPUTED_VALUE"""),"NEPHROTIC SYNDROME GENE PANEL")</f>
        <v>NEPHROTIC SYNDROME GENE PANEL</v>
      </c>
      <c r="C5132" s="378">
        <f>IFERROR(__xludf.DUMMYFUNCTION("""COMPUTED_VALUE"""),46185.0)</f>
        <v>46185</v>
      </c>
      <c r="D5132" s="153" t="str">
        <f>IFERROR(__xludf.DUMMYFUNCTION("""COMPUTED_VALUE"""),"22-06-2026")</f>
        <v>22-06-2026</v>
      </c>
    </row>
    <row r="5133">
      <c r="A5133" s="153" t="str">
        <f>IFERROR(__xludf.DUMMYFUNCTION("""COMPUTED_VALUE"""),"ADB0000041079")</f>
        <v>ADB0000041079</v>
      </c>
      <c r="B5133" s="153" t="str">
        <f>IFERROR(__xludf.DUMMYFUNCTION("""COMPUTED_VALUE"""),"WHOLE EXOME SEQUENCING")</f>
        <v>WHOLE EXOME SEQUENCING</v>
      </c>
      <c r="C5133" s="378">
        <f>IFERROR(__xludf.DUMMYFUNCTION("""COMPUTED_VALUE"""),46188.0)</f>
        <v>46188</v>
      </c>
      <c r="D5133" s="378">
        <f>IFERROR(__xludf.DUMMYFUNCTION("""COMPUTED_VALUE"""),46206.0)</f>
        <v>46206</v>
      </c>
    </row>
    <row r="5134">
      <c r="A5134" s="153" t="str">
        <f>IFERROR(__xludf.DUMMYFUNCTION("""COMPUTED_VALUE"""),"ADH0000029492")</f>
        <v>ADH0000029492</v>
      </c>
      <c r="B5134" s="153" t="str">
        <f>IFERROR(__xludf.DUMMYFUNCTION("""COMPUTED_VALUE"""),"WHOLE EXOME SEQUENCING")</f>
        <v>WHOLE EXOME SEQUENCING</v>
      </c>
      <c r="C5134" s="378">
        <f>IFERROR(__xludf.DUMMYFUNCTION("""COMPUTED_VALUE"""),46188.0)</f>
        <v>46188</v>
      </c>
      <c r="D5134" s="378">
        <f>IFERROR(__xludf.DUMMYFUNCTION("""COMPUTED_VALUE"""),46204.0)</f>
        <v>46204</v>
      </c>
    </row>
    <row r="5135">
      <c r="A5135" s="153" t="str">
        <f>IFERROR(__xludf.DUMMYFUNCTION("""COMPUTED_VALUE"""),"ADH0000029553
")</f>
        <v>ADH0000029553
</v>
      </c>
      <c r="B5135" s="153" t="str">
        <f>IFERROR(__xludf.DUMMYFUNCTION("""COMPUTED_VALUE"""),"POC / ABORTUS – WHOLE EXOME SEQUENCING + 16 MARKER MCC AS PER ACMG GUIDELINES")</f>
        <v>POC / ABORTUS – WHOLE EXOME SEQUENCING + 16 MARKER MCC AS PER ACMG GUIDELINES</v>
      </c>
      <c r="C5135" s="378">
        <f>IFERROR(__xludf.DUMMYFUNCTION("""COMPUTED_VALUE"""),46188.0)</f>
        <v>46188</v>
      </c>
      <c r="D5135" s="378">
        <f>IFERROR(__xludf.DUMMYFUNCTION("""COMPUTED_VALUE"""),46204.0)</f>
        <v>46204</v>
      </c>
    </row>
    <row r="5136">
      <c r="A5136" s="153" t="str">
        <f>IFERROR(__xludf.DUMMYFUNCTION("""COMPUTED_VALUE"""),"ADH0000029853
")</f>
        <v>ADH0000029853
</v>
      </c>
      <c r="B5136" s="153" t="str">
        <f>IFERROR(__xludf.DUMMYFUNCTION("""COMPUTED_VALUE"""),"WHOLE EXOME SEQUENCING")</f>
        <v>WHOLE EXOME SEQUENCING</v>
      </c>
      <c r="C5136" s="378">
        <f>IFERROR(__xludf.DUMMYFUNCTION("""COMPUTED_VALUE"""),46188.0)</f>
        <v>46188</v>
      </c>
      <c r="D5136" s="378">
        <f>IFERROR(__xludf.DUMMYFUNCTION("""COMPUTED_VALUE"""),46202.0)</f>
        <v>46202</v>
      </c>
    </row>
    <row r="5137">
      <c r="A5137" s="153" t="str">
        <f>IFERROR(__xludf.DUMMYFUNCTION("""COMPUTED_VALUE"""),"ADH0000030132")</f>
        <v>ADH0000030132</v>
      </c>
      <c r="B5137" s="153" t="str">
        <f>IFERROR(__xludf.DUMMYFUNCTION("""COMPUTED_VALUE"""),"WHOLE EXOME SEQUENCING")</f>
        <v>WHOLE EXOME SEQUENCING</v>
      </c>
      <c r="C5137" s="378">
        <f>IFERROR(__xludf.DUMMYFUNCTION("""COMPUTED_VALUE"""),46188.0)</f>
        <v>46188</v>
      </c>
      <c r="D5137" s="378">
        <f>IFERROR(__xludf.DUMMYFUNCTION("""COMPUTED_VALUE"""),46202.0)</f>
        <v>46202</v>
      </c>
    </row>
    <row r="5138">
      <c r="A5138" s="153" t="str">
        <f>IFERROR(__xludf.DUMMYFUNCTION("""COMPUTED_VALUE"""),"ADK0000002816")</f>
        <v>ADK0000002816</v>
      </c>
      <c r="B5138" s="153" t="str">
        <f>IFERROR(__xludf.DUMMYFUNCTION("""COMPUTED_VALUE"""),"WHOLE EXOME SEQUENCING")</f>
        <v>WHOLE EXOME SEQUENCING</v>
      </c>
      <c r="C5138" s="378">
        <f>IFERROR(__xludf.DUMMYFUNCTION("""COMPUTED_VALUE"""),46188.0)</f>
        <v>46188</v>
      </c>
      <c r="D5138" s="378">
        <f>IFERROR(__xludf.DUMMYFUNCTION("""COMPUTED_VALUE"""),46202.0)</f>
        <v>46202</v>
      </c>
    </row>
    <row r="5139">
      <c r="A5139" s="153" t="str">
        <f>IFERROR(__xludf.DUMMYFUNCTION("""COMPUTED_VALUE"""),"ADK0000002817")</f>
        <v>ADK0000002817</v>
      </c>
      <c r="B5139" s="153" t="str">
        <f>IFERROR(__xludf.DUMMYFUNCTION("""COMPUTED_VALUE"""),"WHOLE EXOME SEQUENCING")</f>
        <v>WHOLE EXOME SEQUENCING</v>
      </c>
      <c r="C5139" s="378">
        <f>IFERROR(__xludf.DUMMYFUNCTION("""COMPUTED_VALUE"""),46188.0)</f>
        <v>46188</v>
      </c>
      <c r="D5139" s="378">
        <f>IFERROR(__xludf.DUMMYFUNCTION("""COMPUTED_VALUE"""),46202.0)</f>
        <v>46202</v>
      </c>
    </row>
    <row r="5140">
      <c r="A5140" s="153" t="str">
        <f>IFERROR(__xludf.DUMMYFUNCTION("""COMPUTED_VALUE"""),"ADK0000002818")</f>
        <v>ADK0000002818</v>
      </c>
      <c r="B5140" s="153" t="str">
        <f>IFERROR(__xludf.DUMMYFUNCTION("""COMPUTED_VALUE"""),"WHOLE EXOME SEQUENCING")</f>
        <v>WHOLE EXOME SEQUENCING</v>
      </c>
      <c r="C5140" s="378">
        <f>IFERROR(__xludf.DUMMYFUNCTION("""COMPUTED_VALUE"""),46188.0)</f>
        <v>46188</v>
      </c>
      <c r="D5140" s="378">
        <f>IFERROR(__xludf.DUMMYFUNCTION("""COMPUTED_VALUE"""),46202.0)</f>
        <v>46202</v>
      </c>
    </row>
    <row r="5141">
      <c r="A5141" s="153" t="str">
        <f>IFERROR(__xludf.DUMMYFUNCTION("""COMPUTED_VALUE"""),"ADK0000003152")</f>
        <v>ADK0000003152</v>
      </c>
      <c r="B5141" s="153" t="str">
        <f>IFERROR(__xludf.DUMMYFUNCTION("""COMPUTED_VALUE"""),"WHOLE EXOME SEQUENCING")</f>
        <v>WHOLE EXOME SEQUENCING</v>
      </c>
      <c r="C5141" s="378">
        <f>IFERROR(__xludf.DUMMYFUNCTION("""COMPUTED_VALUE"""),46188.0)</f>
        <v>46188</v>
      </c>
      <c r="D5141" s="378">
        <f>IFERROR(__xludf.DUMMYFUNCTION("""COMPUTED_VALUE"""),46202.0)</f>
        <v>46202</v>
      </c>
    </row>
    <row r="5142">
      <c r="A5142" s="153" t="str">
        <f>IFERROR(__xludf.DUMMYFUNCTION("""COMPUTED_VALUE"""),"ADK0000003153")</f>
        <v>ADK0000003153</v>
      </c>
      <c r="B5142" s="153" t="str">
        <f>IFERROR(__xludf.DUMMYFUNCTION("""COMPUTED_VALUE"""),"WHOLE EXOME SEQUENCING")</f>
        <v>WHOLE EXOME SEQUENCING</v>
      </c>
      <c r="C5142" s="378">
        <f>IFERROR(__xludf.DUMMYFUNCTION("""COMPUTED_VALUE"""),46188.0)</f>
        <v>46188</v>
      </c>
      <c r="D5142" s="378">
        <f>IFERROR(__xludf.DUMMYFUNCTION("""COMPUTED_VALUE"""),46202.0)</f>
        <v>46202</v>
      </c>
    </row>
    <row r="5143">
      <c r="A5143" s="153" t="str">
        <f>IFERROR(__xludf.DUMMYFUNCTION("""COMPUTED_VALUE"""),"ADK0000003154")</f>
        <v>ADK0000003154</v>
      </c>
      <c r="B5143" s="153" t="str">
        <f>IFERROR(__xludf.DUMMYFUNCTION("""COMPUTED_VALUE"""),"WHOLE EXOME SEQUENCING")</f>
        <v>WHOLE EXOME SEQUENCING</v>
      </c>
      <c r="C5143" s="378">
        <f>IFERROR(__xludf.DUMMYFUNCTION("""COMPUTED_VALUE"""),46188.0)</f>
        <v>46188</v>
      </c>
      <c r="D5143" s="378">
        <f>IFERROR(__xludf.DUMMYFUNCTION("""COMPUTED_VALUE"""),46202.0)</f>
        <v>46202</v>
      </c>
    </row>
    <row r="5144">
      <c r="A5144" s="153" t="str">
        <f>IFERROR(__xludf.DUMMYFUNCTION("""COMPUTED_VALUE"""),"ADK0000003155")</f>
        <v>ADK0000003155</v>
      </c>
      <c r="B5144" s="153" t="str">
        <f>IFERROR(__xludf.DUMMYFUNCTION("""COMPUTED_VALUE"""),"WHOLE EXOME SEQUENCING")</f>
        <v>WHOLE EXOME SEQUENCING</v>
      </c>
      <c r="C5144" s="378">
        <f>IFERROR(__xludf.DUMMYFUNCTION("""COMPUTED_VALUE"""),46188.0)</f>
        <v>46188</v>
      </c>
      <c r="D5144" s="378">
        <f>IFERROR(__xludf.DUMMYFUNCTION("""COMPUTED_VALUE"""),46202.0)</f>
        <v>46202</v>
      </c>
    </row>
    <row r="5145">
      <c r="A5145" s="153" t="str">
        <f>IFERROR(__xludf.DUMMYFUNCTION("""COMPUTED_VALUE"""),"ADK0000003156")</f>
        <v>ADK0000003156</v>
      </c>
      <c r="B5145" s="153" t="str">
        <f>IFERROR(__xludf.DUMMYFUNCTION("""COMPUTED_VALUE"""),"WHOLE EXOME SEQUENCING")</f>
        <v>WHOLE EXOME SEQUENCING</v>
      </c>
      <c r="C5145" s="378">
        <f>IFERROR(__xludf.DUMMYFUNCTION("""COMPUTED_VALUE"""),46188.0)</f>
        <v>46188</v>
      </c>
      <c r="D5145" s="378">
        <f>IFERROR(__xludf.DUMMYFUNCTION("""COMPUTED_VALUE"""),46202.0)</f>
        <v>46202</v>
      </c>
    </row>
    <row r="5146">
      <c r="A5146" s="153" t="str">
        <f>IFERROR(__xludf.DUMMYFUNCTION("""COMPUTED_VALUE"""),"ADK0000003157")</f>
        <v>ADK0000003157</v>
      </c>
      <c r="B5146" s="153" t="str">
        <f>IFERROR(__xludf.DUMMYFUNCTION("""COMPUTED_VALUE"""),"WHOLE EXOME SEQUENCING")</f>
        <v>WHOLE EXOME SEQUENCING</v>
      </c>
      <c r="C5146" s="378">
        <f>IFERROR(__xludf.DUMMYFUNCTION("""COMPUTED_VALUE"""),46188.0)</f>
        <v>46188</v>
      </c>
      <c r="D5146" s="378">
        <f>IFERROR(__xludf.DUMMYFUNCTION("""COMPUTED_VALUE"""),46202.0)</f>
        <v>46202</v>
      </c>
    </row>
    <row r="5147">
      <c r="A5147" s="153" t="str">
        <f>IFERROR(__xludf.DUMMYFUNCTION("""COMPUTED_VALUE"""),"ADK0000003158")</f>
        <v>ADK0000003158</v>
      </c>
      <c r="B5147" s="153" t="str">
        <f>IFERROR(__xludf.DUMMYFUNCTION("""COMPUTED_VALUE"""),"WHOLE EXOME SEQUENCING")</f>
        <v>WHOLE EXOME SEQUENCING</v>
      </c>
      <c r="C5147" s="378">
        <f>IFERROR(__xludf.DUMMYFUNCTION("""COMPUTED_VALUE"""),46188.0)</f>
        <v>46188</v>
      </c>
      <c r="D5147" s="378">
        <f>IFERROR(__xludf.DUMMYFUNCTION("""COMPUTED_VALUE"""),46202.0)</f>
        <v>46202</v>
      </c>
    </row>
    <row r="5148">
      <c r="A5148" s="153" t="str">
        <f>IFERROR(__xludf.DUMMYFUNCTION("""COMPUTED_VALUE"""),"ADK0000003159")</f>
        <v>ADK0000003159</v>
      </c>
      <c r="B5148" s="153" t="str">
        <f>IFERROR(__xludf.DUMMYFUNCTION("""COMPUTED_VALUE"""),"WHOLE EXOME SEQUENCING")</f>
        <v>WHOLE EXOME SEQUENCING</v>
      </c>
      <c r="C5148" s="378">
        <f>IFERROR(__xludf.DUMMYFUNCTION("""COMPUTED_VALUE"""),46188.0)</f>
        <v>46188</v>
      </c>
      <c r="D5148" s="378">
        <f>IFERROR(__xludf.DUMMYFUNCTION("""COMPUTED_VALUE"""),46202.0)</f>
        <v>46202</v>
      </c>
    </row>
    <row r="5149">
      <c r="A5149" s="153" t="str">
        <f>IFERROR(__xludf.DUMMYFUNCTION("""COMPUTED_VALUE"""),"ADK0000003160")</f>
        <v>ADK0000003160</v>
      </c>
      <c r="B5149" s="153" t="str">
        <f>IFERROR(__xludf.DUMMYFUNCTION("""COMPUTED_VALUE"""),"WHOLE EXOME SEQUENCING")</f>
        <v>WHOLE EXOME SEQUENCING</v>
      </c>
      <c r="C5149" s="378">
        <f>IFERROR(__xludf.DUMMYFUNCTION("""COMPUTED_VALUE"""),46188.0)</f>
        <v>46188</v>
      </c>
      <c r="D5149" s="378">
        <f>IFERROR(__xludf.DUMMYFUNCTION("""COMPUTED_VALUE"""),46202.0)</f>
        <v>46202</v>
      </c>
    </row>
    <row r="5150">
      <c r="A5150" s="153" t="str">
        <f>IFERROR(__xludf.DUMMYFUNCTION("""COMPUTED_VALUE"""),"ADK0000003161")</f>
        <v>ADK0000003161</v>
      </c>
      <c r="B5150" s="153" t="str">
        <f>IFERROR(__xludf.DUMMYFUNCTION("""COMPUTED_VALUE"""),"WHOLE EXOME SEQUENCING")</f>
        <v>WHOLE EXOME SEQUENCING</v>
      </c>
      <c r="C5150" s="378">
        <f>IFERROR(__xludf.DUMMYFUNCTION("""COMPUTED_VALUE"""),46188.0)</f>
        <v>46188</v>
      </c>
      <c r="D5150" s="378">
        <f>IFERROR(__xludf.DUMMYFUNCTION("""COMPUTED_VALUE"""),46202.0)</f>
        <v>46202</v>
      </c>
    </row>
    <row r="5151">
      <c r="A5151" s="153" t="str">
        <f>IFERROR(__xludf.DUMMYFUNCTION("""COMPUTED_VALUE"""),"ADK0000003162")</f>
        <v>ADK0000003162</v>
      </c>
      <c r="B5151" s="153" t="str">
        <f>IFERROR(__xludf.DUMMYFUNCTION("""COMPUTED_VALUE"""),"WHOLE EXOME SEQUENCING")</f>
        <v>WHOLE EXOME SEQUENCING</v>
      </c>
      <c r="C5151" s="378">
        <f>IFERROR(__xludf.DUMMYFUNCTION("""COMPUTED_VALUE"""),46188.0)</f>
        <v>46188</v>
      </c>
      <c r="D5151" s="378">
        <f>IFERROR(__xludf.DUMMYFUNCTION("""COMPUTED_VALUE"""),46202.0)</f>
        <v>46202</v>
      </c>
    </row>
    <row r="5152">
      <c r="A5152" s="153" t="str">
        <f>IFERROR(__xludf.DUMMYFUNCTION("""COMPUTED_VALUE"""),"ADK0000003163")</f>
        <v>ADK0000003163</v>
      </c>
      <c r="B5152" s="153" t="str">
        <f>IFERROR(__xludf.DUMMYFUNCTION("""COMPUTED_VALUE"""),"WHOLE EXOME SEQUENCING")</f>
        <v>WHOLE EXOME SEQUENCING</v>
      </c>
      <c r="C5152" s="378">
        <f>IFERROR(__xludf.DUMMYFUNCTION("""COMPUTED_VALUE"""),46188.0)</f>
        <v>46188</v>
      </c>
      <c r="D5152" s="378">
        <f>IFERROR(__xludf.DUMMYFUNCTION("""COMPUTED_VALUE"""),46202.0)</f>
        <v>46202</v>
      </c>
    </row>
    <row r="5153">
      <c r="A5153" s="153" t="str">
        <f>IFERROR(__xludf.DUMMYFUNCTION("""COMPUTED_VALUE"""),"ADK0000003207")</f>
        <v>ADK0000003207</v>
      </c>
      <c r="B5153" s="153" t="str">
        <f>IFERROR(__xludf.DUMMYFUNCTION("""COMPUTED_VALUE"""),"WHOLE EXOME SEQUENCING")</f>
        <v>WHOLE EXOME SEQUENCING</v>
      </c>
      <c r="C5153" s="378">
        <f>IFERROR(__xludf.DUMMYFUNCTION("""COMPUTED_VALUE"""),46188.0)</f>
        <v>46188</v>
      </c>
      <c r="D5153" s="378">
        <f>IFERROR(__xludf.DUMMYFUNCTION("""COMPUTED_VALUE"""),46202.0)</f>
        <v>46202</v>
      </c>
    </row>
    <row r="5154">
      <c r="A5154" s="153" t="str">
        <f>IFERROR(__xludf.DUMMYFUNCTION("""COMPUTED_VALUE"""),"ADK0000002806")</f>
        <v>ADK0000002806</v>
      </c>
      <c r="B5154" s="153" t="str">
        <f>IFERROR(__xludf.DUMMYFUNCTION("""COMPUTED_VALUE"""),"WES+WMGS")</f>
        <v>WES+WMGS</v>
      </c>
      <c r="C5154" s="378">
        <f>IFERROR(__xludf.DUMMYFUNCTION("""COMPUTED_VALUE"""),46188.0)</f>
        <v>46188</v>
      </c>
      <c r="D5154" s="378">
        <f>IFERROR(__xludf.DUMMYFUNCTION("""COMPUTED_VALUE"""),46207.0)</f>
        <v>46207</v>
      </c>
    </row>
    <row r="5155">
      <c r="A5155" s="153" t="str">
        <f>IFERROR(__xludf.DUMMYFUNCTION("""COMPUTED_VALUE"""),"ADK0000002804")</f>
        <v>ADK0000002804</v>
      </c>
      <c r="B5155" s="153" t="str">
        <f>IFERROR(__xludf.DUMMYFUNCTION("""COMPUTED_VALUE"""),"WES+WMGS")</f>
        <v>WES+WMGS</v>
      </c>
      <c r="C5155" s="378">
        <f>IFERROR(__xludf.DUMMYFUNCTION("""COMPUTED_VALUE"""),46188.0)</f>
        <v>46188</v>
      </c>
      <c r="D5155" s="378">
        <f>IFERROR(__xludf.DUMMYFUNCTION("""COMPUTED_VALUE"""),46207.0)</f>
        <v>46207</v>
      </c>
    </row>
    <row r="5156">
      <c r="A5156" s="153" t="str">
        <f>IFERROR(__xludf.DUMMYFUNCTION("""COMPUTED_VALUE"""),"ADK0000002805")</f>
        <v>ADK0000002805</v>
      </c>
      <c r="B5156" s="153" t="str">
        <f>IFERROR(__xludf.DUMMYFUNCTION("""COMPUTED_VALUE"""),"WES+WMGS")</f>
        <v>WES+WMGS</v>
      </c>
      <c r="C5156" s="378">
        <f>IFERROR(__xludf.DUMMYFUNCTION("""COMPUTED_VALUE"""),46188.0)</f>
        <v>46188</v>
      </c>
      <c r="D5156" s="378">
        <f>IFERROR(__xludf.DUMMYFUNCTION("""COMPUTED_VALUE"""),46207.0)</f>
        <v>46207</v>
      </c>
    </row>
    <row r="5157">
      <c r="A5157" s="153" t="str">
        <f>IFERROR(__xludf.DUMMYFUNCTION("""COMPUTED_VALUE"""),"ADK0000002807")</f>
        <v>ADK0000002807</v>
      </c>
      <c r="B5157" s="153" t="str">
        <f>IFERROR(__xludf.DUMMYFUNCTION("""COMPUTED_VALUE"""),"WES+WMGS")</f>
        <v>WES+WMGS</v>
      </c>
      <c r="C5157" s="378">
        <f>IFERROR(__xludf.DUMMYFUNCTION("""COMPUTED_VALUE"""),46188.0)</f>
        <v>46188</v>
      </c>
      <c r="D5157" s="378">
        <f>IFERROR(__xludf.DUMMYFUNCTION("""COMPUTED_VALUE"""),46207.0)</f>
        <v>46207</v>
      </c>
    </row>
    <row r="5158">
      <c r="A5158" s="153" t="str">
        <f>IFERROR(__xludf.DUMMYFUNCTION("""COMPUTED_VALUE"""),"ADK0000002808")</f>
        <v>ADK0000002808</v>
      </c>
      <c r="B5158" s="153" t="str">
        <f>IFERROR(__xludf.DUMMYFUNCTION("""COMPUTED_VALUE"""),"WES+WMGS")</f>
        <v>WES+WMGS</v>
      </c>
      <c r="C5158" s="378">
        <f>IFERROR(__xludf.DUMMYFUNCTION("""COMPUTED_VALUE"""),46188.0)</f>
        <v>46188</v>
      </c>
      <c r="D5158" s="378">
        <f>IFERROR(__xludf.DUMMYFUNCTION("""COMPUTED_VALUE"""),46207.0)</f>
        <v>46207</v>
      </c>
    </row>
    <row r="5159">
      <c r="A5159" s="153" t="str">
        <f>IFERROR(__xludf.DUMMYFUNCTION("""COMPUTED_VALUE"""),"ADS0000015654
")</f>
        <v>ADS0000015654
</v>
      </c>
      <c r="B5159" s="153" t="str">
        <f>IFERROR(__xludf.DUMMYFUNCTION("""COMPUTED_VALUE"""),"WHOLE EXOME SEQUENCING + MITOCHONDRIAL GENOME SEQUENCING")</f>
        <v>WHOLE EXOME SEQUENCING + MITOCHONDRIAL GENOME SEQUENCING</v>
      </c>
      <c r="C5159" s="378">
        <f>IFERROR(__xludf.DUMMYFUNCTION("""COMPUTED_VALUE"""),46188.0)</f>
        <v>46188</v>
      </c>
      <c r="D5159" s="378">
        <f>IFERROR(__xludf.DUMMYFUNCTION("""COMPUTED_VALUE"""),46203.0)</f>
        <v>46203</v>
      </c>
    </row>
    <row r="5160">
      <c r="A5160" s="153" t="str">
        <f>IFERROR(__xludf.DUMMYFUNCTION("""COMPUTED_VALUE"""),"ADK0000002857")</f>
        <v>ADK0000002857</v>
      </c>
      <c r="B5160" s="153" t="str">
        <f>IFERROR(__xludf.DUMMYFUNCTION("""COMPUTED_VALUE"""),"WES+WMGS")</f>
        <v>WES+WMGS</v>
      </c>
      <c r="C5160" s="378">
        <f>IFERROR(__xludf.DUMMYFUNCTION("""COMPUTED_VALUE"""),46188.0)</f>
        <v>46188</v>
      </c>
      <c r="D5160" s="378">
        <f>IFERROR(__xludf.DUMMYFUNCTION("""COMPUTED_VALUE"""),46209.0)</f>
        <v>46209</v>
      </c>
    </row>
    <row r="5161">
      <c r="A5161" s="153" t="str">
        <f>IFERROR(__xludf.DUMMYFUNCTION("""COMPUTED_VALUE"""),"ADK0000002858")</f>
        <v>ADK0000002858</v>
      </c>
      <c r="B5161" s="153" t="str">
        <f>IFERROR(__xludf.DUMMYFUNCTION("""COMPUTED_VALUE"""),"WES+WMGS")</f>
        <v>WES+WMGS</v>
      </c>
      <c r="C5161" s="378">
        <f>IFERROR(__xludf.DUMMYFUNCTION("""COMPUTED_VALUE"""),46188.0)</f>
        <v>46188</v>
      </c>
      <c r="D5161" s="378">
        <f>IFERROR(__xludf.DUMMYFUNCTION("""COMPUTED_VALUE"""),46209.0)</f>
        <v>46209</v>
      </c>
    </row>
    <row r="5162">
      <c r="A5162" s="153" t="str">
        <f>IFERROR(__xludf.DUMMYFUNCTION("""COMPUTED_VALUE"""),"ADK0000002834")</f>
        <v>ADK0000002834</v>
      </c>
      <c r="B5162" s="153" t="str">
        <f>IFERROR(__xludf.DUMMYFUNCTION("""COMPUTED_VALUE"""),"WES+WMGS")</f>
        <v>WES+WMGS</v>
      </c>
      <c r="C5162" s="378">
        <f>IFERROR(__xludf.DUMMYFUNCTION("""COMPUTED_VALUE"""),46188.0)</f>
        <v>46188</v>
      </c>
      <c r="D5162" s="378">
        <f>IFERROR(__xludf.DUMMYFUNCTION("""COMPUTED_VALUE"""),46208.0)</f>
        <v>46208</v>
      </c>
    </row>
    <row r="5163">
      <c r="A5163" s="153" t="str">
        <f>IFERROR(__xludf.DUMMYFUNCTION("""COMPUTED_VALUE"""),"ADK0000002835")</f>
        <v>ADK0000002835</v>
      </c>
      <c r="B5163" s="153" t="str">
        <f>IFERROR(__xludf.DUMMYFUNCTION("""COMPUTED_VALUE"""),"WES+WMGS")</f>
        <v>WES+WMGS</v>
      </c>
      <c r="C5163" s="378">
        <f>IFERROR(__xludf.DUMMYFUNCTION("""COMPUTED_VALUE"""),46188.0)</f>
        <v>46188</v>
      </c>
      <c r="D5163" s="378">
        <f>IFERROR(__xludf.DUMMYFUNCTION("""COMPUTED_VALUE"""),46208.0)</f>
        <v>46208</v>
      </c>
    </row>
    <row r="5164">
      <c r="A5164" s="153" t="str">
        <f>IFERROR(__xludf.DUMMYFUNCTION("""COMPUTED_VALUE"""),"ADB0000041496")</f>
        <v>ADB0000041496</v>
      </c>
      <c r="B5164" s="153" t="str">
        <f>IFERROR(__xludf.DUMMYFUNCTION("""COMPUTED_VALUE"""),"FEMALE INFERTILITY NGS PANEL")</f>
        <v>FEMALE INFERTILITY NGS PANEL</v>
      </c>
      <c r="C5164" s="378">
        <f>IFERROR(__xludf.DUMMYFUNCTION("""COMPUTED_VALUE"""),46188.0)</f>
        <v>46188</v>
      </c>
      <c r="D5164" s="378">
        <f>IFERROR(__xludf.DUMMYFUNCTION("""COMPUTED_VALUE"""),46197.0)</f>
        <v>46197</v>
      </c>
    </row>
    <row r="5165">
      <c r="A5165" s="153" t="str">
        <f>IFERROR(__xludf.DUMMYFUNCTION("""COMPUTED_VALUE"""),"ADB0000041499
")</f>
        <v>ADB0000041499
</v>
      </c>
      <c r="B5165" s="153" t="str">
        <f>IFERROR(__xludf.DUMMYFUNCTION("""COMPUTED_VALUE"""),"FEMALE INFERTILITY NGS PANEL")</f>
        <v>FEMALE INFERTILITY NGS PANEL</v>
      </c>
      <c r="C5165" s="378">
        <f>IFERROR(__xludf.DUMMYFUNCTION("""COMPUTED_VALUE"""),46188.0)</f>
        <v>46188</v>
      </c>
      <c r="D5165" s="378">
        <f>IFERROR(__xludf.DUMMYFUNCTION("""COMPUTED_VALUE"""),46197.0)</f>
        <v>46197</v>
      </c>
    </row>
    <row r="5166">
      <c r="A5166" s="153" t="str">
        <f>IFERROR(__xludf.DUMMYFUNCTION("""COMPUTED_VALUE"""),"ADB0000041493")</f>
        <v>ADB0000041493</v>
      </c>
      <c r="B5166" s="153" t="str">
        <f>IFERROR(__xludf.DUMMYFUNCTION("""COMPUTED_VALUE"""),"MALE INFERTILITY NGS PANEL")</f>
        <v>MALE INFERTILITY NGS PANEL</v>
      </c>
      <c r="C5166" s="378">
        <f>IFERROR(__xludf.DUMMYFUNCTION("""COMPUTED_VALUE"""),46188.0)</f>
        <v>46188</v>
      </c>
      <c r="D5166" s="378">
        <f>IFERROR(__xludf.DUMMYFUNCTION("""COMPUTED_VALUE"""),46197.0)</f>
        <v>46197</v>
      </c>
    </row>
    <row r="5167">
      <c r="A5167" s="153" t="str">
        <f>IFERROR(__xludf.DUMMYFUNCTION("""COMPUTED_VALUE"""),"ACL0000010152
")</f>
        <v>ACL0000010152
</v>
      </c>
      <c r="B5167" s="153" t="str">
        <f>IFERROR(__xludf.DUMMYFUNCTION("""COMPUTED_VALUE"""),"WHOLE EXOME SEQUENCING")</f>
        <v>WHOLE EXOME SEQUENCING</v>
      </c>
      <c r="C5167" s="378">
        <f>IFERROR(__xludf.DUMMYFUNCTION("""COMPUTED_VALUE"""),46188.0)</f>
        <v>46188</v>
      </c>
      <c r="D5167" s="378">
        <f>IFERROR(__xludf.DUMMYFUNCTION("""COMPUTED_VALUE"""),46208.0)</f>
        <v>46208</v>
      </c>
    </row>
    <row r="5168">
      <c r="A5168" s="153" t="str">
        <f>IFERROR(__xludf.DUMMYFUNCTION("""COMPUTED_VALUE"""),"ACL0000010147")</f>
        <v>ACL0000010147</v>
      </c>
      <c r="B5168" s="153" t="str">
        <f>IFERROR(__xludf.DUMMYFUNCTION("""COMPUTED_VALUE"""),"WHOLE EXOME SEQUENCING")</f>
        <v>WHOLE EXOME SEQUENCING</v>
      </c>
      <c r="C5168" s="378">
        <f>IFERROR(__xludf.DUMMYFUNCTION("""COMPUTED_VALUE"""),46188.0)</f>
        <v>46188</v>
      </c>
      <c r="D5168" s="378">
        <f>IFERROR(__xludf.DUMMYFUNCTION("""COMPUTED_VALUE"""),46208.0)</f>
        <v>46208</v>
      </c>
    </row>
    <row r="5169">
      <c r="A5169" s="153" t="str">
        <f>IFERROR(__xludf.DUMMYFUNCTION("""COMPUTED_VALUE"""),"ACL0000010639")</f>
        <v>ACL0000010639</v>
      </c>
      <c r="B5169" s="153" t="str">
        <f>IFERROR(__xludf.DUMMYFUNCTION("""COMPUTED_VALUE"""),"WHOLE EXOME SEQUENCING")</f>
        <v>WHOLE EXOME SEQUENCING</v>
      </c>
      <c r="C5169" s="378">
        <f>IFERROR(__xludf.DUMMYFUNCTION("""COMPUTED_VALUE"""),46188.0)</f>
        <v>46188</v>
      </c>
      <c r="D5169" s="378">
        <f>IFERROR(__xludf.DUMMYFUNCTION("""COMPUTED_VALUE"""),46209.0)</f>
        <v>46209</v>
      </c>
    </row>
    <row r="5170">
      <c r="A5170" s="153" t="str">
        <f>IFERROR(__xludf.DUMMYFUNCTION("""COMPUTED_VALUE"""),"ADK0000002856
")</f>
        <v>ADK0000002856
</v>
      </c>
      <c r="B5170" s="153" t="str">
        <f>IFERROR(__xludf.DUMMYFUNCTION("""COMPUTED_VALUE"""),"WHOLE EXOME SEQUENCING + MITOCHONDRIAL GENOME SEQUENCING")</f>
        <v>WHOLE EXOME SEQUENCING + MITOCHONDRIAL GENOME SEQUENCING</v>
      </c>
      <c r="C5170" s="378">
        <f>IFERROR(__xludf.DUMMYFUNCTION("""COMPUTED_VALUE"""),46188.0)</f>
        <v>46188</v>
      </c>
      <c r="D5170" s="378">
        <f>IFERROR(__xludf.DUMMYFUNCTION("""COMPUTED_VALUE"""),46203.0)</f>
        <v>46203</v>
      </c>
    </row>
    <row r="5171">
      <c r="A5171" s="153" t="str">
        <f>IFERROR(__xludf.DUMMYFUNCTION("""COMPUTED_VALUE"""),"ADK0000002855
")</f>
        <v>ADK0000002855
</v>
      </c>
      <c r="B5171" s="153" t="str">
        <f>IFERROR(__xludf.DUMMYFUNCTION("""COMPUTED_VALUE"""),"WHOLE EXOME SEQUENCING")</f>
        <v>WHOLE EXOME SEQUENCING</v>
      </c>
      <c r="C5171" s="378">
        <f>IFERROR(__xludf.DUMMYFUNCTION("""COMPUTED_VALUE"""),46188.0)</f>
        <v>46188</v>
      </c>
      <c r="D5171" s="378">
        <f>IFERROR(__xludf.DUMMYFUNCTION("""COMPUTED_VALUE"""),46203.0)</f>
        <v>46203</v>
      </c>
    </row>
    <row r="5172">
      <c r="A5172" s="153" t="str">
        <f>IFERROR(__xludf.DUMMYFUNCTION("""COMPUTED_VALUE"""),"ADK0000002874
")</f>
        <v>ADK0000002874
</v>
      </c>
      <c r="B5172" s="153" t="str">
        <f>IFERROR(__xludf.DUMMYFUNCTION("""COMPUTED_VALUE"""),"WHOLE EXOME SEQUENCING")</f>
        <v>WHOLE EXOME SEQUENCING</v>
      </c>
      <c r="C5172" s="378">
        <f>IFERROR(__xludf.DUMMYFUNCTION("""COMPUTED_VALUE"""),46188.0)</f>
        <v>46188</v>
      </c>
      <c r="D5172" s="378">
        <f>IFERROR(__xludf.DUMMYFUNCTION("""COMPUTED_VALUE"""),46203.0)</f>
        <v>46203</v>
      </c>
    </row>
    <row r="5173">
      <c r="A5173" s="153" t="str">
        <f>IFERROR(__xludf.DUMMYFUNCTION("""COMPUTED_VALUE"""),"ADH0000030375")</f>
        <v>ADH0000030375</v>
      </c>
      <c r="B5173" s="153" t="str">
        <f>IFERROR(__xludf.DUMMYFUNCTION("""COMPUTED_VALUE"""),"WHOLE EXOME SEQUENCING")</f>
        <v>WHOLE EXOME SEQUENCING</v>
      </c>
      <c r="C5173" s="378">
        <f>IFERROR(__xludf.DUMMYFUNCTION("""COMPUTED_VALUE"""),46188.0)</f>
        <v>46188</v>
      </c>
      <c r="D5173" s="378">
        <f>IFERROR(__xludf.DUMMYFUNCTION("""COMPUTED_VALUE"""),46209.0)</f>
        <v>46209</v>
      </c>
    </row>
    <row r="5174">
      <c r="A5174" s="153" t="str">
        <f>IFERROR(__xludf.DUMMYFUNCTION("""COMPUTED_VALUE"""),"ADH0000030376")</f>
        <v>ADH0000030376</v>
      </c>
      <c r="B5174" s="153" t="str">
        <f>IFERROR(__xludf.DUMMYFUNCTION("""COMPUTED_VALUE"""),"WHOLE EXOME SEQUENCING")</f>
        <v>WHOLE EXOME SEQUENCING</v>
      </c>
      <c r="C5174" s="378">
        <f>IFERROR(__xludf.DUMMYFUNCTION("""COMPUTED_VALUE"""),46188.0)</f>
        <v>46188</v>
      </c>
      <c r="D5174" s="378">
        <f>IFERROR(__xludf.DUMMYFUNCTION("""COMPUTED_VALUE"""),46209.0)</f>
        <v>46209</v>
      </c>
    </row>
    <row r="5175">
      <c r="A5175" s="153" t="str">
        <f>IFERROR(__xludf.DUMMYFUNCTION("""COMPUTED_VALUE"""),"ANG0000011930")</f>
        <v>ANG0000011930</v>
      </c>
      <c r="B5175" s="153" t="str">
        <f>IFERROR(__xludf.DUMMYFUNCTION("""COMPUTED_VALUE"""),"CLINICAL EXOME SEQUENCING")</f>
        <v>CLINICAL EXOME SEQUENCING</v>
      </c>
      <c r="C5175" s="378">
        <f>IFERROR(__xludf.DUMMYFUNCTION("""COMPUTED_VALUE"""),46188.0)</f>
        <v>46188</v>
      </c>
      <c r="D5175" s="378">
        <f>IFERROR(__xludf.DUMMYFUNCTION("""COMPUTED_VALUE"""),46209.0)</f>
        <v>46209</v>
      </c>
    </row>
    <row r="5176">
      <c r="A5176" s="153" t="str">
        <f>IFERROR(__xludf.DUMMYFUNCTION("""COMPUTED_VALUE"""),"ADK0000002868")</f>
        <v>ADK0000002868</v>
      </c>
      <c r="B5176" s="153" t="str">
        <f>IFERROR(__xludf.DUMMYFUNCTION("""COMPUTED_VALUE"""),"WHOLE EXOME SEQUENCING")</f>
        <v>WHOLE EXOME SEQUENCING</v>
      </c>
      <c r="C5176" s="378">
        <f>IFERROR(__xludf.DUMMYFUNCTION("""COMPUTED_VALUE"""),46188.0)</f>
        <v>46188</v>
      </c>
      <c r="D5176" s="378">
        <f>IFERROR(__xludf.DUMMYFUNCTION("""COMPUTED_VALUE"""),46204.0)</f>
        <v>46204</v>
      </c>
    </row>
    <row r="5177">
      <c r="A5177" s="153" t="str">
        <f>IFERROR(__xludf.DUMMYFUNCTION("""COMPUTED_VALUE"""),"ADK0000002869")</f>
        <v>ADK0000002869</v>
      </c>
      <c r="B5177" s="153" t="str">
        <f>IFERROR(__xludf.DUMMYFUNCTION("""COMPUTED_VALUE"""),"WHOLE EXOME SEQUENCING")</f>
        <v>WHOLE EXOME SEQUENCING</v>
      </c>
      <c r="C5177" s="378">
        <f>IFERROR(__xludf.DUMMYFUNCTION("""COMPUTED_VALUE"""),46188.0)</f>
        <v>46188</v>
      </c>
      <c r="D5177" s="378">
        <f>IFERROR(__xludf.DUMMYFUNCTION("""COMPUTED_VALUE"""),46204.0)</f>
        <v>46204</v>
      </c>
    </row>
    <row r="5178">
      <c r="A5178" s="153" t="str">
        <f>IFERROR(__xludf.DUMMYFUNCTION("""COMPUTED_VALUE"""),"ADK0000002870")</f>
        <v>ADK0000002870</v>
      </c>
      <c r="B5178" s="153" t="str">
        <f>IFERROR(__xludf.DUMMYFUNCTION("""COMPUTED_VALUE"""),"WHOLE EXOME SEQUENCING")</f>
        <v>WHOLE EXOME SEQUENCING</v>
      </c>
      <c r="C5178" s="378">
        <f>IFERROR(__xludf.DUMMYFUNCTION("""COMPUTED_VALUE"""),46188.0)</f>
        <v>46188</v>
      </c>
      <c r="D5178" s="378">
        <f>IFERROR(__xludf.DUMMYFUNCTION("""COMPUTED_VALUE"""),46204.0)</f>
        <v>46204</v>
      </c>
    </row>
    <row r="5179">
      <c r="A5179" s="153" t="str">
        <f>IFERROR(__xludf.DUMMYFUNCTION("""COMPUTED_VALUE"""),"ADK0000002871")</f>
        <v>ADK0000002871</v>
      </c>
      <c r="B5179" s="153" t="str">
        <f>IFERROR(__xludf.DUMMYFUNCTION("""COMPUTED_VALUE"""),"WHOLE EXOME SEQUENCING")</f>
        <v>WHOLE EXOME SEQUENCING</v>
      </c>
      <c r="C5179" s="378">
        <f>IFERROR(__xludf.DUMMYFUNCTION("""COMPUTED_VALUE"""),46188.0)</f>
        <v>46188</v>
      </c>
      <c r="D5179" s="378">
        <f>IFERROR(__xludf.DUMMYFUNCTION("""COMPUTED_VALUE"""),46204.0)</f>
        <v>46204</v>
      </c>
    </row>
    <row r="5180">
      <c r="A5180" s="153" t="str">
        <f>IFERROR(__xludf.DUMMYFUNCTION("""COMPUTED_VALUE"""),"ADK0000002872")</f>
        <v>ADK0000002872</v>
      </c>
      <c r="B5180" s="153" t="str">
        <f>IFERROR(__xludf.DUMMYFUNCTION("""COMPUTED_VALUE"""),"WHOLE EXOME SEQUENCING")</f>
        <v>WHOLE EXOME SEQUENCING</v>
      </c>
      <c r="C5180" s="378">
        <f>IFERROR(__xludf.DUMMYFUNCTION("""COMPUTED_VALUE"""),46188.0)</f>
        <v>46188</v>
      </c>
      <c r="D5180" s="378">
        <f>IFERROR(__xludf.DUMMYFUNCTION("""COMPUTED_VALUE"""),46204.0)</f>
        <v>46204</v>
      </c>
    </row>
    <row r="5181">
      <c r="A5181" s="153" t="str">
        <f>IFERROR(__xludf.DUMMYFUNCTION("""COMPUTED_VALUE"""),"ADK0000002873")</f>
        <v>ADK0000002873</v>
      </c>
      <c r="B5181" s="153" t="str">
        <f>IFERROR(__xludf.DUMMYFUNCTION("""COMPUTED_VALUE"""),"WHOLE EXOME SEQUENCING")</f>
        <v>WHOLE EXOME SEQUENCING</v>
      </c>
      <c r="C5181" s="378">
        <f>IFERROR(__xludf.DUMMYFUNCTION("""COMPUTED_VALUE"""),46188.0)</f>
        <v>46188</v>
      </c>
      <c r="D5181" s="378">
        <f>IFERROR(__xludf.DUMMYFUNCTION("""COMPUTED_VALUE"""),46204.0)</f>
        <v>46204</v>
      </c>
    </row>
    <row r="5182">
      <c r="A5182" s="153" t="str">
        <f>IFERROR(__xludf.DUMMYFUNCTION("""COMPUTED_VALUE"""),"ADK0000002921")</f>
        <v>ADK0000002921</v>
      </c>
      <c r="B5182" s="153" t="str">
        <f>IFERROR(__xludf.DUMMYFUNCTION("""COMPUTED_VALUE"""),"WHOLE EXOME SEQUENCING")</f>
        <v>WHOLE EXOME SEQUENCING</v>
      </c>
      <c r="C5182" s="378">
        <f>IFERROR(__xludf.DUMMYFUNCTION("""COMPUTED_VALUE"""),46188.0)</f>
        <v>46188</v>
      </c>
      <c r="D5182" s="378">
        <f>IFERROR(__xludf.DUMMYFUNCTION("""COMPUTED_VALUE"""),46204.0)</f>
        <v>46204</v>
      </c>
    </row>
    <row r="5183">
      <c r="A5183" s="153" t="str">
        <f>IFERROR(__xludf.DUMMYFUNCTION("""COMPUTED_VALUE"""),"ADK0000002922")</f>
        <v>ADK0000002922</v>
      </c>
      <c r="B5183" s="153" t="str">
        <f>IFERROR(__xludf.DUMMYFUNCTION("""COMPUTED_VALUE"""),"WHOLE EXOME SEQUENCING")</f>
        <v>WHOLE EXOME SEQUENCING</v>
      </c>
      <c r="C5183" s="378">
        <f>IFERROR(__xludf.DUMMYFUNCTION("""COMPUTED_VALUE"""),46188.0)</f>
        <v>46188</v>
      </c>
      <c r="D5183" s="378">
        <f>IFERROR(__xludf.DUMMYFUNCTION("""COMPUTED_VALUE"""),46204.0)</f>
        <v>46204</v>
      </c>
    </row>
    <row r="5184">
      <c r="A5184" s="153" t="str">
        <f>IFERROR(__xludf.DUMMYFUNCTION("""COMPUTED_VALUE"""),"ADK0000002923")</f>
        <v>ADK0000002923</v>
      </c>
      <c r="B5184" s="153" t="str">
        <f>IFERROR(__xludf.DUMMYFUNCTION("""COMPUTED_VALUE"""),"WHOLE EXOME SEQUENCING")</f>
        <v>WHOLE EXOME SEQUENCING</v>
      </c>
      <c r="C5184" s="378">
        <f>IFERROR(__xludf.DUMMYFUNCTION("""COMPUTED_VALUE"""),46188.0)</f>
        <v>46188</v>
      </c>
      <c r="D5184" s="378">
        <f>IFERROR(__xludf.DUMMYFUNCTION("""COMPUTED_VALUE"""),46204.0)</f>
        <v>46204</v>
      </c>
    </row>
    <row r="5185">
      <c r="A5185" s="153" t="str">
        <f>IFERROR(__xludf.DUMMYFUNCTION("""COMPUTED_VALUE"""),"ADK0000002924")</f>
        <v>ADK0000002924</v>
      </c>
      <c r="B5185" s="153" t="str">
        <f>IFERROR(__xludf.DUMMYFUNCTION("""COMPUTED_VALUE"""),"WHOLE EXOME SEQUENCING")</f>
        <v>WHOLE EXOME SEQUENCING</v>
      </c>
      <c r="C5185" s="378">
        <f>IFERROR(__xludf.DUMMYFUNCTION("""COMPUTED_VALUE"""),46188.0)</f>
        <v>46188</v>
      </c>
      <c r="D5185" s="378">
        <f>IFERROR(__xludf.DUMMYFUNCTION("""COMPUTED_VALUE"""),46204.0)</f>
        <v>46204</v>
      </c>
    </row>
    <row r="5186">
      <c r="A5186" s="153" t="str">
        <f>IFERROR(__xludf.DUMMYFUNCTION("""COMPUTED_VALUE"""),"ADK0000002925")</f>
        <v>ADK0000002925</v>
      </c>
      <c r="B5186" s="153" t="str">
        <f>IFERROR(__xludf.DUMMYFUNCTION("""COMPUTED_VALUE"""),"WHOLE EXOME SEQUENCING")</f>
        <v>WHOLE EXOME SEQUENCING</v>
      </c>
      <c r="C5186" s="378">
        <f>IFERROR(__xludf.DUMMYFUNCTION("""COMPUTED_VALUE"""),46188.0)</f>
        <v>46188</v>
      </c>
      <c r="D5186" s="378">
        <f>IFERROR(__xludf.DUMMYFUNCTION("""COMPUTED_VALUE"""),46204.0)</f>
        <v>46204</v>
      </c>
    </row>
    <row r="5187">
      <c r="A5187" s="153" t="str">
        <f>IFERROR(__xludf.DUMMYFUNCTION("""COMPUTED_VALUE"""),"ADK0000002926")</f>
        <v>ADK0000002926</v>
      </c>
      <c r="B5187" s="153" t="str">
        <f>IFERROR(__xludf.DUMMYFUNCTION("""COMPUTED_VALUE"""),"WHOLE EXOME SEQUENCING")</f>
        <v>WHOLE EXOME SEQUENCING</v>
      </c>
      <c r="C5187" s="378">
        <f>IFERROR(__xludf.DUMMYFUNCTION("""COMPUTED_VALUE"""),46188.0)</f>
        <v>46188</v>
      </c>
      <c r="D5187" s="378">
        <f>IFERROR(__xludf.DUMMYFUNCTION("""COMPUTED_VALUE"""),46204.0)</f>
        <v>46204</v>
      </c>
    </row>
    <row r="5188">
      <c r="A5188" s="153" t="str">
        <f>IFERROR(__xludf.DUMMYFUNCTION("""COMPUTED_VALUE"""),"ADK0000002927")</f>
        <v>ADK0000002927</v>
      </c>
      <c r="B5188" s="153" t="str">
        <f>IFERROR(__xludf.DUMMYFUNCTION("""COMPUTED_VALUE"""),"WHOLE EXOME SEQUENCING")</f>
        <v>WHOLE EXOME SEQUENCING</v>
      </c>
      <c r="C5188" s="378">
        <f>IFERROR(__xludf.DUMMYFUNCTION("""COMPUTED_VALUE"""),46188.0)</f>
        <v>46188</v>
      </c>
      <c r="D5188" s="378">
        <f>IFERROR(__xludf.DUMMYFUNCTION("""COMPUTED_VALUE"""),46204.0)</f>
        <v>46204</v>
      </c>
    </row>
    <row r="5189">
      <c r="A5189" s="153" t="str">
        <f>IFERROR(__xludf.DUMMYFUNCTION("""COMPUTED_VALUE"""),"ADK0000002928")</f>
        <v>ADK0000002928</v>
      </c>
      <c r="B5189" s="153" t="str">
        <f>IFERROR(__xludf.DUMMYFUNCTION("""COMPUTED_VALUE"""),"WHOLE EXOME SEQUENCING")</f>
        <v>WHOLE EXOME SEQUENCING</v>
      </c>
      <c r="C5189" s="378">
        <f>IFERROR(__xludf.DUMMYFUNCTION("""COMPUTED_VALUE"""),46188.0)</f>
        <v>46188</v>
      </c>
      <c r="D5189" s="378">
        <f>IFERROR(__xludf.DUMMYFUNCTION("""COMPUTED_VALUE"""),46204.0)</f>
        <v>46204</v>
      </c>
    </row>
    <row r="5190">
      <c r="A5190" s="153" t="str">
        <f>IFERROR(__xludf.DUMMYFUNCTION("""COMPUTED_VALUE"""),"ADK0000002929")</f>
        <v>ADK0000002929</v>
      </c>
      <c r="B5190" s="153" t="str">
        <f>IFERROR(__xludf.DUMMYFUNCTION("""COMPUTED_VALUE"""),"WHOLE EXOME SEQUENCING")</f>
        <v>WHOLE EXOME SEQUENCING</v>
      </c>
      <c r="C5190" s="378">
        <f>IFERROR(__xludf.DUMMYFUNCTION("""COMPUTED_VALUE"""),46188.0)</f>
        <v>46188</v>
      </c>
      <c r="D5190" s="378">
        <f>IFERROR(__xludf.DUMMYFUNCTION("""COMPUTED_VALUE"""),46204.0)</f>
        <v>46204</v>
      </c>
    </row>
    <row r="5191">
      <c r="A5191" s="153" t="str">
        <f>IFERROR(__xludf.DUMMYFUNCTION("""COMPUTED_VALUE"""),"ADK0000002930")</f>
        <v>ADK0000002930</v>
      </c>
      <c r="B5191" s="153" t="str">
        <f>IFERROR(__xludf.DUMMYFUNCTION("""COMPUTED_VALUE"""),"WHOLE EXOME SEQUENCING")</f>
        <v>WHOLE EXOME SEQUENCING</v>
      </c>
      <c r="C5191" s="378">
        <f>IFERROR(__xludf.DUMMYFUNCTION("""COMPUTED_VALUE"""),46188.0)</f>
        <v>46188</v>
      </c>
      <c r="D5191" s="378">
        <f>IFERROR(__xludf.DUMMYFUNCTION("""COMPUTED_VALUE"""),46204.0)</f>
        <v>46204</v>
      </c>
    </row>
    <row r="5192">
      <c r="A5192" s="153" t="str">
        <f>IFERROR(__xludf.DUMMYFUNCTION("""COMPUTED_VALUE"""),"ADK0000002931")</f>
        <v>ADK0000002931</v>
      </c>
      <c r="B5192" s="153" t="str">
        <f>IFERROR(__xludf.DUMMYFUNCTION("""COMPUTED_VALUE"""),"WHOLE EXOME SEQUENCING")</f>
        <v>WHOLE EXOME SEQUENCING</v>
      </c>
      <c r="C5192" s="378">
        <f>IFERROR(__xludf.DUMMYFUNCTION("""COMPUTED_VALUE"""),46188.0)</f>
        <v>46188</v>
      </c>
      <c r="D5192" s="378">
        <f>IFERROR(__xludf.DUMMYFUNCTION("""COMPUTED_VALUE"""),46204.0)</f>
        <v>46204</v>
      </c>
    </row>
    <row r="5193">
      <c r="A5193" s="153" t="str">
        <f>IFERROR(__xludf.DUMMYFUNCTION("""COMPUTED_VALUE"""),"ADK0000002932")</f>
        <v>ADK0000002932</v>
      </c>
      <c r="B5193" s="153" t="str">
        <f>IFERROR(__xludf.DUMMYFUNCTION("""COMPUTED_VALUE"""),"WHOLE EXOME SEQUENCING")</f>
        <v>WHOLE EXOME SEQUENCING</v>
      </c>
      <c r="C5193" s="378">
        <f>IFERROR(__xludf.DUMMYFUNCTION("""COMPUTED_VALUE"""),46188.0)</f>
        <v>46188</v>
      </c>
      <c r="D5193" s="378">
        <f>IFERROR(__xludf.DUMMYFUNCTION("""COMPUTED_VALUE"""),46204.0)</f>
        <v>46204</v>
      </c>
    </row>
    <row r="5194">
      <c r="A5194" s="153" t="str">
        <f>IFERROR(__xludf.DUMMYFUNCTION("""COMPUTED_VALUE"""),"ADK0000002936")</f>
        <v>ADK0000002936</v>
      </c>
      <c r="B5194" s="153" t="str">
        <f>IFERROR(__xludf.DUMMYFUNCTION("""COMPUTED_VALUE"""),"WHOLE EXOME SEQUENCING")</f>
        <v>WHOLE EXOME SEQUENCING</v>
      </c>
      <c r="C5194" s="378">
        <f>IFERROR(__xludf.DUMMYFUNCTION("""COMPUTED_VALUE"""),46188.0)</f>
        <v>46188</v>
      </c>
      <c r="D5194" s="378">
        <f>IFERROR(__xludf.DUMMYFUNCTION("""COMPUTED_VALUE"""),46204.0)</f>
        <v>46204</v>
      </c>
    </row>
    <row r="5195">
      <c r="A5195" s="153" t="str">
        <f>IFERROR(__xludf.DUMMYFUNCTION("""COMPUTED_VALUE"""),"ADK0000002937")</f>
        <v>ADK0000002937</v>
      </c>
      <c r="B5195" s="153" t="str">
        <f>IFERROR(__xludf.DUMMYFUNCTION("""COMPUTED_VALUE"""),"WHOLE EXOME SEQUENCING")</f>
        <v>WHOLE EXOME SEQUENCING</v>
      </c>
      <c r="C5195" s="378">
        <f>IFERROR(__xludf.DUMMYFUNCTION("""COMPUTED_VALUE"""),46188.0)</f>
        <v>46188</v>
      </c>
      <c r="D5195" s="378">
        <f>IFERROR(__xludf.DUMMYFUNCTION("""COMPUTED_VALUE"""),46204.0)</f>
        <v>46204</v>
      </c>
    </row>
    <row r="5196">
      <c r="A5196" s="153" t="str">
        <f>IFERROR(__xludf.DUMMYFUNCTION("""COMPUTED_VALUE"""),"ADK0000002953")</f>
        <v>ADK0000002953</v>
      </c>
      <c r="B5196" s="153" t="str">
        <f>IFERROR(__xludf.DUMMYFUNCTION("""COMPUTED_VALUE"""),"WHOLE EXOME SEQUENCING")</f>
        <v>WHOLE EXOME SEQUENCING</v>
      </c>
      <c r="C5196" s="378">
        <f>IFERROR(__xludf.DUMMYFUNCTION("""COMPUTED_VALUE"""),46188.0)</f>
        <v>46188</v>
      </c>
      <c r="D5196" s="378">
        <f>IFERROR(__xludf.DUMMYFUNCTION("""COMPUTED_VALUE"""),46204.0)</f>
        <v>46204</v>
      </c>
    </row>
    <row r="5197">
      <c r="A5197" s="153" t="str">
        <f>IFERROR(__xludf.DUMMYFUNCTION("""COMPUTED_VALUE"""),"ADK0000002957")</f>
        <v>ADK0000002957</v>
      </c>
      <c r="B5197" s="153" t="str">
        <f>IFERROR(__xludf.DUMMYFUNCTION("""COMPUTED_VALUE"""),"WHOLE EXOME SEQUENCING")</f>
        <v>WHOLE EXOME SEQUENCING</v>
      </c>
      <c r="C5197" s="378">
        <f>IFERROR(__xludf.DUMMYFUNCTION("""COMPUTED_VALUE"""),46188.0)</f>
        <v>46188</v>
      </c>
      <c r="D5197" s="378">
        <f>IFERROR(__xludf.DUMMYFUNCTION("""COMPUTED_VALUE"""),46204.0)</f>
        <v>46204</v>
      </c>
    </row>
    <row r="5198">
      <c r="A5198" s="153" t="str">
        <f>IFERROR(__xludf.DUMMYFUNCTION("""COMPUTED_VALUE"""),"ADK0000002961")</f>
        <v>ADK0000002961</v>
      </c>
      <c r="B5198" s="153" t="str">
        <f>IFERROR(__xludf.DUMMYFUNCTION("""COMPUTED_VALUE"""),"WHOLE EXOME SEQUENCING")</f>
        <v>WHOLE EXOME SEQUENCING</v>
      </c>
      <c r="C5198" s="378">
        <f>IFERROR(__xludf.DUMMYFUNCTION("""COMPUTED_VALUE"""),46188.0)</f>
        <v>46188</v>
      </c>
      <c r="D5198" s="378">
        <f>IFERROR(__xludf.DUMMYFUNCTION("""COMPUTED_VALUE"""),46204.0)</f>
        <v>46204</v>
      </c>
    </row>
    <row r="5199">
      <c r="A5199" s="153" t="str">
        <f>IFERROR(__xludf.DUMMYFUNCTION("""COMPUTED_VALUE"""),"ADK0000002962")</f>
        <v>ADK0000002962</v>
      </c>
      <c r="B5199" s="153" t="str">
        <f>IFERROR(__xludf.DUMMYFUNCTION("""COMPUTED_VALUE"""),"WHOLE EXOME SEQUENCING")</f>
        <v>WHOLE EXOME SEQUENCING</v>
      </c>
      <c r="C5199" s="378">
        <f>IFERROR(__xludf.DUMMYFUNCTION("""COMPUTED_VALUE"""),46188.0)</f>
        <v>46188</v>
      </c>
      <c r="D5199" s="378">
        <f>IFERROR(__xludf.DUMMYFUNCTION("""COMPUTED_VALUE"""),46204.0)</f>
        <v>46204</v>
      </c>
    </row>
    <row r="5200">
      <c r="A5200" s="153" t="str">
        <f>IFERROR(__xludf.DUMMYFUNCTION("""COMPUTED_VALUE"""),"ADK0000002963")</f>
        <v>ADK0000002963</v>
      </c>
      <c r="B5200" s="153" t="str">
        <f>IFERROR(__xludf.DUMMYFUNCTION("""COMPUTED_VALUE"""),"WHOLE EXOME SEQUENCING")</f>
        <v>WHOLE EXOME SEQUENCING</v>
      </c>
      <c r="C5200" s="378">
        <f>IFERROR(__xludf.DUMMYFUNCTION("""COMPUTED_VALUE"""),46188.0)</f>
        <v>46188</v>
      </c>
      <c r="D5200" s="378">
        <f>IFERROR(__xludf.DUMMYFUNCTION("""COMPUTED_VALUE"""),46204.0)</f>
        <v>46204</v>
      </c>
    </row>
    <row r="5201">
      <c r="A5201" s="153" t="str">
        <f>IFERROR(__xludf.DUMMYFUNCTION("""COMPUTED_VALUE"""),"ADK0000002964")</f>
        <v>ADK0000002964</v>
      </c>
      <c r="B5201" s="153" t="str">
        <f>IFERROR(__xludf.DUMMYFUNCTION("""COMPUTED_VALUE"""),"WHOLE EXOME SEQUENCING")</f>
        <v>WHOLE EXOME SEQUENCING</v>
      </c>
      <c r="C5201" s="378">
        <f>IFERROR(__xludf.DUMMYFUNCTION("""COMPUTED_VALUE"""),46188.0)</f>
        <v>46188</v>
      </c>
      <c r="D5201" s="378">
        <f>IFERROR(__xludf.DUMMYFUNCTION("""COMPUTED_VALUE"""),46204.0)</f>
        <v>46204</v>
      </c>
    </row>
    <row r="5202">
      <c r="A5202" s="153" t="str">
        <f>IFERROR(__xludf.DUMMYFUNCTION("""COMPUTED_VALUE"""),"ADK0000002965")</f>
        <v>ADK0000002965</v>
      </c>
      <c r="B5202" s="153" t="str">
        <f>IFERROR(__xludf.DUMMYFUNCTION("""COMPUTED_VALUE"""),"WHOLE EXOME SEQUENCING")</f>
        <v>WHOLE EXOME SEQUENCING</v>
      </c>
      <c r="C5202" s="378">
        <f>IFERROR(__xludf.DUMMYFUNCTION("""COMPUTED_VALUE"""),46188.0)</f>
        <v>46188</v>
      </c>
      <c r="D5202" s="378">
        <f>IFERROR(__xludf.DUMMYFUNCTION("""COMPUTED_VALUE"""),46204.0)</f>
        <v>46204</v>
      </c>
    </row>
    <row r="5203">
      <c r="A5203" s="153" t="str">
        <f>IFERROR(__xludf.DUMMYFUNCTION("""COMPUTED_VALUE"""),"ADK0000003208")</f>
        <v>ADK0000003208</v>
      </c>
      <c r="B5203" s="153" t="str">
        <f>IFERROR(__xludf.DUMMYFUNCTION("""COMPUTED_VALUE"""),"WHOLE EXOME SEQUENCING")</f>
        <v>WHOLE EXOME SEQUENCING</v>
      </c>
      <c r="C5203" s="378">
        <f>IFERROR(__xludf.DUMMYFUNCTION("""COMPUTED_VALUE"""),46188.0)</f>
        <v>46188</v>
      </c>
      <c r="D5203" s="378">
        <f>IFERROR(__xludf.DUMMYFUNCTION("""COMPUTED_VALUE"""),46204.0)</f>
        <v>46204</v>
      </c>
    </row>
    <row r="5204">
      <c r="A5204" s="153" t="str">
        <f>IFERROR(__xludf.DUMMYFUNCTION("""COMPUTED_VALUE"""),"ADK0000002966")</f>
        <v>ADK0000002966</v>
      </c>
      <c r="B5204" s="153" t="str">
        <f>IFERROR(__xludf.DUMMYFUNCTION("""COMPUTED_VALUE"""),"WHOLE EXOME SEQUENCING")</f>
        <v>WHOLE EXOME SEQUENCING</v>
      </c>
      <c r="C5204" s="378">
        <f>IFERROR(__xludf.DUMMYFUNCTION("""COMPUTED_VALUE"""),46188.0)</f>
        <v>46188</v>
      </c>
      <c r="D5204" s="378">
        <f>IFERROR(__xludf.DUMMYFUNCTION("""COMPUTED_VALUE"""),46204.0)</f>
        <v>46204</v>
      </c>
    </row>
    <row r="5205">
      <c r="A5205" s="153"/>
      <c r="B5205" s="153"/>
      <c r="C5205" s="153"/>
      <c r="D5205" s="153"/>
    </row>
    <row r="5206">
      <c r="A5206" s="153"/>
      <c r="B5206" s="153"/>
      <c r="C5206" s="153"/>
      <c r="D5206" s="153"/>
    </row>
    <row r="5207">
      <c r="A5207" s="153"/>
      <c r="B5207" s="153"/>
      <c r="C5207" s="153"/>
      <c r="D5207" s="153"/>
    </row>
    <row r="5208">
      <c r="A5208" s="153"/>
      <c r="B5208" s="153"/>
      <c r="C5208" s="153"/>
      <c r="D5208" s="153"/>
    </row>
    <row r="5209">
      <c r="A5209" s="153" t="str">
        <f>IFERROR(__xludf.DUMMYFUNCTION("""COMPUTED_VALUE"""),"ADB0000038680")</f>
        <v>ADB0000038680</v>
      </c>
      <c r="B5209" s="153" t="str">
        <f>IFERROR(__xludf.DUMMYFUNCTION("""COMPUTED_VALUE"""),"WHOLE EXOME SEQUENCING")</f>
        <v>WHOLE EXOME SEQUENCING</v>
      </c>
      <c r="C5209" s="378">
        <f>IFERROR(__xludf.DUMMYFUNCTION("""COMPUTED_VALUE"""),46192.0)</f>
        <v>46192</v>
      </c>
      <c r="D5209" s="378">
        <f>IFERROR(__xludf.DUMMYFUNCTION("""COMPUTED_VALUE"""),46187.0)</f>
        <v>46187</v>
      </c>
    </row>
    <row r="5210">
      <c r="A5210" s="153" t="str">
        <f>IFERROR(__xludf.DUMMYFUNCTION("""COMPUTED_VALUE"""),"ADN0000028417")</f>
        <v>ADN0000028417</v>
      </c>
      <c r="B5210" s="153" t="str">
        <f>IFERROR(__xludf.DUMMYFUNCTION("""COMPUTED_VALUE"""),"WHOLE EXOME SEQUENCING")</f>
        <v>WHOLE EXOME SEQUENCING</v>
      </c>
      <c r="C5210" s="378">
        <f>IFERROR(__xludf.DUMMYFUNCTION("""COMPUTED_VALUE"""),46192.0)</f>
        <v>46192</v>
      </c>
      <c r="D5210" s="378">
        <f>IFERROR(__xludf.DUMMYFUNCTION("""COMPUTED_VALUE"""),46210.0)</f>
        <v>46210</v>
      </c>
    </row>
    <row r="5211">
      <c r="A5211" s="153" t="str">
        <f>IFERROR(__xludf.DUMMYFUNCTION("""COMPUTED_VALUE"""),"ADN0000028418")</f>
        <v>ADN0000028418</v>
      </c>
      <c r="B5211" s="153" t="str">
        <f>IFERROR(__xludf.DUMMYFUNCTION("""COMPUTED_VALUE"""),"WHOLE EXOME SEQUENCING")</f>
        <v>WHOLE EXOME SEQUENCING</v>
      </c>
      <c r="C5211" s="378">
        <f>IFERROR(__xludf.DUMMYFUNCTION("""COMPUTED_VALUE"""),46192.0)</f>
        <v>46192</v>
      </c>
      <c r="D5211" s="378">
        <f>IFERROR(__xludf.DUMMYFUNCTION("""COMPUTED_VALUE"""),46210.0)</f>
        <v>46210</v>
      </c>
    </row>
    <row r="5212">
      <c r="A5212" s="153" t="str">
        <f>IFERROR(__xludf.DUMMYFUNCTION("""COMPUTED_VALUE"""),"ADB0000041995
")</f>
        <v>ADB0000041995
</v>
      </c>
      <c r="B5212" s="153" t="str">
        <f>IFERROR(__xludf.DUMMYFUNCTION("""COMPUTED_VALUE"""),"WHOLE EXOME SEQUENCING")</f>
        <v>WHOLE EXOME SEQUENCING</v>
      </c>
      <c r="C5212" s="378">
        <f>IFERROR(__xludf.DUMMYFUNCTION("""COMPUTED_VALUE"""),46192.0)</f>
        <v>46192</v>
      </c>
      <c r="D5212" s="378">
        <f>IFERROR(__xludf.DUMMYFUNCTION("""COMPUTED_VALUE"""),46210.0)</f>
        <v>46210</v>
      </c>
    </row>
    <row r="5213">
      <c r="A5213" s="153" t="str">
        <f>IFERROR(__xludf.DUMMYFUNCTION("""COMPUTED_VALUE"""),"ADH0000030636")</f>
        <v>ADH0000030636</v>
      </c>
      <c r="B5213" s="153" t="str">
        <f>IFERROR(__xludf.DUMMYFUNCTION("""COMPUTED_VALUE"""),"WHOLE EXOME SEQUENCING")</f>
        <v>WHOLE EXOME SEQUENCING</v>
      </c>
      <c r="C5213" s="378">
        <f>IFERROR(__xludf.DUMMYFUNCTION("""COMPUTED_VALUE"""),46192.0)</f>
        <v>46192</v>
      </c>
      <c r="D5213" s="378">
        <f>IFERROR(__xludf.DUMMYFUNCTION("""COMPUTED_VALUE"""),46210.0)</f>
        <v>46210</v>
      </c>
    </row>
    <row r="5214">
      <c r="A5214" s="153" t="str">
        <f>IFERROR(__xludf.DUMMYFUNCTION("""COMPUTED_VALUE"""),"ADH0000030637")</f>
        <v>ADH0000030637</v>
      </c>
      <c r="B5214" s="153" t="str">
        <f>IFERROR(__xludf.DUMMYFUNCTION("""COMPUTED_VALUE"""),"WHOLE EXOME SEQUENCING")</f>
        <v>WHOLE EXOME SEQUENCING</v>
      </c>
      <c r="C5214" s="378">
        <f>IFERROR(__xludf.DUMMYFUNCTION("""COMPUTED_VALUE"""),46192.0)</f>
        <v>46192</v>
      </c>
      <c r="D5214" s="378">
        <f>IFERROR(__xludf.DUMMYFUNCTION("""COMPUTED_VALUE"""),46210.0)</f>
        <v>46210</v>
      </c>
    </row>
    <row r="5215">
      <c r="A5215" s="153" t="str">
        <f>IFERROR(__xludf.DUMMYFUNCTION("""COMPUTED_VALUE"""),"PH50000023824
")</f>
        <v>PH50000023824
</v>
      </c>
      <c r="B5215" s="153" t="str">
        <f>IFERROR(__xludf.DUMMYFUNCTION("""COMPUTED_VALUE"""),"WHOLE EXOME SEQUENCING + MITOCHONDRIAL GENOME SEQUENCING")</f>
        <v>WHOLE EXOME SEQUENCING + MITOCHONDRIAL GENOME SEQUENCING</v>
      </c>
      <c r="C5215" s="378">
        <f>IFERROR(__xludf.DUMMYFUNCTION("""COMPUTED_VALUE"""),46192.0)</f>
        <v>46192</v>
      </c>
      <c r="D5215" s="378">
        <f>IFERROR(__xludf.DUMMYFUNCTION("""COMPUTED_VALUE"""),46209.0)</f>
        <v>46209</v>
      </c>
    </row>
    <row r="5216">
      <c r="A5216" s="153" t="str">
        <f>IFERROR(__xludf.DUMMYFUNCTION("""COMPUTED_VALUE"""),"GUD0000001286")</f>
        <v>GUD0000001286</v>
      </c>
      <c r="B5216" s="153" t="str">
        <f>IFERROR(__xludf.DUMMYFUNCTION("""COMPUTED_VALUE"""),"WHOLE EXOME SEQUENCING")</f>
        <v>WHOLE EXOME SEQUENCING</v>
      </c>
      <c r="C5216" s="378">
        <f>IFERROR(__xludf.DUMMYFUNCTION("""COMPUTED_VALUE"""),46192.0)</f>
        <v>46192</v>
      </c>
      <c r="D5216" s="378">
        <f>IFERROR(__xludf.DUMMYFUNCTION("""COMPUTED_VALUE"""),46210.0)</f>
        <v>46210</v>
      </c>
    </row>
    <row r="5217">
      <c r="A5217" s="153" t="str">
        <f>IFERROR(__xludf.DUMMYFUNCTION("""COMPUTED_VALUE"""),"ADK0000002895")</f>
        <v>ADK0000002895</v>
      </c>
      <c r="B5217" s="153" t="str">
        <f>IFERROR(__xludf.DUMMYFUNCTION("""COMPUTED_VALUE"""),"WHOLE EXOME SEQUENCING")</f>
        <v>WHOLE EXOME SEQUENCING</v>
      </c>
      <c r="C5217" s="378">
        <f>IFERROR(__xludf.DUMMYFUNCTION("""COMPUTED_VALUE"""),46192.0)</f>
        <v>46192</v>
      </c>
      <c r="D5217" s="378">
        <f>IFERROR(__xludf.DUMMYFUNCTION("""COMPUTED_VALUE"""),46210.0)</f>
        <v>46210</v>
      </c>
    </row>
    <row r="5218">
      <c r="A5218" s="153" t="str">
        <f>IFERROR(__xludf.DUMMYFUNCTION("""COMPUTED_VALUE"""),"AMB0000011160")</f>
        <v>AMB0000011160</v>
      </c>
      <c r="B5218" s="153" t="str">
        <f>IFERROR(__xludf.DUMMYFUNCTION("""COMPUTED_VALUE"""),"WHOLE EXOME SEQUENCING")</f>
        <v>WHOLE EXOME SEQUENCING</v>
      </c>
      <c r="C5218" s="378">
        <f>IFERROR(__xludf.DUMMYFUNCTION("""COMPUTED_VALUE"""),46192.0)</f>
        <v>46192</v>
      </c>
      <c r="D5218" s="378">
        <f>IFERROR(__xludf.DUMMYFUNCTION("""COMPUTED_VALUE"""),46211.0)</f>
        <v>46211</v>
      </c>
    </row>
    <row r="5219">
      <c r="A5219" s="153" t="str">
        <f>IFERROR(__xludf.DUMMYFUNCTION("""COMPUTED_VALUE"""),"ACL0000011566")</f>
        <v>ACL0000011566</v>
      </c>
      <c r="B5219" s="153" t="str">
        <f>IFERROR(__xludf.DUMMYFUNCTION("""COMPUTED_VALUE"""),"WHOLE EXOME SEQUENCING")</f>
        <v>WHOLE EXOME SEQUENCING</v>
      </c>
      <c r="C5219" s="378">
        <f>IFERROR(__xludf.DUMMYFUNCTION("""COMPUTED_VALUE"""),46192.0)</f>
        <v>46192</v>
      </c>
      <c r="D5219" s="378">
        <f>IFERROR(__xludf.DUMMYFUNCTION("""COMPUTED_VALUE"""),46210.0)</f>
        <v>46210</v>
      </c>
    </row>
    <row r="5220">
      <c r="A5220" s="153" t="str">
        <f>IFERROR(__xludf.DUMMYFUNCTION("""COMPUTED_VALUE"""),"TMC0000000793")</f>
        <v>TMC0000000793</v>
      </c>
      <c r="B5220" s="153" t="str">
        <f>IFERROR(__xludf.DUMMYFUNCTION("""COMPUTED_VALUE"""),"WHOLE EXOME SEQUENCING")</f>
        <v>WHOLE EXOME SEQUENCING</v>
      </c>
      <c r="C5220" s="378">
        <f>IFERROR(__xludf.DUMMYFUNCTION("""COMPUTED_VALUE"""),46192.0)</f>
        <v>46192</v>
      </c>
      <c r="D5220" s="378">
        <f>IFERROR(__xludf.DUMMYFUNCTION("""COMPUTED_VALUE"""),46210.0)</f>
        <v>46210</v>
      </c>
    </row>
    <row r="5221">
      <c r="A5221" s="153" t="str">
        <f>IFERROR(__xludf.DUMMYFUNCTION("""COMPUTED_VALUE"""),"TMC0000000794")</f>
        <v>TMC0000000794</v>
      </c>
      <c r="B5221" s="153" t="str">
        <f>IFERROR(__xludf.DUMMYFUNCTION("""COMPUTED_VALUE"""),"WHOLE EXOME SEQUENCING")</f>
        <v>WHOLE EXOME SEQUENCING</v>
      </c>
      <c r="C5221" s="378">
        <f>IFERROR(__xludf.DUMMYFUNCTION("""COMPUTED_VALUE"""),46192.0)</f>
        <v>46192</v>
      </c>
      <c r="D5221" s="378">
        <f>IFERROR(__xludf.DUMMYFUNCTION("""COMPUTED_VALUE"""),46210.0)</f>
        <v>46210</v>
      </c>
    </row>
    <row r="5222">
      <c r="A5222" s="153" t="str">
        <f>IFERROR(__xludf.DUMMYFUNCTION("""COMPUTED_VALUE"""),"ADK0000002971
")</f>
        <v>ADK0000002971
</v>
      </c>
      <c r="B5222" s="153" t="str">
        <f>IFERROR(__xludf.DUMMYFUNCTION("""COMPUTED_VALUE"""),"WHOLE EXOME SEQUENCING")</f>
        <v>WHOLE EXOME SEQUENCING</v>
      </c>
      <c r="C5222" s="378">
        <f>IFERROR(__xludf.DUMMYFUNCTION("""COMPUTED_VALUE"""),46192.0)</f>
        <v>46192</v>
      </c>
      <c r="D5222" s="378">
        <f>IFERROR(__xludf.DUMMYFUNCTION("""COMPUTED_VALUE"""),46206.0)</f>
        <v>46206</v>
      </c>
    </row>
    <row r="5223">
      <c r="A5223" s="153" t="str">
        <f>IFERROR(__xludf.DUMMYFUNCTION("""COMPUTED_VALUE"""),"ADK0000002954")</f>
        <v>ADK0000002954</v>
      </c>
      <c r="B5223" s="153" t="str">
        <f>IFERROR(__xludf.DUMMYFUNCTION("""COMPUTED_VALUE"""),"WHOLE EXOME SEQUENCING")</f>
        <v>WHOLE EXOME SEQUENCING</v>
      </c>
      <c r="C5223" s="378">
        <f>IFERROR(__xludf.DUMMYFUNCTION("""COMPUTED_VALUE"""),46192.0)</f>
        <v>46192</v>
      </c>
      <c r="D5223" s="378">
        <f>IFERROR(__xludf.DUMMYFUNCTION("""COMPUTED_VALUE"""),46206.0)</f>
        <v>46206</v>
      </c>
    </row>
    <row r="5224">
      <c r="A5224" s="153" t="str">
        <f>IFERROR(__xludf.DUMMYFUNCTION("""COMPUTED_VALUE"""),"ADK0000002955")</f>
        <v>ADK0000002955</v>
      </c>
      <c r="B5224" s="153" t="str">
        <f>IFERROR(__xludf.DUMMYFUNCTION("""COMPUTED_VALUE"""),"WHOLE EXOME SEQUENCING")</f>
        <v>WHOLE EXOME SEQUENCING</v>
      </c>
      <c r="C5224" s="378">
        <f>IFERROR(__xludf.DUMMYFUNCTION("""COMPUTED_VALUE"""),46192.0)</f>
        <v>46192</v>
      </c>
      <c r="D5224" s="378">
        <f>IFERROR(__xludf.DUMMYFUNCTION("""COMPUTED_VALUE"""),46206.0)</f>
        <v>46206</v>
      </c>
    </row>
    <row r="5225">
      <c r="A5225" s="153" t="str">
        <f>IFERROR(__xludf.DUMMYFUNCTION("""COMPUTED_VALUE"""),"ADK0000002956")</f>
        <v>ADK0000002956</v>
      </c>
      <c r="B5225" s="153" t="str">
        <f>IFERROR(__xludf.DUMMYFUNCTION("""COMPUTED_VALUE"""),"WHOLE EXOME SEQUENCING")</f>
        <v>WHOLE EXOME SEQUENCING</v>
      </c>
      <c r="C5225" s="378">
        <f>IFERROR(__xludf.DUMMYFUNCTION("""COMPUTED_VALUE"""),46192.0)</f>
        <v>46192</v>
      </c>
      <c r="D5225" s="378">
        <f>IFERROR(__xludf.DUMMYFUNCTION("""COMPUTED_VALUE"""),46206.0)</f>
        <v>46206</v>
      </c>
    </row>
    <row r="5226">
      <c r="A5226" s="153" t="str">
        <f>IFERROR(__xludf.DUMMYFUNCTION("""COMPUTED_VALUE"""),"ADK0000002958")</f>
        <v>ADK0000002958</v>
      </c>
      <c r="B5226" s="153" t="str">
        <f>IFERROR(__xludf.DUMMYFUNCTION("""COMPUTED_VALUE"""),"WHOLE EXOME SEQUENCING")</f>
        <v>WHOLE EXOME SEQUENCING</v>
      </c>
      <c r="C5226" s="378">
        <f>IFERROR(__xludf.DUMMYFUNCTION("""COMPUTED_VALUE"""),46192.0)</f>
        <v>46192</v>
      </c>
      <c r="D5226" s="378">
        <f>IFERROR(__xludf.DUMMYFUNCTION("""COMPUTED_VALUE"""),46206.0)</f>
        <v>46206</v>
      </c>
    </row>
    <row r="5227">
      <c r="A5227" s="153" t="str">
        <f>IFERROR(__xludf.DUMMYFUNCTION("""COMPUTED_VALUE"""),"ADK0000002959")</f>
        <v>ADK0000002959</v>
      </c>
      <c r="B5227" s="153" t="str">
        <f>IFERROR(__xludf.DUMMYFUNCTION("""COMPUTED_VALUE"""),"WHOLE EXOME SEQUENCING")</f>
        <v>WHOLE EXOME SEQUENCING</v>
      </c>
      <c r="C5227" s="378">
        <f>IFERROR(__xludf.DUMMYFUNCTION("""COMPUTED_VALUE"""),46192.0)</f>
        <v>46192</v>
      </c>
      <c r="D5227" s="378">
        <f>IFERROR(__xludf.DUMMYFUNCTION("""COMPUTED_VALUE"""),46206.0)</f>
        <v>46206</v>
      </c>
    </row>
    <row r="5228">
      <c r="A5228" s="153" t="str">
        <f>IFERROR(__xludf.DUMMYFUNCTION("""COMPUTED_VALUE"""),"ADK0000002960")</f>
        <v>ADK0000002960</v>
      </c>
      <c r="B5228" s="153" t="str">
        <f>IFERROR(__xludf.DUMMYFUNCTION("""COMPUTED_VALUE"""),"WHOLE EXOME SEQUENCING")</f>
        <v>WHOLE EXOME SEQUENCING</v>
      </c>
      <c r="C5228" s="378">
        <f>IFERROR(__xludf.DUMMYFUNCTION("""COMPUTED_VALUE"""),46192.0)</f>
        <v>46192</v>
      </c>
      <c r="D5228" s="378">
        <f>IFERROR(__xludf.DUMMYFUNCTION("""COMPUTED_VALUE"""),46206.0)</f>
        <v>46206</v>
      </c>
    </row>
    <row r="5229">
      <c r="A5229" s="153" t="str">
        <f>IFERROR(__xludf.DUMMYFUNCTION("""COMPUTED_VALUE"""),"ADK0000002967")</f>
        <v>ADK0000002967</v>
      </c>
      <c r="B5229" s="153" t="str">
        <f>IFERROR(__xludf.DUMMYFUNCTION("""COMPUTED_VALUE"""),"WHOLE EXOME SEQUENCING")</f>
        <v>WHOLE EXOME SEQUENCING</v>
      </c>
      <c r="C5229" s="378">
        <f>IFERROR(__xludf.DUMMYFUNCTION("""COMPUTED_VALUE"""),46192.0)</f>
        <v>46192</v>
      </c>
      <c r="D5229" s="378">
        <f>IFERROR(__xludf.DUMMYFUNCTION("""COMPUTED_VALUE"""),46206.0)</f>
        <v>46206</v>
      </c>
    </row>
    <row r="5230">
      <c r="A5230" s="153" t="str">
        <f>IFERROR(__xludf.DUMMYFUNCTION("""COMPUTED_VALUE"""),"ADK0000002968")</f>
        <v>ADK0000002968</v>
      </c>
      <c r="B5230" s="153" t="str">
        <f>IFERROR(__xludf.DUMMYFUNCTION("""COMPUTED_VALUE"""),"WHOLE EXOME SEQUENCING")</f>
        <v>WHOLE EXOME SEQUENCING</v>
      </c>
      <c r="C5230" s="378">
        <f>IFERROR(__xludf.DUMMYFUNCTION("""COMPUTED_VALUE"""),46192.0)</f>
        <v>46192</v>
      </c>
      <c r="D5230" s="378">
        <f>IFERROR(__xludf.DUMMYFUNCTION("""COMPUTED_VALUE"""),46206.0)</f>
        <v>46206</v>
      </c>
    </row>
    <row r="5231">
      <c r="A5231" s="153" t="str">
        <f>IFERROR(__xludf.DUMMYFUNCTION("""COMPUTED_VALUE"""),"ADK0000003211")</f>
        <v>ADK0000003211</v>
      </c>
      <c r="B5231" s="153" t="str">
        <f>IFERROR(__xludf.DUMMYFUNCTION("""COMPUTED_VALUE"""),"WHOLE EXOME SEQUENCING")</f>
        <v>WHOLE EXOME SEQUENCING</v>
      </c>
      <c r="C5231" s="378">
        <f>IFERROR(__xludf.DUMMYFUNCTION("""COMPUTED_VALUE"""),46192.0)</f>
        <v>46192</v>
      </c>
      <c r="D5231" s="378">
        <f>IFERROR(__xludf.DUMMYFUNCTION("""COMPUTED_VALUE"""),46207.0)</f>
        <v>46207</v>
      </c>
    </row>
    <row r="5232">
      <c r="A5232" s="153" t="str">
        <f>IFERROR(__xludf.DUMMYFUNCTION("""COMPUTED_VALUE"""),"ADK0000003212")</f>
        <v>ADK0000003212</v>
      </c>
      <c r="B5232" s="153" t="str">
        <f>IFERROR(__xludf.DUMMYFUNCTION("""COMPUTED_VALUE"""),"WHOLE EXOME SEQUENCING")</f>
        <v>WHOLE EXOME SEQUENCING</v>
      </c>
      <c r="C5232" s="378">
        <f>IFERROR(__xludf.DUMMYFUNCTION("""COMPUTED_VALUE"""),46192.0)</f>
        <v>46192</v>
      </c>
      <c r="D5232" s="378">
        <f>IFERROR(__xludf.DUMMYFUNCTION("""COMPUTED_VALUE"""),46207.0)</f>
        <v>46207</v>
      </c>
    </row>
    <row r="5233">
      <c r="A5233" s="153" t="str">
        <f>IFERROR(__xludf.DUMMYFUNCTION("""COMPUTED_VALUE"""),"ADK0000003213")</f>
        <v>ADK0000003213</v>
      </c>
      <c r="B5233" s="153" t="str">
        <f>IFERROR(__xludf.DUMMYFUNCTION("""COMPUTED_VALUE"""),"WHOLE EXOME SEQUENCING")</f>
        <v>WHOLE EXOME SEQUENCING</v>
      </c>
      <c r="C5233" s="378">
        <f>IFERROR(__xludf.DUMMYFUNCTION("""COMPUTED_VALUE"""),46192.0)</f>
        <v>46192</v>
      </c>
      <c r="D5233" s="378">
        <f>IFERROR(__xludf.DUMMYFUNCTION("""COMPUTED_VALUE"""),46207.0)</f>
        <v>46207</v>
      </c>
    </row>
    <row r="5234">
      <c r="A5234" s="153" t="str">
        <f>IFERROR(__xludf.DUMMYFUNCTION("""COMPUTED_VALUE"""),"ADK0000003214")</f>
        <v>ADK0000003214</v>
      </c>
      <c r="B5234" s="153" t="str">
        <f>IFERROR(__xludf.DUMMYFUNCTION("""COMPUTED_VALUE"""),"WHOLE EXOME SEQUENCING")</f>
        <v>WHOLE EXOME SEQUENCING</v>
      </c>
      <c r="C5234" s="378">
        <f>IFERROR(__xludf.DUMMYFUNCTION("""COMPUTED_VALUE"""),46192.0)</f>
        <v>46192</v>
      </c>
      <c r="D5234" s="378">
        <f>IFERROR(__xludf.DUMMYFUNCTION("""COMPUTED_VALUE"""),46207.0)</f>
        <v>46207</v>
      </c>
    </row>
    <row r="5235">
      <c r="A5235" s="153" t="str">
        <f>IFERROR(__xludf.DUMMYFUNCTION("""COMPUTED_VALUE"""),"ADK0000003215")</f>
        <v>ADK0000003215</v>
      </c>
      <c r="B5235" s="153" t="str">
        <f>IFERROR(__xludf.DUMMYFUNCTION("""COMPUTED_VALUE"""),"WHOLE EXOME SEQUENCING")</f>
        <v>WHOLE EXOME SEQUENCING</v>
      </c>
      <c r="C5235" s="378">
        <f>IFERROR(__xludf.DUMMYFUNCTION("""COMPUTED_VALUE"""),46192.0)</f>
        <v>46192</v>
      </c>
      <c r="D5235" s="378">
        <f>IFERROR(__xludf.DUMMYFUNCTION("""COMPUTED_VALUE"""),46207.0)</f>
        <v>46207</v>
      </c>
    </row>
    <row r="5236">
      <c r="A5236" s="153" t="str">
        <f>IFERROR(__xludf.DUMMYFUNCTION("""COMPUTED_VALUE"""),"ADK0000003216")</f>
        <v>ADK0000003216</v>
      </c>
      <c r="B5236" s="153" t="str">
        <f>IFERROR(__xludf.DUMMYFUNCTION("""COMPUTED_VALUE"""),"WHOLE EXOME SEQUENCING")</f>
        <v>WHOLE EXOME SEQUENCING</v>
      </c>
      <c r="C5236" s="378">
        <f>IFERROR(__xludf.DUMMYFUNCTION("""COMPUTED_VALUE"""),46192.0)</f>
        <v>46192</v>
      </c>
      <c r="D5236" s="378">
        <f>IFERROR(__xludf.DUMMYFUNCTION("""COMPUTED_VALUE"""),46207.0)</f>
        <v>46207</v>
      </c>
    </row>
    <row r="5237">
      <c r="A5237" s="153" t="str">
        <f>IFERROR(__xludf.DUMMYFUNCTION("""COMPUTED_VALUE"""),"ADK0000003217")</f>
        <v>ADK0000003217</v>
      </c>
      <c r="B5237" s="153" t="str">
        <f>IFERROR(__xludf.DUMMYFUNCTION("""COMPUTED_VALUE"""),"WHOLE EXOME SEQUENCING")</f>
        <v>WHOLE EXOME SEQUENCING</v>
      </c>
      <c r="C5237" s="378">
        <f>IFERROR(__xludf.DUMMYFUNCTION("""COMPUTED_VALUE"""),46192.0)</f>
        <v>46192</v>
      </c>
      <c r="D5237" s="378">
        <f>IFERROR(__xludf.DUMMYFUNCTION("""COMPUTED_VALUE"""),46207.0)</f>
        <v>46207</v>
      </c>
    </row>
    <row r="5238">
      <c r="A5238" s="153" t="str">
        <f>IFERROR(__xludf.DUMMYFUNCTION("""COMPUTED_VALUE"""),"ADK0000003218")</f>
        <v>ADK0000003218</v>
      </c>
      <c r="B5238" s="153" t="str">
        <f>IFERROR(__xludf.DUMMYFUNCTION("""COMPUTED_VALUE"""),"WHOLE EXOME SEQUENCING")</f>
        <v>WHOLE EXOME SEQUENCING</v>
      </c>
      <c r="C5238" s="378">
        <f>IFERROR(__xludf.DUMMYFUNCTION("""COMPUTED_VALUE"""),46192.0)</f>
        <v>46192</v>
      </c>
      <c r="D5238" s="378">
        <f>IFERROR(__xludf.DUMMYFUNCTION("""COMPUTED_VALUE"""),46207.0)</f>
        <v>46207</v>
      </c>
    </row>
    <row r="5239">
      <c r="A5239" s="153" t="str">
        <f>IFERROR(__xludf.DUMMYFUNCTION("""COMPUTED_VALUE"""),"ADK0000003219")</f>
        <v>ADK0000003219</v>
      </c>
      <c r="B5239" s="153" t="str">
        <f>IFERROR(__xludf.DUMMYFUNCTION("""COMPUTED_VALUE"""),"WHOLE EXOME SEQUENCING")</f>
        <v>WHOLE EXOME SEQUENCING</v>
      </c>
      <c r="C5239" s="378">
        <f>IFERROR(__xludf.DUMMYFUNCTION("""COMPUTED_VALUE"""),46192.0)</f>
        <v>46192</v>
      </c>
      <c r="D5239" s="378">
        <f>IFERROR(__xludf.DUMMYFUNCTION("""COMPUTED_VALUE"""),46207.0)</f>
        <v>46207</v>
      </c>
    </row>
    <row r="5240">
      <c r="A5240" s="153" t="str">
        <f>IFERROR(__xludf.DUMMYFUNCTION("""COMPUTED_VALUE"""),"ADK0000003220")</f>
        <v>ADK0000003220</v>
      </c>
      <c r="B5240" s="153" t="str">
        <f>IFERROR(__xludf.DUMMYFUNCTION("""COMPUTED_VALUE"""),"WHOLE EXOME SEQUENCING")</f>
        <v>WHOLE EXOME SEQUENCING</v>
      </c>
      <c r="C5240" s="378">
        <f>IFERROR(__xludf.DUMMYFUNCTION("""COMPUTED_VALUE"""),46192.0)</f>
        <v>46192</v>
      </c>
      <c r="D5240" s="378">
        <f>IFERROR(__xludf.DUMMYFUNCTION("""COMPUTED_VALUE"""),46207.0)</f>
        <v>46207</v>
      </c>
    </row>
    <row r="5241">
      <c r="A5241" s="153" t="str">
        <f>IFERROR(__xludf.DUMMYFUNCTION("""COMPUTED_VALUE"""),"ADK0000003221")</f>
        <v>ADK0000003221</v>
      </c>
      <c r="B5241" s="153" t="str">
        <f>IFERROR(__xludf.DUMMYFUNCTION("""COMPUTED_VALUE"""),"WHOLE EXOME SEQUENCING")</f>
        <v>WHOLE EXOME SEQUENCING</v>
      </c>
      <c r="C5241" s="378">
        <f>IFERROR(__xludf.DUMMYFUNCTION("""COMPUTED_VALUE"""),46192.0)</f>
        <v>46192</v>
      </c>
      <c r="D5241" s="378">
        <f>IFERROR(__xludf.DUMMYFUNCTION("""COMPUTED_VALUE"""),46207.0)</f>
        <v>46207</v>
      </c>
    </row>
    <row r="5242">
      <c r="A5242" s="153" t="str">
        <f>IFERROR(__xludf.DUMMYFUNCTION("""COMPUTED_VALUE"""),"ADK0000003222")</f>
        <v>ADK0000003222</v>
      </c>
      <c r="B5242" s="153" t="str">
        <f>IFERROR(__xludf.DUMMYFUNCTION("""COMPUTED_VALUE"""),"WHOLE EXOME SEQUENCING")</f>
        <v>WHOLE EXOME SEQUENCING</v>
      </c>
      <c r="C5242" s="378">
        <f>IFERROR(__xludf.DUMMYFUNCTION("""COMPUTED_VALUE"""),46192.0)</f>
        <v>46192</v>
      </c>
      <c r="D5242" s="378">
        <f>IFERROR(__xludf.DUMMYFUNCTION("""COMPUTED_VALUE"""),46207.0)</f>
        <v>46207</v>
      </c>
    </row>
    <row r="5243">
      <c r="A5243" s="153" t="str">
        <f>IFERROR(__xludf.DUMMYFUNCTION("""COMPUTED_VALUE"""),"ADK0000003223")</f>
        <v>ADK0000003223</v>
      </c>
      <c r="B5243" s="153" t="str">
        <f>IFERROR(__xludf.DUMMYFUNCTION("""COMPUTED_VALUE"""),"WHOLE EXOME SEQUENCING")</f>
        <v>WHOLE EXOME SEQUENCING</v>
      </c>
      <c r="C5243" s="378">
        <f>IFERROR(__xludf.DUMMYFUNCTION("""COMPUTED_VALUE"""),46192.0)</f>
        <v>46192</v>
      </c>
      <c r="D5243" s="378">
        <f>IFERROR(__xludf.DUMMYFUNCTION("""COMPUTED_VALUE"""),46207.0)</f>
        <v>46207</v>
      </c>
    </row>
    <row r="5244">
      <c r="A5244" s="153" t="str">
        <f>IFERROR(__xludf.DUMMYFUNCTION("""COMPUTED_VALUE"""),"ADK0000003224")</f>
        <v>ADK0000003224</v>
      </c>
      <c r="B5244" s="153" t="str">
        <f>IFERROR(__xludf.DUMMYFUNCTION("""COMPUTED_VALUE"""),"WHOLE EXOME SEQUENCING")</f>
        <v>WHOLE EXOME SEQUENCING</v>
      </c>
      <c r="C5244" s="378">
        <f>IFERROR(__xludf.DUMMYFUNCTION("""COMPUTED_VALUE"""),46192.0)</f>
        <v>46192</v>
      </c>
      <c r="D5244" s="378">
        <f>IFERROR(__xludf.DUMMYFUNCTION("""COMPUTED_VALUE"""),46207.0)</f>
        <v>46207</v>
      </c>
    </row>
    <row r="5245">
      <c r="A5245" s="153" t="str">
        <f>IFERROR(__xludf.DUMMYFUNCTION("""COMPUTED_VALUE"""),"ADK0000003225")</f>
        <v>ADK0000003225</v>
      </c>
      <c r="B5245" s="153" t="str">
        <f>IFERROR(__xludf.DUMMYFUNCTION("""COMPUTED_VALUE"""),"WHOLE EXOME SEQUENCING")</f>
        <v>WHOLE EXOME SEQUENCING</v>
      </c>
      <c r="C5245" s="378">
        <f>IFERROR(__xludf.DUMMYFUNCTION("""COMPUTED_VALUE"""),46192.0)</f>
        <v>46192</v>
      </c>
      <c r="D5245" s="378">
        <f>IFERROR(__xludf.DUMMYFUNCTION("""COMPUTED_VALUE"""),46207.0)</f>
        <v>46207</v>
      </c>
    </row>
    <row r="5246">
      <c r="A5246" s="153" t="str">
        <f>IFERROR(__xludf.DUMMYFUNCTION("""COMPUTED_VALUE"""),"ADK0000003226")</f>
        <v>ADK0000003226</v>
      </c>
      <c r="B5246" s="153" t="str">
        <f>IFERROR(__xludf.DUMMYFUNCTION("""COMPUTED_VALUE"""),"WHOLE EXOME SEQUENCING")</f>
        <v>WHOLE EXOME SEQUENCING</v>
      </c>
      <c r="C5246" s="378">
        <f>IFERROR(__xludf.DUMMYFUNCTION("""COMPUTED_VALUE"""),46192.0)</f>
        <v>46192</v>
      </c>
      <c r="D5246" s="378">
        <f>IFERROR(__xludf.DUMMYFUNCTION("""COMPUTED_VALUE"""),46207.0)</f>
        <v>46207</v>
      </c>
    </row>
    <row r="5247">
      <c r="A5247" s="153" t="str">
        <f>IFERROR(__xludf.DUMMYFUNCTION("""COMPUTED_VALUE"""),"ADK0000003227")</f>
        <v>ADK0000003227</v>
      </c>
      <c r="B5247" s="153" t="str">
        <f>IFERROR(__xludf.DUMMYFUNCTION("""COMPUTED_VALUE"""),"WHOLE EXOME SEQUENCING")</f>
        <v>WHOLE EXOME SEQUENCING</v>
      </c>
      <c r="C5247" s="378">
        <f>IFERROR(__xludf.DUMMYFUNCTION("""COMPUTED_VALUE"""),46192.0)</f>
        <v>46192</v>
      </c>
      <c r="D5247" s="378">
        <f>IFERROR(__xludf.DUMMYFUNCTION("""COMPUTED_VALUE"""),46207.0)</f>
        <v>46207</v>
      </c>
    </row>
    <row r="5248">
      <c r="A5248" s="153" t="str">
        <f>IFERROR(__xludf.DUMMYFUNCTION("""COMPUTED_VALUE"""),"ADK0000003228")</f>
        <v>ADK0000003228</v>
      </c>
      <c r="B5248" s="153" t="str">
        <f>IFERROR(__xludf.DUMMYFUNCTION("""COMPUTED_VALUE"""),"WHOLE EXOME SEQUENCING")</f>
        <v>WHOLE EXOME SEQUENCING</v>
      </c>
      <c r="C5248" s="378">
        <f>IFERROR(__xludf.DUMMYFUNCTION("""COMPUTED_VALUE"""),46192.0)</f>
        <v>46192</v>
      </c>
      <c r="D5248" s="378">
        <f>IFERROR(__xludf.DUMMYFUNCTION("""COMPUTED_VALUE"""),46207.0)</f>
        <v>46207</v>
      </c>
    </row>
    <row r="5249">
      <c r="A5249" s="153" t="str">
        <f>IFERROR(__xludf.DUMMYFUNCTION("""COMPUTED_VALUE"""),"ADK0000003229")</f>
        <v>ADK0000003229</v>
      </c>
      <c r="B5249" s="153" t="str">
        <f>IFERROR(__xludf.DUMMYFUNCTION("""COMPUTED_VALUE"""),"WHOLE EXOME SEQUENCING")</f>
        <v>WHOLE EXOME SEQUENCING</v>
      </c>
      <c r="C5249" s="378">
        <f>IFERROR(__xludf.DUMMYFUNCTION("""COMPUTED_VALUE"""),46192.0)</f>
        <v>46192</v>
      </c>
      <c r="D5249" s="378">
        <f>IFERROR(__xludf.DUMMYFUNCTION("""COMPUTED_VALUE"""),46207.0)</f>
        <v>46207</v>
      </c>
    </row>
    <row r="5250">
      <c r="A5250" s="153" t="str">
        <f>IFERROR(__xludf.DUMMYFUNCTION("""COMPUTED_VALUE"""),"ADK0000003230")</f>
        <v>ADK0000003230</v>
      </c>
      <c r="B5250" s="153" t="str">
        <f>IFERROR(__xludf.DUMMYFUNCTION("""COMPUTED_VALUE"""),"WHOLE EXOME SEQUENCING")</f>
        <v>WHOLE EXOME SEQUENCING</v>
      </c>
      <c r="C5250" s="378">
        <f>IFERROR(__xludf.DUMMYFUNCTION("""COMPUTED_VALUE"""),46192.0)</f>
        <v>46192</v>
      </c>
      <c r="D5250" s="378">
        <f>IFERROR(__xludf.DUMMYFUNCTION("""COMPUTED_VALUE"""),46207.0)</f>
        <v>46207</v>
      </c>
    </row>
    <row r="5251">
      <c r="A5251" s="153" t="str">
        <f>IFERROR(__xludf.DUMMYFUNCTION("""COMPUTED_VALUE"""),"ADK0000003231")</f>
        <v>ADK0000003231</v>
      </c>
      <c r="B5251" s="153" t="str">
        <f>IFERROR(__xludf.DUMMYFUNCTION("""COMPUTED_VALUE"""),"WHOLE EXOME SEQUENCING")</f>
        <v>WHOLE EXOME SEQUENCING</v>
      </c>
      <c r="C5251" s="378">
        <f>IFERROR(__xludf.DUMMYFUNCTION("""COMPUTED_VALUE"""),46192.0)</f>
        <v>46192</v>
      </c>
      <c r="D5251" s="378">
        <f>IFERROR(__xludf.DUMMYFUNCTION("""COMPUTED_VALUE"""),46207.0)</f>
        <v>46207</v>
      </c>
    </row>
    <row r="5252">
      <c r="A5252" s="153" t="str">
        <f>IFERROR(__xludf.DUMMYFUNCTION("""COMPUTED_VALUE"""),"ADK0000003232")</f>
        <v>ADK0000003232</v>
      </c>
      <c r="B5252" s="153" t="str">
        <f>IFERROR(__xludf.DUMMYFUNCTION("""COMPUTED_VALUE"""),"WHOLE EXOME SEQUENCING")</f>
        <v>WHOLE EXOME SEQUENCING</v>
      </c>
      <c r="C5252" s="378">
        <f>IFERROR(__xludf.DUMMYFUNCTION("""COMPUTED_VALUE"""),46192.0)</f>
        <v>46192</v>
      </c>
      <c r="D5252" s="378">
        <f>IFERROR(__xludf.DUMMYFUNCTION("""COMPUTED_VALUE"""),46207.0)</f>
        <v>46207</v>
      </c>
    </row>
    <row r="5253">
      <c r="A5253" s="153" t="str">
        <f>IFERROR(__xludf.DUMMYFUNCTION("""COMPUTED_VALUE"""),"ADK0000003233")</f>
        <v>ADK0000003233</v>
      </c>
      <c r="B5253" s="153" t="str">
        <f>IFERROR(__xludf.DUMMYFUNCTION("""COMPUTED_VALUE"""),"WHOLE EXOME SEQUENCING")</f>
        <v>WHOLE EXOME SEQUENCING</v>
      </c>
      <c r="C5253" s="378">
        <f>IFERROR(__xludf.DUMMYFUNCTION("""COMPUTED_VALUE"""),46192.0)</f>
        <v>46192</v>
      </c>
      <c r="D5253" s="378">
        <f>IFERROR(__xludf.DUMMYFUNCTION("""COMPUTED_VALUE"""),46207.0)</f>
        <v>46207</v>
      </c>
    </row>
    <row r="5254">
      <c r="A5254" s="153" t="str">
        <f>IFERROR(__xludf.DUMMYFUNCTION("""COMPUTED_VALUE"""),"ADK0000003234")</f>
        <v>ADK0000003234</v>
      </c>
      <c r="B5254" s="153" t="str">
        <f>IFERROR(__xludf.DUMMYFUNCTION("""COMPUTED_VALUE"""),"WHOLE EXOME SEQUENCING")</f>
        <v>WHOLE EXOME SEQUENCING</v>
      </c>
      <c r="C5254" s="378">
        <f>IFERROR(__xludf.DUMMYFUNCTION("""COMPUTED_VALUE"""),46192.0)</f>
        <v>46192</v>
      </c>
      <c r="D5254" s="378">
        <f>IFERROR(__xludf.DUMMYFUNCTION("""COMPUTED_VALUE"""),46207.0)</f>
        <v>46207</v>
      </c>
    </row>
    <row r="5255">
      <c r="A5255" s="153" t="str">
        <f>IFERROR(__xludf.DUMMYFUNCTION("""COMPUTED_VALUE"""),"ADK0000003235")</f>
        <v>ADK0000003235</v>
      </c>
      <c r="B5255" s="153" t="str">
        <f>IFERROR(__xludf.DUMMYFUNCTION("""COMPUTED_VALUE"""),"WHOLE EXOME SEQUENCING")</f>
        <v>WHOLE EXOME SEQUENCING</v>
      </c>
      <c r="C5255" s="378">
        <f>IFERROR(__xludf.DUMMYFUNCTION("""COMPUTED_VALUE"""),46192.0)</f>
        <v>46192</v>
      </c>
      <c r="D5255" s="378">
        <f>IFERROR(__xludf.DUMMYFUNCTION("""COMPUTED_VALUE"""),46207.0)</f>
        <v>46207</v>
      </c>
    </row>
    <row r="5256">
      <c r="A5256" s="153" t="str">
        <f>IFERROR(__xludf.DUMMYFUNCTION("""COMPUTED_VALUE"""),"ADK0000003236")</f>
        <v>ADK0000003236</v>
      </c>
      <c r="B5256" s="153" t="str">
        <f>IFERROR(__xludf.DUMMYFUNCTION("""COMPUTED_VALUE"""),"WHOLE EXOME SEQUENCING")</f>
        <v>WHOLE EXOME SEQUENCING</v>
      </c>
      <c r="C5256" s="378">
        <f>IFERROR(__xludf.DUMMYFUNCTION("""COMPUTED_VALUE"""),46192.0)</f>
        <v>46192</v>
      </c>
      <c r="D5256" s="378">
        <f>IFERROR(__xludf.DUMMYFUNCTION("""COMPUTED_VALUE"""),46207.0)</f>
        <v>46207</v>
      </c>
    </row>
    <row r="5257">
      <c r="A5257" s="153" t="str">
        <f>IFERROR(__xludf.DUMMYFUNCTION("""COMPUTED_VALUE"""),"ADK0000003237")</f>
        <v>ADK0000003237</v>
      </c>
      <c r="B5257" s="153" t="str">
        <f>IFERROR(__xludf.DUMMYFUNCTION("""COMPUTED_VALUE"""),"WHOLE EXOME SEQUENCING")</f>
        <v>WHOLE EXOME SEQUENCING</v>
      </c>
      <c r="C5257" s="378">
        <f>IFERROR(__xludf.DUMMYFUNCTION("""COMPUTED_VALUE"""),46192.0)</f>
        <v>46192</v>
      </c>
      <c r="D5257" s="378">
        <f>IFERROR(__xludf.DUMMYFUNCTION("""COMPUTED_VALUE"""),46207.0)</f>
        <v>46207</v>
      </c>
    </row>
    <row r="5258">
      <c r="A5258" s="153" t="str">
        <f>IFERROR(__xludf.DUMMYFUNCTION("""COMPUTED_VALUE"""),"ADK0000003238")</f>
        <v>ADK0000003238</v>
      </c>
      <c r="B5258" s="153" t="str">
        <f>IFERROR(__xludf.DUMMYFUNCTION("""COMPUTED_VALUE"""),"WHOLE EXOME SEQUENCING")</f>
        <v>WHOLE EXOME SEQUENCING</v>
      </c>
      <c r="C5258" s="378">
        <f>IFERROR(__xludf.DUMMYFUNCTION("""COMPUTED_VALUE"""),46192.0)</f>
        <v>46192</v>
      </c>
      <c r="D5258" s="378">
        <f>IFERROR(__xludf.DUMMYFUNCTION("""COMPUTED_VALUE"""),46207.0)</f>
        <v>46207</v>
      </c>
    </row>
    <row r="5259">
      <c r="A5259" s="153" t="str">
        <f>IFERROR(__xludf.DUMMYFUNCTION("""COMPUTED_VALUE"""),"ADK0000003239")</f>
        <v>ADK0000003239</v>
      </c>
      <c r="B5259" s="153" t="str">
        <f>IFERROR(__xludf.DUMMYFUNCTION("""COMPUTED_VALUE"""),"WHOLE EXOME SEQUENCING")</f>
        <v>WHOLE EXOME SEQUENCING</v>
      </c>
      <c r="C5259" s="378">
        <f>IFERROR(__xludf.DUMMYFUNCTION("""COMPUTED_VALUE"""),46192.0)</f>
        <v>46192</v>
      </c>
      <c r="D5259" s="378">
        <f>IFERROR(__xludf.DUMMYFUNCTION("""COMPUTED_VALUE"""),46207.0)</f>
        <v>46207</v>
      </c>
    </row>
    <row r="5260">
      <c r="A5260" s="153" t="str">
        <f>IFERROR(__xludf.DUMMYFUNCTION("""COMPUTED_VALUE"""),"ADK0000003240")</f>
        <v>ADK0000003240</v>
      </c>
      <c r="B5260" s="153" t="str">
        <f>IFERROR(__xludf.DUMMYFUNCTION("""COMPUTED_VALUE"""),"WHOLE EXOME SEQUENCING")</f>
        <v>WHOLE EXOME SEQUENCING</v>
      </c>
      <c r="C5260" s="378">
        <f>IFERROR(__xludf.DUMMYFUNCTION("""COMPUTED_VALUE"""),46192.0)</f>
        <v>46192</v>
      </c>
      <c r="D5260" s="378">
        <f>IFERROR(__xludf.DUMMYFUNCTION("""COMPUTED_VALUE"""),46207.0)</f>
        <v>46207</v>
      </c>
    </row>
    <row r="5261">
      <c r="A5261" s="153" t="str">
        <f>IFERROR(__xludf.DUMMYFUNCTION("""COMPUTED_VALUE"""),"ADK0000003241")</f>
        <v>ADK0000003241</v>
      </c>
      <c r="B5261" s="153" t="str">
        <f>IFERROR(__xludf.DUMMYFUNCTION("""COMPUTED_VALUE"""),"WHOLE EXOME SEQUENCING")</f>
        <v>WHOLE EXOME SEQUENCING</v>
      </c>
      <c r="C5261" s="378">
        <f>IFERROR(__xludf.DUMMYFUNCTION("""COMPUTED_VALUE"""),46192.0)</f>
        <v>46192</v>
      </c>
      <c r="D5261" s="378">
        <f>IFERROR(__xludf.DUMMYFUNCTION("""COMPUTED_VALUE"""),46207.0)</f>
        <v>46207</v>
      </c>
    </row>
    <row r="5262">
      <c r="A5262" s="153" t="str">
        <f>IFERROR(__xludf.DUMMYFUNCTION("""COMPUTED_VALUE"""),"HYP0000002296")</f>
        <v>HYP0000002296</v>
      </c>
      <c r="B5262" s="153" t="str">
        <f>IFERROR(__xludf.DUMMYFUNCTION("""COMPUTED_VALUE"""),"WHOLE EXOME SEQUENCING")</f>
        <v>WHOLE EXOME SEQUENCING</v>
      </c>
      <c r="C5262" s="378">
        <f>IFERROR(__xludf.DUMMYFUNCTION("""COMPUTED_VALUE"""),46192.0)</f>
        <v>46192</v>
      </c>
      <c r="D5262" s="378">
        <f>IFERROR(__xludf.DUMMYFUNCTION("""COMPUTED_VALUE"""),46204.0)</f>
        <v>46204</v>
      </c>
    </row>
    <row r="5263">
      <c r="A5263" s="153" t="str">
        <f>IFERROR(__xludf.DUMMYFUNCTION("""COMPUTED_VALUE"""),"ADK0000003243")</f>
        <v>ADK0000003243</v>
      </c>
      <c r="B5263" s="153" t="str">
        <f>IFERROR(__xludf.DUMMYFUNCTION("""COMPUTED_VALUE"""),"WHOLE EXOME SEQUENCING")</f>
        <v>WHOLE EXOME SEQUENCING</v>
      </c>
      <c r="C5263" s="378">
        <f>IFERROR(__xludf.DUMMYFUNCTION("""COMPUTED_VALUE"""),46192.0)</f>
        <v>46192</v>
      </c>
      <c r="D5263" s="378">
        <f>IFERROR(__xludf.DUMMYFUNCTION("""COMPUTED_VALUE"""),46207.0)</f>
        <v>46207</v>
      </c>
    </row>
    <row r="5264">
      <c r="A5264" s="153" t="str">
        <f>IFERROR(__xludf.DUMMYFUNCTION("""COMPUTED_VALUE"""),"ADK0000003244")</f>
        <v>ADK0000003244</v>
      </c>
      <c r="B5264" s="153" t="str">
        <f>IFERROR(__xludf.DUMMYFUNCTION("""COMPUTED_VALUE"""),"WHOLE EXOME SEQUENCING")</f>
        <v>WHOLE EXOME SEQUENCING</v>
      </c>
      <c r="C5264" s="378">
        <f>IFERROR(__xludf.DUMMYFUNCTION("""COMPUTED_VALUE"""),46192.0)</f>
        <v>46192</v>
      </c>
      <c r="D5264" s="378">
        <f>IFERROR(__xludf.DUMMYFUNCTION("""COMPUTED_VALUE"""),46207.0)</f>
        <v>46207</v>
      </c>
    </row>
    <row r="5265">
      <c r="A5265" s="153" t="str">
        <f>IFERROR(__xludf.DUMMYFUNCTION("""COMPUTED_VALUE"""),"ADK0000003245")</f>
        <v>ADK0000003245</v>
      </c>
      <c r="B5265" s="153" t="str">
        <f>IFERROR(__xludf.DUMMYFUNCTION("""COMPUTED_VALUE"""),"WHOLE EXOME SEQUENCING")</f>
        <v>WHOLE EXOME SEQUENCING</v>
      </c>
      <c r="C5265" s="378">
        <f>IFERROR(__xludf.DUMMYFUNCTION("""COMPUTED_VALUE"""),46192.0)</f>
        <v>46192</v>
      </c>
      <c r="D5265" s="378">
        <f>IFERROR(__xludf.DUMMYFUNCTION("""COMPUTED_VALUE"""),46207.0)</f>
        <v>46207</v>
      </c>
    </row>
    <row r="5266">
      <c r="A5266" s="153" t="str">
        <f>IFERROR(__xludf.DUMMYFUNCTION("""COMPUTED_VALUE"""),"ADK0000003246")</f>
        <v>ADK0000003246</v>
      </c>
      <c r="B5266" s="153" t="str">
        <f>IFERROR(__xludf.DUMMYFUNCTION("""COMPUTED_VALUE"""),"WHOLE EXOME SEQUENCING")</f>
        <v>WHOLE EXOME SEQUENCING</v>
      </c>
      <c r="C5266" s="378">
        <f>IFERROR(__xludf.DUMMYFUNCTION("""COMPUTED_VALUE"""),46192.0)</f>
        <v>46192</v>
      </c>
      <c r="D5266" s="378">
        <f>IFERROR(__xludf.DUMMYFUNCTION("""COMPUTED_VALUE"""),46207.0)</f>
        <v>46207</v>
      </c>
    </row>
    <row r="5267">
      <c r="A5267" s="153" t="str">
        <f>IFERROR(__xludf.DUMMYFUNCTION("""COMPUTED_VALUE"""),"ADB0000042023
")</f>
        <v>ADB0000042023
</v>
      </c>
      <c r="B5267" s="153" t="str">
        <f>IFERROR(__xludf.DUMMYFUNCTION("""COMPUTED_VALUE"""),"WHOLE EXOME SEQUENCING")</f>
        <v>WHOLE EXOME SEQUENCING</v>
      </c>
      <c r="C5267" s="378">
        <f>IFERROR(__xludf.DUMMYFUNCTION("""COMPUTED_VALUE"""),46192.0)</f>
        <v>46192</v>
      </c>
      <c r="D5267" s="378">
        <f>IFERROR(__xludf.DUMMYFUNCTION("""COMPUTED_VALUE"""),46207.0)</f>
        <v>46207</v>
      </c>
    </row>
    <row r="5268">
      <c r="A5268" s="153" t="str">
        <f>IFERROR(__xludf.DUMMYFUNCTION("""COMPUTED_VALUE"""),"ADK0000003248")</f>
        <v>ADK0000003248</v>
      </c>
      <c r="B5268" s="153" t="str">
        <f>IFERROR(__xludf.DUMMYFUNCTION("""COMPUTED_VALUE"""),"WHOLE EXOME SEQUENCING")</f>
        <v>WHOLE EXOME SEQUENCING</v>
      </c>
      <c r="C5268" s="378">
        <f>IFERROR(__xludf.DUMMYFUNCTION("""COMPUTED_VALUE"""),46192.0)</f>
        <v>46192</v>
      </c>
      <c r="D5268" s="378">
        <f>IFERROR(__xludf.DUMMYFUNCTION("""COMPUTED_VALUE"""),46207.0)</f>
        <v>46207</v>
      </c>
    </row>
    <row r="5269">
      <c r="A5269" s="153" t="str">
        <f>IFERROR(__xludf.DUMMYFUNCTION("""COMPUTED_VALUE"""),"ADK0000003249")</f>
        <v>ADK0000003249</v>
      </c>
      <c r="B5269" s="153" t="str">
        <f>IFERROR(__xludf.DUMMYFUNCTION("""COMPUTED_VALUE"""),"WHOLE EXOME SEQUENCING")</f>
        <v>WHOLE EXOME SEQUENCING</v>
      </c>
      <c r="C5269" s="378">
        <f>IFERROR(__xludf.DUMMYFUNCTION("""COMPUTED_VALUE"""),46192.0)</f>
        <v>46192</v>
      </c>
      <c r="D5269" s="378">
        <f>IFERROR(__xludf.DUMMYFUNCTION("""COMPUTED_VALUE"""),46207.0)</f>
        <v>46207</v>
      </c>
    </row>
    <row r="5270">
      <c r="A5270" s="153" t="str">
        <f>IFERROR(__xludf.DUMMYFUNCTION("""COMPUTED_VALUE"""),"ADK0000003250")</f>
        <v>ADK0000003250</v>
      </c>
      <c r="B5270" s="153" t="str">
        <f>IFERROR(__xludf.DUMMYFUNCTION("""COMPUTED_VALUE"""),"WHOLE EXOME SEQUENCING")</f>
        <v>WHOLE EXOME SEQUENCING</v>
      </c>
      <c r="C5270" s="378">
        <f>IFERROR(__xludf.DUMMYFUNCTION("""COMPUTED_VALUE"""),46192.0)</f>
        <v>46192</v>
      </c>
      <c r="D5270" s="378">
        <f>IFERROR(__xludf.DUMMYFUNCTION("""COMPUTED_VALUE"""),46207.0)</f>
        <v>46207</v>
      </c>
    </row>
    <row r="5271">
      <c r="A5271" s="153" t="str">
        <f>IFERROR(__xludf.DUMMYFUNCTION("""COMPUTED_VALUE"""),"ADK0000003251")</f>
        <v>ADK0000003251</v>
      </c>
      <c r="B5271" s="153" t="str">
        <f>IFERROR(__xludf.DUMMYFUNCTION("""COMPUTED_VALUE"""),"WHOLE EXOME SEQUENCING")</f>
        <v>WHOLE EXOME SEQUENCING</v>
      </c>
      <c r="C5271" s="378">
        <f>IFERROR(__xludf.DUMMYFUNCTION("""COMPUTED_VALUE"""),46192.0)</f>
        <v>46192</v>
      </c>
      <c r="D5271" s="378">
        <f>IFERROR(__xludf.DUMMYFUNCTION("""COMPUTED_VALUE"""),46207.0)</f>
        <v>46207</v>
      </c>
    </row>
    <row r="5272">
      <c r="A5272" s="153" t="str">
        <f>IFERROR(__xludf.DUMMYFUNCTION("""COMPUTED_VALUE"""),"ADK0000003252")</f>
        <v>ADK0000003252</v>
      </c>
      <c r="B5272" s="153" t="str">
        <f>IFERROR(__xludf.DUMMYFUNCTION("""COMPUTED_VALUE"""),"WHOLE EXOME SEQUENCING")</f>
        <v>WHOLE EXOME SEQUENCING</v>
      </c>
      <c r="C5272" s="378">
        <f>IFERROR(__xludf.DUMMYFUNCTION("""COMPUTED_VALUE"""),46192.0)</f>
        <v>46192</v>
      </c>
      <c r="D5272" s="378">
        <f>IFERROR(__xludf.DUMMYFUNCTION("""COMPUTED_VALUE"""),46207.0)</f>
        <v>46207</v>
      </c>
    </row>
    <row r="5273">
      <c r="A5273" s="153" t="str">
        <f>IFERROR(__xludf.DUMMYFUNCTION("""COMPUTED_VALUE"""),"ADK0000003253")</f>
        <v>ADK0000003253</v>
      </c>
      <c r="B5273" s="153" t="str">
        <f>IFERROR(__xludf.DUMMYFUNCTION("""COMPUTED_VALUE"""),"WHOLE EXOME SEQUENCING")</f>
        <v>WHOLE EXOME SEQUENCING</v>
      </c>
      <c r="C5273" s="378">
        <f>IFERROR(__xludf.DUMMYFUNCTION("""COMPUTED_VALUE"""),46192.0)</f>
        <v>46192</v>
      </c>
      <c r="D5273" s="378">
        <f>IFERROR(__xludf.DUMMYFUNCTION("""COMPUTED_VALUE"""),46207.0)</f>
        <v>46207</v>
      </c>
    </row>
    <row r="5274">
      <c r="A5274" s="153" t="str">
        <f>IFERROR(__xludf.DUMMYFUNCTION("""COMPUTED_VALUE"""),"ADK0000003254")</f>
        <v>ADK0000003254</v>
      </c>
      <c r="B5274" s="153" t="str">
        <f>IFERROR(__xludf.DUMMYFUNCTION("""COMPUTED_VALUE"""),"WHOLE EXOME SEQUENCING")</f>
        <v>WHOLE EXOME SEQUENCING</v>
      </c>
      <c r="C5274" s="378">
        <f>IFERROR(__xludf.DUMMYFUNCTION("""COMPUTED_VALUE"""),46192.0)</f>
        <v>46192</v>
      </c>
      <c r="D5274" s="378">
        <f>IFERROR(__xludf.DUMMYFUNCTION("""COMPUTED_VALUE"""),46207.0)</f>
        <v>46207</v>
      </c>
    </row>
    <row r="5275">
      <c r="A5275" s="153" t="str">
        <f>IFERROR(__xludf.DUMMYFUNCTION("""COMPUTED_VALUE"""),"ADK0000003255")</f>
        <v>ADK0000003255</v>
      </c>
      <c r="B5275" s="153" t="str">
        <f>IFERROR(__xludf.DUMMYFUNCTION("""COMPUTED_VALUE"""),"WHOLE EXOME SEQUENCING")</f>
        <v>WHOLE EXOME SEQUENCING</v>
      </c>
      <c r="C5275" s="378">
        <f>IFERROR(__xludf.DUMMYFUNCTION("""COMPUTED_VALUE"""),46192.0)</f>
        <v>46192</v>
      </c>
      <c r="D5275" s="378">
        <f>IFERROR(__xludf.DUMMYFUNCTION("""COMPUTED_VALUE"""),46207.0)</f>
        <v>46207</v>
      </c>
    </row>
    <row r="5276">
      <c r="A5276" s="153" t="str">
        <f>IFERROR(__xludf.DUMMYFUNCTION("""COMPUTED_VALUE"""),"ADK0000003256")</f>
        <v>ADK0000003256</v>
      </c>
      <c r="B5276" s="153" t="str">
        <f>IFERROR(__xludf.DUMMYFUNCTION("""COMPUTED_VALUE"""),"WHOLE EXOME SEQUENCING")</f>
        <v>WHOLE EXOME SEQUENCING</v>
      </c>
      <c r="C5276" s="378">
        <f>IFERROR(__xludf.DUMMYFUNCTION("""COMPUTED_VALUE"""),46192.0)</f>
        <v>46192</v>
      </c>
      <c r="D5276" s="378">
        <f>IFERROR(__xludf.DUMMYFUNCTION("""COMPUTED_VALUE"""),46207.0)</f>
        <v>46207</v>
      </c>
    </row>
    <row r="5277">
      <c r="A5277" s="153" t="str">
        <f>IFERROR(__xludf.DUMMYFUNCTION("""COMPUTED_VALUE"""),"ADK0000003257")</f>
        <v>ADK0000003257</v>
      </c>
      <c r="B5277" s="153" t="str">
        <f>IFERROR(__xludf.DUMMYFUNCTION("""COMPUTED_VALUE"""),"WHOLE EXOME SEQUENCING")</f>
        <v>WHOLE EXOME SEQUENCING</v>
      </c>
      <c r="C5277" s="378">
        <f>IFERROR(__xludf.DUMMYFUNCTION("""COMPUTED_VALUE"""),46192.0)</f>
        <v>46192</v>
      </c>
      <c r="D5277" s="378">
        <f>IFERROR(__xludf.DUMMYFUNCTION("""COMPUTED_VALUE"""),46207.0)</f>
        <v>46207</v>
      </c>
    </row>
    <row r="5278">
      <c r="A5278" s="153" t="str">
        <f>IFERROR(__xludf.DUMMYFUNCTION("""COMPUTED_VALUE"""),"ADK0000003258")</f>
        <v>ADK0000003258</v>
      </c>
      <c r="B5278" s="153" t="str">
        <f>IFERROR(__xludf.DUMMYFUNCTION("""COMPUTED_VALUE"""),"WHOLE EXOME SEQUENCING")</f>
        <v>WHOLE EXOME SEQUENCING</v>
      </c>
      <c r="C5278" s="378">
        <f>IFERROR(__xludf.DUMMYFUNCTION("""COMPUTED_VALUE"""),46192.0)</f>
        <v>46192</v>
      </c>
      <c r="D5278" s="378">
        <f>IFERROR(__xludf.DUMMYFUNCTION("""COMPUTED_VALUE"""),46207.0)</f>
        <v>46207</v>
      </c>
    </row>
    <row r="5279">
      <c r="A5279" s="153" t="str">
        <f>IFERROR(__xludf.DUMMYFUNCTION("""COMPUTED_VALUE"""),"ADK0000003259")</f>
        <v>ADK0000003259</v>
      </c>
      <c r="B5279" s="153" t="str">
        <f>IFERROR(__xludf.DUMMYFUNCTION("""COMPUTED_VALUE"""),"WHOLE EXOME SEQUENCING")</f>
        <v>WHOLE EXOME SEQUENCING</v>
      </c>
      <c r="C5279" s="378">
        <f>IFERROR(__xludf.DUMMYFUNCTION("""COMPUTED_VALUE"""),46192.0)</f>
        <v>46192</v>
      </c>
      <c r="D5279" s="378">
        <f>IFERROR(__xludf.DUMMYFUNCTION("""COMPUTED_VALUE"""),46207.0)</f>
        <v>46207</v>
      </c>
    </row>
    <row r="5280">
      <c r="A5280" s="153" t="str">
        <f>IFERROR(__xludf.DUMMYFUNCTION("""COMPUTED_VALUE"""),"ADK0000003260")</f>
        <v>ADK0000003260</v>
      </c>
      <c r="B5280" s="153" t="str">
        <f>IFERROR(__xludf.DUMMYFUNCTION("""COMPUTED_VALUE"""),"WHOLE EXOME SEQUENCING")</f>
        <v>WHOLE EXOME SEQUENCING</v>
      </c>
      <c r="C5280" s="378">
        <f>IFERROR(__xludf.DUMMYFUNCTION("""COMPUTED_VALUE"""),46192.0)</f>
        <v>46192</v>
      </c>
      <c r="D5280" s="378">
        <f>IFERROR(__xludf.DUMMYFUNCTION("""COMPUTED_VALUE"""),46207.0)</f>
        <v>46207</v>
      </c>
    </row>
    <row r="5281">
      <c r="A5281" s="153" t="str">
        <f>IFERROR(__xludf.DUMMYFUNCTION("""COMPUTED_VALUE"""),"ADK0000003261")</f>
        <v>ADK0000003261</v>
      </c>
      <c r="B5281" s="153" t="str">
        <f>IFERROR(__xludf.DUMMYFUNCTION("""COMPUTED_VALUE"""),"WHOLE EXOME SEQUENCING")</f>
        <v>WHOLE EXOME SEQUENCING</v>
      </c>
      <c r="C5281" s="378">
        <f>IFERROR(__xludf.DUMMYFUNCTION("""COMPUTED_VALUE"""),46192.0)</f>
        <v>46192</v>
      </c>
      <c r="D5281" s="378">
        <f>IFERROR(__xludf.DUMMYFUNCTION("""COMPUTED_VALUE"""),46207.0)</f>
        <v>46207</v>
      </c>
    </row>
    <row r="5282">
      <c r="A5282" s="153" t="str">
        <f>IFERROR(__xludf.DUMMYFUNCTION("""COMPUTED_VALUE"""),"ADK0000003262")</f>
        <v>ADK0000003262</v>
      </c>
      <c r="B5282" s="153" t="str">
        <f>IFERROR(__xludf.DUMMYFUNCTION("""COMPUTED_VALUE"""),"WHOLE EXOME SEQUENCING")</f>
        <v>WHOLE EXOME SEQUENCING</v>
      </c>
      <c r="C5282" s="378">
        <f>IFERROR(__xludf.DUMMYFUNCTION("""COMPUTED_VALUE"""),46192.0)</f>
        <v>46192</v>
      </c>
      <c r="D5282" s="378">
        <f>IFERROR(__xludf.DUMMYFUNCTION("""COMPUTED_VALUE"""),46207.0)</f>
        <v>46207</v>
      </c>
    </row>
    <row r="5283">
      <c r="A5283" s="153" t="str">
        <f>IFERROR(__xludf.DUMMYFUNCTION("""COMPUTED_VALUE"""),"ADK0000003263")</f>
        <v>ADK0000003263</v>
      </c>
      <c r="B5283" s="153" t="str">
        <f>IFERROR(__xludf.DUMMYFUNCTION("""COMPUTED_VALUE"""),"WHOLE EXOME SEQUENCING")</f>
        <v>WHOLE EXOME SEQUENCING</v>
      </c>
      <c r="C5283" s="378">
        <f>IFERROR(__xludf.DUMMYFUNCTION("""COMPUTED_VALUE"""),46192.0)</f>
        <v>46192</v>
      </c>
      <c r="D5283" s="378">
        <f>IFERROR(__xludf.DUMMYFUNCTION("""COMPUTED_VALUE"""),46207.0)</f>
        <v>46207</v>
      </c>
    </row>
    <row r="5284">
      <c r="A5284" s="153" t="str">
        <f>IFERROR(__xludf.DUMMYFUNCTION("""COMPUTED_VALUE"""),"ADK0000003264")</f>
        <v>ADK0000003264</v>
      </c>
      <c r="B5284" s="153" t="str">
        <f>IFERROR(__xludf.DUMMYFUNCTION("""COMPUTED_VALUE"""),"WHOLE EXOME SEQUENCING")</f>
        <v>WHOLE EXOME SEQUENCING</v>
      </c>
      <c r="C5284" s="378">
        <f>IFERROR(__xludf.DUMMYFUNCTION("""COMPUTED_VALUE"""),46192.0)</f>
        <v>46192</v>
      </c>
      <c r="D5284" s="378">
        <f>IFERROR(__xludf.DUMMYFUNCTION("""COMPUTED_VALUE"""),46207.0)</f>
        <v>46207</v>
      </c>
    </row>
    <row r="5285">
      <c r="A5285" s="153" t="str">
        <f>IFERROR(__xludf.DUMMYFUNCTION("""COMPUTED_VALUE"""),"ADK0000003265")</f>
        <v>ADK0000003265</v>
      </c>
      <c r="B5285" s="153" t="str">
        <f>IFERROR(__xludf.DUMMYFUNCTION("""COMPUTED_VALUE"""),"WHOLE EXOME SEQUENCING")</f>
        <v>WHOLE EXOME SEQUENCING</v>
      </c>
      <c r="C5285" s="378">
        <f>IFERROR(__xludf.DUMMYFUNCTION("""COMPUTED_VALUE"""),46196.0)</f>
        <v>46196</v>
      </c>
      <c r="D5285" s="378">
        <f>IFERROR(__xludf.DUMMYFUNCTION("""COMPUTED_VALUE"""),46207.0)</f>
        <v>46207</v>
      </c>
    </row>
    <row r="5286">
      <c r="A5286" s="153" t="str">
        <f>IFERROR(__xludf.DUMMYFUNCTION("""COMPUTED_VALUE"""),"ADK0000003266")</f>
        <v>ADK0000003266</v>
      </c>
      <c r="B5286" s="153" t="str">
        <f>IFERROR(__xludf.DUMMYFUNCTION("""COMPUTED_VALUE"""),"WHOLE EXOME SEQUENCING")</f>
        <v>WHOLE EXOME SEQUENCING</v>
      </c>
      <c r="C5286" s="378">
        <f>IFERROR(__xludf.DUMMYFUNCTION("""COMPUTED_VALUE"""),46196.0)</f>
        <v>46196</v>
      </c>
      <c r="D5286" s="378">
        <f>IFERROR(__xludf.DUMMYFUNCTION("""COMPUTED_VALUE"""),46207.0)</f>
        <v>46207</v>
      </c>
    </row>
    <row r="5287">
      <c r="A5287" s="153" t="str">
        <f>IFERROR(__xludf.DUMMYFUNCTION("""COMPUTED_VALUE"""),"ADK0000003267")</f>
        <v>ADK0000003267</v>
      </c>
      <c r="B5287" s="153" t="str">
        <f>IFERROR(__xludf.DUMMYFUNCTION("""COMPUTED_VALUE"""),"WHOLE EXOME SEQUENCING")</f>
        <v>WHOLE EXOME SEQUENCING</v>
      </c>
      <c r="C5287" s="378">
        <f>IFERROR(__xludf.DUMMYFUNCTION("""COMPUTED_VALUE"""),46196.0)</f>
        <v>46196</v>
      </c>
      <c r="D5287" s="378">
        <f>IFERROR(__xludf.DUMMYFUNCTION("""COMPUTED_VALUE"""),46207.0)</f>
        <v>46207</v>
      </c>
    </row>
    <row r="5288">
      <c r="A5288" s="153" t="str">
        <f>IFERROR(__xludf.DUMMYFUNCTION("""COMPUTED_VALUE"""),"ADK0000003268")</f>
        <v>ADK0000003268</v>
      </c>
      <c r="B5288" s="153" t="str">
        <f>IFERROR(__xludf.DUMMYFUNCTION("""COMPUTED_VALUE"""),"WHOLE EXOME SEQUENCING")</f>
        <v>WHOLE EXOME SEQUENCING</v>
      </c>
      <c r="C5288" s="378">
        <f>IFERROR(__xludf.DUMMYFUNCTION("""COMPUTED_VALUE"""),46196.0)</f>
        <v>46196</v>
      </c>
      <c r="D5288" s="378">
        <f>IFERROR(__xludf.DUMMYFUNCTION("""COMPUTED_VALUE"""),46207.0)</f>
        <v>46207</v>
      </c>
    </row>
    <row r="5289">
      <c r="A5289" s="153" t="str">
        <f>IFERROR(__xludf.DUMMYFUNCTION("""COMPUTED_VALUE"""),"ADK0000003269")</f>
        <v>ADK0000003269</v>
      </c>
      <c r="B5289" s="153" t="str">
        <f>IFERROR(__xludf.DUMMYFUNCTION("""COMPUTED_VALUE"""),"WHOLE EXOME SEQUENCING")</f>
        <v>WHOLE EXOME SEQUENCING</v>
      </c>
      <c r="C5289" s="378">
        <f>IFERROR(__xludf.DUMMYFUNCTION("""COMPUTED_VALUE"""),46196.0)</f>
        <v>46196</v>
      </c>
      <c r="D5289" s="378">
        <f>IFERROR(__xludf.DUMMYFUNCTION("""COMPUTED_VALUE"""),46207.0)</f>
        <v>46207</v>
      </c>
    </row>
    <row r="5290">
      <c r="A5290" s="153" t="str">
        <f>IFERROR(__xludf.DUMMYFUNCTION("""COMPUTED_VALUE"""),"ADK0000003270")</f>
        <v>ADK0000003270</v>
      </c>
      <c r="B5290" s="153" t="str">
        <f>IFERROR(__xludf.DUMMYFUNCTION("""COMPUTED_VALUE"""),"WHOLE EXOME SEQUENCING")</f>
        <v>WHOLE EXOME SEQUENCING</v>
      </c>
      <c r="C5290" s="378">
        <f>IFERROR(__xludf.DUMMYFUNCTION("""COMPUTED_VALUE"""),46196.0)</f>
        <v>46196</v>
      </c>
      <c r="D5290" s="378">
        <f>IFERROR(__xludf.DUMMYFUNCTION("""COMPUTED_VALUE"""),46207.0)</f>
        <v>46207</v>
      </c>
    </row>
    <row r="5291">
      <c r="A5291" s="153" t="str">
        <f>IFERROR(__xludf.DUMMYFUNCTION("""COMPUTED_VALUE"""),"ADK0000003271")</f>
        <v>ADK0000003271</v>
      </c>
      <c r="B5291" s="153" t="str">
        <f>IFERROR(__xludf.DUMMYFUNCTION("""COMPUTED_VALUE"""),"WHOLE EXOME SEQUENCING")</f>
        <v>WHOLE EXOME SEQUENCING</v>
      </c>
      <c r="C5291" s="378">
        <f>IFERROR(__xludf.DUMMYFUNCTION("""COMPUTED_VALUE"""),46196.0)</f>
        <v>46196</v>
      </c>
      <c r="D5291" s="378">
        <f>IFERROR(__xludf.DUMMYFUNCTION("""COMPUTED_VALUE"""),46207.0)</f>
        <v>46207</v>
      </c>
    </row>
    <row r="5292">
      <c r="A5292" s="153" t="str">
        <f>IFERROR(__xludf.DUMMYFUNCTION("""COMPUTED_VALUE"""),"ADK0000003272")</f>
        <v>ADK0000003272</v>
      </c>
      <c r="B5292" s="153" t="str">
        <f>IFERROR(__xludf.DUMMYFUNCTION("""COMPUTED_VALUE"""),"WHOLE EXOME SEQUENCING")</f>
        <v>WHOLE EXOME SEQUENCING</v>
      </c>
      <c r="C5292" s="378">
        <f>IFERROR(__xludf.DUMMYFUNCTION("""COMPUTED_VALUE"""),46196.0)</f>
        <v>46196</v>
      </c>
      <c r="D5292" s="378">
        <f>IFERROR(__xludf.DUMMYFUNCTION("""COMPUTED_VALUE"""),46207.0)</f>
        <v>46207</v>
      </c>
    </row>
    <row r="5293">
      <c r="A5293" s="153" t="str">
        <f>IFERROR(__xludf.DUMMYFUNCTION("""COMPUTED_VALUE"""),"ADK0000003273")</f>
        <v>ADK0000003273</v>
      </c>
      <c r="B5293" s="153" t="str">
        <f>IFERROR(__xludf.DUMMYFUNCTION("""COMPUTED_VALUE"""),"WHOLE EXOME SEQUENCING")</f>
        <v>WHOLE EXOME SEQUENCING</v>
      </c>
      <c r="C5293" s="378">
        <f>IFERROR(__xludf.DUMMYFUNCTION("""COMPUTED_VALUE"""),46196.0)</f>
        <v>46196</v>
      </c>
      <c r="D5293" s="378">
        <f>IFERROR(__xludf.DUMMYFUNCTION("""COMPUTED_VALUE"""),46207.0)</f>
        <v>46207</v>
      </c>
    </row>
    <row r="5294">
      <c r="A5294" s="153" t="str">
        <f>IFERROR(__xludf.DUMMYFUNCTION("""COMPUTED_VALUE"""),"ADK0000003274")</f>
        <v>ADK0000003274</v>
      </c>
      <c r="B5294" s="153" t="str">
        <f>IFERROR(__xludf.DUMMYFUNCTION("""COMPUTED_VALUE"""),"WHOLE EXOME SEQUENCING")</f>
        <v>WHOLE EXOME SEQUENCING</v>
      </c>
      <c r="C5294" s="378">
        <f>IFERROR(__xludf.DUMMYFUNCTION("""COMPUTED_VALUE"""),46196.0)</f>
        <v>46196</v>
      </c>
      <c r="D5294" s="378">
        <f>IFERROR(__xludf.DUMMYFUNCTION("""COMPUTED_VALUE"""),46207.0)</f>
        <v>46207</v>
      </c>
    </row>
    <row r="5295">
      <c r="A5295" s="153" t="str">
        <f>IFERROR(__xludf.DUMMYFUNCTION("""COMPUTED_VALUE"""),"ADK0000003275")</f>
        <v>ADK0000003275</v>
      </c>
      <c r="B5295" s="153" t="str">
        <f>IFERROR(__xludf.DUMMYFUNCTION("""COMPUTED_VALUE"""),"WHOLE EXOME SEQUENCING")</f>
        <v>WHOLE EXOME SEQUENCING</v>
      </c>
      <c r="C5295" s="378">
        <f>IFERROR(__xludf.DUMMYFUNCTION("""COMPUTED_VALUE"""),46196.0)</f>
        <v>46196</v>
      </c>
      <c r="D5295" s="378">
        <f>IFERROR(__xludf.DUMMYFUNCTION("""COMPUTED_VALUE"""),46207.0)</f>
        <v>46207</v>
      </c>
    </row>
    <row r="5296">
      <c r="A5296" s="153" t="str">
        <f>IFERROR(__xludf.DUMMYFUNCTION("""COMPUTED_VALUE"""),"ADK0000003276")</f>
        <v>ADK0000003276</v>
      </c>
      <c r="B5296" s="153" t="str">
        <f>IFERROR(__xludf.DUMMYFUNCTION("""COMPUTED_VALUE"""),"WHOLE EXOME SEQUENCING")</f>
        <v>WHOLE EXOME SEQUENCING</v>
      </c>
      <c r="C5296" s="378">
        <f>IFERROR(__xludf.DUMMYFUNCTION("""COMPUTED_VALUE"""),46196.0)</f>
        <v>46196</v>
      </c>
      <c r="D5296" s="378">
        <f>IFERROR(__xludf.DUMMYFUNCTION("""COMPUTED_VALUE"""),46207.0)</f>
        <v>46207</v>
      </c>
    </row>
    <row r="5297">
      <c r="A5297" s="153" t="str">
        <f>IFERROR(__xludf.DUMMYFUNCTION("""COMPUTED_VALUE"""),"ADK0000003277")</f>
        <v>ADK0000003277</v>
      </c>
      <c r="B5297" s="153" t="str">
        <f>IFERROR(__xludf.DUMMYFUNCTION("""COMPUTED_VALUE"""),"WHOLE EXOME SEQUENCING")</f>
        <v>WHOLE EXOME SEQUENCING</v>
      </c>
      <c r="C5297" s="378">
        <f>IFERROR(__xludf.DUMMYFUNCTION("""COMPUTED_VALUE"""),46196.0)</f>
        <v>46196</v>
      </c>
      <c r="D5297" s="378">
        <f>IFERROR(__xludf.DUMMYFUNCTION("""COMPUTED_VALUE"""),46207.0)</f>
        <v>46207</v>
      </c>
    </row>
    <row r="5298">
      <c r="A5298" s="153" t="str">
        <f>IFERROR(__xludf.DUMMYFUNCTION("""COMPUTED_VALUE"""),"ADK0000003278")</f>
        <v>ADK0000003278</v>
      </c>
      <c r="B5298" s="153" t="str">
        <f>IFERROR(__xludf.DUMMYFUNCTION("""COMPUTED_VALUE"""),"WHOLE EXOME SEQUENCING")</f>
        <v>WHOLE EXOME SEQUENCING</v>
      </c>
      <c r="C5298" s="378">
        <f>IFERROR(__xludf.DUMMYFUNCTION("""COMPUTED_VALUE"""),46196.0)</f>
        <v>46196</v>
      </c>
      <c r="D5298" s="378">
        <f>IFERROR(__xludf.DUMMYFUNCTION("""COMPUTED_VALUE"""),46207.0)</f>
        <v>46207</v>
      </c>
    </row>
    <row r="5299">
      <c r="A5299" s="153" t="str">
        <f>IFERROR(__xludf.DUMMYFUNCTION("""COMPUTED_VALUE"""),"ADK0000003279")</f>
        <v>ADK0000003279</v>
      </c>
      <c r="B5299" s="153" t="str">
        <f>IFERROR(__xludf.DUMMYFUNCTION("""COMPUTED_VALUE"""),"WHOLE EXOME SEQUENCING")</f>
        <v>WHOLE EXOME SEQUENCING</v>
      </c>
      <c r="C5299" s="378">
        <f>IFERROR(__xludf.DUMMYFUNCTION("""COMPUTED_VALUE"""),46196.0)</f>
        <v>46196</v>
      </c>
      <c r="D5299" s="378">
        <f>IFERROR(__xludf.DUMMYFUNCTION("""COMPUTED_VALUE"""),46207.0)</f>
        <v>46207</v>
      </c>
    </row>
    <row r="5300">
      <c r="A5300" s="153" t="str">
        <f>IFERROR(__xludf.DUMMYFUNCTION("""COMPUTED_VALUE"""),"ADK0000003280")</f>
        <v>ADK0000003280</v>
      </c>
      <c r="B5300" s="153" t="str">
        <f>IFERROR(__xludf.DUMMYFUNCTION("""COMPUTED_VALUE"""),"WHOLE EXOME SEQUENCING")</f>
        <v>WHOLE EXOME SEQUENCING</v>
      </c>
      <c r="C5300" s="378">
        <f>IFERROR(__xludf.DUMMYFUNCTION("""COMPUTED_VALUE"""),46196.0)</f>
        <v>46196</v>
      </c>
      <c r="D5300" s="378">
        <f>IFERROR(__xludf.DUMMYFUNCTION("""COMPUTED_VALUE"""),46207.0)</f>
        <v>46207</v>
      </c>
    </row>
    <row r="5301">
      <c r="A5301" s="153" t="str">
        <f>IFERROR(__xludf.DUMMYFUNCTION("""COMPUTED_VALUE"""),"PH50000024670")</f>
        <v>PH50000024670</v>
      </c>
      <c r="B5301" s="153" t="str">
        <f>IFERROR(__xludf.DUMMYFUNCTION("""COMPUTED_VALUE"""),"WES+WMGS")</f>
        <v>WES+WMGS</v>
      </c>
      <c r="C5301" s="378">
        <f>IFERROR(__xludf.DUMMYFUNCTION("""COMPUTED_VALUE"""),46199.0)</f>
        <v>46199</v>
      </c>
      <c r="D5301" s="378">
        <f>IFERROR(__xludf.DUMMYFUNCTION("""COMPUTED_VALUE"""),46214.0)</f>
        <v>46214</v>
      </c>
    </row>
    <row r="5302">
      <c r="A5302" s="153" t="str">
        <f>IFERROR(__xludf.DUMMYFUNCTION("""COMPUTED_VALUE"""),"ADH0000030804")</f>
        <v>ADH0000030804</v>
      </c>
      <c r="B5302" s="153" t="str">
        <f>IFERROR(__xludf.DUMMYFUNCTION("""COMPUTED_VALUE"""),"WHOLE EXOME SEQUENCING")</f>
        <v>WHOLE EXOME SEQUENCING</v>
      </c>
      <c r="C5302" s="378">
        <f>IFERROR(__xludf.DUMMYFUNCTION("""COMPUTED_VALUE"""),46199.0)</f>
        <v>46199</v>
      </c>
      <c r="D5302" s="378">
        <f>IFERROR(__xludf.DUMMYFUNCTION("""COMPUTED_VALUE"""),46206.0)</f>
        <v>46206</v>
      </c>
    </row>
    <row r="5303">
      <c r="A5303" s="153" t="str">
        <f>IFERROR(__xludf.DUMMYFUNCTION("""COMPUTED_VALUE"""),"ADH0000030806
")</f>
        <v>ADH0000030806
</v>
      </c>
      <c r="B5303" s="153" t="str">
        <f>IFERROR(__xludf.DUMMYFUNCTION("""COMPUTED_VALUE"""),"WHOLE EXOME SEQUENCING")</f>
        <v>WHOLE EXOME SEQUENCING</v>
      </c>
      <c r="C5303" s="378">
        <f>IFERROR(__xludf.DUMMYFUNCTION("""COMPUTED_VALUE"""),46199.0)</f>
        <v>46199</v>
      </c>
      <c r="D5303" s="378">
        <f>IFERROR(__xludf.DUMMYFUNCTION("""COMPUTED_VALUE"""),46206.0)</f>
        <v>46206</v>
      </c>
    </row>
    <row r="5304">
      <c r="A5304" s="153" t="str">
        <f>IFERROR(__xludf.DUMMYFUNCTION("""COMPUTED_VALUE"""),"ADH0000030805")</f>
        <v>ADH0000030805</v>
      </c>
      <c r="B5304" s="153" t="str">
        <f>IFERROR(__xludf.DUMMYFUNCTION("""COMPUTED_VALUE"""),"WHOLE EXOME SEQUENCING")</f>
        <v>WHOLE EXOME SEQUENCING</v>
      </c>
      <c r="C5304" s="378">
        <f>IFERROR(__xludf.DUMMYFUNCTION("""COMPUTED_VALUE"""),46199.0)</f>
        <v>46199</v>
      </c>
      <c r="D5304" s="378">
        <f>IFERROR(__xludf.DUMMYFUNCTION("""COMPUTED_VALUE"""),46206.0)</f>
        <v>46206</v>
      </c>
    </row>
    <row r="5305">
      <c r="A5305" s="153" t="str">
        <f>IFERROR(__xludf.DUMMYFUNCTION("""COMPUTED_VALUE"""),"ADH0000030800")</f>
        <v>ADH0000030800</v>
      </c>
      <c r="B5305" s="153" t="str">
        <f>IFERROR(__xludf.DUMMYFUNCTION("""COMPUTED_VALUE"""),"WHOLE EXOME SEQUENCING")</f>
        <v>WHOLE EXOME SEQUENCING</v>
      </c>
      <c r="C5305" s="378">
        <f>IFERROR(__xludf.DUMMYFUNCTION("""COMPUTED_VALUE"""),46199.0)</f>
        <v>46199</v>
      </c>
      <c r="D5305" s="378">
        <f>IFERROR(__xludf.DUMMYFUNCTION("""COMPUTED_VALUE"""),46206.0)</f>
        <v>46206</v>
      </c>
    </row>
    <row r="5306">
      <c r="A5306" s="153" t="str">
        <f>IFERROR(__xludf.DUMMYFUNCTION("""COMPUTED_VALUE"""),"ADS0000015860
")</f>
        <v>ADS0000015860
</v>
      </c>
      <c r="B5306" s="153" t="str">
        <f>IFERROR(__xludf.DUMMYFUNCTION("""COMPUTED_VALUE"""),"WHOLE EXOME SEQUENCING")</f>
        <v>WHOLE EXOME SEQUENCING</v>
      </c>
      <c r="C5306" s="378">
        <f>IFERROR(__xludf.DUMMYFUNCTION("""COMPUTED_VALUE"""),46199.0)</f>
        <v>46199</v>
      </c>
      <c r="D5306" s="378">
        <f>IFERROR(__xludf.DUMMYFUNCTION("""COMPUTED_VALUE"""),46207.0)</f>
        <v>46207</v>
      </c>
    </row>
    <row r="5307">
      <c r="A5307" s="153" t="str">
        <f>IFERROR(__xludf.DUMMYFUNCTION("""COMPUTED_VALUE"""),"ADB0000042789 / ADB0000042790
")</f>
        <v>ADB0000042789 / ADB0000042790
</v>
      </c>
      <c r="B5307" s="153" t="str">
        <f>IFERROR(__xludf.DUMMYFUNCTION("""COMPUTED_VALUE"""),"Single Gene – Full gene sequencing by NGS")</f>
        <v>Single Gene – Full gene sequencing by NGS</v>
      </c>
      <c r="C5307" s="378">
        <f>IFERROR(__xludf.DUMMYFUNCTION("""COMPUTED_VALUE"""),46199.0)</f>
        <v>46199</v>
      </c>
      <c r="D5307" s="378">
        <f>IFERROR(__xludf.DUMMYFUNCTION("""COMPUTED_VALUE"""),46199.0)</f>
        <v>46199</v>
      </c>
    </row>
    <row r="5308">
      <c r="A5308" s="153" t="str">
        <f>IFERROR(__xludf.DUMMYFUNCTION("""COMPUTED_VALUE"""),"ADB0000042787 / ADB0000042788
")</f>
        <v>ADB0000042787 / ADB0000042788
</v>
      </c>
      <c r="B5308" s="153" t="str">
        <f>IFERROR(__xludf.DUMMYFUNCTION("""COMPUTED_VALUE"""),"Single Gene – Full gene sequencing by NGS")</f>
        <v>Single Gene – Full gene sequencing by NGS</v>
      </c>
      <c r="C5308" s="378">
        <f>IFERROR(__xludf.DUMMYFUNCTION("""COMPUTED_VALUE"""),46199.0)</f>
        <v>46199</v>
      </c>
      <c r="D5308" s="378">
        <f>IFERROR(__xludf.DUMMYFUNCTION("""COMPUTED_VALUE"""),46199.0)</f>
        <v>46199</v>
      </c>
    </row>
    <row r="5309">
      <c r="A5309" s="153" t="str">
        <f>IFERROR(__xludf.DUMMYFUNCTION("""COMPUTED_VALUE"""),"PH50000023978")</f>
        <v>PH50000023978</v>
      </c>
      <c r="B5309" s="153" t="str">
        <f>IFERROR(__xludf.DUMMYFUNCTION("""COMPUTED_VALUE"""),"WES+WMGS")</f>
        <v>WES+WMGS</v>
      </c>
      <c r="C5309" s="378">
        <f>IFERROR(__xludf.DUMMYFUNCTION("""COMPUTED_VALUE"""),46199.0)</f>
        <v>46199</v>
      </c>
      <c r="D5309" s="378">
        <f>IFERROR(__xludf.DUMMYFUNCTION("""COMPUTED_VALUE"""),46211.0)</f>
        <v>46211</v>
      </c>
    </row>
    <row r="5310">
      <c r="A5310" s="153" t="str">
        <f>IFERROR(__xludf.DUMMYFUNCTION("""COMPUTED_VALUE"""),"ADH0000030923
")</f>
        <v>ADH0000030923
</v>
      </c>
      <c r="B5310" s="153" t="str">
        <f>IFERROR(__xludf.DUMMYFUNCTION("""COMPUTED_VALUE"""),"WHOLE EXOME SEQUENCING")</f>
        <v>WHOLE EXOME SEQUENCING</v>
      </c>
      <c r="C5310" s="378">
        <f>IFERROR(__xludf.DUMMYFUNCTION("""COMPUTED_VALUE"""),46199.0)</f>
        <v>46199</v>
      </c>
      <c r="D5310" s="378">
        <f>IFERROR(__xludf.DUMMYFUNCTION("""COMPUTED_VALUE"""),46212.0)</f>
        <v>46212</v>
      </c>
    </row>
    <row r="5311">
      <c r="A5311" s="153" t="str">
        <f>IFERROR(__xludf.DUMMYFUNCTION("""COMPUTED_VALUE"""),"ADB0000042455
")</f>
        <v>ADB0000042455
</v>
      </c>
      <c r="B5311" s="153" t="str">
        <f>IFERROR(__xludf.DUMMYFUNCTION("""COMPUTED_VALUE"""),"FEMALE INFERTILITY NGS PANEL")</f>
        <v>FEMALE INFERTILITY NGS PANEL</v>
      </c>
      <c r="C5311" s="378">
        <f>IFERROR(__xludf.DUMMYFUNCTION("""COMPUTED_VALUE"""),46199.0)</f>
        <v>46199</v>
      </c>
      <c r="D5311" s="378">
        <f>IFERROR(__xludf.DUMMYFUNCTION("""COMPUTED_VALUE"""),46201.0)</f>
        <v>46201</v>
      </c>
    </row>
    <row r="5312">
      <c r="A5312" s="153" t="str">
        <f>IFERROR(__xludf.DUMMYFUNCTION("""COMPUTED_VALUE"""),"ADB0000042458
")</f>
        <v>ADB0000042458
</v>
      </c>
      <c r="B5312" s="153" t="str">
        <f>IFERROR(__xludf.DUMMYFUNCTION("""COMPUTED_VALUE"""),"MALE INFERTILITY NGS PANEL")</f>
        <v>MALE INFERTILITY NGS PANEL</v>
      </c>
      <c r="C5312" s="378">
        <f>IFERROR(__xludf.DUMMYFUNCTION("""COMPUTED_VALUE"""),46199.0)</f>
        <v>46199</v>
      </c>
      <c r="D5312" s="378">
        <f>IFERROR(__xludf.DUMMYFUNCTION("""COMPUTED_VALUE"""),46201.0)</f>
        <v>46201</v>
      </c>
    </row>
    <row r="5313">
      <c r="A5313" s="153" t="str">
        <f>IFERROR(__xludf.DUMMYFUNCTION("""COMPUTED_VALUE"""),"ADH0000030793")</f>
        <v>ADH0000030793</v>
      </c>
      <c r="B5313" s="153" t="str">
        <f>IFERROR(__xludf.DUMMYFUNCTION("""COMPUTED_VALUE"""),"WHOLE EXOME SEQUENCING")</f>
        <v>WHOLE EXOME SEQUENCING</v>
      </c>
      <c r="C5313" s="378">
        <f>IFERROR(__xludf.DUMMYFUNCTION("""COMPUTED_VALUE"""),46199.0)</f>
        <v>46199</v>
      </c>
      <c r="D5313" s="378">
        <f>IFERROR(__xludf.DUMMYFUNCTION("""COMPUTED_VALUE"""),46211.0)</f>
        <v>46211</v>
      </c>
    </row>
    <row r="5314">
      <c r="A5314" s="153" t="str">
        <f>IFERROR(__xludf.DUMMYFUNCTION("""COMPUTED_VALUE"""),"TPJ0000022594")</f>
        <v>TPJ0000022594</v>
      </c>
      <c r="B5314" s="153" t="str">
        <f>IFERROR(__xludf.DUMMYFUNCTION("""COMPUTED_VALUE"""),"WHOLE EXOME SEQUENCING + MITOCHONDRIAL GENOME SEQUENCING")</f>
        <v>WHOLE EXOME SEQUENCING + MITOCHONDRIAL GENOME SEQUENCING</v>
      </c>
      <c r="C5314" s="378">
        <f>IFERROR(__xludf.DUMMYFUNCTION("""COMPUTED_VALUE"""),46199.0)</f>
        <v>46199</v>
      </c>
      <c r="D5314" s="378">
        <f>IFERROR(__xludf.DUMMYFUNCTION("""COMPUTED_VALUE"""),46211.0)</f>
        <v>46211</v>
      </c>
    </row>
    <row r="5315">
      <c r="A5315" s="153" t="str">
        <f>IFERROR(__xludf.DUMMYFUNCTION("""COMPUTED_VALUE"""),"ATR0000015593
")</f>
        <v>ATR0000015593
</v>
      </c>
      <c r="B5315" s="153" t="str">
        <f>IFERROR(__xludf.DUMMYFUNCTION("""COMPUTED_VALUE"""),"WHOLE EXOME SEQUENCING")</f>
        <v>WHOLE EXOME SEQUENCING</v>
      </c>
      <c r="C5315" s="378">
        <f>IFERROR(__xludf.DUMMYFUNCTION("""COMPUTED_VALUE"""),46199.0)</f>
        <v>46199</v>
      </c>
      <c r="D5315" s="378">
        <f>IFERROR(__xludf.DUMMYFUNCTION("""COMPUTED_VALUE"""),46212.0)</f>
        <v>46212</v>
      </c>
    </row>
    <row r="5316">
      <c r="A5316" s="153" t="str">
        <f>IFERROR(__xludf.DUMMYFUNCTION("""COMPUTED_VALUE"""),"ADB0000042111")</f>
        <v>ADB0000042111</v>
      </c>
      <c r="B5316" s="153" t="str">
        <f>IFERROR(__xludf.DUMMYFUNCTION("""COMPUTED_VALUE"""),"WHOLE EXOME SEQUENCING")</f>
        <v>WHOLE EXOME SEQUENCING</v>
      </c>
      <c r="C5316" s="378">
        <f>IFERROR(__xludf.DUMMYFUNCTION("""COMPUTED_VALUE"""),46199.0)</f>
        <v>46199</v>
      </c>
      <c r="D5316" s="378">
        <f>IFERROR(__xludf.DUMMYFUNCTION("""COMPUTED_VALUE"""),46211.0)</f>
        <v>46211</v>
      </c>
    </row>
    <row r="5317">
      <c r="A5317" s="153" t="str">
        <f>IFERROR(__xludf.DUMMYFUNCTION("""COMPUTED_VALUE"""),"ADK0000003242")</f>
        <v>ADK0000003242</v>
      </c>
      <c r="B5317" s="153" t="str">
        <f>IFERROR(__xludf.DUMMYFUNCTION("""COMPUTED_VALUE"""),"WHOLE EXOME SEQUENCING")</f>
        <v>WHOLE EXOME SEQUENCING</v>
      </c>
      <c r="C5317" s="378">
        <f>IFERROR(__xludf.DUMMYFUNCTION("""COMPUTED_VALUE"""),46196.0)</f>
        <v>46196</v>
      </c>
      <c r="D5317" s="378">
        <f>IFERROR(__xludf.DUMMYFUNCTION("""COMPUTED_VALUE"""),46207.0)</f>
        <v>46207</v>
      </c>
    </row>
    <row r="5318">
      <c r="A5318" s="153" t="str">
        <f>IFERROR(__xludf.DUMMYFUNCTION("""COMPUTED_VALUE"""),"ADK0000003247")</f>
        <v>ADK0000003247</v>
      </c>
      <c r="B5318" s="153" t="str">
        <f>IFERROR(__xludf.DUMMYFUNCTION("""COMPUTED_VALUE"""),"WHOLE EXOME SEQUENCING")</f>
        <v>WHOLE EXOME SEQUENCING</v>
      </c>
      <c r="C5318" s="378">
        <f>IFERROR(__xludf.DUMMYFUNCTION("""COMPUTED_VALUE"""),46196.0)</f>
        <v>46196</v>
      </c>
      <c r="D5318" s="378">
        <f>IFERROR(__xludf.DUMMYFUNCTION("""COMPUTED_VALUE"""),46207.0)</f>
        <v>46207</v>
      </c>
    </row>
    <row r="5319">
      <c r="A5319" s="153" t="str">
        <f>IFERROR(__xludf.DUMMYFUNCTION("""COMPUTED_VALUE"""),"HYP0000002532")</f>
        <v>HYP0000002532</v>
      </c>
      <c r="B5319" s="153" t="str">
        <f>IFERROR(__xludf.DUMMYFUNCTION("""COMPUTED_VALUE"""),"FEMALE INFERTILITY NGS PANEL")</f>
        <v>FEMALE INFERTILITY NGS PANEL</v>
      </c>
      <c r="C5319" s="378">
        <f>IFERROR(__xludf.DUMMYFUNCTION("""COMPUTED_VALUE"""),46196.0)</f>
        <v>46196</v>
      </c>
      <c r="D5319" s="378">
        <f>IFERROR(__xludf.DUMMYFUNCTION("""COMPUTED_VALUE"""),46202.0)</f>
        <v>46202</v>
      </c>
    </row>
    <row r="5320">
      <c r="A5320" s="153" t="str">
        <f>IFERROR(__xludf.DUMMYFUNCTION("""COMPUTED_VALUE"""),"HYP0000002538")</f>
        <v>HYP0000002538</v>
      </c>
      <c r="B5320" s="153" t="str">
        <f>IFERROR(__xludf.DUMMYFUNCTION("""COMPUTED_VALUE"""),"FEMALE INFERTILITY NGS PANEL")</f>
        <v>FEMALE INFERTILITY NGS PANEL</v>
      </c>
      <c r="C5320" s="378">
        <f>IFERROR(__xludf.DUMMYFUNCTION("""COMPUTED_VALUE"""),46196.0)</f>
        <v>46196</v>
      </c>
      <c r="D5320" s="378">
        <f>IFERROR(__xludf.DUMMYFUNCTION("""COMPUTED_VALUE"""),46202.0)</f>
        <v>46202</v>
      </c>
    </row>
    <row r="5321">
      <c r="A5321" s="153" t="str">
        <f>IFERROR(__xludf.DUMMYFUNCTION("""COMPUTED_VALUE"""),"HYP0000002539")</f>
        <v>HYP0000002539</v>
      </c>
      <c r="B5321" s="153" t="str">
        <f>IFERROR(__xludf.DUMMYFUNCTION("""COMPUTED_VALUE"""),"MALE INFERTILITY NGS PANEL")</f>
        <v>MALE INFERTILITY NGS PANEL</v>
      </c>
      <c r="C5321" s="378">
        <f>IFERROR(__xludf.DUMMYFUNCTION("""COMPUTED_VALUE"""),46196.0)</f>
        <v>46196</v>
      </c>
      <c r="D5321" s="378">
        <f>IFERROR(__xludf.DUMMYFUNCTION("""COMPUTED_VALUE"""),46202.0)</f>
        <v>46202</v>
      </c>
    </row>
    <row r="5322">
      <c r="A5322" s="153" t="str">
        <f>IFERROR(__xludf.DUMMYFUNCTION("""COMPUTED_VALUE"""),"HYP0000002540")</f>
        <v>HYP0000002540</v>
      </c>
      <c r="B5322" s="153" t="str">
        <f>IFERROR(__xludf.DUMMYFUNCTION("""COMPUTED_VALUE"""),"MALE INFERTILITY NGS PANEL")</f>
        <v>MALE INFERTILITY NGS PANEL</v>
      </c>
      <c r="C5322" s="378">
        <f>IFERROR(__xludf.DUMMYFUNCTION("""COMPUTED_VALUE"""),46196.0)</f>
        <v>46196</v>
      </c>
      <c r="D5322" s="378">
        <f>IFERROR(__xludf.DUMMYFUNCTION("""COMPUTED_VALUE"""),46202.0)</f>
        <v>46202</v>
      </c>
    </row>
    <row r="5323">
      <c r="A5323" s="153" t="str">
        <f>IFERROR(__xludf.DUMMYFUNCTION("""COMPUTED_VALUE"""),"ADB0000042604")</f>
        <v>ADB0000042604</v>
      </c>
      <c r="B5323" s="153" t="str">
        <f>IFERROR(__xludf.DUMMYFUNCTION("""COMPUTED_VALUE"""),"FEMALE INFERTILITY NGS PANEL")</f>
        <v>FEMALE INFERTILITY NGS PANEL</v>
      </c>
      <c r="C5323" s="378">
        <f>IFERROR(__xludf.DUMMYFUNCTION("""COMPUTED_VALUE"""),46196.0)</f>
        <v>46196</v>
      </c>
      <c r="D5323" s="378">
        <f>IFERROR(__xludf.DUMMYFUNCTION("""COMPUTED_VALUE"""),46202.0)</f>
        <v>46202</v>
      </c>
    </row>
    <row r="5324">
      <c r="A5324" s="153" t="str">
        <f>IFERROR(__xludf.DUMMYFUNCTION("""COMPUTED_VALUE"""),"ACO0000011516")</f>
        <v>ACO0000011516</v>
      </c>
      <c r="B5324" s="153" t="str">
        <f>IFERROR(__xludf.DUMMYFUNCTION("""COMPUTED_VALUE"""),"WHOLE EXOME SEQUENCING")</f>
        <v>WHOLE EXOME SEQUENCING</v>
      </c>
      <c r="C5324" s="378">
        <f>IFERROR(__xludf.DUMMYFUNCTION("""COMPUTED_VALUE"""),46196.0)</f>
        <v>46196</v>
      </c>
      <c r="D5324" s="378">
        <f>IFERROR(__xludf.DUMMYFUNCTION("""COMPUTED_VALUE"""),46213.0)</f>
        <v>46213</v>
      </c>
    </row>
    <row r="5325">
      <c r="A5325" s="153" t="str">
        <f>IFERROR(__xludf.DUMMYFUNCTION("""COMPUTED_VALUE"""),"HYP0000002490")</f>
        <v>HYP0000002490</v>
      </c>
      <c r="B5325" s="153" t="str">
        <f>IFERROR(__xludf.DUMMYFUNCTION("""COMPUTED_VALUE"""),"ADVAT FOCUSSED CARRIER SCREENING")</f>
        <v>ADVAT FOCUSSED CARRIER SCREENING</v>
      </c>
      <c r="C5325" s="378">
        <f>IFERROR(__xludf.DUMMYFUNCTION("""COMPUTED_VALUE"""),46199.0)</f>
        <v>46199</v>
      </c>
      <c r="D5325" s="378">
        <f>IFERROR(__xludf.DUMMYFUNCTION("""COMPUTED_VALUE"""),46213.0)</f>
        <v>46213</v>
      </c>
    </row>
    <row r="5326">
      <c r="A5326" s="153" t="str">
        <f>IFERROR(__xludf.DUMMYFUNCTION("""COMPUTED_VALUE"""),"HYP0000002491")</f>
        <v>HYP0000002491</v>
      </c>
      <c r="B5326" s="153" t="str">
        <f>IFERROR(__xludf.DUMMYFUNCTION("""COMPUTED_VALUE"""),"ADVAT FOCUSSED CARRIER SCREENING")</f>
        <v>ADVAT FOCUSSED CARRIER SCREENING</v>
      </c>
      <c r="C5326" s="378">
        <f>IFERROR(__xludf.DUMMYFUNCTION("""COMPUTED_VALUE"""),46199.0)</f>
        <v>46199</v>
      </c>
      <c r="D5326" s="378">
        <f>IFERROR(__xludf.DUMMYFUNCTION("""COMPUTED_VALUE"""),46213.0)</f>
        <v>46213</v>
      </c>
    </row>
    <row r="5327">
      <c r="A5327" s="153" t="str">
        <f>IFERROR(__xludf.DUMMYFUNCTION("""COMPUTED_VALUE"""),"ADK0000002998")</f>
        <v>ADK0000002998</v>
      </c>
      <c r="B5327" s="153" t="str">
        <f>IFERROR(__xludf.DUMMYFUNCTION("""COMPUTED_VALUE"""),"WES+WMGS")</f>
        <v>WES+WMGS</v>
      </c>
      <c r="C5327" s="378">
        <f>IFERROR(__xludf.DUMMYFUNCTION("""COMPUTED_VALUE"""),46199.0)</f>
        <v>46199</v>
      </c>
      <c r="D5327" s="378">
        <f>IFERROR(__xludf.DUMMYFUNCTION("""COMPUTED_VALUE"""),46212.0)</f>
        <v>46212</v>
      </c>
    </row>
    <row r="5328">
      <c r="A5328" s="153" t="str">
        <f>IFERROR(__xludf.DUMMYFUNCTION("""COMPUTED_VALUE"""),"ADK0000002999")</f>
        <v>ADK0000002999</v>
      </c>
      <c r="B5328" s="153" t="str">
        <f>IFERROR(__xludf.DUMMYFUNCTION("""COMPUTED_VALUE"""),"WES+WMGS")</f>
        <v>WES+WMGS</v>
      </c>
      <c r="C5328" s="378">
        <f>IFERROR(__xludf.DUMMYFUNCTION("""COMPUTED_VALUE"""),46199.0)</f>
        <v>46199</v>
      </c>
      <c r="D5328" s="378">
        <f>IFERROR(__xludf.DUMMYFUNCTION("""COMPUTED_VALUE"""),46212.0)</f>
        <v>46212</v>
      </c>
    </row>
    <row r="5329">
      <c r="A5329" s="153" t="str">
        <f>IFERROR(__xludf.DUMMYFUNCTION("""COMPUTED_VALUE"""),"ADK0000003000")</f>
        <v>ADK0000003000</v>
      </c>
      <c r="B5329" s="153" t="str">
        <f>IFERROR(__xludf.DUMMYFUNCTION("""COMPUTED_VALUE"""),"WES+WMGS")</f>
        <v>WES+WMGS</v>
      </c>
      <c r="C5329" s="378">
        <f>IFERROR(__xludf.DUMMYFUNCTION("""COMPUTED_VALUE"""),46199.0)</f>
        <v>46199</v>
      </c>
      <c r="D5329" s="378">
        <f>IFERROR(__xludf.DUMMYFUNCTION("""COMPUTED_VALUE"""),46212.0)</f>
        <v>46212</v>
      </c>
    </row>
    <row r="5330">
      <c r="A5330" s="153" t="str">
        <f>IFERROR(__xludf.DUMMYFUNCTION("""COMPUTED_VALUE"""),"ADK0000003001")</f>
        <v>ADK0000003001</v>
      </c>
      <c r="B5330" s="153" t="str">
        <f>IFERROR(__xludf.DUMMYFUNCTION("""COMPUTED_VALUE"""),"WES+WMGS")</f>
        <v>WES+WMGS</v>
      </c>
      <c r="C5330" s="378">
        <f>IFERROR(__xludf.DUMMYFUNCTION("""COMPUTED_VALUE"""),46199.0)</f>
        <v>46199</v>
      </c>
      <c r="D5330" s="378">
        <f>IFERROR(__xludf.DUMMYFUNCTION("""COMPUTED_VALUE"""),46212.0)</f>
        <v>46212</v>
      </c>
    </row>
    <row r="5331">
      <c r="A5331" s="153" t="str">
        <f>IFERROR(__xludf.DUMMYFUNCTION("""COMPUTED_VALUE"""),"HCC0000015808")</f>
        <v>HCC0000015808</v>
      </c>
      <c r="B5331" s="153" t="str">
        <f>IFERROR(__xludf.DUMMYFUNCTION("""COMPUTED_VALUE"""),"WHOLE EXOME SEQUENCING")</f>
        <v>WHOLE EXOME SEQUENCING</v>
      </c>
      <c r="C5331" s="378">
        <f>IFERROR(__xludf.DUMMYFUNCTION("""COMPUTED_VALUE"""),46199.0)</f>
        <v>46199</v>
      </c>
      <c r="D5331" s="378">
        <f>IFERROR(__xludf.DUMMYFUNCTION("""COMPUTED_VALUE"""),46213.0)</f>
        <v>46213</v>
      </c>
    </row>
    <row r="5332">
      <c r="A5332" s="153" t="str">
        <f>IFERROR(__xludf.DUMMYFUNCTION("""COMPUTED_VALUE"""),"ADH0000031219")</f>
        <v>ADH0000031219</v>
      </c>
      <c r="B5332" s="153" t="str">
        <f>IFERROR(__xludf.DUMMYFUNCTION("""COMPUTED_VALUE"""),"WHOLE EXOME SEQUENCING")</f>
        <v>WHOLE EXOME SEQUENCING</v>
      </c>
      <c r="C5332" s="378">
        <f>IFERROR(__xludf.DUMMYFUNCTION("""COMPUTED_VALUE"""),46199.0)</f>
        <v>46199</v>
      </c>
      <c r="D5332" s="378">
        <f>IFERROR(__xludf.DUMMYFUNCTION("""COMPUTED_VALUE"""),46213.0)</f>
        <v>46213</v>
      </c>
    </row>
    <row r="5333">
      <c r="A5333" s="153" t="str">
        <f>IFERROR(__xludf.DUMMYFUNCTION("""COMPUTED_VALUE"""),"ADH0000031240")</f>
        <v>ADH0000031240</v>
      </c>
      <c r="B5333" s="153" t="str">
        <f>IFERROR(__xludf.DUMMYFUNCTION("""COMPUTED_VALUE"""),"WHOLE EXOME SEQUENCING")</f>
        <v>WHOLE EXOME SEQUENCING</v>
      </c>
      <c r="C5333" s="378">
        <f>IFERROR(__xludf.DUMMYFUNCTION("""COMPUTED_VALUE"""),46199.0)</f>
        <v>46199</v>
      </c>
      <c r="D5333" s="378">
        <f>IFERROR(__xludf.DUMMYFUNCTION("""COMPUTED_VALUE"""),46213.0)</f>
        <v>46213</v>
      </c>
    </row>
    <row r="5334">
      <c r="A5334" s="153" t="str">
        <f>IFERROR(__xludf.DUMMYFUNCTION("""COMPUTED_VALUE"""),"ADH0000031241")</f>
        <v>ADH0000031241</v>
      </c>
      <c r="B5334" s="153" t="str">
        <f>IFERROR(__xludf.DUMMYFUNCTION("""COMPUTED_VALUE"""),"WHOLE EXOME SEQUENCING")</f>
        <v>WHOLE EXOME SEQUENCING</v>
      </c>
      <c r="C5334" s="378">
        <f>IFERROR(__xludf.DUMMYFUNCTION("""COMPUTED_VALUE"""),46199.0)</f>
        <v>46199</v>
      </c>
      <c r="D5334" s="378">
        <f>IFERROR(__xludf.DUMMYFUNCTION("""COMPUTED_VALUE"""),46213.0)</f>
        <v>46213</v>
      </c>
    </row>
    <row r="5335">
      <c r="A5335" s="153" t="str">
        <f>IFERROR(__xludf.DUMMYFUNCTION("""COMPUTED_VALUE"""),"ADB0000042661")</f>
        <v>ADB0000042661</v>
      </c>
      <c r="B5335" s="153" t="str">
        <f>IFERROR(__xludf.DUMMYFUNCTION("""COMPUTED_VALUE"""),"WHOLE EXOME SEQUENCING")</f>
        <v>WHOLE EXOME SEQUENCING</v>
      </c>
      <c r="C5335" s="378">
        <f>IFERROR(__xludf.DUMMYFUNCTION("""COMPUTED_VALUE"""),46199.0)</f>
        <v>46199</v>
      </c>
      <c r="D5335" s="378">
        <f>IFERROR(__xludf.DUMMYFUNCTION("""COMPUTED_VALUE"""),46207.0)</f>
        <v>46207</v>
      </c>
    </row>
    <row r="5336">
      <c r="A5336" s="153" t="str">
        <f>IFERROR(__xludf.DUMMYFUNCTION("""COMPUTED_VALUE"""),"PH50000023772")</f>
        <v>PH50000023772</v>
      </c>
      <c r="B5336" s="153" t="str">
        <f>IFERROR(__xludf.DUMMYFUNCTION("""COMPUTED_VALUE"""),"COMPREHENSIVE HEREDITARY CANCER PANEL (NGS+MLPA)")</f>
        <v>COMPREHENSIVE HEREDITARY CANCER PANEL (NGS+MLPA)</v>
      </c>
      <c r="C5336" s="378">
        <f>IFERROR(__xludf.DUMMYFUNCTION("""COMPUTED_VALUE"""),46199.0)</f>
        <v>46199</v>
      </c>
      <c r="D5336" s="153"/>
    </row>
    <row r="5337">
      <c r="A5337" s="153" t="str">
        <f>IFERROR(__xludf.DUMMYFUNCTION("""COMPUTED_VALUE"""),"ADB0000042771")</f>
        <v>ADB0000042771</v>
      </c>
      <c r="B5337" s="153" t="str">
        <f>IFERROR(__xludf.DUMMYFUNCTION("""COMPUTED_VALUE"""),"WHOLE EXOME SEQUENCING")</f>
        <v>WHOLE EXOME SEQUENCING</v>
      </c>
      <c r="C5337" s="378">
        <f>IFERROR(__xludf.DUMMYFUNCTION("""COMPUTED_VALUE"""),46199.0)</f>
        <v>46199</v>
      </c>
      <c r="D5337" s="378">
        <f>IFERROR(__xludf.DUMMYFUNCTION("""COMPUTED_VALUE"""),46214.0)</f>
        <v>46214</v>
      </c>
    </row>
    <row r="5338">
      <c r="A5338" s="153" t="str">
        <f>IFERROR(__xludf.DUMMYFUNCTION("""COMPUTED_VALUE"""),"ADB0000042772")</f>
        <v>ADB0000042772</v>
      </c>
      <c r="B5338" s="153" t="str">
        <f>IFERROR(__xludf.DUMMYFUNCTION("""COMPUTED_VALUE"""),"WHOLE EXOME SEQUENCING")</f>
        <v>WHOLE EXOME SEQUENCING</v>
      </c>
      <c r="C5338" s="378">
        <f>IFERROR(__xludf.DUMMYFUNCTION("""COMPUTED_VALUE"""),46199.0)</f>
        <v>46199</v>
      </c>
      <c r="D5338" s="378">
        <f>IFERROR(__xludf.DUMMYFUNCTION("""COMPUTED_VALUE"""),46214.0)</f>
        <v>46214</v>
      </c>
    </row>
    <row r="5339">
      <c r="A5339" s="153"/>
      <c r="B5339" s="153"/>
      <c r="C5339" s="378">
        <f>IFERROR(__xludf.DUMMYFUNCTION("""COMPUTED_VALUE"""),46199.0)</f>
        <v>46199</v>
      </c>
      <c r="D5339" s="153"/>
    </row>
    <row r="5340">
      <c r="A5340" s="153" t="str">
        <f>IFERROR(__xludf.DUMMYFUNCTION("""COMPUTED_VALUE"""),"AMB0000011315")</f>
        <v>AMB0000011315</v>
      </c>
      <c r="B5340" s="153" t="str">
        <f>IFERROR(__xludf.DUMMYFUNCTION("""COMPUTED_VALUE"""),"FEMALE INFERTILITY NGS PANEL")</f>
        <v>FEMALE INFERTILITY NGS PANEL</v>
      </c>
      <c r="C5340" s="378">
        <f>IFERROR(__xludf.DUMMYFUNCTION("""COMPUTED_VALUE"""),46199.0)</f>
        <v>46199</v>
      </c>
      <c r="D5340" s="378">
        <f>IFERROR(__xludf.DUMMYFUNCTION("""COMPUTED_VALUE"""),46203.0)</f>
        <v>46203</v>
      </c>
    </row>
    <row r="5341">
      <c r="A5341" s="153" t="str">
        <f>IFERROR(__xludf.DUMMYFUNCTION("""COMPUTED_VALUE"""),"AMB0000011321")</f>
        <v>AMB0000011321</v>
      </c>
      <c r="B5341" s="153" t="str">
        <f>IFERROR(__xludf.DUMMYFUNCTION("""COMPUTED_VALUE"""),"WHOLE EXOME SEQUENCING")</f>
        <v>WHOLE EXOME SEQUENCING</v>
      </c>
      <c r="C5341" s="378">
        <f>IFERROR(__xludf.DUMMYFUNCTION("""COMPUTED_VALUE"""),46196.0)</f>
        <v>46196</v>
      </c>
      <c r="D5341" s="378">
        <f>IFERROR(__xludf.DUMMYFUNCTION("""COMPUTED_VALUE"""),46214.0)</f>
        <v>46214</v>
      </c>
    </row>
    <row r="5342">
      <c r="A5342" s="153" t="str">
        <f>IFERROR(__xludf.DUMMYFUNCTION("""COMPUTED_VALUE"""),"AMB0000011322")</f>
        <v>AMB0000011322</v>
      </c>
      <c r="B5342" s="153" t="str">
        <f>IFERROR(__xludf.DUMMYFUNCTION("""COMPUTED_VALUE"""),"WHOLE EXOME SEQUENCING")</f>
        <v>WHOLE EXOME SEQUENCING</v>
      </c>
      <c r="C5342" s="378">
        <f>IFERROR(__xludf.DUMMYFUNCTION("""COMPUTED_VALUE"""),46196.0)</f>
        <v>46196</v>
      </c>
      <c r="D5342" s="378">
        <f>IFERROR(__xludf.DUMMYFUNCTION("""COMPUTED_VALUE"""),46214.0)</f>
        <v>46214</v>
      </c>
    </row>
    <row r="5343">
      <c r="A5343" s="153" t="str">
        <f>IFERROR(__xludf.DUMMYFUNCTION("""COMPUTED_VALUE"""),"FR20000012145")</f>
        <v>FR20000012145</v>
      </c>
      <c r="B5343" s="153" t="str">
        <f>IFERROR(__xludf.DUMMYFUNCTION("""COMPUTED_VALUE"""),"WHOLE EXOME SEQUENCING")</f>
        <v>WHOLE EXOME SEQUENCING</v>
      </c>
      <c r="C5343" s="378">
        <f>IFERROR(__xludf.DUMMYFUNCTION("""COMPUTED_VALUE"""),46196.0)</f>
        <v>46196</v>
      </c>
      <c r="D5343" s="378">
        <f>IFERROR(__xludf.DUMMYFUNCTION("""COMPUTED_VALUE"""),46215.0)</f>
        <v>46215</v>
      </c>
    </row>
    <row r="5344">
      <c r="A5344" s="153" t="str">
        <f>IFERROR(__xludf.DUMMYFUNCTION("""COMPUTED_VALUE"""),"FR20000012108")</f>
        <v>FR20000012108</v>
      </c>
      <c r="B5344" s="153" t="str">
        <f>IFERROR(__xludf.DUMMYFUNCTION("""COMPUTED_VALUE"""),"WHOLE EXOME SEQUENCING")</f>
        <v>WHOLE EXOME SEQUENCING</v>
      </c>
      <c r="C5344" s="378">
        <f>IFERROR(__xludf.DUMMYFUNCTION("""COMPUTED_VALUE"""),46196.0)</f>
        <v>46196</v>
      </c>
      <c r="D5344" s="378">
        <f>IFERROR(__xludf.DUMMYFUNCTION("""COMPUTED_VALUE"""),46215.0)</f>
        <v>46215</v>
      </c>
    </row>
    <row r="5345">
      <c r="A5345" s="153" t="str">
        <f>IFERROR(__xludf.DUMMYFUNCTION("""COMPUTED_VALUE"""),"ADK0000003034")</f>
        <v>ADK0000003034</v>
      </c>
      <c r="B5345" s="153" t="str">
        <f>IFERROR(__xludf.DUMMYFUNCTION("""COMPUTED_VALUE"""),"WHOLE EXOME SEQUENCING")</f>
        <v>WHOLE EXOME SEQUENCING</v>
      </c>
      <c r="C5345" s="378">
        <f>IFERROR(__xludf.DUMMYFUNCTION("""COMPUTED_VALUE"""),46196.0)</f>
        <v>46196</v>
      </c>
      <c r="D5345" s="378">
        <f>IFERROR(__xludf.DUMMYFUNCTION("""COMPUTED_VALUE"""),46209.0)</f>
        <v>46209</v>
      </c>
    </row>
    <row r="5346">
      <c r="A5346" s="153" t="str">
        <f>IFERROR(__xludf.DUMMYFUNCTION("""COMPUTED_VALUE"""),"ADK0000003032")</f>
        <v>ADK0000003032</v>
      </c>
      <c r="B5346" s="153" t="str">
        <f>IFERROR(__xludf.DUMMYFUNCTION("""COMPUTED_VALUE"""),"WHOLE EXOME SEQUENCING")</f>
        <v>WHOLE EXOME SEQUENCING</v>
      </c>
      <c r="C5346" s="378">
        <f>IFERROR(__xludf.DUMMYFUNCTION("""COMPUTED_VALUE"""),46196.0)</f>
        <v>46196</v>
      </c>
      <c r="D5346" s="378">
        <f>IFERROR(__xludf.DUMMYFUNCTION("""COMPUTED_VALUE"""),46209.0)</f>
        <v>46209</v>
      </c>
    </row>
    <row r="5347">
      <c r="A5347" s="153" t="str">
        <f>IFERROR(__xludf.DUMMYFUNCTION("""COMPUTED_VALUE"""),"ADK0000003033")</f>
        <v>ADK0000003033</v>
      </c>
      <c r="B5347" s="153" t="str">
        <f>IFERROR(__xludf.DUMMYFUNCTION("""COMPUTED_VALUE"""),"WHOLE EXOME SEQUENCING")</f>
        <v>WHOLE EXOME SEQUENCING</v>
      </c>
      <c r="C5347" s="378">
        <f>IFERROR(__xludf.DUMMYFUNCTION("""COMPUTED_VALUE"""),46196.0)</f>
        <v>46196</v>
      </c>
      <c r="D5347" s="378">
        <f>IFERROR(__xludf.DUMMYFUNCTION("""COMPUTED_VALUE"""),46209.0)</f>
        <v>46209</v>
      </c>
    </row>
    <row r="5348">
      <c r="A5348" s="153" t="str">
        <f>IFERROR(__xludf.DUMMYFUNCTION("""COMPUTED_VALUE"""),"ADK0000003035")</f>
        <v>ADK0000003035</v>
      </c>
      <c r="B5348" s="153" t="str">
        <f>IFERROR(__xludf.DUMMYFUNCTION("""COMPUTED_VALUE"""),"WHOLE EXOME SEQUENCING + MITOCHONDRIAL GENOME SEQUENCING")</f>
        <v>WHOLE EXOME SEQUENCING + MITOCHONDRIAL GENOME SEQUENCING</v>
      </c>
      <c r="C5348" s="378">
        <f>IFERROR(__xludf.DUMMYFUNCTION("""COMPUTED_VALUE"""),46196.0)</f>
        <v>46196</v>
      </c>
      <c r="D5348" s="378">
        <f>IFERROR(__xludf.DUMMYFUNCTION("""COMPUTED_VALUE"""),46209.0)</f>
        <v>46209</v>
      </c>
    </row>
    <row r="5349">
      <c r="A5349" s="153" t="str">
        <f>IFERROR(__xludf.DUMMYFUNCTION("""COMPUTED_VALUE"""),"ADB0000043157")</f>
        <v>ADB0000043157</v>
      </c>
      <c r="B5349" s="153" t="str">
        <f>IFERROR(__xludf.DUMMYFUNCTION("""COMPUTED_VALUE"""),"WHOLE GENOME SEQUENCING")</f>
        <v>WHOLE GENOME SEQUENCING</v>
      </c>
      <c r="C5349" s="378">
        <f>IFERROR(__xludf.DUMMYFUNCTION("""COMPUTED_VALUE"""),46196.0)</f>
        <v>46196</v>
      </c>
      <c r="D5349" s="378">
        <f>IFERROR(__xludf.DUMMYFUNCTION("""COMPUTED_VALUE"""),46215.0)</f>
        <v>46215</v>
      </c>
    </row>
    <row r="5350">
      <c r="A5350" s="153" t="str">
        <f>IFERROR(__xludf.DUMMYFUNCTION("""COMPUTED_VALUE"""),"ADB0000043172")</f>
        <v>ADB0000043172</v>
      </c>
      <c r="B5350" s="153" t="str">
        <f>IFERROR(__xludf.DUMMYFUNCTION("""COMPUTED_VALUE"""),"WHOLE EXOME SEQUENCING")</f>
        <v>WHOLE EXOME SEQUENCING</v>
      </c>
      <c r="C5350" s="378">
        <f>IFERROR(__xludf.DUMMYFUNCTION("""COMPUTED_VALUE"""),46196.0)</f>
        <v>46196</v>
      </c>
      <c r="D5350" s="378">
        <f>IFERROR(__xludf.DUMMYFUNCTION("""COMPUTED_VALUE"""),46215.0)</f>
        <v>46215</v>
      </c>
    </row>
    <row r="5351">
      <c r="A5351" s="153" t="str">
        <f>IFERROR(__xludf.DUMMYFUNCTION("""COMPUTED_VALUE"""),"ADB0000043067")</f>
        <v>ADB0000043067</v>
      </c>
      <c r="B5351" s="153" t="str">
        <f>IFERROR(__xludf.DUMMYFUNCTION("""COMPUTED_VALUE"""),"WHOLE EXOME SEQUENCING")</f>
        <v>WHOLE EXOME SEQUENCING</v>
      </c>
      <c r="C5351" s="378">
        <f>IFERROR(__xludf.DUMMYFUNCTION("""COMPUTED_VALUE"""),46196.0)</f>
        <v>46196</v>
      </c>
      <c r="D5351" s="378">
        <f>IFERROR(__xludf.DUMMYFUNCTION("""COMPUTED_VALUE"""),46215.0)</f>
        <v>46215</v>
      </c>
    </row>
    <row r="5352">
      <c r="A5352" s="153" t="str">
        <f>IFERROR(__xludf.DUMMYFUNCTION("""COMPUTED_VALUE"""),"ADB0000043116")</f>
        <v>ADB0000043116</v>
      </c>
      <c r="B5352" s="153" t="str">
        <f>IFERROR(__xludf.DUMMYFUNCTION("""COMPUTED_VALUE"""),"WHOLE GENOME SEQUENCING")</f>
        <v>WHOLE GENOME SEQUENCING</v>
      </c>
      <c r="C5352" s="378">
        <f>IFERROR(__xludf.DUMMYFUNCTION("""COMPUTED_VALUE"""),46196.0)</f>
        <v>46196</v>
      </c>
      <c r="D5352" s="378">
        <f>IFERROR(__xludf.DUMMYFUNCTION("""COMPUTED_VALUE"""),46215.0)</f>
        <v>46215</v>
      </c>
    </row>
    <row r="5353">
      <c r="A5353" s="153" t="str">
        <f>IFERROR(__xludf.DUMMYFUNCTION("""COMPUTED_VALUE"""),"PLD0000001110")</f>
        <v>PLD0000001110</v>
      </c>
      <c r="B5353" s="153" t="str">
        <f>IFERROR(__xludf.DUMMYFUNCTION("""COMPUTED_VALUE"""),"WHOLE EXOME SEQUENCING")</f>
        <v>WHOLE EXOME SEQUENCING</v>
      </c>
      <c r="C5353" s="378">
        <f>IFERROR(__xludf.DUMMYFUNCTION("""COMPUTED_VALUE"""),46196.0)</f>
        <v>46196</v>
      </c>
      <c r="D5353" s="378">
        <f>IFERROR(__xludf.DUMMYFUNCTION("""COMPUTED_VALUE"""),46215.0)</f>
        <v>46215</v>
      </c>
    </row>
    <row r="5354">
      <c r="A5354" s="153" t="str">
        <f>IFERROR(__xludf.DUMMYFUNCTION("""COMPUTED_VALUE"""),"ADH0000031494")</f>
        <v>ADH0000031494</v>
      </c>
      <c r="B5354" s="153" t="str">
        <f>IFERROR(__xludf.DUMMYFUNCTION("""COMPUTED_VALUE"""),"WHOLE EXOME SEQUENCING")</f>
        <v>WHOLE EXOME SEQUENCING</v>
      </c>
      <c r="C5354" s="378">
        <f>IFERROR(__xludf.DUMMYFUNCTION("""COMPUTED_VALUE"""),46196.0)</f>
        <v>46196</v>
      </c>
      <c r="D5354" s="378">
        <f>IFERROR(__xludf.DUMMYFUNCTION("""COMPUTED_VALUE"""),46210.0)</f>
        <v>46210</v>
      </c>
    </row>
    <row r="5355">
      <c r="A5355" s="153" t="str">
        <f>IFERROR(__xludf.DUMMYFUNCTION("""COMPUTED_VALUE"""),"ACO0000011543")</f>
        <v>ACO0000011543</v>
      </c>
      <c r="B5355" s="153" t="str">
        <f>IFERROR(__xludf.DUMMYFUNCTION("""COMPUTED_VALUE"""),"UGT1A1")</f>
        <v>UGT1A1</v>
      </c>
      <c r="C5355" s="378">
        <f>IFERROR(__xludf.DUMMYFUNCTION("""COMPUTED_VALUE"""),46196.0)</f>
        <v>46196</v>
      </c>
      <c r="D5355" s="378">
        <f>IFERROR(__xludf.DUMMYFUNCTION("""COMPUTED_VALUE"""),46203.0)</f>
        <v>46203</v>
      </c>
    </row>
    <row r="5356">
      <c r="A5356" s="153" t="str">
        <f>IFERROR(__xludf.DUMMYFUNCTION("""COMPUTED_VALUE"""),"ADK0000003025")</f>
        <v>ADK0000003025</v>
      </c>
      <c r="B5356" s="153" t="str">
        <f>IFERROR(__xludf.DUMMYFUNCTION("""COMPUTED_VALUE"""),"WHOLE EXOME SEQUENCING")</f>
        <v>WHOLE EXOME SEQUENCING</v>
      </c>
      <c r="C5356" s="378">
        <f>IFERROR(__xludf.DUMMYFUNCTION("""COMPUTED_VALUE"""),46196.0)</f>
        <v>46196</v>
      </c>
      <c r="D5356" s="378">
        <f>IFERROR(__xludf.DUMMYFUNCTION("""COMPUTED_VALUE"""),46209.0)</f>
        <v>46209</v>
      </c>
    </row>
    <row r="5357">
      <c r="A5357" s="153" t="str">
        <f>IFERROR(__xludf.DUMMYFUNCTION("""COMPUTED_VALUE"""),"ADK0000003026")</f>
        <v>ADK0000003026</v>
      </c>
      <c r="B5357" s="153" t="str">
        <f>IFERROR(__xludf.DUMMYFUNCTION("""COMPUTED_VALUE"""),"WHOLE EXOME SEQUENCING")</f>
        <v>WHOLE EXOME SEQUENCING</v>
      </c>
      <c r="C5357" s="378">
        <f>IFERROR(__xludf.DUMMYFUNCTION("""COMPUTED_VALUE"""),46196.0)</f>
        <v>46196</v>
      </c>
      <c r="D5357" s="378">
        <f>IFERROR(__xludf.DUMMYFUNCTION("""COMPUTED_VALUE"""),46209.0)</f>
        <v>46209</v>
      </c>
    </row>
    <row r="5358">
      <c r="A5358" s="153" t="str">
        <f>IFERROR(__xludf.DUMMYFUNCTION("""COMPUTED_VALUE"""),"ADK0000003027")</f>
        <v>ADK0000003027</v>
      </c>
      <c r="B5358" s="153" t="str">
        <f>IFERROR(__xludf.DUMMYFUNCTION("""COMPUTED_VALUE"""),"WHOLE EXOME SEQUENCING")</f>
        <v>WHOLE EXOME SEQUENCING</v>
      </c>
      <c r="C5358" s="378">
        <f>IFERROR(__xludf.DUMMYFUNCTION("""COMPUTED_VALUE"""),46196.0)</f>
        <v>46196</v>
      </c>
      <c r="D5358" s="378">
        <f>IFERROR(__xludf.DUMMYFUNCTION("""COMPUTED_VALUE"""),46209.0)</f>
        <v>46209</v>
      </c>
    </row>
    <row r="5359">
      <c r="A5359" s="153" t="str">
        <f>IFERROR(__xludf.DUMMYFUNCTION("""COMPUTED_VALUE"""),"ADK0000003028")</f>
        <v>ADK0000003028</v>
      </c>
      <c r="B5359" s="153" t="str">
        <f>IFERROR(__xludf.DUMMYFUNCTION("""COMPUTED_VALUE"""),"WHOLE EXOME SEQUENCING")</f>
        <v>WHOLE EXOME SEQUENCING</v>
      </c>
      <c r="C5359" s="378">
        <f>IFERROR(__xludf.DUMMYFUNCTION("""COMPUTED_VALUE"""),46196.0)</f>
        <v>46196</v>
      </c>
      <c r="D5359" s="378">
        <f>IFERROR(__xludf.DUMMYFUNCTION("""COMPUTED_VALUE"""),46209.0)</f>
        <v>46209</v>
      </c>
    </row>
    <row r="5360">
      <c r="A5360" s="153" t="str">
        <f>IFERROR(__xludf.DUMMYFUNCTION("""COMPUTED_VALUE"""),"ADK0000003024")</f>
        <v>ADK0000003024</v>
      </c>
      <c r="B5360" s="153" t="str">
        <f>IFERROR(__xludf.DUMMYFUNCTION("""COMPUTED_VALUE"""),"WHOLE EXOME SEQUENCING")</f>
        <v>WHOLE EXOME SEQUENCING</v>
      </c>
      <c r="C5360" s="378">
        <f>IFERROR(__xludf.DUMMYFUNCTION("""COMPUTED_VALUE"""),46196.0)</f>
        <v>46196</v>
      </c>
      <c r="D5360" s="378">
        <f>IFERROR(__xludf.DUMMYFUNCTION("""COMPUTED_VALUE"""),46209.0)</f>
        <v>46209</v>
      </c>
    </row>
    <row r="5361">
      <c r="A5361" s="153" t="str">
        <f>IFERROR(__xludf.DUMMYFUNCTION("""COMPUTED_VALUE"""),"HYP0000002554")</f>
        <v>HYP0000002554</v>
      </c>
      <c r="B5361" s="153" t="str">
        <f>IFERROR(__xludf.DUMMYFUNCTION("""COMPUTED_VALUE"""),"ADVAT FOCUS CARRIER SCREENING - NGS")</f>
        <v>ADVAT FOCUS CARRIER SCREENING - NGS</v>
      </c>
      <c r="C5361" s="378">
        <f>IFERROR(__xludf.DUMMYFUNCTION("""COMPUTED_VALUE"""),46196.0)</f>
        <v>46196</v>
      </c>
      <c r="D5361" s="378">
        <f>IFERROR(__xludf.DUMMYFUNCTION("""COMPUTED_VALUE"""),46215.0)</f>
        <v>46215</v>
      </c>
    </row>
    <row r="5362">
      <c r="A5362" s="153" t="str">
        <f>IFERROR(__xludf.DUMMYFUNCTION("""COMPUTED_VALUE"""),"HYP0000002555")</f>
        <v>HYP0000002555</v>
      </c>
      <c r="B5362" s="153" t="str">
        <f>IFERROR(__xludf.DUMMYFUNCTION("""COMPUTED_VALUE"""),"ADVAT FOCUS CARRIER SCREENING - NGS")</f>
        <v>ADVAT FOCUS CARRIER SCREENING - NGS</v>
      </c>
      <c r="C5362" s="378">
        <f>IFERROR(__xludf.DUMMYFUNCTION("""COMPUTED_VALUE"""),46196.0)</f>
        <v>46196</v>
      </c>
      <c r="D5362" s="378">
        <f>IFERROR(__xludf.DUMMYFUNCTION("""COMPUTED_VALUE"""),46215.0)</f>
        <v>46215</v>
      </c>
    </row>
    <row r="5363">
      <c r="A5363" s="153" t="str">
        <f>IFERROR(__xludf.DUMMYFUNCTION("""COMPUTED_VALUE"""),"HYP0000002557
")</f>
        <v>HYP0000002557
</v>
      </c>
      <c r="B5363" s="153" t="str">
        <f>IFERROR(__xludf.DUMMYFUNCTION("""COMPUTED_VALUE"""),"ADVAT FOCUS CARRIER SCREENING - NGS")</f>
        <v>ADVAT FOCUS CARRIER SCREENING - NGS</v>
      </c>
      <c r="C5363" s="378">
        <f>IFERROR(__xludf.DUMMYFUNCTION("""COMPUTED_VALUE"""),46196.0)</f>
        <v>46196</v>
      </c>
      <c r="D5363" s="378">
        <f>IFERROR(__xludf.DUMMYFUNCTION("""COMPUTED_VALUE"""),46215.0)</f>
        <v>46215</v>
      </c>
    </row>
    <row r="5364">
      <c r="A5364" s="153" t="str">
        <f>IFERROR(__xludf.DUMMYFUNCTION("""COMPUTED_VALUE"""),"PH60000012985")</f>
        <v>PH60000012985</v>
      </c>
      <c r="B5364" s="153" t="str">
        <f>IFERROR(__xludf.DUMMYFUNCTION("""COMPUTED_VALUE"""),"WHOLE EXOME SEQUENCING")</f>
        <v>WHOLE EXOME SEQUENCING</v>
      </c>
      <c r="C5364" s="378">
        <f>IFERROR(__xludf.DUMMYFUNCTION("""COMPUTED_VALUE"""),46196.0)</f>
        <v>46196</v>
      </c>
      <c r="D5364" s="378">
        <f>IFERROR(__xludf.DUMMYFUNCTION("""COMPUTED_VALUE"""),46215.0)</f>
        <v>46215</v>
      </c>
    </row>
    <row r="5365">
      <c r="A5365" s="153" t="str">
        <f>IFERROR(__xludf.DUMMYFUNCTION("""COMPUTED_VALUE"""),"HYP0000002575
")</f>
        <v>HYP0000002575
</v>
      </c>
      <c r="B5365" s="153" t="str">
        <f>IFERROR(__xludf.DUMMYFUNCTION("""COMPUTED_VALUE"""),"WHOLE EXOME SEQUENCING")</f>
        <v>WHOLE EXOME SEQUENCING</v>
      </c>
      <c r="C5365" s="378">
        <f>IFERROR(__xludf.DUMMYFUNCTION("""COMPUTED_VALUE"""),46199.0)</f>
        <v>46199</v>
      </c>
      <c r="D5365" s="378">
        <f>IFERROR(__xludf.DUMMYFUNCTION("""COMPUTED_VALUE"""),46215.0)</f>
        <v>46215</v>
      </c>
    </row>
    <row r="5366">
      <c r="A5366" s="153" t="str">
        <f>IFERROR(__xludf.DUMMYFUNCTION("""COMPUTED_VALUE"""),"HYP0000002577")</f>
        <v>HYP0000002577</v>
      </c>
      <c r="B5366" s="153" t="str">
        <f>IFERROR(__xludf.DUMMYFUNCTION("""COMPUTED_VALUE"""),"WHOLE EXOME SEQUENCING")</f>
        <v>WHOLE EXOME SEQUENCING</v>
      </c>
      <c r="C5366" s="378">
        <f>IFERROR(__xludf.DUMMYFUNCTION("""COMPUTED_VALUE"""),46199.0)</f>
        <v>46199</v>
      </c>
      <c r="D5366" s="378">
        <f>IFERROR(__xludf.DUMMYFUNCTION("""COMPUTED_VALUE"""),46215.0)</f>
        <v>46215</v>
      </c>
    </row>
    <row r="5367">
      <c r="A5367" s="153" t="str">
        <f>IFERROR(__xludf.DUMMYFUNCTION("""COMPUTED_VALUE"""),"ATR0000015807")</f>
        <v>ATR0000015807</v>
      </c>
      <c r="B5367" s="153" t="str">
        <f>IFERROR(__xludf.DUMMYFUNCTION("""COMPUTED_VALUE"""),"WHOLE EXOME SEQUENCING")</f>
        <v>WHOLE EXOME SEQUENCING</v>
      </c>
      <c r="C5367" s="378">
        <f>IFERROR(__xludf.DUMMYFUNCTION("""COMPUTED_VALUE"""),46199.0)</f>
        <v>46199</v>
      </c>
      <c r="D5367" s="378">
        <f>IFERROR(__xludf.DUMMYFUNCTION("""COMPUTED_VALUE"""),46216.0)</f>
        <v>46216</v>
      </c>
    </row>
    <row r="5368">
      <c r="A5368" s="153" t="str">
        <f>IFERROR(__xludf.DUMMYFUNCTION("""COMPUTED_VALUE"""),"AVD0000001605")</f>
        <v>AVD0000001605</v>
      </c>
      <c r="B5368" s="153" t="str">
        <f>IFERROR(__xludf.DUMMYFUNCTION("""COMPUTED_VALUE"""),"WHOLE EXOME SEQUENCING")</f>
        <v>WHOLE EXOME SEQUENCING</v>
      </c>
      <c r="C5368" s="378">
        <f>IFERROR(__xludf.DUMMYFUNCTION("""COMPUTED_VALUE"""),46199.0)</f>
        <v>46199</v>
      </c>
      <c r="D5368" s="378">
        <f>IFERROR(__xludf.DUMMYFUNCTION("""COMPUTED_VALUE"""),46216.0)</f>
        <v>46216</v>
      </c>
    </row>
    <row r="5369">
      <c r="A5369" s="153" t="str">
        <f>IFERROR(__xludf.DUMMYFUNCTION("""COMPUTED_VALUE"""),"ADK0000003049
")</f>
        <v>ADK0000003049
</v>
      </c>
      <c r="B5369" s="153" t="str">
        <f>IFERROR(__xludf.DUMMYFUNCTION("""COMPUTED_VALUE"""),"WHOLE EXOME SEQUENCING")</f>
        <v>WHOLE EXOME SEQUENCING</v>
      </c>
      <c r="C5369" s="378">
        <f>IFERROR(__xludf.DUMMYFUNCTION("""COMPUTED_VALUE"""),46199.0)</f>
        <v>46199</v>
      </c>
      <c r="D5369" s="378">
        <f>IFERROR(__xludf.DUMMYFUNCTION("""COMPUTED_VALUE"""),46210.0)</f>
        <v>46210</v>
      </c>
    </row>
    <row r="5370">
      <c r="A5370" s="153" t="str">
        <f>IFERROR(__xludf.DUMMYFUNCTION("""COMPUTED_VALUE"""),"ADK0000003050")</f>
        <v>ADK0000003050</v>
      </c>
      <c r="B5370" s="153" t="str">
        <f>IFERROR(__xludf.DUMMYFUNCTION("""COMPUTED_VALUE"""),"WHOLE EXOME SEQUENCING")</f>
        <v>WHOLE EXOME SEQUENCING</v>
      </c>
      <c r="C5370" s="378">
        <f>IFERROR(__xludf.DUMMYFUNCTION("""COMPUTED_VALUE"""),46199.0)</f>
        <v>46199</v>
      </c>
      <c r="D5370" s="378">
        <f>IFERROR(__xludf.DUMMYFUNCTION("""COMPUTED_VALUE"""),46210.0)</f>
        <v>46210</v>
      </c>
    </row>
    <row r="5371">
      <c r="A5371" s="153" t="str">
        <f>IFERROR(__xludf.DUMMYFUNCTION("""COMPUTED_VALUE"""),"ADK0000003051")</f>
        <v>ADK0000003051</v>
      </c>
      <c r="B5371" s="153" t="str">
        <f>IFERROR(__xludf.DUMMYFUNCTION("""COMPUTED_VALUE"""),"WHOLE EXOME SEQUENCING")</f>
        <v>WHOLE EXOME SEQUENCING</v>
      </c>
      <c r="C5371" s="378">
        <f>IFERROR(__xludf.DUMMYFUNCTION("""COMPUTED_VALUE"""),46199.0)</f>
        <v>46199</v>
      </c>
      <c r="D5371" s="378">
        <f>IFERROR(__xludf.DUMMYFUNCTION("""COMPUTED_VALUE"""),46210.0)</f>
        <v>46210</v>
      </c>
    </row>
    <row r="5372">
      <c r="A5372" s="153" t="str">
        <f>IFERROR(__xludf.DUMMYFUNCTION("""COMPUTED_VALUE"""),"ADK0000003052")</f>
        <v>ADK0000003052</v>
      </c>
      <c r="B5372" s="153" t="str">
        <f>IFERROR(__xludf.DUMMYFUNCTION("""COMPUTED_VALUE"""),"WHOLE EXOME SEQUENCING")</f>
        <v>WHOLE EXOME SEQUENCING</v>
      </c>
      <c r="C5372" s="378">
        <f>IFERROR(__xludf.DUMMYFUNCTION("""COMPUTED_VALUE"""),46199.0)</f>
        <v>46199</v>
      </c>
      <c r="D5372" s="378">
        <f>IFERROR(__xludf.DUMMYFUNCTION("""COMPUTED_VALUE"""),46210.0)</f>
        <v>46210</v>
      </c>
    </row>
    <row r="5373">
      <c r="A5373" s="153" t="str">
        <f>IFERROR(__xludf.DUMMYFUNCTION("""COMPUTED_VALUE"""),"ADK0000003053")</f>
        <v>ADK0000003053</v>
      </c>
      <c r="B5373" s="153" t="str">
        <f>IFERROR(__xludf.DUMMYFUNCTION("""COMPUTED_VALUE"""),"WHOLE EXOME SEQUENCING")</f>
        <v>WHOLE EXOME SEQUENCING</v>
      </c>
      <c r="C5373" s="378">
        <f>IFERROR(__xludf.DUMMYFUNCTION("""COMPUTED_VALUE"""),46199.0)</f>
        <v>46199</v>
      </c>
      <c r="D5373" s="378">
        <f>IFERROR(__xludf.DUMMYFUNCTION("""COMPUTED_VALUE"""),46210.0)</f>
        <v>46210</v>
      </c>
    </row>
    <row r="5374">
      <c r="A5374" s="153" t="str">
        <f>IFERROR(__xludf.DUMMYFUNCTION("""COMPUTED_VALUE"""),"ADK0000003054")</f>
        <v>ADK0000003054</v>
      </c>
      <c r="B5374" s="153" t="str">
        <f>IFERROR(__xludf.DUMMYFUNCTION("""COMPUTED_VALUE"""),"WHOLE EXOME SEQUENCING")</f>
        <v>WHOLE EXOME SEQUENCING</v>
      </c>
      <c r="C5374" s="378">
        <f>IFERROR(__xludf.DUMMYFUNCTION("""COMPUTED_VALUE"""),46199.0)</f>
        <v>46199</v>
      </c>
      <c r="D5374" s="378">
        <f>IFERROR(__xludf.DUMMYFUNCTION("""COMPUTED_VALUE"""),46210.0)</f>
        <v>46210</v>
      </c>
    </row>
    <row r="5375">
      <c r="A5375" s="153" t="str">
        <f>IFERROR(__xludf.DUMMYFUNCTION("""COMPUTED_VALUE"""),"ADK0000003055")</f>
        <v>ADK0000003055</v>
      </c>
      <c r="B5375" s="153" t="str">
        <f>IFERROR(__xludf.DUMMYFUNCTION("""COMPUTED_VALUE"""),"WHOLE EXOME SEQUENCING")</f>
        <v>WHOLE EXOME SEQUENCING</v>
      </c>
      <c r="C5375" s="378">
        <f>IFERROR(__xludf.DUMMYFUNCTION("""COMPUTED_VALUE"""),46199.0)</f>
        <v>46199</v>
      </c>
      <c r="D5375" s="378">
        <f>IFERROR(__xludf.DUMMYFUNCTION("""COMPUTED_VALUE"""),46210.0)</f>
        <v>46210</v>
      </c>
    </row>
    <row r="5376">
      <c r="A5376" s="153" t="str">
        <f>IFERROR(__xludf.DUMMYFUNCTION("""COMPUTED_VALUE"""),"ADB0000043543")</f>
        <v>ADB0000043543</v>
      </c>
      <c r="B5376" s="153" t="str">
        <f>IFERROR(__xludf.DUMMYFUNCTION("""COMPUTED_VALUE"""),"FEMALE INFERTILITY NGS PANEL")</f>
        <v>FEMALE INFERTILITY NGS PANEL</v>
      </c>
      <c r="C5376" s="378">
        <f>IFERROR(__xludf.DUMMYFUNCTION("""COMPUTED_VALUE"""),46199.0)</f>
        <v>46199</v>
      </c>
      <c r="D5376" s="378">
        <f>IFERROR(__xludf.DUMMYFUNCTION("""COMPUTED_VALUE"""),46206.0)</f>
        <v>46206</v>
      </c>
    </row>
    <row r="5377">
      <c r="A5377" s="153" t="str">
        <f>IFERROR(__xludf.DUMMYFUNCTION("""COMPUTED_VALUE"""),"ACL0000015656")</f>
        <v>ACL0000015656</v>
      </c>
      <c r="B5377" s="153" t="str">
        <f>IFERROR(__xludf.DUMMYFUNCTION("""COMPUTED_VALUE"""),"WHOLE EXOME SEQUENCING")</f>
        <v>WHOLE EXOME SEQUENCING</v>
      </c>
      <c r="C5377" s="378">
        <f>IFERROR(__xludf.DUMMYFUNCTION("""COMPUTED_VALUE"""),46199.0)</f>
        <v>46199</v>
      </c>
      <c r="D5377" s="378">
        <f>IFERROR(__xludf.DUMMYFUNCTION("""COMPUTED_VALUE"""),46217.0)</f>
        <v>46217</v>
      </c>
    </row>
    <row r="5378">
      <c r="A5378" s="153" t="str">
        <f>IFERROR(__xludf.DUMMYFUNCTION("""COMPUTED_VALUE"""),"SCF0000000787")</f>
        <v>SCF0000000787</v>
      </c>
      <c r="B5378" s="153" t="str">
        <f>IFERROR(__xludf.DUMMYFUNCTION("""COMPUTED_VALUE"""),"WHOLE EXOME SEQUENCING")</f>
        <v>WHOLE EXOME SEQUENCING</v>
      </c>
      <c r="C5378" s="378">
        <f>IFERROR(__xludf.DUMMYFUNCTION("""COMPUTED_VALUE"""),46199.0)</f>
        <v>46199</v>
      </c>
      <c r="D5378" s="378">
        <f>IFERROR(__xludf.DUMMYFUNCTION("""COMPUTED_VALUE"""),46216.0)</f>
        <v>46216</v>
      </c>
    </row>
    <row r="5379">
      <c r="A5379" s="153" t="str">
        <f>IFERROR(__xludf.DUMMYFUNCTION("""COMPUTED_VALUE"""),"HYP0000002595")</f>
        <v>HYP0000002595</v>
      </c>
      <c r="B5379" s="153" t="str">
        <f>IFERROR(__xludf.DUMMYFUNCTION("""COMPUTED_VALUE"""),"FEMALE INFERTILITY NGS PANEL")</f>
        <v>FEMALE INFERTILITY NGS PANEL</v>
      </c>
      <c r="C5379" s="378">
        <f>IFERROR(__xludf.DUMMYFUNCTION("""COMPUTED_VALUE"""),46199.0)</f>
        <v>46199</v>
      </c>
      <c r="D5379" s="378">
        <f>IFERROR(__xludf.DUMMYFUNCTION("""COMPUTED_VALUE"""),46205.0)</f>
        <v>46205</v>
      </c>
    </row>
    <row r="5380">
      <c r="A5380" s="153" t="str">
        <f>IFERROR(__xludf.DUMMYFUNCTION("""COMPUTED_VALUE"""),"AMB0000011388")</f>
        <v>AMB0000011388</v>
      </c>
      <c r="B5380" s="153" t="str">
        <f>IFERROR(__xludf.DUMMYFUNCTION("""COMPUTED_VALUE"""),"WHOLE EXOME SEQUENCING")</f>
        <v>WHOLE EXOME SEQUENCING</v>
      </c>
      <c r="C5380" s="378">
        <f>IFERROR(__xludf.DUMMYFUNCTION("""COMPUTED_VALUE"""),46199.0)</f>
        <v>46199</v>
      </c>
      <c r="D5380" s="378">
        <f>IFERROR(__xludf.DUMMYFUNCTION("""COMPUTED_VALUE"""),46209.0)</f>
        <v>46209</v>
      </c>
    </row>
    <row r="5381">
      <c r="A5381" s="153" t="str">
        <f>IFERROR(__xludf.DUMMYFUNCTION("""COMPUTED_VALUE"""),"ADS0000017031")</f>
        <v>ADS0000017031</v>
      </c>
      <c r="B5381" s="153" t="str">
        <f>IFERROR(__xludf.DUMMYFUNCTION("""COMPUTED_VALUE"""),"WHOLE EXOME SEQUENCING")</f>
        <v>WHOLE EXOME SEQUENCING</v>
      </c>
      <c r="C5381" s="153"/>
      <c r="D5381" s="378">
        <f>IFERROR(__xludf.DUMMYFUNCTION("""COMPUTED_VALUE"""),46218.0)</f>
        <v>46218</v>
      </c>
    </row>
    <row r="5382">
      <c r="A5382" s="153" t="str">
        <f>IFERROR(__xludf.DUMMYFUNCTION("""COMPUTED_VALUE"""),"CHM0000045474")</f>
        <v>CHM0000045474</v>
      </c>
      <c r="B5382" s="153" t="str">
        <f>IFERROR(__xludf.DUMMYFUNCTION("""COMPUTED_VALUE"""),"FEMALE INFERTILITY NGS PANEL")</f>
        <v>FEMALE INFERTILITY NGS PANEL</v>
      </c>
      <c r="C5382" s="153"/>
      <c r="D5382" s="378">
        <f>IFERROR(__xludf.DUMMYFUNCTION("""COMPUTED_VALUE"""),46206.0)</f>
        <v>46206</v>
      </c>
    </row>
    <row r="5383">
      <c r="A5383" s="153" t="str">
        <f>IFERROR(__xludf.DUMMYFUNCTION("""COMPUTED_VALUE"""),"CHM0000045475")</f>
        <v>CHM0000045475</v>
      </c>
      <c r="B5383" s="153" t="str">
        <f>IFERROR(__xludf.DUMMYFUNCTION("""COMPUTED_VALUE"""),"MALE INFERTILITY NGS PANEL")</f>
        <v>MALE INFERTILITY NGS PANEL</v>
      </c>
      <c r="C5383" s="153"/>
      <c r="D5383" s="378">
        <f>IFERROR(__xludf.DUMMYFUNCTION("""COMPUTED_VALUE"""),46206.0)</f>
        <v>46206</v>
      </c>
    </row>
    <row r="5384">
      <c r="A5384" s="153" t="str">
        <f>IFERROR(__xludf.DUMMYFUNCTION("""COMPUTED_VALUE"""),"ADS0000016984")</f>
        <v>ADS0000016984</v>
      </c>
      <c r="B5384" s="153" t="str">
        <f>IFERROR(__xludf.DUMMYFUNCTION("""COMPUTED_VALUE"""),"SINGLE GENE – FULL GENE SEQUENCING BY NGS")</f>
        <v>SINGLE GENE – FULL GENE SEQUENCING BY NGS</v>
      </c>
      <c r="C5384" s="153"/>
      <c r="D5384" s="378">
        <f>IFERROR(__xludf.DUMMYFUNCTION("""COMPUTED_VALUE"""),46206.0)</f>
        <v>46206</v>
      </c>
    </row>
    <row r="5385">
      <c r="A5385" s="153" t="str">
        <f>IFERROR(__xludf.DUMMYFUNCTION("""COMPUTED_VALUE"""),"PH50000025658")</f>
        <v>PH50000025658</v>
      </c>
      <c r="B5385" s="153" t="str">
        <f>IFERROR(__xludf.DUMMYFUNCTION("""COMPUTED_VALUE"""),"WES+WMGS")</f>
        <v>WES+WMGS</v>
      </c>
      <c r="C5385" s="153"/>
      <c r="D5385" s="378">
        <f>IFERROR(__xludf.DUMMYFUNCTION("""COMPUTED_VALUE"""),46218.0)</f>
        <v>46218</v>
      </c>
    </row>
    <row r="5386">
      <c r="A5386" s="153" t="str">
        <f>IFERROR(__xludf.DUMMYFUNCTION("""COMPUTED_VALUE"""),"HCC0000016308")</f>
        <v>HCC0000016308</v>
      </c>
      <c r="B5386" s="153" t="str">
        <f>IFERROR(__xludf.DUMMYFUNCTION("""COMPUTED_VALUE"""),"FEMALE INFERTILITY NGS PANEL")</f>
        <v>FEMALE INFERTILITY NGS PANEL</v>
      </c>
      <c r="C5386" s="153"/>
      <c r="D5386" s="378">
        <f>IFERROR(__xludf.DUMMYFUNCTION("""COMPUTED_VALUE"""),46206.0)</f>
        <v>46206</v>
      </c>
    </row>
    <row r="5387">
      <c r="A5387" s="153" t="str">
        <f>IFERROR(__xludf.DUMMYFUNCTION("""COMPUTED_VALUE"""),"FR20000012380")</f>
        <v>FR20000012380</v>
      </c>
      <c r="B5387" s="153" t="str">
        <f>IFERROR(__xludf.DUMMYFUNCTION("""COMPUTED_VALUE"""),"WES+WMGS")</f>
        <v>WES+WMGS</v>
      </c>
      <c r="C5387" s="153"/>
      <c r="D5387" s="378">
        <f>IFERROR(__xludf.DUMMYFUNCTION("""COMPUTED_VALUE"""),46217.0)</f>
        <v>46217</v>
      </c>
    </row>
    <row r="5388">
      <c r="A5388" s="153" t="str">
        <f>IFERROR(__xludf.DUMMYFUNCTION("""COMPUTED_VALUE"""),"ATR0000015902")</f>
        <v>ATR0000015902</v>
      </c>
      <c r="B5388" s="153" t="str">
        <f>IFERROR(__xludf.DUMMYFUNCTION("""COMPUTED_VALUE"""),"SINGLE GENE – FULL GENE SEQUENCING BY NGS")</f>
        <v>SINGLE GENE – FULL GENE SEQUENCING BY NGS</v>
      </c>
      <c r="C5388" s="153"/>
      <c r="D5388" s="378">
        <f>IFERROR(__xludf.DUMMYFUNCTION("""COMPUTED_VALUE"""),46206.0)</f>
        <v>46206</v>
      </c>
    </row>
    <row r="5389">
      <c r="A5389" s="153" t="str">
        <f>IFERROR(__xludf.DUMMYFUNCTION("""COMPUTED_VALUE"""),"ADK0000003114
")</f>
        <v>ADK0000003114
</v>
      </c>
      <c r="B5389" s="153" t="str">
        <f>IFERROR(__xludf.DUMMYFUNCTION("""COMPUTED_VALUE"""),"WHOLE EXOME SEQUENCING")</f>
        <v>WHOLE EXOME SEQUENCING</v>
      </c>
      <c r="C5389" s="153"/>
      <c r="D5389" s="378">
        <f>IFERROR(__xludf.DUMMYFUNCTION("""COMPUTED_VALUE"""),46212.0)</f>
        <v>46212</v>
      </c>
    </row>
    <row r="5390">
      <c r="A5390" s="153" t="str">
        <f>IFERROR(__xludf.DUMMYFUNCTION("""COMPUTED_VALUE"""),"ADK0000003093")</f>
        <v>ADK0000003093</v>
      </c>
      <c r="B5390" s="153" t="str">
        <f>IFERROR(__xludf.DUMMYFUNCTION("""COMPUTED_VALUE"""),"WES+WMGS")</f>
        <v>WES+WMGS</v>
      </c>
      <c r="C5390" s="153"/>
      <c r="D5390" s="378">
        <f>IFERROR(__xludf.DUMMYFUNCTION("""COMPUTED_VALUE"""),46217.0)</f>
        <v>46217</v>
      </c>
    </row>
    <row r="5391">
      <c r="A5391" s="153" t="str">
        <f>IFERROR(__xludf.DUMMYFUNCTION("""COMPUTED_VALUE"""),"ADK0000003094")</f>
        <v>ADK0000003094</v>
      </c>
      <c r="B5391" s="153" t="str">
        <f>IFERROR(__xludf.DUMMYFUNCTION("""COMPUTED_VALUE"""),"WES+WMGS")</f>
        <v>WES+WMGS</v>
      </c>
      <c r="C5391" s="153"/>
      <c r="D5391" s="378">
        <f>IFERROR(__xludf.DUMMYFUNCTION("""COMPUTED_VALUE"""),46217.0)</f>
        <v>46217</v>
      </c>
    </row>
    <row r="5392">
      <c r="A5392" s="153" t="str">
        <f>IFERROR(__xludf.DUMMYFUNCTION("""COMPUTED_VALUE"""),"DCC0000005493
")</f>
        <v>DCC0000005493
</v>
      </c>
      <c r="B5392" s="153" t="str">
        <f>IFERROR(__xludf.DUMMYFUNCTION("""COMPUTED_VALUE"""),"WHOLE EXOME SEQUENCING")</f>
        <v>WHOLE EXOME SEQUENCING</v>
      </c>
      <c r="C5392" s="153"/>
      <c r="D5392" s="378">
        <f>IFERROR(__xludf.DUMMYFUNCTION("""COMPUTED_VALUE"""),46218.0)</f>
        <v>46218</v>
      </c>
    </row>
    <row r="5393">
      <c r="A5393" s="153" t="str">
        <f>IFERROR(__xludf.DUMMYFUNCTION("""COMPUTED_VALUE"""),"ACO0000012176
")</f>
        <v>ACO0000012176
</v>
      </c>
      <c r="B5393" s="153" t="str">
        <f>IFERROR(__xludf.DUMMYFUNCTION("""COMPUTED_VALUE"""),"SINGLE GENE – FULL GENE SEQUENCING BY NGS")</f>
        <v>SINGLE GENE – FULL GENE SEQUENCING BY NGS</v>
      </c>
      <c r="C5393" s="153"/>
      <c r="D5393" s="378">
        <f>IFERROR(__xludf.DUMMYFUNCTION("""COMPUTED_VALUE"""),46206.0)</f>
        <v>46206</v>
      </c>
    </row>
    <row r="5394">
      <c r="A5394" s="153" t="str">
        <f>IFERROR(__xludf.DUMMYFUNCTION("""COMPUTED_VALUE"""),"ADK0000003132")</f>
        <v>ADK0000003132</v>
      </c>
      <c r="B5394" s="153" t="str">
        <f>IFERROR(__xludf.DUMMYFUNCTION("""COMPUTED_VALUE"""),"WHOLE EXOME SEQUENCING")</f>
        <v>WHOLE EXOME SEQUENCING</v>
      </c>
      <c r="C5394" s="153"/>
      <c r="D5394" s="378">
        <f>IFERROR(__xludf.DUMMYFUNCTION("""COMPUTED_VALUE"""),46219.0)</f>
        <v>46219</v>
      </c>
    </row>
    <row r="5395">
      <c r="A5395" s="153" t="str">
        <f>IFERROR(__xludf.DUMMYFUNCTION("""COMPUTED_VALUE"""),"AMB0000011527")</f>
        <v>AMB0000011527</v>
      </c>
      <c r="B5395" s="153" t="str">
        <f>IFERROR(__xludf.DUMMYFUNCTION("""COMPUTED_VALUE"""),"WHOLE EXOME SEQUENCING")</f>
        <v>WHOLE EXOME SEQUENCING</v>
      </c>
      <c r="C5395" s="153"/>
      <c r="D5395" s="378">
        <f>IFERROR(__xludf.DUMMYFUNCTION("""COMPUTED_VALUE"""),46219.0)</f>
        <v>46219</v>
      </c>
    </row>
    <row r="5396">
      <c r="A5396" s="153" t="str">
        <f>IFERROR(__xludf.DUMMYFUNCTION("""COMPUTED_VALUE"""),"ADB0000043754")</f>
        <v>ADB0000043754</v>
      </c>
      <c r="B5396" s="153" t="str">
        <f>IFERROR(__xludf.DUMMYFUNCTION("""COMPUTED_VALUE"""),"WHOLE EXOME SEQUENCING")</f>
        <v>WHOLE EXOME SEQUENCING</v>
      </c>
      <c r="C5396" s="153"/>
      <c r="D5396" s="378">
        <f>IFERROR(__xludf.DUMMYFUNCTION("""COMPUTED_VALUE"""),46219.0)</f>
        <v>46219</v>
      </c>
    </row>
    <row r="5397">
      <c r="A5397" s="153" t="str">
        <f>IFERROR(__xludf.DUMMYFUNCTION("""COMPUTED_VALUE"""),"ADB0000043755")</f>
        <v>ADB0000043755</v>
      </c>
      <c r="B5397" s="153" t="str">
        <f>IFERROR(__xludf.DUMMYFUNCTION("""COMPUTED_VALUE"""),"WHOLE EXOME SEQUENCING")</f>
        <v>WHOLE EXOME SEQUENCING</v>
      </c>
      <c r="C5397" s="153"/>
      <c r="D5397" s="378">
        <f>IFERROR(__xludf.DUMMYFUNCTION("""COMPUTED_VALUE"""),46219.0)</f>
        <v>46219</v>
      </c>
    </row>
    <row r="5398">
      <c r="A5398" s="153" t="str">
        <f>IFERROR(__xludf.DUMMYFUNCTION("""COMPUTED_VALUE"""),"ADB0000043930")</f>
        <v>ADB0000043930</v>
      </c>
      <c r="B5398" s="153" t="str">
        <f>IFERROR(__xludf.DUMMYFUNCTION("""COMPUTED_VALUE"""),"WHOLE EXOME SEQUENCING")</f>
        <v>WHOLE EXOME SEQUENCING</v>
      </c>
      <c r="C5398" s="153"/>
      <c r="D5398" s="378">
        <f>IFERROR(__xludf.DUMMYFUNCTION("""COMPUTED_VALUE"""),46219.0)</f>
        <v>46219</v>
      </c>
    </row>
    <row r="5399">
      <c r="A5399" s="153" t="str">
        <f>IFERROR(__xludf.DUMMYFUNCTION("""COMPUTED_VALUE"""),"ADK0000003140")</f>
        <v>ADK0000003140</v>
      </c>
      <c r="B5399" s="153" t="str">
        <f>IFERROR(__xludf.DUMMYFUNCTION("""COMPUTED_VALUE"""),"WHOLE EXOME SEQUENCING")</f>
        <v>WHOLE EXOME SEQUENCING</v>
      </c>
      <c r="C5399" s="153"/>
      <c r="D5399" s="378">
        <f>IFERROR(__xludf.DUMMYFUNCTION("""COMPUTED_VALUE"""),46213.0)</f>
        <v>46213</v>
      </c>
    </row>
    <row r="5400">
      <c r="A5400" s="153" t="str">
        <f>IFERROR(__xludf.DUMMYFUNCTION("""COMPUTED_VALUE"""),"ADK0000003141")</f>
        <v>ADK0000003141</v>
      </c>
      <c r="B5400" s="153" t="str">
        <f>IFERROR(__xludf.DUMMYFUNCTION("""COMPUTED_VALUE"""),"WHOLE EXOME SEQUENCING")</f>
        <v>WHOLE EXOME SEQUENCING</v>
      </c>
      <c r="C5400" s="153"/>
      <c r="D5400" s="378">
        <f>IFERROR(__xludf.DUMMYFUNCTION("""COMPUTED_VALUE"""),46213.0)</f>
        <v>46213</v>
      </c>
    </row>
    <row r="5401">
      <c r="A5401" s="153" t="str">
        <f>IFERROR(__xludf.DUMMYFUNCTION("""COMPUTED_VALUE"""),"ADK0000003142")</f>
        <v>ADK0000003142</v>
      </c>
      <c r="B5401" s="153" t="str">
        <f>IFERROR(__xludf.DUMMYFUNCTION("""COMPUTED_VALUE"""),"WHOLE EXOME SEQUENCING")</f>
        <v>WHOLE EXOME SEQUENCING</v>
      </c>
      <c r="C5401" s="153"/>
      <c r="D5401" s="378">
        <f>IFERROR(__xludf.DUMMYFUNCTION("""COMPUTED_VALUE"""),46213.0)</f>
        <v>46213</v>
      </c>
    </row>
    <row r="5402">
      <c r="A5402" s="153" t="str">
        <f>IFERROR(__xludf.DUMMYFUNCTION("""COMPUTED_VALUE"""),"ADK0000003143")</f>
        <v>ADK0000003143</v>
      </c>
      <c r="B5402" s="153" t="str">
        <f>IFERROR(__xludf.DUMMYFUNCTION("""COMPUTED_VALUE"""),"WHOLE EXOME SEQUENCING")</f>
        <v>WHOLE EXOME SEQUENCING</v>
      </c>
      <c r="C5402" s="153"/>
      <c r="D5402" s="378">
        <f>IFERROR(__xludf.DUMMYFUNCTION("""COMPUTED_VALUE"""),46213.0)</f>
        <v>46213</v>
      </c>
    </row>
    <row r="5403">
      <c r="A5403" s="153" t="str">
        <f>IFERROR(__xludf.DUMMYFUNCTION("""COMPUTED_VALUE"""),"ADK0000003144")</f>
        <v>ADK0000003144</v>
      </c>
      <c r="B5403" s="153" t="str">
        <f>IFERROR(__xludf.DUMMYFUNCTION("""COMPUTED_VALUE"""),"WHOLE EXOME SEQUENCING")</f>
        <v>WHOLE EXOME SEQUENCING</v>
      </c>
      <c r="C5403" s="153"/>
      <c r="D5403" s="378">
        <f>IFERROR(__xludf.DUMMYFUNCTION("""COMPUTED_VALUE"""),46213.0)</f>
        <v>46213</v>
      </c>
    </row>
    <row r="5404">
      <c r="A5404" s="153" t="str">
        <f>IFERROR(__xludf.DUMMYFUNCTION("""COMPUTED_VALUE"""),"ADK0000003145")</f>
        <v>ADK0000003145</v>
      </c>
      <c r="B5404" s="153" t="str">
        <f>IFERROR(__xludf.DUMMYFUNCTION("""COMPUTED_VALUE"""),"WHOLE EXOME SEQUENCING")</f>
        <v>WHOLE EXOME SEQUENCING</v>
      </c>
      <c r="C5404" s="153"/>
      <c r="D5404" s="378">
        <f>IFERROR(__xludf.DUMMYFUNCTION("""COMPUTED_VALUE"""),46213.0)</f>
        <v>46213</v>
      </c>
    </row>
    <row r="5405">
      <c r="A5405" s="153" t="str">
        <f>IFERROR(__xludf.DUMMYFUNCTION("""COMPUTED_VALUE"""),"ADK0000003146")</f>
        <v>ADK0000003146</v>
      </c>
      <c r="B5405" s="153" t="str">
        <f>IFERROR(__xludf.DUMMYFUNCTION("""COMPUTED_VALUE"""),"WHOLE EXOME SEQUENCING")</f>
        <v>WHOLE EXOME SEQUENCING</v>
      </c>
      <c r="C5405" s="378">
        <f>IFERROR(__xludf.DUMMYFUNCTION("""COMPUTED_VALUE"""),46199.0)</f>
        <v>46199</v>
      </c>
      <c r="D5405" s="378">
        <f>IFERROR(__xludf.DUMMYFUNCTION("""COMPUTED_VALUE"""),46213.0)</f>
        <v>46213</v>
      </c>
    </row>
    <row r="5406">
      <c r="A5406" s="153" t="str">
        <f>IFERROR(__xludf.DUMMYFUNCTION("""COMPUTED_VALUE"""),"ADK0000003147")</f>
        <v>ADK0000003147</v>
      </c>
      <c r="B5406" s="153" t="str">
        <f>IFERROR(__xludf.DUMMYFUNCTION("""COMPUTED_VALUE"""),"WHOLE EXOME SEQUENCING")</f>
        <v>WHOLE EXOME SEQUENCING</v>
      </c>
      <c r="C5406" s="378">
        <f>IFERROR(__xludf.DUMMYFUNCTION("""COMPUTED_VALUE"""),46199.0)</f>
        <v>46199</v>
      </c>
      <c r="D5406" s="378">
        <f>IFERROR(__xludf.DUMMYFUNCTION("""COMPUTED_VALUE"""),46213.0)</f>
        <v>46213</v>
      </c>
    </row>
    <row r="5407">
      <c r="A5407" s="153" t="str">
        <f>IFERROR(__xludf.DUMMYFUNCTION("""COMPUTED_VALUE"""),"ADK0000003148")</f>
        <v>ADK0000003148</v>
      </c>
      <c r="B5407" s="153" t="str">
        <f>IFERROR(__xludf.DUMMYFUNCTION("""COMPUTED_VALUE"""),"WHOLE EXOME SEQUENCING")</f>
        <v>WHOLE EXOME SEQUENCING</v>
      </c>
      <c r="C5407" s="378">
        <f>IFERROR(__xludf.DUMMYFUNCTION("""COMPUTED_VALUE"""),46199.0)</f>
        <v>46199</v>
      </c>
      <c r="D5407" s="378">
        <f>IFERROR(__xludf.DUMMYFUNCTION("""COMPUTED_VALUE"""),46213.0)</f>
        <v>46213</v>
      </c>
    </row>
    <row r="5408">
      <c r="A5408" s="153" t="str">
        <f>IFERROR(__xludf.DUMMYFUNCTION("""COMPUTED_VALUE"""),"ADK0000003149")</f>
        <v>ADK0000003149</v>
      </c>
      <c r="B5408" s="153" t="str">
        <f>IFERROR(__xludf.DUMMYFUNCTION("""COMPUTED_VALUE"""),"WHOLE EXOME SEQUENCING")</f>
        <v>WHOLE EXOME SEQUENCING</v>
      </c>
      <c r="C5408" s="378">
        <f>IFERROR(__xludf.DUMMYFUNCTION("""COMPUTED_VALUE"""),46199.0)</f>
        <v>46199</v>
      </c>
      <c r="D5408" s="378">
        <f>IFERROR(__xludf.DUMMYFUNCTION("""COMPUTED_VALUE"""),46213.0)</f>
        <v>46213</v>
      </c>
    </row>
    <row r="5409">
      <c r="A5409" s="153" t="str">
        <f>IFERROR(__xludf.DUMMYFUNCTION("""COMPUTED_VALUE"""),"ADK0000003165")</f>
        <v>ADK0000003165</v>
      </c>
      <c r="B5409" s="153" t="str">
        <f>IFERROR(__xludf.DUMMYFUNCTION("""COMPUTED_VALUE"""),"WHOLE EXOME SEQUENCING")</f>
        <v>WHOLE EXOME SEQUENCING</v>
      </c>
      <c r="C5409" s="378">
        <f>IFERROR(__xludf.DUMMYFUNCTION("""COMPUTED_VALUE"""),46199.0)</f>
        <v>46199</v>
      </c>
      <c r="D5409" s="378">
        <f>IFERROR(__xludf.DUMMYFUNCTION("""COMPUTED_VALUE"""),46214.0)</f>
        <v>46214</v>
      </c>
    </row>
    <row r="5410">
      <c r="A5410" s="153" t="str">
        <f>IFERROR(__xludf.DUMMYFUNCTION("""COMPUTED_VALUE"""),"ADK0000003167")</f>
        <v>ADK0000003167</v>
      </c>
      <c r="B5410" s="153" t="str">
        <f>IFERROR(__xludf.DUMMYFUNCTION("""COMPUTED_VALUE"""),"WHOLE EXOME SEQUENCING")</f>
        <v>WHOLE EXOME SEQUENCING</v>
      </c>
      <c r="C5410" s="378">
        <f>IFERROR(__xludf.DUMMYFUNCTION("""COMPUTED_VALUE"""),46199.0)</f>
        <v>46199</v>
      </c>
      <c r="D5410" s="378">
        <f>IFERROR(__xludf.DUMMYFUNCTION("""COMPUTED_VALUE"""),46214.0)</f>
        <v>46214</v>
      </c>
    </row>
    <row r="5411">
      <c r="A5411" s="153" t="str">
        <f>IFERROR(__xludf.DUMMYFUNCTION("""COMPUTED_VALUE"""),"ADK0000003166")</f>
        <v>ADK0000003166</v>
      </c>
      <c r="B5411" s="153" t="str">
        <f>IFERROR(__xludf.DUMMYFUNCTION("""COMPUTED_VALUE"""),"WHOLE EXOME SEQUENCING")</f>
        <v>WHOLE EXOME SEQUENCING</v>
      </c>
      <c r="C5411" s="378">
        <f>IFERROR(__xludf.DUMMYFUNCTION("""COMPUTED_VALUE"""),46199.0)</f>
        <v>46199</v>
      </c>
      <c r="D5411" s="378">
        <f>IFERROR(__xludf.DUMMYFUNCTION("""COMPUTED_VALUE"""),46214.0)</f>
        <v>46214</v>
      </c>
    </row>
    <row r="5412">
      <c r="A5412" s="153" t="str">
        <f>IFERROR(__xludf.DUMMYFUNCTION("""COMPUTED_VALUE"""),"ADB0000039709")</f>
        <v>ADB0000039709</v>
      </c>
      <c r="B5412" s="153" t="str">
        <f>IFERROR(__xludf.DUMMYFUNCTION("""COMPUTED_VALUE"""),"WHOLE EXOME SEQUENCING")</f>
        <v>WHOLE EXOME SEQUENCING</v>
      </c>
      <c r="C5412" s="378">
        <f>IFERROR(__xludf.DUMMYFUNCTION("""COMPUTED_VALUE"""),46199.0)</f>
        <v>46199</v>
      </c>
      <c r="D5412" s="153"/>
    </row>
    <row r="5413">
      <c r="A5413" s="153" t="str">
        <f>IFERROR(__xludf.DUMMYFUNCTION("""COMPUTED_VALUE"""),"ATR0000014966")</f>
        <v>ATR0000014966</v>
      </c>
      <c r="B5413" s="153"/>
      <c r="C5413" s="378">
        <f>IFERROR(__xludf.DUMMYFUNCTION("""COMPUTED_VALUE"""),46199.0)</f>
        <v>46199</v>
      </c>
      <c r="D5413" s="153"/>
    </row>
    <row r="5414">
      <c r="A5414" s="153" t="str">
        <f>IFERROR(__xludf.DUMMYFUNCTION("""COMPUTED_VALUE"""),"ADK0000002586")</f>
        <v>ADK0000002586</v>
      </c>
      <c r="B5414" s="153"/>
      <c r="C5414" s="378">
        <f>IFERROR(__xludf.DUMMYFUNCTION("""COMPUTED_VALUE"""),46199.0)</f>
        <v>46199</v>
      </c>
      <c r="D5414" s="153"/>
    </row>
    <row r="5415">
      <c r="A5415" s="153" t="str">
        <f>IFERROR(__xludf.DUMMYFUNCTION("""COMPUTED_VALUE"""),"ADH0000028762")</f>
        <v>ADH0000028762</v>
      </c>
      <c r="B5415" s="153"/>
      <c r="C5415" s="378">
        <f>IFERROR(__xludf.DUMMYFUNCTION("""COMPUTED_VALUE"""),46199.0)</f>
        <v>46199</v>
      </c>
      <c r="D5415" s="153"/>
    </row>
    <row r="5416">
      <c r="A5416" s="153" t="str">
        <f>IFERROR(__xludf.DUMMYFUNCTION("""COMPUTED_VALUE"""),"HYP0000002204")</f>
        <v>HYP0000002204</v>
      </c>
      <c r="B5416" s="153"/>
      <c r="C5416" s="153"/>
      <c r="D5416" s="153"/>
    </row>
    <row r="5417">
      <c r="A5417" s="153" t="str">
        <f>IFERROR(__xludf.DUMMYFUNCTION("""COMPUTED_VALUE"""),"NKM0000007500")</f>
        <v>NKM0000007500</v>
      </c>
      <c r="B5417" s="153"/>
      <c r="C5417" s="153"/>
      <c r="D5417" s="153"/>
    </row>
    <row r="5418">
      <c r="A5418" s="153" t="str">
        <f>IFERROR(__xludf.DUMMYFUNCTION("""COMPUTED_VALUE"""),"ADK0000002699")</f>
        <v>ADK0000002699</v>
      </c>
      <c r="B5418" s="153"/>
      <c r="C5418" s="378">
        <f>IFERROR(__xludf.DUMMYFUNCTION("""COMPUTED_VALUE"""),46199.0)</f>
        <v>46199</v>
      </c>
      <c r="D5418" s="153"/>
    </row>
    <row r="5419">
      <c r="A5419" s="153" t="str">
        <f>IFERROR(__xludf.DUMMYFUNCTION("""COMPUTED_VALUE"""),"ADK0000002698")</f>
        <v>ADK0000002698</v>
      </c>
      <c r="B5419" s="153"/>
      <c r="C5419" s="378">
        <f>IFERROR(__xludf.DUMMYFUNCTION("""COMPUTED_VALUE"""),46199.0)</f>
        <v>46199</v>
      </c>
      <c r="D5419" s="153"/>
    </row>
    <row r="5420">
      <c r="A5420" s="153" t="str">
        <f>IFERROR(__xludf.DUMMYFUNCTION("""COMPUTED_VALUE"""),"ADK0000002685")</f>
        <v>ADK0000002685</v>
      </c>
      <c r="B5420" s="153"/>
      <c r="C5420" s="378">
        <f>IFERROR(__xludf.DUMMYFUNCTION("""COMPUTED_VALUE"""),46199.0)</f>
        <v>46199</v>
      </c>
      <c r="D5420" s="153"/>
    </row>
    <row r="5421">
      <c r="A5421" s="153" t="str">
        <f>IFERROR(__xludf.DUMMYFUNCTION("""COMPUTED_VALUE"""),"ADK0000002686")</f>
        <v>ADK0000002686</v>
      </c>
      <c r="B5421" s="153"/>
      <c r="C5421" s="378">
        <f>IFERROR(__xludf.DUMMYFUNCTION("""COMPUTED_VALUE"""),46199.0)</f>
        <v>46199</v>
      </c>
      <c r="D5421" s="153"/>
    </row>
    <row r="5422">
      <c r="A5422" s="153" t="str">
        <f>IFERROR(__xludf.DUMMYFUNCTION("""COMPUTED_VALUE"""),"DCC0000005116")</f>
        <v>DCC0000005116</v>
      </c>
      <c r="B5422" s="153"/>
      <c r="C5422" s="378">
        <f>IFERROR(__xludf.DUMMYFUNCTION("""COMPUTED_VALUE"""),46199.0)</f>
        <v>46199</v>
      </c>
      <c r="D5422" s="153"/>
    </row>
    <row r="5423">
      <c r="A5423" s="153" t="str">
        <f>IFERROR(__xludf.DUMMYFUNCTION("""COMPUTED_VALUE"""),"DCC0000005115")</f>
        <v>DCC0000005115</v>
      </c>
      <c r="B5423" s="153"/>
      <c r="C5423" s="378">
        <f>IFERROR(__xludf.DUMMYFUNCTION("""COMPUTED_VALUE"""),46199.0)</f>
        <v>46199</v>
      </c>
      <c r="D5423" s="153"/>
    </row>
    <row r="5424">
      <c r="A5424" s="153" t="str">
        <f>IFERROR(__xludf.DUMMYFUNCTION("""COMPUTED_VALUE"""),"ADK0000003115")</f>
        <v>ADK0000003115</v>
      </c>
      <c r="B5424" s="153" t="str">
        <f>IFERROR(__xludf.DUMMYFUNCTION("""COMPUTED_VALUE"""),"WES+WMGS")</f>
        <v>WES+WMGS</v>
      </c>
      <c r="C5424" s="378">
        <f>IFERROR(__xludf.DUMMYFUNCTION("""COMPUTED_VALUE"""),46199.0)</f>
        <v>46199</v>
      </c>
      <c r="D5424" s="378">
        <f>IFERROR(__xludf.DUMMYFUNCTION("""COMPUTED_VALUE"""),46218.0)</f>
        <v>46218</v>
      </c>
    </row>
    <row r="5425">
      <c r="A5425" s="153" t="str">
        <f>IFERROR(__xludf.DUMMYFUNCTION("""COMPUTED_VALUE"""),"ADK0000003116")</f>
        <v>ADK0000003116</v>
      </c>
      <c r="B5425" s="153" t="str">
        <f>IFERROR(__xludf.DUMMYFUNCTION("""COMPUTED_VALUE"""),"WES+WMGS")</f>
        <v>WES+WMGS</v>
      </c>
      <c r="C5425" s="378">
        <f>IFERROR(__xludf.DUMMYFUNCTION("""COMPUTED_VALUE"""),46199.0)</f>
        <v>46199</v>
      </c>
      <c r="D5425" s="378">
        <f>IFERROR(__xludf.DUMMYFUNCTION("""COMPUTED_VALUE"""),46218.0)</f>
        <v>46218</v>
      </c>
    </row>
    <row r="5426">
      <c r="A5426" s="153" t="str">
        <f>IFERROR(__xludf.DUMMYFUNCTION("""COMPUTED_VALUE"""),"DCC0000005517
")</f>
        <v>DCC0000005517
</v>
      </c>
      <c r="B5426" s="153" t="str">
        <f>IFERROR(__xludf.DUMMYFUNCTION("""COMPUTED_VALUE"""),"FEMALE INFERTILITY NGS PANEL")</f>
        <v>FEMALE INFERTILITY NGS PANEL</v>
      </c>
      <c r="C5426" s="378">
        <f>IFERROR(__xludf.DUMMYFUNCTION("""COMPUTED_VALUE"""),46199.0)</f>
        <v>46199</v>
      </c>
      <c r="D5426" s="378">
        <f>IFERROR(__xludf.DUMMYFUNCTION("""COMPUTED_VALUE"""),46208.0)</f>
        <v>46208</v>
      </c>
    </row>
    <row r="5427">
      <c r="A5427" s="153" t="str">
        <f>IFERROR(__xludf.DUMMYFUNCTION("""COMPUTED_VALUE"""),"AMB0000011576")</f>
        <v>AMB0000011576</v>
      </c>
      <c r="B5427" s="153" t="str">
        <f>IFERROR(__xludf.DUMMYFUNCTION("""COMPUTED_VALUE"""),"FEMALE INFERTILITY NGS PANEL")</f>
        <v>FEMALE INFERTILITY NGS PANEL</v>
      </c>
      <c r="C5427" s="378">
        <f>IFERROR(__xludf.DUMMYFUNCTION("""COMPUTED_VALUE"""),46199.0)</f>
        <v>46199</v>
      </c>
      <c r="D5427" s="378">
        <f>IFERROR(__xludf.DUMMYFUNCTION("""COMPUTED_VALUE"""),46208.0)</f>
        <v>46208</v>
      </c>
    </row>
    <row r="5428">
      <c r="A5428" s="153" t="str">
        <f>IFERROR(__xludf.DUMMYFUNCTION("""COMPUTED_VALUE"""),"ACO0000012512")</f>
        <v>ACO0000012512</v>
      </c>
      <c r="B5428" s="153" t="str">
        <f>IFERROR(__xludf.DUMMYFUNCTION("""COMPUTED_VALUE"""),"WHOLE EXOME SEQUENCING")</f>
        <v>WHOLE EXOME SEQUENCING</v>
      </c>
      <c r="C5428" s="378">
        <f>IFERROR(__xludf.DUMMYFUNCTION("""COMPUTED_VALUE"""),46199.0)</f>
        <v>46199</v>
      </c>
      <c r="D5428" s="378">
        <f>IFERROR(__xludf.DUMMYFUNCTION("""COMPUTED_VALUE"""),46220.0)</f>
        <v>46220</v>
      </c>
    </row>
    <row r="5429">
      <c r="A5429" s="153" t="str">
        <f>IFERROR(__xludf.DUMMYFUNCTION("""COMPUTED_VALUE"""),"ADB0000044056")</f>
        <v>ADB0000044056</v>
      </c>
      <c r="B5429" s="153" t="str">
        <f>IFERROR(__xludf.DUMMYFUNCTION("""COMPUTED_VALUE"""),"WHOLE EXOME SEQUENCING")</f>
        <v>WHOLE EXOME SEQUENCING</v>
      </c>
      <c r="C5429" s="381">
        <f>IFERROR(__xludf.DUMMYFUNCTION("""COMPUTED_VALUE"""),46029.0)</f>
        <v>46029</v>
      </c>
      <c r="D5429" s="378">
        <f>IFERROR(__xludf.DUMMYFUNCTION("""COMPUTED_VALUE"""),46215.0)</f>
        <v>46215</v>
      </c>
    </row>
    <row r="5430">
      <c r="A5430" s="153" t="str">
        <f>IFERROR(__xludf.DUMMYFUNCTION("""COMPUTED_VALUE"""),"ADK0000003323")</f>
        <v>ADK0000003323</v>
      </c>
      <c r="B5430" s="153" t="str">
        <f>IFERROR(__xludf.DUMMYFUNCTION("""COMPUTED_VALUE"""),"WHOLE EXOME SEQUENCING")</f>
        <v>WHOLE EXOME SEQUENCING</v>
      </c>
      <c r="C5430" s="381">
        <f>IFERROR(__xludf.DUMMYFUNCTION("""COMPUTED_VALUE"""),46029.0)</f>
        <v>46029</v>
      </c>
      <c r="D5430" s="378">
        <f>IFERROR(__xludf.DUMMYFUNCTION("""COMPUTED_VALUE"""),46217.0)</f>
        <v>46217</v>
      </c>
    </row>
    <row r="5431">
      <c r="A5431" s="153" t="str">
        <f>IFERROR(__xludf.DUMMYFUNCTION("""COMPUTED_VALUE"""),"ADK0000003325")</f>
        <v>ADK0000003325</v>
      </c>
      <c r="B5431" s="153" t="str">
        <f>IFERROR(__xludf.DUMMYFUNCTION("""COMPUTED_VALUE"""),"WHOLE EXOME SEQUENCING")</f>
        <v>WHOLE EXOME SEQUENCING</v>
      </c>
      <c r="C5431" s="381">
        <f>IFERROR(__xludf.DUMMYFUNCTION("""COMPUTED_VALUE"""),46029.0)</f>
        <v>46029</v>
      </c>
      <c r="D5431" s="378">
        <f>IFERROR(__xludf.DUMMYFUNCTION("""COMPUTED_VALUE"""),46217.0)</f>
        <v>46217</v>
      </c>
    </row>
    <row r="5432">
      <c r="A5432" s="153" t="str">
        <f>IFERROR(__xludf.DUMMYFUNCTION("""COMPUTED_VALUE"""),"ADK0000003326")</f>
        <v>ADK0000003326</v>
      </c>
      <c r="B5432" s="153" t="str">
        <f>IFERROR(__xludf.DUMMYFUNCTION("""COMPUTED_VALUE"""),"WHOLE EXOME SEQUENCING")</f>
        <v>WHOLE EXOME SEQUENCING</v>
      </c>
      <c r="C5432" s="381">
        <f>IFERROR(__xludf.DUMMYFUNCTION("""COMPUTED_VALUE"""),46029.0)</f>
        <v>46029</v>
      </c>
      <c r="D5432" s="378">
        <f>IFERROR(__xludf.DUMMYFUNCTION("""COMPUTED_VALUE"""),46217.0)</f>
        <v>46217</v>
      </c>
    </row>
    <row r="5433">
      <c r="A5433" s="153" t="str">
        <f>IFERROR(__xludf.DUMMYFUNCTION("""COMPUTED_VALUE"""),"ADK0000003327")</f>
        <v>ADK0000003327</v>
      </c>
      <c r="B5433" s="153" t="str">
        <f>IFERROR(__xludf.DUMMYFUNCTION("""COMPUTED_VALUE"""),"WHOLE EXOME SEQUENCING")</f>
        <v>WHOLE EXOME SEQUENCING</v>
      </c>
      <c r="C5433" s="381">
        <f>IFERROR(__xludf.DUMMYFUNCTION("""COMPUTED_VALUE"""),46029.0)</f>
        <v>46029</v>
      </c>
      <c r="D5433" s="378">
        <f>IFERROR(__xludf.DUMMYFUNCTION("""COMPUTED_VALUE"""),46217.0)</f>
        <v>46217</v>
      </c>
    </row>
    <row r="5434">
      <c r="A5434" s="153" t="str">
        <f>IFERROR(__xludf.DUMMYFUNCTION("""COMPUTED_VALUE"""),"ADK0000003328")</f>
        <v>ADK0000003328</v>
      </c>
      <c r="B5434" s="153" t="str">
        <f>IFERROR(__xludf.DUMMYFUNCTION("""COMPUTED_VALUE"""),"WHOLE EXOME SEQUENCING")</f>
        <v>WHOLE EXOME SEQUENCING</v>
      </c>
      <c r="C5434" s="381">
        <f>IFERROR(__xludf.DUMMYFUNCTION("""COMPUTED_VALUE"""),46029.0)</f>
        <v>46029</v>
      </c>
      <c r="D5434" s="378">
        <f>IFERROR(__xludf.DUMMYFUNCTION("""COMPUTED_VALUE"""),46217.0)</f>
        <v>46217</v>
      </c>
    </row>
    <row r="5435">
      <c r="A5435" s="153" t="str">
        <f>IFERROR(__xludf.DUMMYFUNCTION("""COMPUTED_VALUE"""),"ADK0000003330")</f>
        <v>ADK0000003330</v>
      </c>
      <c r="B5435" s="153" t="str">
        <f>IFERROR(__xludf.DUMMYFUNCTION("""COMPUTED_VALUE"""),"WHOLE EXOME SEQUENCING")</f>
        <v>WHOLE EXOME SEQUENCING</v>
      </c>
      <c r="C5435" s="381">
        <f>IFERROR(__xludf.DUMMYFUNCTION("""COMPUTED_VALUE"""),46029.0)</f>
        <v>46029</v>
      </c>
      <c r="D5435" s="378">
        <f>IFERROR(__xludf.DUMMYFUNCTION("""COMPUTED_VALUE"""),46217.0)</f>
        <v>46217</v>
      </c>
    </row>
    <row r="5436">
      <c r="A5436" s="153" t="str">
        <f>IFERROR(__xludf.DUMMYFUNCTION("""COMPUTED_VALUE"""),"ADK0000003331")</f>
        <v>ADK0000003331</v>
      </c>
      <c r="B5436" s="153" t="str">
        <f>IFERROR(__xludf.DUMMYFUNCTION("""COMPUTED_VALUE"""),"WHOLE EXOME SEQUENCING")</f>
        <v>WHOLE EXOME SEQUENCING</v>
      </c>
      <c r="C5436" s="381">
        <f>IFERROR(__xludf.DUMMYFUNCTION("""COMPUTED_VALUE"""),46029.0)</f>
        <v>46029</v>
      </c>
      <c r="D5436" s="378">
        <f>IFERROR(__xludf.DUMMYFUNCTION("""COMPUTED_VALUE"""),46217.0)</f>
        <v>46217</v>
      </c>
    </row>
    <row r="5437">
      <c r="A5437" s="153" t="str">
        <f>IFERROR(__xludf.DUMMYFUNCTION("""COMPUTED_VALUE"""),"ADK0000003332")</f>
        <v>ADK0000003332</v>
      </c>
      <c r="B5437" s="153" t="str">
        <f>IFERROR(__xludf.DUMMYFUNCTION("""COMPUTED_VALUE"""),"WHOLE EXOME SEQUENCING")</f>
        <v>WHOLE EXOME SEQUENCING</v>
      </c>
      <c r="C5437" s="381">
        <f>IFERROR(__xludf.DUMMYFUNCTION("""COMPUTED_VALUE"""),46029.0)</f>
        <v>46029</v>
      </c>
      <c r="D5437" s="378">
        <f>IFERROR(__xludf.DUMMYFUNCTION("""COMPUTED_VALUE"""),46217.0)</f>
        <v>46217</v>
      </c>
    </row>
    <row r="5438">
      <c r="A5438" s="153" t="str">
        <f>IFERROR(__xludf.DUMMYFUNCTION("""COMPUTED_VALUE"""),"ADK0000003333")</f>
        <v>ADK0000003333</v>
      </c>
      <c r="B5438" s="153" t="str">
        <f>IFERROR(__xludf.DUMMYFUNCTION("""COMPUTED_VALUE"""),"WHOLE EXOME SEQUENCING")</f>
        <v>WHOLE EXOME SEQUENCING</v>
      </c>
      <c r="C5438" s="381">
        <f>IFERROR(__xludf.DUMMYFUNCTION("""COMPUTED_VALUE"""),46029.0)</f>
        <v>46029</v>
      </c>
      <c r="D5438" s="378">
        <f>IFERROR(__xludf.DUMMYFUNCTION("""COMPUTED_VALUE"""),46217.0)</f>
        <v>46217</v>
      </c>
    </row>
    <row r="5439">
      <c r="A5439" s="153" t="str">
        <f>IFERROR(__xludf.DUMMYFUNCTION("""COMPUTED_VALUE"""),"HYP0000002658
")</f>
        <v>HYP0000002658
</v>
      </c>
      <c r="B5439" s="153" t="str">
        <f>IFERROR(__xludf.DUMMYFUNCTION("""COMPUTED_VALUE"""),"WHOLE EXOME SEQUENCING")</f>
        <v>WHOLE EXOME SEQUENCING</v>
      </c>
      <c r="C5439" s="381">
        <f>IFERROR(__xludf.DUMMYFUNCTION("""COMPUTED_VALUE"""),46029.0)</f>
        <v>46029</v>
      </c>
      <c r="D5439" s="378">
        <f>IFERROR(__xludf.DUMMYFUNCTION("""COMPUTED_VALUE"""),46218.0)</f>
        <v>46218</v>
      </c>
    </row>
    <row r="5440">
      <c r="A5440" s="153" t="str">
        <f>IFERROR(__xludf.DUMMYFUNCTION("""COMPUTED_VALUE"""),"ATR0000015804
")</f>
        <v>ATR0000015804
</v>
      </c>
      <c r="B5440" s="153" t="str">
        <f>IFERROR(__xludf.DUMMYFUNCTION("""COMPUTED_VALUE"""),"WHOLE EXOME SEQUENCING")</f>
        <v>WHOLE EXOME SEQUENCING</v>
      </c>
      <c r="C5440" s="381">
        <f>IFERROR(__xludf.DUMMYFUNCTION("""COMPUTED_VALUE"""),46029.0)</f>
        <v>46029</v>
      </c>
      <c r="D5440" s="378">
        <f>IFERROR(__xludf.DUMMYFUNCTION("""COMPUTED_VALUE"""),46216.0)</f>
        <v>46216</v>
      </c>
    </row>
    <row r="5441">
      <c r="A5441" s="153" t="str">
        <f>IFERROR(__xludf.DUMMYFUNCTION("""COMPUTED_VALUE"""),"AMB0000012273")</f>
        <v>AMB0000012273</v>
      </c>
      <c r="B5441" s="153" t="str">
        <f>IFERROR(__xludf.DUMMYFUNCTION("""COMPUTED_VALUE"""),"MATERNAL CELL CONTAMINATION CHECK")</f>
        <v>MATERNAL CELL CONTAMINATION CHECK</v>
      </c>
      <c r="C5441" s="381">
        <f>IFERROR(__xludf.DUMMYFUNCTION("""COMPUTED_VALUE"""),46029.0)</f>
        <v>46029</v>
      </c>
      <c r="D5441" s="153"/>
    </row>
    <row r="5442">
      <c r="A5442" s="153" t="str">
        <f>IFERROR(__xludf.DUMMYFUNCTION("""COMPUTED_VALUE"""),"HYP0000002678
")</f>
        <v>HYP0000002678
</v>
      </c>
      <c r="B5442" s="153" t="str">
        <f>IFERROR(__xludf.DUMMYFUNCTION("""COMPUTED_VALUE"""),"FEMALE INFERTILITY NGS PANEL")</f>
        <v>FEMALE INFERTILITY NGS PANEL</v>
      </c>
      <c r="C5442" s="381">
        <f>IFERROR(__xludf.DUMMYFUNCTION("""COMPUTED_VALUE"""),46029.0)</f>
        <v>46029</v>
      </c>
      <c r="D5442" s="378">
        <f>IFERROR(__xludf.DUMMYFUNCTION("""COMPUTED_VALUE"""),46208.0)</f>
        <v>46208</v>
      </c>
    </row>
    <row r="5443">
      <c r="A5443" s="153" t="str">
        <f>IFERROR(__xludf.DUMMYFUNCTION("""COMPUTED_VALUE"""),"AMB0000011577")</f>
        <v>AMB0000011577</v>
      </c>
      <c r="B5443" s="153" t="str">
        <f>IFERROR(__xludf.DUMMYFUNCTION("""COMPUTED_VALUE"""),"WHOLE EXOME SEQUENCING")</f>
        <v>WHOLE EXOME SEQUENCING</v>
      </c>
      <c r="C5443" s="381">
        <f>IFERROR(__xludf.DUMMYFUNCTION("""COMPUTED_VALUE"""),46029.0)</f>
        <v>46029</v>
      </c>
      <c r="D5443" s="378">
        <f>IFERROR(__xludf.DUMMYFUNCTION("""COMPUTED_VALUE"""),46220.0)</f>
        <v>46220</v>
      </c>
    </row>
    <row r="5444">
      <c r="A5444" s="153" t="str">
        <f>IFERROR(__xludf.DUMMYFUNCTION("""COMPUTED_VALUE"""),"ADH0000032287")</f>
        <v>ADH0000032287</v>
      </c>
      <c r="B5444" s="153" t="str">
        <f>IFERROR(__xludf.DUMMYFUNCTION("""COMPUTED_VALUE"""),"WHOLE EXOME SEQUENCING")</f>
        <v>WHOLE EXOME SEQUENCING</v>
      </c>
      <c r="C5444" s="381">
        <f>IFERROR(__xludf.DUMMYFUNCTION("""COMPUTED_VALUE"""),46029.0)</f>
        <v>46029</v>
      </c>
      <c r="D5444" s="378">
        <f>IFERROR(__xludf.DUMMYFUNCTION("""COMPUTED_VALUE"""),46220.0)</f>
        <v>46220</v>
      </c>
    </row>
    <row r="5445">
      <c r="A5445" s="153" t="str">
        <f>IFERROR(__xludf.DUMMYFUNCTION("""COMPUTED_VALUE"""),"ACL0000017417")</f>
        <v>ACL0000017417</v>
      </c>
      <c r="B5445" s="153" t="str">
        <f>IFERROR(__xludf.DUMMYFUNCTION("""COMPUTED_VALUE"""),"WHOLE EXOME SEQUENCING")</f>
        <v>WHOLE EXOME SEQUENCING</v>
      </c>
      <c r="C5445" s="381">
        <f>IFERROR(__xludf.DUMMYFUNCTION("""COMPUTED_VALUE"""),46029.0)</f>
        <v>46029</v>
      </c>
      <c r="D5445" s="378">
        <f>IFERROR(__xludf.DUMMYFUNCTION("""COMPUTED_VALUE"""),46219.0)</f>
        <v>46219</v>
      </c>
    </row>
    <row r="5446">
      <c r="A5446" s="153" t="str">
        <f>IFERROR(__xludf.DUMMYFUNCTION("""COMPUTED_VALUE"""),"ACL0000017416")</f>
        <v>ACL0000017416</v>
      </c>
      <c r="B5446" s="153" t="str">
        <f>IFERROR(__xludf.DUMMYFUNCTION("""COMPUTED_VALUE"""),"WHOLE EXOME SEQUENCING")</f>
        <v>WHOLE EXOME SEQUENCING</v>
      </c>
      <c r="C5446" s="381">
        <f>IFERROR(__xludf.DUMMYFUNCTION("""COMPUTED_VALUE"""),46029.0)</f>
        <v>46029</v>
      </c>
      <c r="D5446" s="378">
        <f>IFERROR(__xludf.DUMMYFUNCTION("""COMPUTED_VALUE"""),46219.0)</f>
        <v>46219</v>
      </c>
    </row>
    <row r="5447">
      <c r="A5447" s="153" t="str">
        <f>IFERROR(__xludf.DUMMYFUNCTION("""COMPUTED_VALUE"""),"FR20000012589")</f>
        <v>FR20000012589</v>
      </c>
      <c r="B5447" s="153" t="str">
        <f>IFERROR(__xludf.DUMMYFUNCTION("""COMPUTED_VALUE"""),"WHOLE EXOME SEQUENCING + MITOCHONDRIAL GENOME SEQUENCING")</f>
        <v>WHOLE EXOME SEQUENCING + MITOCHONDRIAL GENOME SEQUENCING</v>
      </c>
      <c r="C5447" s="381">
        <f>IFERROR(__xludf.DUMMYFUNCTION("""COMPUTED_VALUE"""),46029.0)</f>
        <v>46029</v>
      </c>
      <c r="D5447" s="378">
        <f>IFERROR(__xludf.DUMMYFUNCTION("""COMPUTED_VALUE"""),46219.0)</f>
        <v>46219</v>
      </c>
    </row>
    <row r="5448">
      <c r="A5448" s="153" t="str">
        <f>IFERROR(__xludf.DUMMYFUNCTION("""COMPUTED_VALUE"""),"ADB0000043956")</f>
        <v>ADB0000043956</v>
      </c>
      <c r="B5448" s="153" t="str">
        <f>IFERROR(__xludf.DUMMYFUNCTION("""COMPUTED_VALUE"""),"HEREDITARY CANCER GENE PANEL")</f>
        <v>HEREDITARY CANCER GENE PANEL</v>
      </c>
      <c r="C5448" s="381">
        <f>IFERROR(__xludf.DUMMYFUNCTION("""COMPUTED_VALUE"""),46029.0)</f>
        <v>46029</v>
      </c>
      <c r="D5448" s="153"/>
    </row>
    <row r="5449">
      <c r="A5449" s="153" t="str">
        <f>IFERROR(__xludf.DUMMYFUNCTION("""COMPUTED_VALUE"""),"ADB0000044111")</f>
        <v>ADB0000044111</v>
      </c>
      <c r="B5449" s="153" t="str">
        <f>IFERROR(__xludf.DUMMYFUNCTION("""COMPUTED_VALUE"""),"WHOLE EXOME SEQUENCING")</f>
        <v>WHOLE EXOME SEQUENCING</v>
      </c>
      <c r="C5449" s="381">
        <f>IFERROR(__xludf.DUMMYFUNCTION("""COMPUTED_VALUE"""),46029.0)</f>
        <v>46029</v>
      </c>
      <c r="D5449" s="378">
        <f>IFERROR(__xludf.DUMMYFUNCTION("""COMPUTED_VALUE"""),46220.0)</f>
        <v>46220</v>
      </c>
    </row>
    <row r="5450">
      <c r="A5450" s="153" t="str">
        <f>IFERROR(__xludf.DUMMYFUNCTION("""COMPUTED_VALUE"""),"ADB0000044114")</f>
        <v>ADB0000044114</v>
      </c>
      <c r="B5450" s="153" t="str">
        <f>IFERROR(__xludf.DUMMYFUNCTION("""COMPUTED_VALUE"""),"WHOLE EXOME SEQUENCING")</f>
        <v>WHOLE EXOME SEQUENCING</v>
      </c>
      <c r="C5450" s="381">
        <f>IFERROR(__xludf.DUMMYFUNCTION("""COMPUTED_VALUE"""),46029.0)</f>
        <v>46029</v>
      </c>
      <c r="D5450" s="378">
        <f>IFERROR(__xludf.DUMMYFUNCTION("""COMPUTED_VALUE"""),46220.0)</f>
        <v>46220</v>
      </c>
    </row>
    <row r="5451">
      <c r="A5451" s="153" t="str">
        <f>IFERROR(__xludf.DUMMYFUNCTION("""COMPUTED_VALUE"""),"DCC0000005550")</f>
        <v>DCC0000005550</v>
      </c>
      <c r="B5451" s="153" t="str">
        <f>IFERROR(__xludf.DUMMYFUNCTION("""COMPUTED_VALUE"""),"WHOLE EXOME SEQUENCING")</f>
        <v>WHOLE EXOME SEQUENCING</v>
      </c>
      <c r="C5451" s="381">
        <f>IFERROR(__xludf.DUMMYFUNCTION("""COMPUTED_VALUE"""),46029.0)</f>
        <v>46029</v>
      </c>
      <c r="D5451" s="378">
        <f>IFERROR(__xludf.DUMMYFUNCTION("""COMPUTED_VALUE"""),46220.0)</f>
        <v>46220</v>
      </c>
    </row>
    <row r="5452">
      <c r="A5452" s="153" t="str">
        <f>IFERROR(__xludf.DUMMYFUNCTION("""COMPUTED_VALUE"""),"DCC0000005551")</f>
        <v>DCC0000005551</v>
      </c>
      <c r="B5452" s="153" t="str">
        <f>IFERROR(__xludf.DUMMYFUNCTION("""COMPUTED_VALUE"""),"WHOLE EXOME SEQUENCING")</f>
        <v>WHOLE EXOME SEQUENCING</v>
      </c>
      <c r="C5452" s="381">
        <f>IFERROR(__xludf.DUMMYFUNCTION("""COMPUTED_VALUE"""),46029.0)</f>
        <v>46029</v>
      </c>
      <c r="D5452" s="378">
        <f>IFERROR(__xludf.DUMMYFUNCTION("""COMPUTED_VALUE"""),46220.0)</f>
        <v>46220</v>
      </c>
    </row>
    <row r="5453">
      <c r="A5453" s="153" t="str">
        <f>IFERROR(__xludf.DUMMYFUNCTION("""COMPUTED_VALUE"""),"ADS0000017661")</f>
        <v>ADS0000017661</v>
      </c>
      <c r="B5453" s="153" t="str">
        <f>IFERROR(__xludf.DUMMYFUNCTION("""COMPUTED_VALUE"""),"FEMALE INFERTILITY NGS PANEL")</f>
        <v>FEMALE INFERTILITY NGS PANEL</v>
      </c>
      <c r="C5453" s="381">
        <f>IFERROR(__xludf.DUMMYFUNCTION("""COMPUTED_VALUE"""),46029.0)</f>
        <v>46029</v>
      </c>
      <c r="D5453" s="378">
        <f>IFERROR(__xludf.DUMMYFUNCTION("""COMPUTED_VALUE"""),46210.0)</f>
        <v>46210</v>
      </c>
    </row>
    <row r="5454">
      <c r="A5454" s="153" t="str">
        <f>IFERROR(__xludf.DUMMYFUNCTION("""COMPUTED_VALUE"""),"ADS0000017660")</f>
        <v>ADS0000017660</v>
      </c>
      <c r="B5454" s="153" t="str">
        <f>IFERROR(__xludf.DUMMYFUNCTION("""COMPUTED_VALUE"""),"MALE INFERTILITY NGS PANEL")</f>
        <v>MALE INFERTILITY NGS PANEL</v>
      </c>
      <c r="C5454" s="381">
        <f>IFERROR(__xludf.DUMMYFUNCTION("""COMPUTED_VALUE"""),46029.0)</f>
        <v>46029</v>
      </c>
      <c r="D5454" s="378">
        <f>IFERROR(__xludf.DUMMYFUNCTION("""COMPUTED_VALUE"""),46210.0)</f>
        <v>46210</v>
      </c>
    </row>
    <row r="5455">
      <c r="A5455" s="153" t="str">
        <f>IFERROR(__xludf.DUMMYFUNCTION("""COMPUTED_VALUE"""),"ACL0000018058")</f>
        <v>ACL0000018058</v>
      </c>
      <c r="B5455" s="153" t="str">
        <f>IFERROR(__xludf.DUMMYFUNCTION("""COMPUTED_VALUE"""),"WHOLE EXOME SEQUENCING")</f>
        <v>WHOLE EXOME SEQUENCING</v>
      </c>
      <c r="C5455" s="381">
        <f>IFERROR(__xludf.DUMMYFUNCTION("""COMPUTED_VALUE"""),46029.0)</f>
        <v>46029</v>
      </c>
      <c r="D5455" s="378">
        <f>IFERROR(__xludf.DUMMYFUNCTION("""COMPUTED_VALUE"""),46221.0)</f>
        <v>46221</v>
      </c>
    </row>
    <row r="5456">
      <c r="A5456" s="153" t="str">
        <f>IFERROR(__xludf.DUMMYFUNCTION("""COMPUTED_VALUE"""),"ACL0000018057")</f>
        <v>ACL0000018057</v>
      </c>
      <c r="B5456" s="153" t="str">
        <f>IFERROR(__xludf.DUMMYFUNCTION("""COMPUTED_VALUE"""),"WHOLE EXOME SEQUENCING")</f>
        <v>WHOLE EXOME SEQUENCING</v>
      </c>
      <c r="C5456" s="381">
        <f>IFERROR(__xludf.DUMMYFUNCTION("""COMPUTED_VALUE"""),46029.0)</f>
        <v>46029</v>
      </c>
      <c r="D5456" s="378">
        <f>IFERROR(__xludf.DUMMYFUNCTION("""COMPUTED_VALUE"""),46221.0)</f>
        <v>46221</v>
      </c>
    </row>
    <row r="5457">
      <c r="A5457" s="153" t="str">
        <f>IFERROR(__xludf.DUMMYFUNCTION("""COMPUTED_VALUE"""),"ADB0000044303")</f>
        <v>ADB0000044303</v>
      </c>
      <c r="B5457" s="153" t="str">
        <f>IFERROR(__xludf.DUMMYFUNCTION("""COMPUTED_VALUE"""),"WHOLE EXOME SEQUENCING")</f>
        <v>WHOLE EXOME SEQUENCING</v>
      </c>
      <c r="C5457" s="381">
        <f>IFERROR(__xludf.DUMMYFUNCTION("""COMPUTED_VALUE"""),46029.0)</f>
        <v>46029</v>
      </c>
      <c r="D5457" s="378">
        <f>IFERROR(__xludf.DUMMYFUNCTION("""COMPUTED_VALUE"""),46221.0)</f>
        <v>46221</v>
      </c>
    </row>
    <row r="5458">
      <c r="A5458" s="153" t="str">
        <f>IFERROR(__xludf.DUMMYFUNCTION("""COMPUTED_VALUE"""),"CHM0000047111")</f>
        <v>CHM0000047111</v>
      </c>
      <c r="B5458" s="153" t="str">
        <f>IFERROR(__xludf.DUMMYFUNCTION("""COMPUTED_VALUE"""),"WHOLE EXOME SEQUENCING")</f>
        <v>WHOLE EXOME SEQUENCING</v>
      </c>
      <c r="C5458" s="381">
        <f>IFERROR(__xludf.DUMMYFUNCTION("""COMPUTED_VALUE"""),46029.0)</f>
        <v>46029</v>
      </c>
      <c r="D5458" s="378">
        <f>IFERROR(__xludf.DUMMYFUNCTION("""COMPUTED_VALUE"""),46221.0)</f>
        <v>46221</v>
      </c>
    </row>
    <row r="5459">
      <c r="A5459" s="153" t="str">
        <f>IFERROR(__xludf.DUMMYFUNCTION("""COMPUTED_VALUE"""),"ADB0000044304")</f>
        <v>ADB0000044304</v>
      </c>
      <c r="B5459" s="153" t="str">
        <f>IFERROR(__xludf.DUMMYFUNCTION("""COMPUTED_VALUE"""),"WHOLE EXOME SEQUENCING")</f>
        <v>WHOLE EXOME SEQUENCING</v>
      </c>
      <c r="C5459" s="381">
        <f>IFERROR(__xludf.DUMMYFUNCTION("""COMPUTED_VALUE"""),46029.0)</f>
        <v>46029</v>
      </c>
      <c r="D5459" s="378">
        <f>IFERROR(__xludf.DUMMYFUNCTION("""COMPUTED_VALUE"""),46221.0)</f>
        <v>46221</v>
      </c>
    </row>
    <row r="5460">
      <c r="A5460" s="153" t="str">
        <f>IFERROR(__xludf.DUMMYFUNCTION("""COMPUTED_VALUE"""),"HYP0000002732")</f>
        <v>HYP0000002732</v>
      </c>
      <c r="B5460" s="153" t="str">
        <f>IFERROR(__xludf.DUMMYFUNCTION("""COMPUTED_VALUE"""),"MALE INFERTILITY NGS PANEL")</f>
        <v>MALE INFERTILITY NGS PANEL</v>
      </c>
      <c r="C5460" s="381">
        <f>IFERROR(__xludf.DUMMYFUNCTION("""COMPUTED_VALUE"""),46029.0)</f>
        <v>46029</v>
      </c>
      <c r="D5460" s="378">
        <f>IFERROR(__xludf.DUMMYFUNCTION("""COMPUTED_VALUE"""),46210.0)</f>
        <v>46210</v>
      </c>
    </row>
    <row r="5461">
      <c r="A5461" s="153" t="str">
        <f>IFERROR(__xludf.DUMMYFUNCTION("""COMPUTED_VALUE"""),"FR20000012702")</f>
        <v>FR20000012702</v>
      </c>
      <c r="B5461" s="153" t="str">
        <f>IFERROR(__xludf.DUMMYFUNCTION("""COMPUTED_VALUE"""),"WHOLE EXOME SEQUENCING")</f>
        <v>WHOLE EXOME SEQUENCING</v>
      </c>
      <c r="C5461" s="381">
        <f>IFERROR(__xludf.DUMMYFUNCTION("""COMPUTED_VALUE"""),46029.0)</f>
        <v>46029</v>
      </c>
      <c r="D5461" s="378">
        <f>IFERROR(__xludf.DUMMYFUNCTION("""COMPUTED_VALUE"""),46222.0)</f>
        <v>46222</v>
      </c>
    </row>
    <row r="5462">
      <c r="A5462" s="153" t="str">
        <f>IFERROR(__xludf.DUMMYFUNCTION("""COMPUTED_VALUE"""),"FR20000012703")</f>
        <v>FR20000012703</v>
      </c>
      <c r="B5462" s="153" t="str">
        <f>IFERROR(__xludf.DUMMYFUNCTION("""COMPUTED_VALUE"""),"WHOLE EXOME SEQUENCING")</f>
        <v>WHOLE EXOME SEQUENCING</v>
      </c>
      <c r="C5462" s="381">
        <f>IFERROR(__xludf.DUMMYFUNCTION("""COMPUTED_VALUE"""),46029.0)</f>
        <v>46029</v>
      </c>
      <c r="D5462" s="378">
        <f>IFERROR(__xludf.DUMMYFUNCTION("""COMPUTED_VALUE"""),46222.0)</f>
        <v>46222</v>
      </c>
    </row>
    <row r="5463">
      <c r="A5463" s="153" t="str">
        <f>IFERROR(__xludf.DUMMYFUNCTION("""COMPUTED_VALUE"""),"CHM0000047158")</f>
        <v>CHM0000047158</v>
      </c>
      <c r="B5463" s="153" t="str">
        <f>IFERROR(__xludf.DUMMYFUNCTION("""COMPUTED_VALUE"""),"CLINICAL EXOME SEQUENCING")</f>
        <v>CLINICAL EXOME SEQUENCING</v>
      </c>
      <c r="C5463" s="381">
        <f>IFERROR(__xludf.DUMMYFUNCTION("""COMPUTED_VALUE"""),46029.0)</f>
        <v>46029</v>
      </c>
      <c r="D5463" s="378">
        <f>IFERROR(__xludf.DUMMYFUNCTION("""COMPUTED_VALUE"""),46222.0)</f>
        <v>46222</v>
      </c>
    </row>
    <row r="5464">
      <c r="A5464" s="153" t="str">
        <f>IFERROR(__xludf.DUMMYFUNCTION("""COMPUTED_VALUE"""),"ANV0000001701")</f>
        <v>ANV0000001701</v>
      </c>
      <c r="B5464" s="153" t="str">
        <f>IFERROR(__xludf.DUMMYFUNCTION("""COMPUTED_VALUE"""),"HEREDITARY PANCREATITIS PANEL")</f>
        <v>HEREDITARY PANCREATITIS PANEL</v>
      </c>
      <c r="C5464" s="381">
        <f>IFERROR(__xludf.DUMMYFUNCTION("""COMPUTED_VALUE"""),46029.0)</f>
        <v>46029</v>
      </c>
      <c r="D5464" s="378">
        <f>IFERROR(__xludf.DUMMYFUNCTION("""COMPUTED_VALUE"""),46222.0)</f>
        <v>46222</v>
      </c>
    </row>
    <row r="5465">
      <c r="A5465" s="153" t="str">
        <f>IFERROR(__xludf.DUMMYFUNCTION("""COMPUTED_VALUE"""),"ADB0000044917")</f>
        <v>ADB0000044917</v>
      </c>
      <c r="B5465" s="153" t="str">
        <f>IFERROR(__xludf.DUMMYFUNCTION("""COMPUTED_VALUE"""),"WHOLE EXOME SEQUENCING")</f>
        <v>WHOLE EXOME SEQUENCING</v>
      </c>
      <c r="C5465" s="381">
        <f>IFERROR(__xludf.DUMMYFUNCTION("""COMPUTED_VALUE"""),46029.0)</f>
        <v>46029</v>
      </c>
      <c r="D5465" s="378">
        <f>IFERROR(__xludf.DUMMYFUNCTION("""COMPUTED_VALUE"""),46222.0)</f>
        <v>46222</v>
      </c>
    </row>
    <row r="5466">
      <c r="A5466" s="153" t="str">
        <f>IFERROR(__xludf.DUMMYFUNCTION("""COMPUTED_VALUE"""),"HCC0000017058")</f>
        <v>HCC0000017058</v>
      </c>
      <c r="B5466" s="153" t="str">
        <f>IFERROR(__xludf.DUMMYFUNCTION("""COMPUTED_VALUE"""),"CLINICAL EXOME SEQUENCING")</f>
        <v>CLINICAL EXOME SEQUENCING</v>
      </c>
      <c r="C5466" s="381">
        <f>IFERROR(__xludf.DUMMYFUNCTION("""COMPUTED_VALUE"""),46029.0)</f>
        <v>46029</v>
      </c>
      <c r="D5466" s="378">
        <f>IFERROR(__xludf.DUMMYFUNCTION("""COMPUTED_VALUE"""),46222.0)</f>
        <v>46222</v>
      </c>
    </row>
    <row r="5467">
      <c r="A5467" s="153" t="str">
        <f>IFERROR(__xludf.DUMMYFUNCTION("""COMPUTED_VALUE"""),"ATR0000016197")</f>
        <v>ATR0000016197</v>
      </c>
      <c r="B5467" s="153" t="str">
        <f>IFERROR(__xludf.DUMMYFUNCTION("""COMPUTED_VALUE"""),"WHOLE EXOME SEQUENCING")</f>
        <v>WHOLE EXOME SEQUENCING</v>
      </c>
      <c r="C5467" s="381">
        <f>IFERROR(__xludf.DUMMYFUNCTION("""COMPUTED_VALUE"""),46029.0)</f>
        <v>46029</v>
      </c>
      <c r="D5467" s="378">
        <f>IFERROR(__xludf.DUMMYFUNCTION("""COMPUTED_VALUE"""),46223.0)</f>
        <v>46223</v>
      </c>
    </row>
    <row r="5468">
      <c r="A5468" s="153" t="str">
        <f>IFERROR(__xludf.DUMMYFUNCTION("""COMPUTED_VALUE"""),"ATR0000016198")</f>
        <v>ATR0000016198</v>
      </c>
      <c r="B5468" s="153" t="str">
        <f>IFERROR(__xludf.DUMMYFUNCTION("""COMPUTED_VALUE"""),"WHOLE EXOME SEQUENCING")</f>
        <v>WHOLE EXOME SEQUENCING</v>
      </c>
      <c r="C5468" s="381">
        <f>IFERROR(__xludf.DUMMYFUNCTION("""COMPUTED_VALUE"""),46029.0)</f>
        <v>46029</v>
      </c>
      <c r="D5468" s="378">
        <f>IFERROR(__xludf.DUMMYFUNCTION("""COMPUTED_VALUE"""),46223.0)</f>
        <v>46223</v>
      </c>
    </row>
    <row r="5469">
      <c r="A5469" s="153" t="str">
        <f>IFERROR(__xludf.DUMMYFUNCTION("""COMPUTED_VALUE"""),"ADK0000003401")</f>
        <v>ADK0000003401</v>
      </c>
      <c r="B5469" s="153" t="str">
        <f>IFERROR(__xludf.DUMMYFUNCTION("""COMPUTED_VALUE"""),"WES+WMGS")</f>
        <v>WES+WMGS</v>
      </c>
      <c r="C5469" s="381">
        <f>IFERROR(__xludf.DUMMYFUNCTION("""COMPUTED_VALUE"""),46029.0)</f>
        <v>46029</v>
      </c>
      <c r="D5469" s="378">
        <f>IFERROR(__xludf.DUMMYFUNCTION("""COMPUTED_VALUE"""),46225.0)</f>
        <v>46225</v>
      </c>
    </row>
    <row r="5470">
      <c r="A5470" s="153"/>
      <c r="B5470" s="153" t="str">
        <f>IFERROR(__xludf.DUMMYFUNCTION("""COMPUTED_VALUE"""),"WES+WMGS")</f>
        <v>WES+WMGS</v>
      </c>
      <c r="C5470" s="381">
        <f>IFERROR(__xludf.DUMMYFUNCTION("""COMPUTED_VALUE"""),46119.0)</f>
        <v>46119</v>
      </c>
      <c r="D5470" s="378">
        <f>IFERROR(__xludf.DUMMYFUNCTION("""COMPUTED_VALUE"""),46219.0)</f>
        <v>46219</v>
      </c>
    </row>
    <row r="5471">
      <c r="A5471" s="153" t="str">
        <f>IFERROR(__xludf.DUMMYFUNCTION("""COMPUTED_VALUE"""),"ADK0000003336")</f>
        <v>ADK0000003336</v>
      </c>
      <c r="B5471" s="153" t="str">
        <f>IFERROR(__xludf.DUMMYFUNCTION("""COMPUTED_VALUE"""),"WES+WMGS")</f>
        <v>WES+WMGS</v>
      </c>
      <c r="C5471" s="381">
        <f>IFERROR(__xludf.DUMMYFUNCTION("""COMPUTED_VALUE"""),46119.0)</f>
        <v>46119</v>
      </c>
      <c r="D5471" s="378">
        <f>IFERROR(__xludf.DUMMYFUNCTION("""COMPUTED_VALUE"""),46223.0)</f>
        <v>46223</v>
      </c>
    </row>
    <row r="5472">
      <c r="A5472" s="153" t="str">
        <f>IFERROR(__xludf.DUMMYFUNCTION("""COMPUTED_VALUE"""),"ADK0000003334")</f>
        <v>ADK0000003334</v>
      </c>
      <c r="B5472" s="153" t="str">
        <f>IFERROR(__xludf.DUMMYFUNCTION("""COMPUTED_VALUE"""),"WES+WMGS")</f>
        <v>WES+WMGS</v>
      </c>
      <c r="C5472" s="381">
        <f>IFERROR(__xludf.DUMMYFUNCTION("""COMPUTED_VALUE"""),46119.0)</f>
        <v>46119</v>
      </c>
      <c r="D5472" s="378">
        <f>IFERROR(__xludf.DUMMYFUNCTION("""COMPUTED_VALUE"""),46223.0)</f>
        <v>46223</v>
      </c>
    </row>
    <row r="5473">
      <c r="A5473" s="153" t="str">
        <f>IFERROR(__xludf.DUMMYFUNCTION("""COMPUTED_VALUE"""),"ACL0000019414")</f>
        <v>ACL0000019414</v>
      </c>
      <c r="B5473" s="153" t="str">
        <f>IFERROR(__xludf.DUMMYFUNCTION("""COMPUTED_VALUE"""),"WES+WMGS")</f>
        <v>WES+WMGS</v>
      </c>
      <c r="C5473" s="381">
        <f>IFERROR(__xludf.DUMMYFUNCTION("""COMPUTED_VALUE"""),46119.0)</f>
        <v>46119</v>
      </c>
      <c r="D5473" s="378">
        <f>IFERROR(__xludf.DUMMYFUNCTION("""COMPUTED_VALUE"""),46223.0)</f>
        <v>46223</v>
      </c>
    </row>
    <row r="5474">
      <c r="A5474" s="153" t="str">
        <f>IFERROR(__xludf.DUMMYFUNCTION("""COMPUTED_VALUE"""),"PH50000026626")</f>
        <v>PH50000026626</v>
      </c>
      <c r="B5474" s="153" t="str">
        <f>IFERROR(__xludf.DUMMYFUNCTION("""COMPUTED_VALUE"""),"WES+WMGS")</f>
        <v>WES+WMGS</v>
      </c>
      <c r="C5474" s="381">
        <f>IFERROR(__xludf.DUMMYFUNCTION("""COMPUTED_VALUE"""),46119.0)</f>
        <v>46119</v>
      </c>
      <c r="D5474" s="378">
        <f>IFERROR(__xludf.DUMMYFUNCTION("""COMPUTED_VALUE"""),46223.0)</f>
        <v>46223</v>
      </c>
    </row>
    <row r="5475">
      <c r="A5475" s="153" t="str">
        <f>IFERROR(__xludf.DUMMYFUNCTION("""COMPUTED_VALUE"""),"PH50000026451
")</f>
        <v>PH50000026451
</v>
      </c>
      <c r="B5475" s="153" t="str">
        <f>IFERROR(__xludf.DUMMYFUNCTION("""COMPUTED_VALUE"""),"WES+WMGS")</f>
        <v>WES+WMGS</v>
      </c>
      <c r="C5475" s="381">
        <f>IFERROR(__xludf.DUMMYFUNCTION("""COMPUTED_VALUE"""),46119.0)</f>
        <v>46119</v>
      </c>
      <c r="D5475" s="378">
        <f>IFERROR(__xludf.DUMMYFUNCTION("""COMPUTED_VALUE"""),46222.0)</f>
        <v>46222</v>
      </c>
    </row>
    <row r="5476">
      <c r="A5476" s="153" t="str">
        <f>IFERROR(__xludf.DUMMYFUNCTION("""COMPUTED_VALUE"""),"HYP0000002758
")</f>
        <v>HYP0000002758
</v>
      </c>
      <c r="B5476" s="153" t="str">
        <f>IFERROR(__xludf.DUMMYFUNCTION("""COMPUTED_VALUE"""),"ADVAT FOCUS CARRIER SCREENING - NGS")</f>
        <v>ADVAT FOCUS CARRIER SCREENING - NGS</v>
      </c>
      <c r="C5476" s="381">
        <f>IFERROR(__xludf.DUMMYFUNCTION("""COMPUTED_VALUE"""),46119.0)</f>
        <v>46119</v>
      </c>
      <c r="D5476" s="378">
        <f>IFERROR(__xludf.DUMMYFUNCTION("""COMPUTED_VALUE"""),46223.0)</f>
        <v>46223</v>
      </c>
    </row>
    <row r="5477">
      <c r="A5477" s="153" t="str">
        <f>IFERROR(__xludf.DUMMYFUNCTION("""COMPUTED_VALUE"""),"ABC0000002076
")</f>
        <v>ABC0000002076
</v>
      </c>
      <c r="B5477" s="153" t="str">
        <f>IFERROR(__xludf.DUMMYFUNCTION("""COMPUTED_VALUE"""),"CLINICAL EXOME SEQUENCING")</f>
        <v>CLINICAL EXOME SEQUENCING</v>
      </c>
      <c r="C5477" s="381">
        <f>IFERROR(__xludf.DUMMYFUNCTION("""COMPUTED_VALUE"""),46119.0)</f>
        <v>46119</v>
      </c>
      <c r="D5477" s="378">
        <f>IFERROR(__xludf.DUMMYFUNCTION("""COMPUTED_VALUE"""),46223.0)</f>
        <v>46223</v>
      </c>
    </row>
    <row r="5478">
      <c r="A5478" s="153" t="str">
        <f>IFERROR(__xludf.DUMMYFUNCTION("""COMPUTED_VALUE"""),"ADK0000003324")</f>
        <v>ADK0000003324</v>
      </c>
      <c r="B5478" s="153" t="str">
        <f>IFERROR(__xludf.DUMMYFUNCTION("""COMPUTED_VALUE"""),"WES+WMGS")</f>
        <v>WES+WMGS</v>
      </c>
      <c r="C5478" s="381">
        <f>IFERROR(__xludf.DUMMYFUNCTION("""COMPUTED_VALUE"""),46119.0)</f>
        <v>46119</v>
      </c>
      <c r="D5478" s="378">
        <f>IFERROR(__xludf.DUMMYFUNCTION("""COMPUTED_VALUE"""),46223.0)</f>
        <v>46223</v>
      </c>
    </row>
    <row r="5479">
      <c r="A5479" s="153" t="str">
        <f>IFERROR(__xludf.DUMMYFUNCTION("""COMPUTED_VALUE"""),"ADK0000003329")</f>
        <v>ADK0000003329</v>
      </c>
      <c r="B5479" s="153" t="str">
        <f>IFERROR(__xludf.DUMMYFUNCTION("""COMPUTED_VALUE"""),"WES+WMGS")</f>
        <v>WES+WMGS</v>
      </c>
      <c r="C5479" s="381">
        <f>IFERROR(__xludf.DUMMYFUNCTION("""COMPUTED_VALUE"""),46119.0)</f>
        <v>46119</v>
      </c>
      <c r="D5479" s="378">
        <f>IFERROR(__xludf.DUMMYFUNCTION("""COMPUTED_VALUE"""),46223.0)</f>
        <v>46223</v>
      </c>
    </row>
    <row r="5480">
      <c r="A5480" s="153" t="str">
        <f>IFERROR(__xludf.DUMMYFUNCTION("""COMPUTED_VALUE"""),"ADK0000003374")</f>
        <v>ADK0000003374</v>
      </c>
      <c r="B5480" s="153" t="str">
        <f>IFERROR(__xludf.DUMMYFUNCTION("""COMPUTED_VALUE"""),"WHOLE EXOME SEQUENCING")</f>
        <v>WHOLE EXOME SEQUENCING</v>
      </c>
      <c r="C5480" s="381">
        <f>IFERROR(__xludf.DUMMYFUNCTION("""COMPUTED_VALUE"""),46119.0)</f>
        <v>46119</v>
      </c>
      <c r="D5480" s="378">
        <f>IFERROR(__xludf.DUMMYFUNCTION("""COMPUTED_VALUE"""),46218.0)</f>
        <v>46218</v>
      </c>
    </row>
    <row r="5481">
      <c r="A5481" s="153" t="str">
        <f>IFERROR(__xludf.DUMMYFUNCTION("""COMPUTED_VALUE"""),"ADB0000044934")</f>
        <v>ADB0000044934</v>
      </c>
      <c r="B5481" s="153" t="str">
        <f>IFERROR(__xludf.DUMMYFUNCTION("""COMPUTED_VALUE"""),"WHOLE EXOME SEQUENCING")</f>
        <v>WHOLE EXOME SEQUENCING</v>
      </c>
      <c r="C5481" s="381">
        <f>IFERROR(__xludf.DUMMYFUNCTION("""COMPUTED_VALUE"""),46119.0)</f>
        <v>46119</v>
      </c>
      <c r="D5481" s="378">
        <f>IFERROR(__xludf.DUMMYFUNCTION("""COMPUTED_VALUE"""),46224.0)</f>
        <v>46224</v>
      </c>
    </row>
    <row r="5482">
      <c r="A5482" s="153" t="str">
        <f>IFERROR(__xludf.DUMMYFUNCTION("""COMPUTED_VALUE"""),"ACO0000013033")</f>
        <v>ACO0000013033</v>
      </c>
      <c r="B5482" s="153" t="str">
        <f>IFERROR(__xludf.DUMMYFUNCTION("""COMPUTED_VALUE"""),"WHOLE EXOME SEQUENCING")</f>
        <v>WHOLE EXOME SEQUENCING</v>
      </c>
      <c r="C5482" s="381">
        <f>IFERROR(__xludf.DUMMYFUNCTION("""COMPUTED_VALUE"""),46119.0)</f>
        <v>46119</v>
      </c>
      <c r="D5482" s="378">
        <f>IFERROR(__xludf.DUMMYFUNCTION("""COMPUTED_VALUE"""),46224.0)</f>
        <v>46224</v>
      </c>
    </row>
    <row r="5483">
      <c r="A5483" s="153" t="str">
        <f>IFERROR(__xludf.DUMMYFUNCTION("""COMPUTED_VALUE"""),"CHM0000048215")</f>
        <v>CHM0000048215</v>
      </c>
      <c r="B5483" s="153" t="str">
        <f>IFERROR(__xludf.DUMMYFUNCTION("""COMPUTED_VALUE"""),"COMPREHENSIVE CARRIER SCREENING")</f>
        <v>COMPREHENSIVE CARRIER SCREENING</v>
      </c>
      <c r="C5483" s="381">
        <f>IFERROR(__xludf.DUMMYFUNCTION("""COMPUTED_VALUE"""),46119.0)</f>
        <v>46119</v>
      </c>
      <c r="D5483" s="378">
        <f>IFERROR(__xludf.DUMMYFUNCTION("""COMPUTED_VALUE"""),46224.0)</f>
        <v>46224</v>
      </c>
    </row>
    <row r="5484">
      <c r="A5484" s="153" t="str">
        <f>IFERROR(__xludf.DUMMYFUNCTION("""COMPUTED_VALUE"""),"CHM0000048217")</f>
        <v>CHM0000048217</v>
      </c>
      <c r="B5484" s="153" t="str">
        <f>IFERROR(__xludf.DUMMYFUNCTION("""COMPUTED_VALUE"""),"COMPREHENSIVE CARRIER SCREENING")</f>
        <v>COMPREHENSIVE CARRIER SCREENING</v>
      </c>
      <c r="C5484" s="381">
        <f>IFERROR(__xludf.DUMMYFUNCTION("""COMPUTED_VALUE"""),46119.0)</f>
        <v>46119</v>
      </c>
      <c r="D5484" s="378">
        <f>IFERROR(__xludf.DUMMYFUNCTION("""COMPUTED_VALUE"""),46224.0)</f>
        <v>46224</v>
      </c>
    </row>
    <row r="5485">
      <c r="A5485" s="153" t="str">
        <f>IFERROR(__xludf.DUMMYFUNCTION("""COMPUTED_VALUE""")," ANG0000014406
")</f>
        <v> ANG0000014406
</v>
      </c>
      <c r="B5485" s="153" t="str">
        <f>IFERROR(__xludf.DUMMYFUNCTION("""COMPUTED_VALUE"""),"WHOLE EXOME SEQUENCING")</f>
        <v>WHOLE EXOME SEQUENCING</v>
      </c>
      <c r="C5485" s="381">
        <f>IFERROR(__xludf.DUMMYFUNCTION("""COMPUTED_VALUE"""),46119.0)</f>
        <v>46119</v>
      </c>
      <c r="D5485" s="378">
        <f>IFERROR(__xludf.DUMMYFUNCTION("""COMPUTED_VALUE"""),46223.0)</f>
        <v>46223</v>
      </c>
    </row>
    <row r="5486">
      <c r="A5486" s="153" t="str">
        <f>IFERROR(__xludf.DUMMYFUNCTION("""COMPUTED_VALUE"""),"ACL0000020395")</f>
        <v>ACL0000020395</v>
      </c>
      <c r="B5486" s="153" t="str">
        <f>IFERROR(__xludf.DUMMYFUNCTION("""COMPUTED_VALUE"""),"WHOLE EXOME SEQUENCING")</f>
        <v>WHOLE EXOME SEQUENCING</v>
      </c>
      <c r="C5486" s="381">
        <f>IFERROR(__xludf.DUMMYFUNCTION("""COMPUTED_VALUE"""),46119.0)</f>
        <v>46119</v>
      </c>
      <c r="D5486" s="378">
        <f>IFERROR(__xludf.DUMMYFUNCTION("""COMPUTED_VALUE"""),46224.0)</f>
        <v>46224</v>
      </c>
    </row>
    <row r="5487">
      <c r="A5487" s="153" t="str">
        <f>IFERROR(__xludf.DUMMYFUNCTION("""COMPUTED_VALUE"""),"ADK0000003382")</f>
        <v>ADK0000003382</v>
      </c>
      <c r="B5487" s="153" t="str">
        <f>IFERROR(__xludf.DUMMYFUNCTION("""COMPUTED_VALUE"""),"WES+WMGS")</f>
        <v>WES+WMGS</v>
      </c>
      <c r="C5487" s="381">
        <f>IFERROR(__xludf.DUMMYFUNCTION("""COMPUTED_VALUE"""),46119.0)</f>
        <v>46119</v>
      </c>
      <c r="D5487" s="378">
        <f>IFERROR(__xludf.DUMMYFUNCTION("""COMPUTED_VALUE"""),46224.0)</f>
        <v>46224</v>
      </c>
    </row>
    <row r="5488">
      <c r="A5488" s="153" t="str">
        <f>IFERROR(__xludf.DUMMYFUNCTION("""COMPUTED_VALUE"""),"ADK0000003383")</f>
        <v>ADK0000003383</v>
      </c>
      <c r="B5488" s="153" t="str">
        <f>IFERROR(__xludf.DUMMYFUNCTION("""COMPUTED_VALUE"""),"WES+WMGS")</f>
        <v>WES+WMGS</v>
      </c>
      <c r="C5488" s="381">
        <f>IFERROR(__xludf.DUMMYFUNCTION("""COMPUTED_VALUE"""),46119.0)</f>
        <v>46119</v>
      </c>
      <c r="D5488" s="378">
        <f>IFERROR(__xludf.DUMMYFUNCTION("""COMPUTED_VALUE"""),46224.0)</f>
        <v>46224</v>
      </c>
    </row>
    <row r="5489">
      <c r="A5489" s="153" t="str">
        <f>IFERROR(__xludf.DUMMYFUNCTION("""COMPUTED_VALUE"""),"ADK0000003384")</f>
        <v>ADK0000003384</v>
      </c>
      <c r="B5489" s="153" t="str">
        <f>IFERROR(__xludf.DUMMYFUNCTION("""COMPUTED_VALUE"""),"WES+WMGS")</f>
        <v>WES+WMGS</v>
      </c>
      <c r="C5489" s="381">
        <f>IFERROR(__xludf.DUMMYFUNCTION("""COMPUTED_VALUE"""),46119.0)</f>
        <v>46119</v>
      </c>
      <c r="D5489" s="378">
        <f>IFERROR(__xludf.DUMMYFUNCTION("""COMPUTED_VALUE"""),46224.0)</f>
        <v>46224</v>
      </c>
    </row>
    <row r="5490">
      <c r="A5490" s="153" t="str">
        <f>IFERROR(__xludf.DUMMYFUNCTION("""COMPUTED_VALUE"""),"AMB0000011798")</f>
        <v>AMB0000011798</v>
      </c>
      <c r="B5490" s="153" t="str">
        <f>IFERROR(__xludf.DUMMYFUNCTION("""COMPUTED_VALUE"""),"WHOLE EXOME SEQUENCING")</f>
        <v>WHOLE EXOME SEQUENCING</v>
      </c>
      <c r="C5490" s="381">
        <f>IFERROR(__xludf.DUMMYFUNCTION("""COMPUTED_VALUE"""),46119.0)</f>
        <v>46119</v>
      </c>
      <c r="D5490" s="378">
        <f>IFERROR(__xludf.DUMMYFUNCTION("""COMPUTED_VALUE"""),46224.0)</f>
        <v>46224</v>
      </c>
    </row>
    <row r="5491">
      <c r="A5491" s="153" t="str">
        <f>IFERROR(__xludf.DUMMYFUNCTION("""COMPUTED_VALUE"""),"AMB0000011799")</f>
        <v>AMB0000011799</v>
      </c>
      <c r="B5491" s="153" t="str">
        <f>IFERROR(__xludf.DUMMYFUNCTION("""COMPUTED_VALUE"""),"WHOLE EXOME SEQUENCING")</f>
        <v>WHOLE EXOME SEQUENCING</v>
      </c>
      <c r="C5491" s="381">
        <f>IFERROR(__xludf.DUMMYFUNCTION("""COMPUTED_VALUE"""),46119.0)</f>
        <v>46119</v>
      </c>
      <c r="D5491" s="378">
        <f>IFERROR(__xludf.DUMMYFUNCTION("""COMPUTED_VALUE"""),46224.0)</f>
        <v>46224</v>
      </c>
    </row>
    <row r="5492">
      <c r="A5492" s="153" t="str">
        <f>IFERROR(__xludf.DUMMYFUNCTION("""COMPUTED_VALUE"""),"ADN0000031223")</f>
        <v>ADN0000031223</v>
      </c>
      <c r="B5492" s="153" t="str">
        <f>IFERROR(__xludf.DUMMYFUNCTION("""COMPUTED_VALUE"""),"WHOLE EXOME SEQUENCING")</f>
        <v>WHOLE EXOME SEQUENCING</v>
      </c>
      <c r="C5492" s="381">
        <f>IFERROR(__xludf.DUMMYFUNCTION("""COMPUTED_VALUE"""),46119.0)</f>
        <v>46119</v>
      </c>
      <c r="D5492" s="378">
        <f>IFERROR(__xludf.DUMMYFUNCTION("""COMPUTED_VALUE"""),46225.0)</f>
        <v>46225</v>
      </c>
    </row>
    <row r="5493">
      <c r="A5493" s="153" t="str">
        <f>IFERROR(__xludf.DUMMYFUNCTION("""COMPUTED_VALUE"""),"ADN0000031327")</f>
        <v>ADN0000031327</v>
      </c>
      <c r="B5493" s="153" t="str">
        <f>IFERROR(__xludf.DUMMYFUNCTION("""COMPUTED_VALUE"""),"WHOLE EXOME SEQUENCING")</f>
        <v>WHOLE EXOME SEQUENCING</v>
      </c>
      <c r="C5493" s="381">
        <f>IFERROR(__xludf.DUMMYFUNCTION("""COMPUTED_VALUE"""),46119.0)</f>
        <v>46119</v>
      </c>
      <c r="D5493" s="378">
        <f>IFERROR(__xludf.DUMMYFUNCTION("""COMPUTED_VALUE"""),46225.0)</f>
        <v>46225</v>
      </c>
    </row>
    <row r="5494">
      <c r="A5494" s="153" t="str">
        <f>IFERROR(__xludf.DUMMYFUNCTION("""COMPUTED_VALUE"""),"ADK0000003404")</f>
        <v>ADK0000003404</v>
      </c>
      <c r="B5494" s="153" t="str">
        <f>IFERROR(__xludf.DUMMYFUNCTION("""COMPUTED_VALUE"""),"WHOLE EXOME SEQUENCING")</f>
        <v>WHOLE EXOME SEQUENCING</v>
      </c>
      <c r="C5494" s="381">
        <f>IFERROR(__xludf.DUMMYFUNCTION("""COMPUTED_VALUE"""),46119.0)</f>
        <v>46119</v>
      </c>
      <c r="D5494" s="378">
        <f>IFERROR(__xludf.DUMMYFUNCTION("""COMPUTED_VALUE"""),46225.0)</f>
        <v>46225</v>
      </c>
    </row>
    <row r="5495">
      <c r="A5495" s="153" t="str">
        <f>IFERROR(__xludf.DUMMYFUNCTION("""COMPUTED_VALUE"""),"ATN0000011446")</f>
        <v>ATN0000011446</v>
      </c>
      <c r="B5495" s="153" t="str">
        <f>IFERROR(__xludf.DUMMYFUNCTION("""COMPUTED_VALUE"""),"CLINICAL EXOME SEQUENCING")</f>
        <v>CLINICAL EXOME SEQUENCING</v>
      </c>
      <c r="C5495" s="381">
        <f>IFERROR(__xludf.DUMMYFUNCTION("""COMPUTED_VALUE"""),46119.0)</f>
        <v>46119</v>
      </c>
      <c r="D5495" s="378">
        <f>IFERROR(__xludf.DUMMYFUNCTION("""COMPUTED_VALUE"""),46225.0)</f>
        <v>46225</v>
      </c>
    </row>
    <row r="5496">
      <c r="A5496" s="153" t="str">
        <f>IFERROR(__xludf.DUMMYFUNCTION("""COMPUTED_VALUE"""),"ADB0000045213")</f>
        <v>ADB0000045213</v>
      </c>
      <c r="B5496" s="153" t="str">
        <f>IFERROR(__xludf.DUMMYFUNCTION("""COMPUTED_VALUE"""),"WHOLE EXOME SEQUENCING")</f>
        <v>WHOLE EXOME SEQUENCING</v>
      </c>
      <c r="C5496" s="381">
        <f>IFERROR(__xludf.DUMMYFUNCTION("""COMPUTED_VALUE"""),46119.0)</f>
        <v>46119</v>
      </c>
      <c r="D5496" s="378">
        <f>IFERROR(__xludf.DUMMYFUNCTION("""COMPUTED_VALUE"""),46225.0)</f>
        <v>46225</v>
      </c>
    </row>
    <row r="5497">
      <c r="A5497" s="153" t="str">
        <f>IFERROR(__xludf.DUMMYFUNCTION("""COMPUTED_VALUE"""),"DCC0000005644")</f>
        <v>DCC0000005644</v>
      </c>
      <c r="B5497" s="153" t="str">
        <f>IFERROR(__xludf.DUMMYFUNCTION("""COMPUTED_VALUE"""),"WHOLE EXOME SEQUENCING")</f>
        <v>WHOLE EXOME SEQUENCING</v>
      </c>
      <c r="C5497" s="381">
        <f>IFERROR(__xludf.DUMMYFUNCTION("""COMPUTED_VALUE"""),46119.0)</f>
        <v>46119</v>
      </c>
      <c r="D5497" s="378">
        <f>IFERROR(__xludf.DUMMYFUNCTION("""COMPUTED_VALUE"""),46225.0)</f>
        <v>46225</v>
      </c>
    </row>
    <row r="5498">
      <c r="A5498" s="153" t="str">
        <f>IFERROR(__xludf.DUMMYFUNCTION("""COMPUTED_VALUE"""),"ADR0000007843")</f>
        <v>ADR0000007843</v>
      </c>
      <c r="B5498" s="153" t="str">
        <f>IFERROR(__xludf.DUMMYFUNCTION("""COMPUTED_VALUE"""),"WHOLE EXOME SEQUENCING")</f>
        <v>WHOLE EXOME SEQUENCING</v>
      </c>
      <c r="C5498" s="381">
        <f>IFERROR(__xludf.DUMMYFUNCTION("""COMPUTED_VALUE"""),46119.0)</f>
        <v>46119</v>
      </c>
      <c r="D5498" s="378">
        <f>IFERROR(__xludf.DUMMYFUNCTION("""COMPUTED_VALUE"""),46225.0)</f>
        <v>46225</v>
      </c>
    </row>
    <row r="5499">
      <c r="A5499" s="153" t="str">
        <f>IFERROR(__xludf.DUMMYFUNCTION("""COMPUTED_VALUE"""),"MDU0000026048")</f>
        <v>MDU0000026048</v>
      </c>
      <c r="B5499" s="153" t="str">
        <f>IFERROR(__xludf.DUMMYFUNCTION("""COMPUTED_VALUE"""),"WHOLE EXOME SEQUENCING")</f>
        <v>WHOLE EXOME SEQUENCING</v>
      </c>
      <c r="C5499" s="381">
        <f>IFERROR(__xludf.DUMMYFUNCTION("""COMPUTED_VALUE"""),46119.0)</f>
        <v>46119</v>
      </c>
      <c r="D5499" s="378">
        <f>IFERROR(__xludf.DUMMYFUNCTION("""COMPUTED_VALUE"""),46225.0)</f>
        <v>46225</v>
      </c>
    </row>
    <row r="5500">
      <c r="A5500" s="153" t="str">
        <f>IFERROR(__xludf.DUMMYFUNCTION("""COMPUTED_VALUE"""),"MDU0000026049")</f>
        <v>MDU0000026049</v>
      </c>
      <c r="B5500" s="153" t="str">
        <f>IFERROR(__xludf.DUMMYFUNCTION("""COMPUTED_VALUE"""),"WHOLE EXOME SEQUENCING")</f>
        <v>WHOLE EXOME SEQUENCING</v>
      </c>
      <c r="C5500" s="381">
        <f>IFERROR(__xludf.DUMMYFUNCTION("""COMPUTED_VALUE"""),46119.0)</f>
        <v>46119</v>
      </c>
      <c r="D5500" s="378">
        <f>IFERROR(__xludf.DUMMYFUNCTION("""COMPUTED_VALUE"""),46225.0)</f>
        <v>46225</v>
      </c>
    </row>
    <row r="5501">
      <c r="A5501" s="153" t="str">
        <f>IFERROR(__xludf.DUMMYFUNCTION("""COMPUTED_VALUE"""),"ACL0000020965")</f>
        <v>ACL0000020965</v>
      </c>
      <c r="B5501" s="153" t="str">
        <f>IFERROR(__xludf.DUMMYFUNCTION("""COMPUTED_VALUE"""),"COMPREHENSIVE CARRIER SCREENING")</f>
        <v>COMPREHENSIVE CARRIER SCREENING</v>
      </c>
      <c r="C5501" s="381">
        <f>IFERROR(__xludf.DUMMYFUNCTION("""COMPUTED_VALUE"""),46119.0)</f>
        <v>46119</v>
      </c>
      <c r="D5501" s="378">
        <f>IFERROR(__xludf.DUMMYFUNCTION("""COMPUTED_VALUE"""),46225.0)</f>
        <v>46225</v>
      </c>
    </row>
    <row r="5502">
      <c r="A5502" s="153" t="str">
        <f>IFERROR(__xludf.DUMMYFUNCTION("""COMPUTED_VALUE"""),"ACL0000020966")</f>
        <v>ACL0000020966</v>
      </c>
      <c r="B5502" s="153" t="str">
        <f>IFERROR(__xludf.DUMMYFUNCTION("""COMPUTED_VALUE"""),"COMPREHENSIVE CARRIER SCREENING")</f>
        <v>COMPREHENSIVE CARRIER SCREENING</v>
      </c>
      <c r="C5502" s="381">
        <f>IFERROR(__xludf.DUMMYFUNCTION("""COMPUTED_VALUE"""),46119.0)</f>
        <v>46119</v>
      </c>
      <c r="D5502" s="378">
        <f>IFERROR(__xludf.DUMMYFUNCTION("""COMPUTED_VALUE"""),46225.0)</f>
        <v>46225</v>
      </c>
    </row>
    <row r="5503">
      <c r="A5503" s="153" t="str">
        <f>IFERROR(__xludf.DUMMYFUNCTION("""COMPUTED_VALUE"""),"ADK0000003431")</f>
        <v>ADK0000003431</v>
      </c>
      <c r="B5503" s="153" t="str">
        <f>IFERROR(__xludf.DUMMYFUNCTION("""COMPUTED_VALUE"""),"WES+WMGS")</f>
        <v>WES+WMGS</v>
      </c>
      <c r="C5503" s="381">
        <f>IFERROR(__xludf.DUMMYFUNCTION("""COMPUTED_VALUE"""),46119.0)</f>
        <v>46119</v>
      </c>
      <c r="D5503" s="378">
        <f>IFERROR(__xludf.DUMMYFUNCTION("""COMPUTED_VALUE"""),46225.0)</f>
        <v>46225</v>
      </c>
    </row>
    <row r="5504">
      <c r="A5504" s="153" t="str">
        <f>IFERROR(__xludf.DUMMYFUNCTION("""COMPUTED_VALUE"""),"ADK0000003432")</f>
        <v>ADK0000003432</v>
      </c>
      <c r="B5504" s="153" t="str">
        <f>IFERROR(__xludf.DUMMYFUNCTION("""COMPUTED_VALUE"""),"WES+WMGS")</f>
        <v>WES+WMGS</v>
      </c>
      <c r="C5504" s="381">
        <f>IFERROR(__xludf.DUMMYFUNCTION("""COMPUTED_VALUE"""),46119.0)</f>
        <v>46119</v>
      </c>
      <c r="D5504" s="378">
        <f>IFERROR(__xludf.DUMMYFUNCTION("""COMPUTED_VALUE"""),46225.0)</f>
        <v>46225</v>
      </c>
    </row>
    <row r="5505">
      <c r="A5505" s="153" t="str">
        <f>IFERROR(__xludf.DUMMYFUNCTION("""COMPUTED_VALUE"""),"ADK0000003433")</f>
        <v>ADK0000003433</v>
      </c>
      <c r="B5505" s="153" t="str">
        <f>IFERROR(__xludf.DUMMYFUNCTION("""COMPUTED_VALUE"""),"WES+WMGS")</f>
        <v>WES+WMGS</v>
      </c>
      <c r="C5505" s="381">
        <f>IFERROR(__xludf.DUMMYFUNCTION("""COMPUTED_VALUE"""),46119.0)</f>
        <v>46119</v>
      </c>
      <c r="D5505" s="378">
        <f>IFERROR(__xludf.DUMMYFUNCTION("""COMPUTED_VALUE"""),46225.0)</f>
        <v>46225</v>
      </c>
    </row>
    <row r="5506">
      <c r="A5506" s="153" t="str">
        <f>IFERROR(__xludf.DUMMYFUNCTION("""COMPUTED_VALUE"""),"ADH0000033324")</f>
        <v>ADH0000033324</v>
      </c>
      <c r="B5506" s="153" t="str">
        <f>IFERROR(__xludf.DUMMYFUNCTION("""COMPUTED_VALUE"""),"WHOLE EXOME SEQUENCING")</f>
        <v>WHOLE EXOME SEQUENCING</v>
      </c>
      <c r="C5506" s="381">
        <f>IFERROR(__xludf.DUMMYFUNCTION("""COMPUTED_VALUE"""),46119.0)</f>
        <v>46119</v>
      </c>
      <c r="D5506" s="378">
        <f>IFERROR(__xludf.DUMMYFUNCTION("""COMPUTED_VALUE"""),46226.0)</f>
        <v>46226</v>
      </c>
    </row>
    <row r="5507">
      <c r="A5507" s="153" t="str">
        <f>IFERROR(__xludf.DUMMYFUNCTION("""COMPUTED_VALUE"""),"CHM0000048732")</f>
        <v>CHM0000048732</v>
      </c>
      <c r="B5507" s="153" t="str">
        <f>IFERROR(__xludf.DUMMYFUNCTION("""COMPUTED_VALUE"""),"WHOLE EXOME SEQUENCING")</f>
        <v>WHOLE EXOME SEQUENCING</v>
      </c>
      <c r="C5507" s="381">
        <f>IFERROR(__xludf.DUMMYFUNCTION("""COMPUTED_VALUE"""),46119.0)</f>
        <v>46119</v>
      </c>
      <c r="D5507" s="378">
        <f>IFERROR(__xludf.DUMMYFUNCTION("""COMPUTED_VALUE"""),46226.0)</f>
        <v>46226</v>
      </c>
    </row>
    <row r="5508">
      <c r="A5508" s="153" t="str">
        <f>IFERROR(__xludf.DUMMYFUNCTION("""COMPUTED_VALUE"""),"ADB0000045276")</f>
        <v>ADB0000045276</v>
      </c>
      <c r="B5508" s="153" t="str">
        <f>IFERROR(__xludf.DUMMYFUNCTION("""COMPUTED_VALUE"""),"WHOLE EXOME SEQUENCING")</f>
        <v>WHOLE EXOME SEQUENCING</v>
      </c>
      <c r="C5508" s="381">
        <f>IFERROR(__xludf.DUMMYFUNCTION("""COMPUTED_VALUE"""),46119.0)</f>
        <v>46119</v>
      </c>
      <c r="D5508" s="378">
        <f>IFERROR(__xludf.DUMMYFUNCTION("""COMPUTED_VALUE"""),46226.0)</f>
        <v>46226</v>
      </c>
    </row>
    <row r="5509">
      <c r="A5509" s="153" t="str">
        <f>IFERROR(__xludf.DUMMYFUNCTION("""COMPUTED_VALUE"""),"AVD0000001740")</f>
        <v>AVD0000001740</v>
      </c>
      <c r="B5509" s="153" t="str">
        <f>IFERROR(__xludf.DUMMYFUNCTION("""COMPUTED_VALUE"""),"WHOLE EXOME SEQUENCING")</f>
        <v>WHOLE EXOME SEQUENCING</v>
      </c>
      <c r="C5509" s="381">
        <f>IFERROR(__xludf.DUMMYFUNCTION("""COMPUTED_VALUE"""),46119.0)</f>
        <v>46119</v>
      </c>
      <c r="D5509" s="378">
        <f>IFERROR(__xludf.DUMMYFUNCTION("""COMPUTED_VALUE"""),46226.0)</f>
        <v>46226</v>
      </c>
    </row>
    <row r="5510">
      <c r="A5510" s="153" t="str">
        <f>IFERROR(__xludf.DUMMYFUNCTION("""COMPUTED_VALUE"""),"ADK0000003451")</f>
        <v>ADK0000003451</v>
      </c>
      <c r="B5510" s="153" t="str">
        <f>IFERROR(__xludf.DUMMYFUNCTION("""COMPUTED_VALUE"""),"WES+WMGS")</f>
        <v>WES+WMGS</v>
      </c>
      <c r="C5510" s="381">
        <f>IFERROR(__xludf.DUMMYFUNCTION("""COMPUTED_VALUE"""),46119.0)</f>
        <v>46119</v>
      </c>
      <c r="D5510" s="378">
        <f>IFERROR(__xludf.DUMMYFUNCTION("""COMPUTED_VALUE"""),46226.0)</f>
        <v>46226</v>
      </c>
    </row>
    <row r="5511">
      <c r="A5511" s="153" t="str">
        <f>IFERROR(__xludf.DUMMYFUNCTION("""COMPUTED_VALUE"""),"HYP0000002864")</f>
        <v>HYP0000002864</v>
      </c>
      <c r="B5511" s="153" t="str">
        <f>IFERROR(__xludf.DUMMYFUNCTION("""COMPUTED_VALUE"""),"WHOLE EXOME SEQUENCING")</f>
        <v>WHOLE EXOME SEQUENCING</v>
      </c>
      <c r="C5511" s="381">
        <f>IFERROR(__xludf.DUMMYFUNCTION("""COMPUTED_VALUE"""),46119.0)</f>
        <v>46119</v>
      </c>
      <c r="D5511" s="378">
        <f>IFERROR(__xludf.DUMMYFUNCTION("""COMPUTED_VALUE"""),46226.0)</f>
        <v>46226</v>
      </c>
    </row>
    <row r="5512">
      <c r="A5512" s="153" t="str">
        <f>IFERROR(__xludf.DUMMYFUNCTION("""COMPUTED_VALUE"""),"AVP0000014075")</f>
        <v>AVP0000014075</v>
      </c>
      <c r="B5512" s="153" t="str">
        <f>IFERROR(__xludf.DUMMYFUNCTION("""COMPUTED_VALUE"""),"WHOLE EXOME SEQUENCING")</f>
        <v>WHOLE EXOME SEQUENCING</v>
      </c>
      <c r="C5512" s="381">
        <f>IFERROR(__xludf.DUMMYFUNCTION("""COMPUTED_VALUE"""),46119.0)</f>
        <v>46119</v>
      </c>
      <c r="D5512" s="378">
        <f>IFERROR(__xludf.DUMMYFUNCTION("""COMPUTED_VALUE"""),46226.0)</f>
        <v>46226</v>
      </c>
    </row>
    <row r="5513">
      <c r="A5513" s="153" t="str">
        <f>IFERROR(__xludf.DUMMYFUNCTION("""COMPUTED_VALUE"""),"ADH0000033445")</f>
        <v>ADH0000033445</v>
      </c>
      <c r="B5513" s="153" t="str">
        <f>IFERROR(__xludf.DUMMYFUNCTION("""COMPUTED_VALUE"""),"WHOLE EXOME SEQUENCING")</f>
        <v>WHOLE EXOME SEQUENCING</v>
      </c>
      <c r="C5513" s="381">
        <f>IFERROR(__xludf.DUMMYFUNCTION("""COMPUTED_VALUE"""),46119.0)</f>
        <v>46119</v>
      </c>
      <c r="D5513" s="378">
        <f>IFERROR(__xludf.DUMMYFUNCTION("""COMPUTED_VALUE"""),46227.0)</f>
        <v>46227</v>
      </c>
    </row>
    <row r="5514">
      <c r="A5514" s="153" t="str">
        <f>IFERROR(__xludf.DUMMYFUNCTION("""COMPUTED_VALUE"""),"ADB0000045483")</f>
        <v>ADB0000045483</v>
      </c>
      <c r="B5514" s="153" t="str">
        <f>IFERROR(__xludf.DUMMYFUNCTION("""COMPUTED_VALUE"""),"WHOLE EXOME SEQUENCING")</f>
        <v>WHOLE EXOME SEQUENCING</v>
      </c>
      <c r="C5514" s="381">
        <f>IFERROR(__xludf.DUMMYFUNCTION("""COMPUTED_VALUE"""),46119.0)</f>
        <v>46119</v>
      </c>
      <c r="D5514" s="378">
        <f>IFERROR(__xludf.DUMMYFUNCTION("""COMPUTED_VALUE"""),46227.0)</f>
        <v>46227</v>
      </c>
    </row>
    <row r="5515">
      <c r="A5515" s="153" t="str">
        <f>IFERROR(__xludf.DUMMYFUNCTION("""COMPUTED_VALUE"""),"ADB0000045488")</f>
        <v>ADB0000045488</v>
      </c>
      <c r="B5515" s="153" t="str">
        <f>IFERROR(__xludf.DUMMYFUNCTION("""COMPUTED_VALUE"""),"WHOLE EXOME SEQUENCING")</f>
        <v>WHOLE EXOME SEQUENCING</v>
      </c>
      <c r="C5515" s="381">
        <f>IFERROR(__xludf.DUMMYFUNCTION("""COMPUTED_VALUE"""),46119.0)</f>
        <v>46119</v>
      </c>
      <c r="D5515" s="378">
        <f>IFERROR(__xludf.DUMMYFUNCTION("""COMPUTED_VALUE"""),46227.0)</f>
        <v>46227</v>
      </c>
    </row>
    <row r="5516">
      <c r="A5516" s="153" t="str">
        <f>IFERROR(__xludf.DUMMYFUNCTION("""COMPUTED_VALUE"""),"FR20000013064")</f>
        <v>FR20000013064</v>
      </c>
      <c r="B5516" s="153" t="str">
        <f>IFERROR(__xludf.DUMMYFUNCTION("""COMPUTED_VALUE"""),"WHOLE EXOME SEQUENCING")</f>
        <v>WHOLE EXOME SEQUENCING</v>
      </c>
      <c r="C5516" s="381">
        <f>IFERROR(__xludf.DUMMYFUNCTION("""COMPUTED_VALUE"""),46119.0)</f>
        <v>46119</v>
      </c>
      <c r="D5516" s="378">
        <f>IFERROR(__xludf.DUMMYFUNCTION("""COMPUTED_VALUE"""),46227.0)</f>
        <v>46227</v>
      </c>
    </row>
    <row r="5517">
      <c r="A5517" s="153" t="str">
        <f>IFERROR(__xludf.DUMMYFUNCTION("""COMPUTED_VALUE"""),"FR20000013069")</f>
        <v>FR20000013069</v>
      </c>
      <c r="B5517" s="153" t="str">
        <f>IFERROR(__xludf.DUMMYFUNCTION("""COMPUTED_VALUE"""),"WHOLE EXOME SEQUENCING")</f>
        <v>WHOLE EXOME SEQUENCING</v>
      </c>
      <c r="C5517" s="381">
        <f>IFERROR(__xludf.DUMMYFUNCTION("""COMPUTED_VALUE"""),46119.0)</f>
        <v>46119</v>
      </c>
      <c r="D5517" s="378">
        <f>IFERROR(__xludf.DUMMYFUNCTION("""COMPUTED_VALUE"""),46227.0)</f>
        <v>46227</v>
      </c>
    </row>
    <row r="5518">
      <c r="A5518" s="153" t="str">
        <f>IFERROR(__xludf.DUMMYFUNCTION("""COMPUTED_VALUE"""),"ADB0000045487")</f>
        <v>ADB0000045487</v>
      </c>
      <c r="B5518" s="153" t="str">
        <f>IFERROR(__xludf.DUMMYFUNCTION("""COMPUTED_VALUE"""),"WHOLE EXOME SEQUENCING")</f>
        <v>WHOLE EXOME SEQUENCING</v>
      </c>
      <c r="C5518" s="381">
        <f>IFERROR(__xludf.DUMMYFUNCTION("""COMPUTED_VALUE"""),46119.0)</f>
        <v>46119</v>
      </c>
      <c r="D5518" s="378">
        <f>IFERROR(__xludf.DUMMYFUNCTION("""COMPUTED_VALUE"""),46227.0)</f>
        <v>46227</v>
      </c>
    </row>
    <row r="5519">
      <c r="A5519" s="153" t="str">
        <f>IFERROR(__xludf.DUMMYFUNCTION("""COMPUTED_VALUE"""),"PH60000014308")</f>
        <v>PH60000014308</v>
      </c>
      <c r="B5519" s="153" t="str">
        <f>IFERROR(__xludf.DUMMYFUNCTION("""COMPUTED_VALUE"""),"CLINICAL EXOME SEQUENCING")</f>
        <v>CLINICAL EXOME SEQUENCING</v>
      </c>
      <c r="C5519" s="381">
        <f>IFERROR(__xludf.DUMMYFUNCTION("""COMPUTED_VALUE"""),46119.0)</f>
        <v>46119</v>
      </c>
      <c r="D5519" s="378">
        <f>IFERROR(__xludf.DUMMYFUNCTION("""COMPUTED_VALUE"""),46227.0)</f>
        <v>46227</v>
      </c>
    </row>
    <row r="5520">
      <c r="A5520" s="153" t="str">
        <f>IFERROR(__xludf.DUMMYFUNCTION("""COMPUTED_VALUE"""),"ADR0000008437")</f>
        <v>ADR0000008437</v>
      </c>
      <c r="B5520" s="153" t="str">
        <f>IFERROR(__xludf.DUMMYFUNCTION("""COMPUTED_VALUE"""),"COMPREHENSIVE HEREDITARY CANCER PANEL (NGS+MLPA)")</f>
        <v>COMPREHENSIVE HEREDITARY CANCER PANEL (NGS+MLPA)</v>
      </c>
      <c r="C5520" s="381">
        <f>IFERROR(__xludf.DUMMYFUNCTION("""COMPUTED_VALUE"""),46119.0)</f>
        <v>46119</v>
      </c>
      <c r="D5520" s="153"/>
    </row>
    <row r="5521">
      <c r="A5521" s="153" t="str">
        <f>IFERROR(__xludf.DUMMYFUNCTION("""COMPUTED_VALUE"""),"AKP0000034333")</f>
        <v>AKP0000034333</v>
      </c>
      <c r="B5521" s="153" t="str">
        <f>IFERROR(__xludf.DUMMYFUNCTION("""COMPUTED_VALUE"""),"COMPREHENSIVE CARDIOMYOPATHY GENE PANEL (129 GENES)")</f>
        <v>COMPREHENSIVE CARDIOMYOPATHY GENE PANEL (129 GENES)</v>
      </c>
      <c r="C5521" s="381">
        <f>IFERROR(__xludf.DUMMYFUNCTION("""COMPUTED_VALUE"""),46119.0)</f>
        <v>46119</v>
      </c>
      <c r="D5521" s="378">
        <f>IFERROR(__xludf.DUMMYFUNCTION("""COMPUTED_VALUE"""),46226.0)</f>
        <v>46226</v>
      </c>
    </row>
    <row r="5522">
      <c r="A5522" s="153" t="str">
        <f>IFERROR(__xludf.DUMMYFUNCTION("""COMPUTED_VALUE"""),"ADB0000045485")</f>
        <v>ADB0000045485</v>
      </c>
      <c r="B5522" s="153" t="str">
        <f>IFERROR(__xludf.DUMMYFUNCTION("""COMPUTED_VALUE"""),"WHOLE EXOME SEQUENCING")</f>
        <v>WHOLE EXOME SEQUENCING</v>
      </c>
      <c r="C5522" s="381">
        <f>IFERROR(__xludf.DUMMYFUNCTION("""COMPUTED_VALUE"""),46119.0)</f>
        <v>46119</v>
      </c>
      <c r="D5522" s="378">
        <f>IFERROR(__xludf.DUMMYFUNCTION("""COMPUTED_VALUE"""),46227.0)</f>
        <v>46227</v>
      </c>
    </row>
    <row r="5523">
      <c r="A5523" s="153" t="str">
        <f>IFERROR(__xludf.DUMMYFUNCTION("""COMPUTED_VALUE"""),"ADB0000044974")</f>
        <v>ADB0000044974</v>
      </c>
      <c r="B5523" s="153" t="str">
        <f>IFERROR(__xludf.DUMMYFUNCTION("""COMPUTED_VALUE"""),"WHOLE EXOME SEQUENCING")</f>
        <v>WHOLE EXOME SEQUENCING</v>
      </c>
      <c r="C5523" s="153"/>
      <c r="D5523" s="378">
        <f>IFERROR(__xludf.DUMMYFUNCTION("""COMPUTED_VALUE"""),46220.0)</f>
        <v>46220</v>
      </c>
    </row>
    <row r="5524">
      <c r="A5524" s="153" t="str">
        <f>IFERROR(__xludf.DUMMYFUNCTION("""COMPUTED_VALUE"""),"ADH0000029853
")</f>
        <v>ADH0000029853
</v>
      </c>
      <c r="B5524" s="153" t="str">
        <f>IFERROR(__xludf.DUMMYFUNCTION("""COMPUTED_VALUE"""),"WHOLE EXOME SEQUENCING")</f>
        <v>WHOLE EXOME SEQUENCING</v>
      </c>
      <c r="C5524" s="153"/>
      <c r="D5524" s="378">
        <f>IFERROR(__xludf.DUMMYFUNCTION("""COMPUTED_VALUE"""),46202.0)</f>
        <v>46202</v>
      </c>
    </row>
    <row r="5525">
      <c r="A5525" s="153" t="str">
        <f>IFERROR(__xludf.DUMMYFUNCTION("""COMPUTED_VALUE"""),"ADK0000003414")</f>
        <v>ADK0000003414</v>
      </c>
      <c r="B5525" s="153" t="str">
        <f>IFERROR(__xludf.DUMMYFUNCTION("""COMPUTED_VALUE"""),"WHOLE EXOME SEQUENCING")</f>
        <v>WHOLE EXOME SEQUENCING</v>
      </c>
      <c r="C5525" s="153"/>
      <c r="D5525" s="378">
        <f>IFERROR(__xludf.DUMMYFUNCTION("""COMPUTED_VALUE"""),46219.0)</f>
        <v>46219</v>
      </c>
    </row>
    <row r="5526">
      <c r="A5526" s="153" t="str">
        <f>IFERROR(__xludf.DUMMYFUNCTION("""COMPUTED_VALUE"""),"ADK0000003416")</f>
        <v>ADK0000003416</v>
      </c>
      <c r="B5526" s="153" t="str">
        <f>IFERROR(__xludf.DUMMYFUNCTION("""COMPUTED_VALUE"""),"WHOLE EXOME SEQUENCING")</f>
        <v>WHOLE EXOME SEQUENCING</v>
      </c>
      <c r="C5526" s="153"/>
      <c r="D5526" s="378">
        <f>IFERROR(__xludf.DUMMYFUNCTION("""COMPUTED_VALUE"""),46219.0)</f>
        <v>46219</v>
      </c>
    </row>
    <row r="5527">
      <c r="A5527" s="153" t="str">
        <f>IFERROR(__xludf.DUMMYFUNCTION("""COMPUTED_VALUE"""),"ADK0000003417")</f>
        <v>ADK0000003417</v>
      </c>
      <c r="B5527" s="153" t="str">
        <f>IFERROR(__xludf.DUMMYFUNCTION("""COMPUTED_VALUE"""),"WHOLE EXOME SEQUENCING")</f>
        <v>WHOLE EXOME SEQUENCING</v>
      </c>
      <c r="C5527" s="153"/>
      <c r="D5527" s="378">
        <f>IFERROR(__xludf.DUMMYFUNCTION("""COMPUTED_VALUE"""),46219.0)</f>
        <v>46219</v>
      </c>
    </row>
    <row r="5528">
      <c r="A5528" s="153" t="str">
        <f>IFERROR(__xludf.DUMMYFUNCTION("""COMPUTED_VALUE"""),"ADK0000003421")</f>
        <v>ADK0000003421</v>
      </c>
      <c r="B5528" s="153" t="str">
        <f>IFERROR(__xludf.DUMMYFUNCTION("""COMPUTED_VALUE"""),"WHOLE EXOME SEQUENCING")</f>
        <v>WHOLE EXOME SEQUENCING</v>
      </c>
      <c r="C5528" s="153"/>
      <c r="D5528" s="378">
        <f>IFERROR(__xludf.DUMMYFUNCTION("""COMPUTED_VALUE"""),46219.0)</f>
        <v>46219</v>
      </c>
    </row>
    <row r="5529">
      <c r="A5529" s="153" t="str">
        <f>IFERROR(__xludf.DUMMYFUNCTION("""COMPUTED_VALUE"""),"ADK0000003418")</f>
        <v>ADK0000003418</v>
      </c>
      <c r="B5529" s="153" t="str">
        <f>IFERROR(__xludf.DUMMYFUNCTION("""COMPUTED_VALUE"""),"WHOLE EXOME SEQUENCING")</f>
        <v>WHOLE EXOME SEQUENCING</v>
      </c>
      <c r="C5529" s="153"/>
      <c r="D5529" s="378">
        <f>IFERROR(__xludf.DUMMYFUNCTION("""COMPUTED_VALUE"""),46219.0)</f>
        <v>46219</v>
      </c>
    </row>
    <row r="5530">
      <c r="A5530" s="153" t="str">
        <f>IFERROR(__xludf.DUMMYFUNCTION("""COMPUTED_VALUE"""),"ADK0000003419")</f>
        <v>ADK0000003419</v>
      </c>
      <c r="B5530" s="153" t="str">
        <f>IFERROR(__xludf.DUMMYFUNCTION("""COMPUTED_VALUE"""),"WHOLE EXOME SEQUENCING")</f>
        <v>WHOLE EXOME SEQUENCING</v>
      </c>
      <c r="C5530" s="153"/>
      <c r="D5530" s="378">
        <f>IFERROR(__xludf.DUMMYFUNCTION("""COMPUTED_VALUE"""),46219.0)</f>
        <v>46219</v>
      </c>
    </row>
    <row r="5531">
      <c r="A5531" s="153" t="str">
        <f>IFERROR(__xludf.DUMMYFUNCTION("""COMPUTED_VALUE"""),"ADK0000003420")</f>
        <v>ADK0000003420</v>
      </c>
      <c r="B5531" s="153" t="str">
        <f>IFERROR(__xludf.DUMMYFUNCTION("""COMPUTED_VALUE"""),"WHOLE EXOME SEQUENCING")</f>
        <v>WHOLE EXOME SEQUENCING</v>
      </c>
      <c r="C5531" s="153"/>
      <c r="D5531" s="378">
        <f>IFERROR(__xludf.DUMMYFUNCTION("""COMPUTED_VALUE"""),46219.0)</f>
        <v>46219</v>
      </c>
    </row>
    <row r="5532">
      <c r="A5532" s="153" t="str">
        <f>IFERROR(__xludf.DUMMYFUNCTION("""COMPUTED_VALUE"""),"ADB0000045243")</f>
        <v>ADB0000045243</v>
      </c>
      <c r="B5532" s="153" t="str">
        <f>IFERROR(__xludf.DUMMYFUNCTION("""COMPUTED_VALUE"""),"WHOLE EXOME SEQUENCING")</f>
        <v>WHOLE EXOME SEQUENCING</v>
      </c>
      <c r="C5532" s="153"/>
      <c r="D5532" s="378">
        <f>IFERROR(__xludf.DUMMYFUNCTION("""COMPUTED_VALUE"""),46221.0)</f>
        <v>46221</v>
      </c>
    </row>
    <row r="5533">
      <c r="A5533" s="153" t="str">
        <f>IFERROR(__xludf.DUMMYFUNCTION("""COMPUTED_VALUE"""),"ADB0000045370")</f>
        <v>ADB0000045370</v>
      </c>
      <c r="B5533" s="153" t="str">
        <f>IFERROR(__xludf.DUMMYFUNCTION("""COMPUTED_VALUE"""),"WHOLE EXOME SEQUENCING")</f>
        <v>WHOLE EXOME SEQUENCING</v>
      </c>
      <c r="C5533" s="153"/>
      <c r="D5533" s="378">
        <f>IFERROR(__xludf.DUMMYFUNCTION("""COMPUTED_VALUE"""),46221.0)</f>
        <v>46221</v>
      </c>
    </row>
    <row r="5534">
      <c r="A5534" s="153" t="str">
        <f>IFERROR(__xludf.DUMMYFUNCTION("""COMPUTED_VALUE"""),"ADK0000003465")</f>
        <v>ADK0000003465</v>
      </c>
      <c r="B5534" s="153" t="str">
        <f>IFERROR(__xludf.DUMMYFUNCTION("""COMPUTED_VALUE"""),"WHOLE EXOME SEQUENCING")</f>
        <v>WHOLE EXOME SEQUENCING</v>
      </c>
      <c r="C5534" s="153"/>
      <c r="D5534" s="378">
        <f>IFERROR(__xludf.DUMMYFUNCTION("""COMPUTED_VALUE"""),46220.0)</f>
        <v>46220</v>
      </c>
    </row>
    <row r="5535">
      <c r="A5535" s="153" t="str">
        <f>IFERROR(__xludf.DUMMYFUNCTION("""COMPUTED_VALUE"""),"ADK0000003464")</f>
        <v>ADK0000003464</v>
      </c>
      <c r="B5535" s="153" t="str">
        <f>IFERROR(__xludf.DUMMYFUNCTION("""COMPUTED_VALUE"""),"WHOLE EXOME SEQUENCING")</f>
        <v>WHOLE EXOME SEQUENCING</v>
      </c>
      <c r="C5535" s="153"/>
      <c r="D5535" s="378">
        <f>IFERROR(__xludf.DUMMYFUNCTION("""COMPUTED_VALUE"""),46220.0)</f>
        <v>46220</v>
      </c>
    </row>
    <row r="5536">
      <c r="A5536" s="153" t="str">
        <f>IFERROR(__xludf.DUMMYFUNCTION("""COMPUTED_VALUE"""),"ADK0000003466")</f>
        <v>ADK0000003466</v>
      </c>
      <c r="B5536" s="153" t="str">
        <f>IFERROR(__xludf.DUMMYFUNCTION("""COMPUTED_VALUE"""),"WHOLE EXOME SEQUENCING")</f>
        <v>WHOLE EXOME SEQUENCING</v>
      </c>
      <c r="C5536" s="153"/>
      <c r="D5536" s="378">
        <f>IFERROR(__xludf.DUMMYFUNCTION("""COMPUTED_VALUE"""),46220.0)</f>
        <v>46220</v>
      </c>
    </row>
    <row r="5537">
      <c r="A5537" s="153" t="str">
        <f>IFERROR(__xludf.DUMMYFUNCTION("""COMPUTED_VALUE"""),"ADK0000003461")</f>
        <v>ADK0000003461</v>
      </c>
      <c r="B5537" s="153" t="str">
        <f>IFERROR(__xludf.DUMMYFUNCTION("""COMPUTED_VALUE"""),"WHOLE EXOME SEQUENCING")</f>
        <v>WHOLE EXOME SEQUENCING</v>
      </c>
      <c r="C5537" s="153"/>
      <c r="D5537" s="378">
        <f>IFERROR(__xludf.DUMMYFUNCTION("""COMPUTED_VALUE"""),46220.0)</f>
        <v>46220</v>
      </c>
    </row>
    <row r="5538">
      <c r="A5538" s="153" t="str">
        <f>IFERROR(__xludf.DUMMYFUNCTION("""COMPUTED_VALUE"""),"ADK0000003463")</f>
        <v>ADK0000003463</v>
      </c>
      <c r="B5538" s="153" t="str">
        <f>IFERROR(__xludf.DUMMYFUNCTION("""COMPUTED_VALUE"""),"WHOLE EXOME SEQUENCING + MITOCHONDRIAL GENOME SEQUENCING")</f>
        <v>WHOLE EXOME SEQUENCING + MITOCHONDRIAL GENOME SEQUENCING</v>
      </c>
      <c r="C5538" s="153"/>
      <c r="D5538" s="378">
        <f>IFERROR(__xludf.DUMMYFUNCTION("""COMPUTED_VALUE"""),46220.0)</f>
        <v>46220</v>
      </c>
    </row>
    <row r="5539">
      <c r="A5539" s="153" t="str">
        <f>IFERROR(__xludf.DUMMYFUNCTION("""COMPUTED_VALUE"""),"ADK0000003459
")</f>
        <v>ADK0000003459
</v>
      </c>
      <c r="B5539" s="153" t="str">
        <f>IFERROR(__xludf.DUMMYFUNCTION("""COMPUTED_VALUE"""),"WHOLE EXOME SEQUENCING + MITOCHONDRIAL GENOME SEQUENCING")</f>
        <v>WHOLE EXOME SEQUENCING + MITOCHONDRIAL GENOME SEQUENCING</v>
      </c>
      <c r="C5539" s="153"/>
      <c r="D5539" s="378">
        <f>IFERROR(__xludf.DUMMYFUNCTION("""COMPUTED_VALUE"""),46220.0)</f>
        <v>46220</v>
      </c>
    </row>
    <row r="5540">
      <c r="A5540" s="153" t="str">
        <f>IFERROR(__xludf.DUMMYFUNCTION("""COMPUTED_VALUE"""),"ADK0000003460
")</f>
        <v>ADK0000003460
</v>
      </c>
      <c r="B5540" s="153" t="str">
        <f>IFERROR(__xludf.DUMMYFUNCTION("""COMPUTED_VALUE"""),"WHOLE EXOME SEQUENCING")</f>
        <v>WHOLE EXOME SEQUENCING</v>
      </c>
      <c r="C5540" s="153"/>
      <c r="D5540" s="378">
        <f>IFERROR(__xludf.DUMMYFUNCTION("""COMPUTED_VALUE"""),46220.0)</f>
        <v>46220</v>
      </c>
    </row>
    <row r="5541">
      <c r="A5541" s="153" t="str">
        <f>IFERROR(__xludf.DUMMYFUNCTION("""COMPUTED_VALUE"""),"ADK0000003467")</f>
        <v>ADK0000003467</v>
      </c>
      <c r="B5541" s="153" t="str">
        <f>IFERROR(__xludf.DUMMYFUNCTION("""COMPUTED_VALUE"""),"WHOLE EXOME SEQUENCING")</f>
        <v>WHOLE EXOME SEQUENCING</v>
      </c>
      <c r="C5541" s="153"/>
      <c r="D5541" s="378">
        <f>IFERROR(__xludf.DUMMYFUNCTION("""COMPUTED_VALUE"""),46220.0)</f>
        <v>46220</v>
      </c>
    </row>
    <row r="5542">
      <c r="A5542" s="153" t="str">
        <f>IFERROR(__xludf.DUMMYFUNCTION("""COMPUTED_VALUE"""),"ADK0000003462")</f>
        <v>ADK0000003462</v>
      </c>
      <c r="B5542" s="153" t="str">
        <f>IFERROR(__xludf.DUMMYFUNCTION("""COMPUTED_VALUE"""),"WHOLE EXOME SEQUENCING")</f>
        <v>WHOLE EXOME SEQUENCING</v>
      </c>
      <c r="C5542" s="153"/>
      <c r="D5542" s="378">
        <f>IFERROR(__xludf.DUMMYFUNCTION("""COMPUTED_VALUE"""),46220.0)</f>
        <v>46220</v>
      </c>
    </row>
    <row r="5543">
      <c r="A5543" s="153" t="str">
        <f>IFERROR(__xludf.DUMMYFUNCTION("""COMPUTED_VALUE"""),"ADB0000045606")</f>
        <v>ADB0000045606</v>
      </c>
      <c r="B5543" s="153" t="str">
        <f>IFERROR(__xludf.DUMMYFUNCTION("""COMPUTED_VALUE"""),"WHOLE EXOME SEQUENCING")</f>
        <v>WHOLE EXOME SEQUENCING</v>
      </c>
      <c r="C5543" s="153"/>
      <c r="D5543" s="378">
        <f>IFERROR(__xludf.DUMMYFUNCTION("""COMPUTED_VALUE"""),46227.0)</f>
        <v>46227</v>
      </c>
    </row>
    <row r="5544">
      <c r="A5544" s="153" t="str">
        <f>IFERROR(__xludf.DUMMYFUNCTION("""COMPUTED_VALUE"""),"ADK0000003488")</f>
        <v>ADK0000003488</v>
      </c>
      <c r="B5544" s="153" t="str">
        <f>IFERROR(__xludf.DUMMYFUNCTION("""COMPUTED_VALUE"""),"WHOLE EXOME SEQUENCING")</f>
        <v>WHOLE EXOME SEQUENCING</v>
      </c>
      <c r="C5544" s="153"/>
      <c r="D5544" s="378">
        <f>IFERROR(__xludf.DUMMYFUNCTION("""COMPUTED_VALUE"""),46221.0)</f>
        <v>46221</v>
      </c>
    </row>
    <row r="5545">
      <c r="A5545" s="153" t="str">
        <f>IFERROR(__xludf.DUMMYFUNCTION("""COMPUTED_VALUE"""),"ADK0000003484
")</f>
        <v>ADK0000003484
</v>
      </c>
      <c r="B5545" s="153" t="str">
        <f>IFERROR(__xludf.DUMMYFUNCTION("""COMPUTED_VALUE"""),"WHOLE EXOME SEQUENCING + MITOCHONDRIAL GENOME SEQUENCING")</f>
        <v>WHOLE EXOME SEQUENCING + MITOCHONDRIAL GENOME SEQUENCING</v>
      </c>
      <c r="C5545" s="153"/>
      <c r="D5545" s="378">
        <f>IFERROR(__xludf.DUMMYFUNCTION("""COMPUTED_VALUE"""),46221.0)</f>
        <v>46221</v>
      </c>
    </row>
    <row r="5546">
      <c r="A5546" s="153" t="str">
        <f>IFERROR(__xludf.DUMMYFUNCTION("""COMPUTED_VALUE"""),"ADK0000003483")</f>
        <v>ADK0000003483</v>
      </c>
      <c r="B5546" s="153" t="str">
        <f>IFERROR(__xludf.DUMMYFUNCTION("""COMPUTED_VALUE"""),"WHOLE EXOME SEQUENCING + MITOCHONDRIAL GENOME SEQUENCING")</f>
        <v>WHOLE EXOME SEQUENCING + MITOCHONDRIAL GENOME SEQUENCING</v>
      </c>
      <c r="C5546" s="153"/>
      <c r="D5546" s="378">
        <f>IFERROR(__xludf.DUMMYFUNCTION("""COMPUTED_VALUE"""),46221.0)</f>
        <v>46221</v>
      </c>
    </row>
    <row r="5547">
      <c r="A5547" s="153" t="str">
        <f>IFERROR(__xludf.DUMMYFUNCTION("""COMPUTED_VALUE"""),"ADK0000003485")</f>
        <v>ADK0000003485</v>
      </c>
      <c r="B5547" s="153" t="str">
        <f>IFERROR(__xludf.DUMMYFUNCTION("""COMPUTED_VALUE"""),"WHOLE EXOME SEQUENCING")</f>
        <v>WHOLE EXOME SEQUENCING</v>
      </c>
      <c r="C5547" s="153"/>
      <c r="D5547" s="378">
        <f>IFERROR(__xludf.DUMMYFUNCTION("""COMPUTED_VALUE"""),46221.0)</f>
        <v>46221</v>
      </c>
    </row>
    <row r="5548">
      <c r="A5548" s="153" t="str">
        <f>IFERROR(__xludf.DUMMYFUNCTION("""COMPUTED_VALUE"""),"ACL0000022058")</f>
        <v>ACL0000022058</v>
      </c>
      <c r="B5548" s="153" t="str">
        <f>IFERROR(__xludf.DUMMYFUNCTION("""COMPUTED_VALUE"""),"WHOLE EXOME SEQUENCING")</f>
        <v>WHOLE EXOME SEQUENCING</v>
      </c>
      <c r="C5548" s="153"/>
      <c r="D5548" s="378">
        <f>IFERROR(__xludf.DUMMYFUNCTION("""COMPUTED_VALUE"""),46222.0)</f>
        <v>46222</v>
      </c>
    </row>
    <row r="5549">
      <c r="A5549" s="153"/>
      <c r="B5549" s="153"/>
      <c r="C5549" s="153"/>
      <c r="D5549" s="153"/>
    </row>
    <row r="5550">
      <c r="A5550" s="153"/>
      <c r="B5550" s="153"/>
      <c r="C5550" s="153"/>
      <c r="D5550" s="153"/>
    </row>
    <row r="5551">
      <c r="A5551" s="153"/>
      <c r="B5551" s="153"/>
      <c r="C5551" s="153"/>
      <c r="D5551" s="153"/>
    </row>
    <row r="5552">
      <c r="A5552" s="153"/>
      <c r="B5552" s="153"/>
      <c r="C5552" s="153"/>
      <c r="D5552" s="153"/>
    </row>
    <row r="5553">
      <c r="A5553" s="153"/>
      <c r="B5553" s="153"/>
      <c r="C5553" s="153"/>
      <c r="D5553" s="153"/>
    </row>
    <row r="5554">
      <c r="A5554" s="153"/>
      <c r="B5554" s="153"/>
      <c r="C5554" s="153"/>
      <c r="D5554" s="153"/>
    </row>
    <row r="5555">
      <c r="A5555" s="153"/>
      <c r="B5555" s="153"/>
      <c r="C5555" s="153"/>
      <c r="D5555" s="153"/>
    </row>
    <row r="5556">
      <c r="A5556" s="153" t="str">
        <f>IFERROR(__xludf.DUMMYFUNCTION("""COMPUTED_VALUE"""),"AMB0000011923")</f>
        <v>AMB0000011923</v>
      </c>
      <c r="B5556" s="153" t="str">
        <f>IFERROR(__xludf.DUMMYFUNCTION("""COMPUTED_VALUE"""),"WHOLE EXOME SEQUENCING")</f>
        <v>WHOLE EXOME SEQUENCING</v>
      </c>
      <c r="C5556" s="153"/>
      <c r="D5556" s="378">
        <f>IFERROR(__xludf.DUMMYFUNCTION("""COMPUTED_VALUE"""),46226.0)</f>
        <v>46226</v>
      </c>
    </row>
    <row r="5557">
      <c r="A5557" s="153" t="str">
        <f>IFERROR(__xludf.DUMMYFUNCTION("""COMPUTED_VALUE"""),"ADH0000033631")</f>
        <v>ADH0000033631</v>
      </c>
      <c r="B5557" s="153" t="str">
        <f>IFERROR(__xludf.DUMMYFUNCTION("""COMPUTED_VALUE"""),"WHOLE EXOME SEQUENCING")</f>
        <v>WHOLE EXOME SEQUENCING</v>
      </c>
      <c r="C5557" s="153"/>
      <c r="D5557" s="378">
        <f>IFERROR(__xludf.DUMMYFUNCTION("""COMPUTED_VALUE"""),46224.0)</f>
        <v>46224</v>
      </c>
    </row>
    <row r="5558">
      <c r="A5558" s="153" t="str">
        <f>IFERROR(__xludf.DUMMYFUNCTION("""COMPUTED_VALUE"""),"ADH0000033582")</f>
        <v>ADH0000033582</v>
      </c>
      <c r="B5558" s="153" t="str">
        <f>IFERROR(__xludf.DUMMYFUNCTION("""COMPUTED_VALUE"""),"WHOLE EXOME SEQUENCING")</f>
        <v>WHOLE EXOME SEQUENCING</v>
      </c>
      <c r="C5558" s="153"/>
      <c r="D5558" s="378">
        <f>IFERROR(__xludf.DUMMYFUNCTION("""COMPUTED_VALUE"""),46228.0)</f>
        <v>46228</v>
      </c>
    </row>
    <row r="5559">
      <c r="A5559" s="153" t="str">
        <f>IFERROR(__xludf.DUMMYFUNCTION("""COMPUTED_VALUE"""),"ADH0000033583")</f>
        <v>ADH0000033583</v>
      </c>
      <c r="B5559" s="153" t="str">
        <f>IFERROR(__xludf.DUMMYFUNCTION("""COMPUTED_VALUE"""),"WHOLE EXOME SEQUENCING")</f>
        <v>WHOLE EXOME SEQUENCING</v>
      </c>
      <c r="C5559" s="153"/>
      <c r="D5559" s="378">
        <f>IFERROR(__xludf.DUMMYFUNCTION("""COMPUTED_VALUE"""),46228.0)</f>
        <v>46228</v>
      </c>
    </row>
    <row r="5560">
      <c r="A5560" s="153" t="str">
        <f>IFERROR(__xludf.DUMMYFUNCTION("""COMPUTED_VALUE"""),"KOR0000000745")</f>
        <v>KOR0000000745</v>
      </c>
      <c r="B5560" s="153" t="str">
        <f>IFERROR(__xludf.DUMMYFUNCTION("""COMPUTED_VALUE"""),"WHOLE EXOME SEQUENCING")</f>
        <v>WHOLE EXOME SEQUENCING</v>
      </c>
      <c r="C5560" s="153"/>
      <c r="D5560" s="378">
        <f>IFERROR(__xludf.DUMMYFUNCTION("""COMPUTED_VALUE"""),46228.0)</f>
        <v>46228</v>
      </c>
    </row>
    <row r="5561">
      <c r="A5561" s="153" t="str">
        <f>IFERROR(__xludf.DUMMYFUNCTION("""COMPUTED_VALUE"""),"ADH0000033640")</f>
        <v>ADH0000033640</v>
      </c>
      <c r="B5561" s="153" t="str">
        <f>IFERROR(__xludf.DUMMYFUNCTION("""COMPUTED_VALUE"""),"WHOLE EXOME SEQUENCING")</f>
        <v>WHOLE EXOME SEQUENCING</v>
      </c>
      <c r="C5561" s="153"/>
      <c r="D5561" s="378">
        <f>IFERROR(__xludf.DUMMYFUNCTION("""COMPUTED_VALUE"""),46228.0)</f>
        <v>46228</v>
      </c>
    </row>
    <row r="5562">
      <c r="A5562" s="153" t="str">
        <f>IFERROR(__xludf.DUMMYFUNCTION("""COMPUTED_VALUE"""),"ADB0000046167
")</f>
        <v>ADB0000046167
</v>
      </c>
      <c r="B5562" s="153" t="str">
        <f>IFERROR(__xludf.DUMMYFUNCTION("""COMPUTED_VALUE"""),"FEMALE INFERTILITY NGS PANEL")</f>
        <v>FEMALE INFERTILITY NGS PANEL</v>
      </c>
      <c r="C5562" s="153"/>
      <c r="D5562" s="378">
        <f>IFERROR(__xludf.DUMMYFUNCTION("""COMPUTED_VALUE"""),46219.0)</f>
        <v>46219</v>
      </c>
    </row>
    <row r="5563">
      <c r="A5563" s="153" t="str">
        <f>IFERROR(__xludf.DUMMYFUNCTION("""COMPUTED_VALUE"""),"ADK0000003593")</f>
        <v>ADK0000003593</v>
      </c>
      <c r="B5563" s="153" t="str">
        <f>IFERROR(__xludf.DUMMYFUNCTION("""COMPUTED_VALUE"""),"WHOLE EXOME SEQUENCING")</f>
        <v>WHOLE EXOME SEQUENCING</v>
      </c>
      <c r="C5563" s="153"/>
      <c r="D5563" s="378">
        <f>IFERROR(__xludf.DUMMYFUNCTION("""COMPUTED_VALUE"""),46224.0)</f>
        <v>46224</v>
      </c>
    </row>
    <row r="5564">
      <c r="A5564" s="153" t="str">
        <f>IFERROR(__xludf.DUMMYFUNCTION("""COMPUTED_VALUE"""),"ADK0000003594")</f>
        <v>ADK0000003594</v>
      </c>
      <c r="B5564" s="153" t="str">
        <f>IFERROR(__xludf.DUMMYFUNCTION("""COMPUTED_VALUE"""),"WHOLE EXOME SEQUENCING + MITOCHONDRIAL GENOME SEQUENCING")</f>
        <v>WHOLE EXOME SEQUENCING + MITOCHONDRIAL GENOME SEQUENCING</v>
      </c>
      <c r="C5564" s="153"/>
      <c r="D5564" s="378">
        <f>IFERROR(__xludf.DUMMYFUNCTION("""COMPUTED_VALUE"""),46224.0)</f>
        <v>46224</v>
      </c>
    </row>
    <row r="5565">
      <c r="A5565" s="153" t="str">
        <f>IFERROR(__xludf.DUMMYFUNCTION("""COMPUTED_VALUE"""),"ADK0000003592")</f>
        <v>ADK0000003592</v>
      </c>
      <c r="B5565" s="153" t="str">
        <f>IFERROR(__xludf.DUMMYFUNCTION("""COMPUTED_VALUE"""),"WHOLE EXOME SEQUENCING")</f>
        <v>WHOLE EXOME SEQUENCING</v>
      </c>
      <c r="C5565" s="153"/>
      <c r="D5565" s="378">
        <f>IFERROR(__xludf.DUMMYFUNCTION("""COMPUTED_VALUE"""),46224.0)</f>
        <v>46224</v>
      </c>
    </row>
    <row r="5566">
      <c r="A5566" s="153" t="str">
        <f>IFERROR(__xludf.DUMMYFUNCTION("""COMPUTED_VALUE"""),"ADK0000003596")</f>
        <v>ADK0000003596</v>
      </c>
      <c r="B5566" s="153" t="str">
        <f>IFERROR(__xludf.DUMMYFUNCTION("""COMPUTED_VALUE"""),"WHOLE EXOME SEQUENCING")</f>
        <v>WHOLE EXOME SEQUENCING</v>
      </c>
      <c r="C5566" s="153"/>
      <c r="D5566" s="378">
        <f>IFERROR(__xludf.DUMMYFUNCTION("""COMPUTED_VALUE"""),46224.0)</f>
        <v>46224</v>
      </c>
    </row>
    <row r="5567">
      <c r="A5567" s="153" t="str">
        <f>IFERROR(__xludf.DUMMYFUNCTION("""COMPUTED_VALUE"""),"ADK0000003597")</f>
        <v>ADK0000003597</v>
      </c>
      <c r="B5567" s="153" t="str">
        <f>IFERROR(__xludf.DUMMYFUNCTION("""COMPUTED_VALUE"""),"WHOLE EXOME SEQUENCING + MITOCHONDRIAL GENOME SEQUENCING")</f>
        <v>WHOLE EXOME SEQUENCING + MITOCHONDRIAL GENOME SEQUENCING</v>
      </c>
      <c r="C5567" s="153"/>
      <c r="D5567" s="378">
        <f>IFERROR(__xludf.DUMMYFUNCTION("""COMPUTED_VALUE"""),46224.0)</f>
        <v>46224</v>
      </c>
    </row>
    <row r="5568">
      <c r="A5568" s="153" t="str">
        <f>IFERROR(__xludf.DUMMYFUNCTION("""COMPUTED_VALUE"""),"ADK0000003595")</f>
        <v>ADK0000003595</v>
      </c>
      <c r="B5568" s="153" t="str">
        <f>IFERROR(__xludf.DUMMYFUNCTION("""COMPUTED_VALUE"""),"WHOLE EXOME SEQUENCING")</f>
        <v>WHOLE EXOME SEQUENCING</v>
      </c>
      <c r="C5568" s="153"/>
      <c r="D5568" s="378">
        <f>IFERROR(__xludf.DUMMYFUNCTION("""COMPUTED_VALUE"""),46224.0)</f>
        <v>46224</v>
      </c>
    </row>
    <row r="5569">
      <c r="A5569" s="153" t="str">
        <f>IFERROR(__xludf.DUMMYFUNCTION("""COMPUTED_VALUE"""),"DCC0000005698")</f>
        <v>DCC0000005698</v>
      </c>
      <c r="B5569" s="153" t="str">
        <f>IFERROR(__xludf.DUMMYFUNCTION("""COMPUTED_VALUE"""),"WHOLE EXOME SEQUENCING")</f>
        <v>WHOLE EXOME SEQUENCING</v>
      </c>
      <c r="C5569" s="153"/>
      <c r="D5569" s="378">
        <f>IFERROR(__xludf.DUMMYFUNCTION("""COMPUTED_VALUE"""),46229.0)</f>
        <v>46229</v>
      </c>
    </row>
    <row r="5570">
      <c r="A5570" s="153" t="str">
        <f>IFERROR(__xludf.DUMMYFUNCTION("""COMPUTED_VALUE"""),"DCC0000005699")</f>
        <v>DCC0000005699</v>
      </c>
      <c r="B5570" s="153" t="str">
        <f>IFERROR(__xludf.DUMMYFUNCTION("""COMPUTED_VALUE"""),"WHOLE EXOME SEQUENCING")</f>
        <v>WHOLE EXOME SEQUENCING</v>
      </c>
      <c r="C5570" s="153"/>
      <c r="D5570" s="378">
        <f>IFERROR(__xludf.DUMMYFUNCTION("""COMPUTED_VALUE"""),46229.0)</f>
        <v>46229</v>
      </c>
    </row>
    <row r="5571">
      <c r="A5571" s="153" t="str">
        <f>IFERROR(__xludf.DUMMYFUNCTION("""COMPUTED_VALUE"""),"ADK0000003504")</f>
        <v>ADK0000003504</v>
      </c>
      <c r="B5571" s="153" t="str">
        <f>IFERROR(__xludf.DUMMYFUNCTION("""COMPUTED_VALUE"""),"WES+WMGS")</f>
        <v>WES+WMGS</v>
      </c>
      <c r="C5571" s="153"/>
      <c r="D5571" s="378">
        <f>IFERROR(__xludf.DUMMYFUNCTION("""COMPUTED_VALUE"""),46229.0)</f>
        <v>46229</v>
      </c>
    </row>
    <row r="5572">
      <c r="A5572" s="153" t="str">
        <f>IFERROR(__xludf.DUMMYFUNCTION("""COMPUTED_VALUE"""),"ANL0000012191")</f>
        <v>ANL0000012191</v>
      </c>
      <c r="B5572" s="153" t="str">
        <f>IFERROR(__xludf.DUMMYFUNCTION("""COMPUTED_VALUE"""),"WHOLE GENOME SEQUENCING")</f>
        <v>WHOLE GENOME SEQUENCING</v>
      </c>
      <c r="C5572" s="153"/>
      <c r="D5572" s="378">
        <f>IFERROR(__xludf.DUMMYFUNCTION("""COMPUTED_VALUE"""),46229.0)</f>
        <v>46229</v>
      </c>
    </row>
    <row r="5573">
      <c r="A5573" s="153" t="str">
        <f>IFERROR(__xludf.DUMMYFUNCTION("""COMPUTED_VALUE"""),"CHM0000050455")</f>
        <v>CHM0000050455</v>
      </c>
      <c r="B5573" s="153" t="str">
        <f>IFERROR(__xludf.DUMMYFUNCTION("""COMPUTED_VALUE"""),"WHOLE EXOME SEQUENCING")</f>
        <v>WHOLE EXOME SEQUENCING</v>
      </c>
      <c r="C5573" s="153"/>
      <c r="D5573" s="378">
        <f>IFERROR(__xludf.DUMMYFUNCTION("""COMPUTED_VALUE"""),46229.0)</f>
        <v>46229</v>
      </c>
    </row>
    <row r="5574">
      <c r="A5574" s="153" t="str">
        <f>IFERROR(__xludf.DUMMYFUNCTION("""COMPUTED_VALUE"""),"ADK0000003543")</f>
        <v>ADK0000003543</v>
      </c>
      <c r="B5574" s="153" t="str">
        <f>IFERROR(__xludf.DUMMYFUNCTION("""COMPUTED_VALUE"""),"WHOLE EXOME SEQUENCING")</f>
        <v>WHOLE EXOME SEQUENCING</v>
      </c>
      <c r="C5574" s="153"/>
      <c r="D5574" s="378">
        <f>IFERROR(__xludf.DUMMYFUNCTION("""COMPUTED_VALUE"""),46224.0)</f>
        <v>46224</v>
      </c>
    </row>
    <row r="5575">
      <c r="A5575" s="153" t="str">
        <f>IFERROR(__xludf.DUMMYFUNCTION("""COMPUTED_VALUE"""),"ADK0000003544")</f>
        <v>ADK0000003544</v>
      </c>
      <c r="B5575" s="153" t="str">
        <f>IFERROR(__xludf.DUMMYFUNCTION("""COMPUTED_VALUE"""),"WHOLE EXOME SEQUENCING")</f>
        <v>WHOLE EXOME SEQUENCING</v>
      </c>
      <c r="C5575" s="153"/>
      <c r="D5575" s="378">
        <f>IFERROR(__xludf.DUMMYFUNCTION("""COMPUTED_VALUE"""),46224.0)</f>
        <v>46224</v>
      </c>
    </row>
    <row r="5576">
      <c r="A5576" s="153" t="str">
        <f>IFERROR(__xludf.DUMMYFUNCTION("""COMPUTED_VALUE"""),"ADK0000003545")</f>
        <v>ADK0000003545</v>
      </c>
      <c r="B5576" s="153" t="str">
        <f>IFERROR(__xludf.DUMMYFUNCTION("""COMPUTED_VALUE"""),"WHOLE EXOME SEQUENCING")</f>
        <v>WHOLE EXOME SEQUENCING</v>
      </c>
      <c r="C5576" s="153"/>
      <c r="D5576" s="378">
        <f>IFERROR(__xludf.DUMMYFUNCTION("""COMPUTED_VALUE"""),46224.0)</f>
        <v>46224</v>
      </c>
    </row>
    <row r="5577">
      <c r="A5577" s="153" t="str">
        <f>IFERROR(__xludf.DUMMYFUNCTION("""COMPUTED_VALUE"""),"ADK0000003546")</f>
        <v>ADK0000003546</v>
      </c>
      <c r="B5577" s="153" t="str">
        <f>IFERROR(__xludf.DUMMYFUNCTION("""COMPUTED_VALUE"""),"WHOLE EXOME SEQUENCING")</f>
        <v>WHOLE EXOME SEQUENCING</v>
      </c>
      <c r="C5577" s="153"/>
      <c r="D5577" s="378">
        <f>IFERROR(__xludf.DUMMYFUNCTION("""COMPUTED_VALUE"""),46224.0)</f>
        <v>46224</v>
      </c>
    </row>
    <row r="5578">
      <c r="A5578" s="153" t="str">
        <f>IFERROR(__xludf.DUMMYFUNCTION("""COMPUTED_VALUE"""),"HCC0000018161")</f>
        <v>HCC0000018161</v>
      </c>
      <c r="B5578" s="153" t="str">
        <f>IFERROR(__xludf.DUMMYFUNCTION("""COMPUTED_VALUE"""),"COMPREHENSIVE HEREDITARY CANCER PANEL (NGS+MLPA)")</f>
        <v>COMPREHENSIVE HEREDITARY CANCER PANEL (NGS+MLPA)</v>
      </c>
      <c r="C5578" s="153"/>
      <c r="D5578" s="153"/>
    </row>
    <row r="5579">
      <c r="A5579" s="153" t="str">
        <f>IFERROR(__xludf.DUMMYFUNCTION("""COMPUTED_VALUE"""),"DCC0000005763")</f>
        <v>DCC0000005763</v>
      </c>
      <c r="B5579" s="153" t="str">
        <f>IFERROR(__xludf.DUMMYFUNCTION("""COMPUTED_VALUE"""),"WHOLE EXOME SEQUENCING")</f>
        <v>WHOLE EXOME SEQUENCING</v>
      </c>
      <c r="C5579" s="153"/>
      <c r="D5579" s="378">
        <f>IFERROR(__xludf.DUMMYFUNCTION("""COMPUTED_VALUE"""),46230.0)</f>
        <v>46230</v>
      </c>
    </row>
    <row r="5580">
      <c r="A5580" s="153" t="str">
        <f>IFERROR(__xludf.DUMMYFUNCTION("""COMPUTED_VALUE"""),"ADH0000033832")</f>
        <v>ADH0000033832</v>
      </c>
      <c r="B5580" s="153" t="str">
        <f>IFERROR(__xludf.DUMMYFUNCTION("""COMPUTED_VALUE"""),"WHOLE EXOME SEQUENCING")</f>
        <v>WHOLE EXOME SEQUENCING</v>
      </c>
      <c r="C5580" s="153"/>
      <c r="D5580" s="378">
        <f>IFERROR(__xludf.DUMMYFUNCTION("""COMPUTED_VALUE"""),46231.0)</f>
        <v>46231</v>
      </c>
    </row>
    <row r="5581">
      <c r="A5581" s="153" t="str">
        <f>IFERROR(__xludf.DUMMYFUNCTION("""COMPUTED_VALUE"""),"ADB0000046326")</f>
        <v>ADB0000046326</v>
      </c>
      <c r="B5581" s="153" t="str">
        <f>IFERROR(__xludf.DUMMYFUNCTION("""COMPUTED_VALUE"""),"WHOLE EXOME SEQUENCING + MITOCHONDRIAL GENOME SEQUENCING")</f>
        <v>WHOLE EXOME SEQUENCING + MITOCHONDRIAL GENOME SEQUENCING</v>
      </c>
      <c r="C5581" s="153"/>
      <c r="D5581" s="378">
        <f>IFERROR(__xludf.DUMMYFUNCTION("""COMPUTED_VALUE"""),46231.0)</f>
        <v>46231</v>
      </c>
    </row>
    <row r="5582">
      <c r="A5582" s="153" t="str">
        <f>IFERROR(__xludf.DUMMYFUNCTION("""COMPUTED_VALUE"""),"ADB0000046369")</f>
        <v>ADB0000046369</v>
      </c>
      <c r="B5582" s="153" t="str">
        <f>IFERROR(__xludf.DUMMYFUNCTION("""COMPUTED_VALUE"""),"WHOLE EXOME SEQUENCING")</f>
        <v>WHOLE EXOME SEQUENCING</v>
      </c>
      <c r="C5582" s="153"/>
      <c r="D5582" s="378">
        <f>IFERROR(__xludf.DUMMYFUNCTION("""COMPUTED_VALUE"""),46231.0)</f>
        <v>46231</v>
      </c>
    </row>
    <row r="5583">
      <c r="A5583" s="153" t="str">
        <f>IFERROR(__xludf.DUMMYFUNCTION("""COMPUTED_VALUE"""),"ADB0000046424")</f>
        <v>ADB0000046424</v>
      </c>
      <c r="B5583" s="153" t="str">
        <f>IFERROR(__xludf.DUMMYFUNCTION("""COMPUTED_VALUE"""),"WHOLE EXOME SEQUENCING")</f>
        <v>WHOLE EXOME SEQUENCING</v>
      </c>
      <c r="C5583" s="153"/>
      <c r="D5583" s="378">
        <f>IFERROR(__xludf.DUMMYFUNCTION("""COMPUTED_VALUE"""),46231.0)</f>
        <v>46231</v>
      </c>
    </row>
    <row r="5584">
      <c r="A5584" s="153" t="str">
        <f>IFERROR(__xludf.DUMMYFUNCTION("""COMPUTED_VALUE"""),"HYP0000002927
")</f>
        <v>HYP0000002927
</v>
      </c>
      <c r="B5584" s="153" t="str">
        <f>IFERROR(__xludf.DUMMYFUNCTION("""COMPUTED_VALUE"""),"ADVAT FOCUS CARRIER SCREENING - NGS")</f>
        <v>ADVAT FOCUS CARRIER SCREENING - NGS</v>
      </c>
      <c r="C5584" s="153"/>
      <c r="D5584" s="378">
        <f>IFERROR(__xludf.DUMMYFUNCTION("""COMPUTED_VALUE"""),46231.0)</f>
        <v>46231</v>
      </c>
    </row>
    <row r="5585">
      <c r="A5585" s="153" t="str">
        <f>IFERROR(__xludf.DUMMYFUNCTION("""COMPUTED_VALUE"""),"ADK0000003560")</f>
        <v>ADK0000003560</v>
      </c>
      <c r="B5585" s="153" t="str">
        <f>IFERROR(__xludf.DUMMYFUNCTION("""COMPUTED_VALUE"""),"WES+WMGS")</f>
        <v>WES+WMGS</v>
      </c>
      <c r="C5585" s="153"/>
      <c r="D5585" s="378">
        <f>IFERROR(__xludf.DUMMYFUNCTION("""COMPUTED_VALUE"""),46231.0)</f>
        <v>46231</v>
      </c>
    </row>
    <row r="5586">
      <c r="A5586" s="153" t="str">
        <f>IFERROR(__xludf.DUMMYFUNCTION("""COMPUTED_VALUE"""),"ADK0000003561")</f>
        <v>ADK0000003561</v>
      </c>
      <c r="B5586" s="153" t="str">
        <f>IFERROR(__xludf.DUMMYFUNCTION("""COMPUTED_VALUE"""),"WES+WMGS")</f>
        <v>WES+WMGS</v>
      </c>
      <c r="C5586" s="153"/>
      <c r="D5586" s="378">
        <f>IFERROR(__xludf.DUMMYFUNCTION("""COMPUTED_VALUE"""),46231.0)</f>
        <v>46231</v>
      </c>
    </row>
    <row r="5587">
      <c r="A5587" s="153" t="str">
        <f>IFERROR(__xludf.DUMMYFUNCTION("""COMPUTED_VALUE"""),"ADK0000003562")</f>
        <v>ADK0000003562</v>
      </c>
      <c r="B5587" s="153" t="str">
        <f>IFERROR(__xludf.DUMMYFUNCTION("""COMPUTED_VALUE"""),"WES+WMGS")</f>
        <v>WES+WMGS</v>
      </c>
      <c r="C5587" s="153"/>
      <c r="D5587" s="378">
        <f>IFERROR(__xludf.DUMMYFUNCTION("""COMPUTED_VALUE"""),46231.0)</f>
        <v>46231</v>
      </c>
    </row>
    <row r="5588">
      <c r="A5588" s="153"/>
      <c r="B5588" s="153"/>
      <c r="C5588" s="153"/>
      <c r="D5588" s="153"/>
    </row>
    <row r="5589">
      <c r="A5589" s="153"/>
      <c r="B5589" s="153"/>
      <c r="C5589" s="153"/>
      <c r="D5589" s="153"/>
    </row>
    <row r="5590">
      <c r="A5590" s="153"/>
      <c r="B5590" s="153"/>
      <c r="C5590" s="153"/>
      <c r="D5590" s="153"/>
    </row>
    <row r="5591">
      <c r="A5591" s="153"/>
      <c r="B5591" s="153"/>
      <c r="C5591" s="153"/>
      <c r="D5591" s="153"/>
    </row>
    <row r="5592">
      <c r="A5592" s="153"/>
      <c r="B5592" s="153"/>
      <c r="C5592" s="153"/>
      <c r="D5592" s="153"/>
    </row>
    <row r="5593">
      <c r="A5593" s="153"/>
      <c r="B5593" s="153"/>
      <c r="C5593" s="153"/>
      <c r="D5593" s="153"/>
    </row>
    <row r="5594">
      <c r="A5594" s="153"/>
      <c r="B5594" s="153"/>
      <c r="C5594" s="153"/>
      <c r="D5594" s="153"/>
    </row>
    <row r="5595">
      <c r="A5595" s="153"/>
      <c r="B5595" s="153"/>
      <c r="C5595" s="153"/>
      <c r="D5595" s="153"/>
    </row>
    <row r="5596">
      <c r="A5596" s="153"/>
      <c r="B5596" s="153"/>
      <c r="C5596" s="153"/>
      <c r="D5596" s="153"/>
    </row>
    <row r="5597">
      <c r="A5597" s="153"/>
      <c r="B5597" s="153"/>
      <c r="C5597" s="153"/>
      <c r="D5597" s="153"/>
    </row>
    <row r="5598">
      <c r="A5598" s="153"/>
      <c r="B5598" s="153"/>
      <c r="C5598" s="153"/>
      <c r="D5598" s="153"/>
    </row>
    <row r="5599">
      <c r="A5599" s="153"/>
      <c r="B5599" s="153"/>
      <c r="C5599" s="153"/>
      <c r="D5599" s="153"/>
    </row>
    <row r="5600">
      <c r="A5600" s="153"/>
      <c r="B5600" s="153"/>
      <c r="C5600" s="153"/>
      <c r="D5600" s="153"/>
    </row>
    <row r="5601">
      <c r="A5601" s="153"/>
      <c r="B5601" s="153"/>
      <c r="C5601" s="153"/>
      <c r="D5601" s="153"/>
    </row>
    <row r="5602">
      <c r="A5602" s="153"/>
      <c r="B5602" s="153"/>
      <c r="C5602" s="153"/>
      <c r="D5602" s="153"/>
    </row>
    <row r="5603">
      <c r="A5603" s="153"/>
      <c r="B5603" s="153"/>
      <c r="C5603" s="153"/>
      <c r="D5603" s="153"/>
    </row>
    <row r="5604">
      <c r="A5604" s="153"/>
      <c r="B5604" s="153"/>
      <c r="C5604" s="153"/>
      <c r="D5604" s="153"/>
    </row>
    <row r="5605">
      <c r="A5605" s="153"/>
      <c r="B5605" s="153"/>
      <c r="C5605" s="153"/>
      <c r="D5605" s="153"/>
    </row>
    <row r="5606">
      <c r="A5606" s="153"/>
      <c r="B5606" s="153"/>
      <c r="C5606" s="153"/>
      <c r="D5606" s="153"/>
    </row>
    <row r="5607">
      <c r="A5607" s="153"/>
      <c r="B5607" s="153"/>
      <c r="C5607" s="153"/>
      <c r="D5607" s="153"/>
    </row>
    <row r="5608">
      <c r="A5608" s="153"/>
      <c r="B5608" s="153"/>
      <c r="C5608" s="153"/>
      <c r="D5608" s="153"/>
    </row>
    <row r="5609">
      <c r="A5609" s="153"/>
      <c r="B5609" s="153"/>
      <c r="C5609" s="153"/>
      <c r="D5609" s="153"/>
    </row>
    <row r="5610">
      <c r="A5610" s="153"/>
      <c r="B5610" s="153"/>
      <c r="C5610" s="153"/>
      <c r="D5610" s="153"/>
    </row>
    <row r="5611">
      <c r="A5611" s="153"/>
      <c r="B5611" s="153"/>
      <c r="C5611" s="153"/>
      <c r="D5611" s="153"/>
    </row>
    <row r="5612">
      <c r="A5612" s="153"/>
      <c r="B5612" s="153"/>
      <c r="C5612" s="153"/>
      <c r="D5612" s="153"/>
    </row>
    <row r="5613">
      <c r="A5613" s="153"/>
      <c r="B5613" s="153"/>
      <c r="C5613" s="153"/>
      <c r="D5613" s="153"/>
    </row>
    <row r="5614">
      <c r="A5614" s="153"/>
      <c r="B5614" s="153"/>
      <c r="C5614" s="153"/>
      <c r="D5614" s="153"/>
    </row>
    <row r="5615">
      <c r="A5615" s="153"/>
      <c r="B5615" s="153"/>
      <c r="C5615" s="153"/>
      <c r="D5615" s="153"/>
    </row>
    <row r="5616">
      <c r="A5616" s="153"/>
      <c r="B5616" s="153"/>
      <c r="C5616" s="153"/>
      <c r="D5616" s="153"/>
    </row>
    <row r="5617">
      <c r="A5617" s="153"/>
      <c r="B5617" s="153"/>
      <c r="C5617" s="153"/>
      <c r="D5617" s="153"/>
    </row>
    <row r="5618">
      <c r="A5618" s="153"/>
      <c r="B5618" s="153"/>
      <c r="C5618" s="153"/>
      <c r="D5618" s="153"/>
    </row>
    <row r="5619">
      <c r="A5619" s="153"/>
      <c r="B5619" s="153"/>
      <c r="C5619" s="153"/>
      <c r="D5619" s="153"/>
    </row>
    <row r="5620">
      <c r="A5620" s="153"/>
      <c r="B5620" s="153"/>
      <c r="C5620" s="153"/>
      <c r="D5620" s="153"/>
    </row>
    <row r="5621">
      <c r="A5621" s="153"/>
      <c r="B5621" s="153"/>
      <c r="C5621" s="153"/>
      <c r="D5621" s="153"/>
    </row>
    <row r="5622">
      <c r="A5622" s="153"/>
      <c r="B5622" s="153"/>
      <c r="C5622" s="153"/>
      <c r="D5622" s="153"/>
    </row>
    <row r="5623">
      <c r="A5623" s="153"/>
      <c r="B5623" s="153"/>
      <c r="C5623" s="153"/>
      <c r="D5623" s="153"/>
    </row>
    <row r="5624">
      <c r="A5624" s="153"/>
      <c r="B5624" s="153"/>
      <c r="C5624" s="153"/>
      <c r="D5624" s="153"/>
    </row>
    <row r="5625">
      <c r="A5625" s="153"/>
      <c r="B5625" s="153"/>
      <c r="C5625" s="153"/>
      <c r="D5625" s="153"/>
    </row>
    <row r="5626">
      <c r="A5626" s="153"/>
      <c r="B5626" s="153"/>
      <c r="C5626" s="153"/>
      <c r="D5626" s="153"/>
    </row>
    <row r="5627">
      <c r="A5627" s="153"/>
      <c r="B5627" s="153"/>
      <c r="C5627" s="153"/>
      <c r="D5627" s="153"/>
    </row>
    <row r="5628">
      <c r="A5628" s="153"/>
      <c r="B5628" s="153"/>
      <c r="C5628" s="153"/>
      <c r="D5628" s="153"/>
    </row>
    <row r="5629">
      <c r="A5629" s="153"/>
      <c r="B5629" s="153"/>
      <c r="C5629" s="153"/>
      <c r="D5629" s="153"/>
    </row>
    <row r="5630">
      <c r="A5630" s="153"/>
      <c r="B5630" s="153"/>
      <c r="C5630" s="153"/>
      <c r="D5630" s="153"/>
    </row>
    <row r="5631">
      <c r="A5631" s="153"/>
      <c r="B5631" s="153"/>
      <c r="C5631" s="153"/>
      <c r="D5631" s="153"/>
    </row>
    <row r="5632">
      <c r="A5632" s="153"/>
      <c r="B5632" s="153"/>
      <c r="C5632" s="153"/>
      <c r="D5632" s="153"/>
    </row>
    <row r="5633">
      <c r="A5633" s="153"/>
      <c r="B5633" s="153"/>
      <c r="C5633" s="153"/>
      <c r="D5633" s="153"/>
    </row>
    <row r="5634">
      <c r="A5634" s="153"/>
      <c r="B5634" s="153"/>
      <c r="C5634" s="153"/>
      <c r="D5634" s="153"/>
    </row>
    <row r="5635">
      <c r="A5635" s="153"/>
      <c r="B5635" s="153"/>
      <c r="C5635" s="153"/>
      <c r="D5635" s="153"/>
    </row>
    <row r="5636">
      <c r="A5636" s="153"/>
      <c r="B5636" s="153"/>
      <c r="C5636" s="153"/>
      <c r="D5636" s="153"/>
    </row>
    <row r="5637">
      <c r="A5637" s="153"/>
      <c r="B5637" s="153"/>
      <c r="C5637" s="153"/>
      <c r="D5637" s="153"/>
    </row>
    <row r="5638">
      <c r="A5638" s="153"/>
      <c r="B5638" s="153"/>
      <c r="C5638" s="153"/>
      <c r="D5638" s="153"/>
    </row>
    <row r="5639">
      <c r="A5639" s="153"/>
      <c r="B5639" s="153"/>
      <c r="C5639" s="153"/>
      <c r="D5639" s="153"/>
    </row>
    <row r="5640">
      <c r="A5640" s="153"/>
      <c r="B5640" s="153"/>
      <c r="C5640" s="153"/>
      <c r="D5640" s="153"/>
    </row>
    <row r="5641">
      <c r="A5641" s="153"/>
      <c r="B5641" s="153"/>
      <c r="C5641" s="153"/>
      <c r="D5641" s="153"/>
    </row>
    <row r="5642">
      <c r="A5642" s="153"/>
      <c r="B5642" s="153"/>
      <c r="C5642" s="153"/>
      <c r="D5642" s="153"/>
    </row>
    <row r="5643">
      <c r="A5643" s="153"/>
      <c r="B5643" s="153"/>
      <c r="C5643" s="153"/>
      <c r="D5643" s="153"/>
    </row>
    <row r="5644">
      <c r="A5644" s="153"/>
      <c r="B5644" s="153"/>
      <c r="C5644" s="153"/>
      <c r="D5644" s="153"/>
    </row>
    <row r="5645">
      <c r="A5645" s="153"/>
      <c r="B5645" s="153"/>
      <c r="C5645" s="153"/>
      <c r="D5645" s="153"/>
    </row>
    <row r="5646">
      <c r="A5646" s="153"/>
      <c r="B5646" s="153"/>
      <c r="C5646" s="153"/>
      <c r="D5646" s="153"/>
    </row>
    <row r="5647">
      <c r="A5647" s="153"/>
      <c r="B5647" s="153"/>
      <c r="C5647" s="153"/>
      <c r="D5647" s="153"/>
    </row>
    <row r="5648">
      <c r="A5648" s="153"/>
      <c r="B5648" s="153"/>
      <c r="C5648" s="153"/>
      <c r="D5648" s="153"/>
    </row>
    <row r="5649">
      <c r="A5649" s="153"/>
      <c r="B5649" s="153"/>
      <c r="C5649" s="153"/>
      <c r="D5649" s="153"/>
    </row>
    <row r="5650">
      <c r="A5650" s="153"/>
      <c r="B5650" s="153"/>
      <c r="C5650" s="153"/>
      <c r="D5650" s="153"/>
    </row>
    <row r="5651">
      <c r="A5651" s="153"/>
      <c r="B5651" s="153"/>
      <c r="C5651" s="153"/>
      <c r="D5651" s="153"/>
    </row>
    <row r="5652">
      <c r="A5652" s="153"/>
      <c r="B5652" s="153"/>
      <c r="C5652" s="153"/>
      <c r="D5652" s="153"/>
    </row>
    <row r="5653">
      <c r="A5653" s="153"/>
      <c r="B5653" s="153"/>
      <c r="C5653" s="153"/>
      <c r="D5653" s="153"/>
    </row>
    <row r="5654">
      <c r="A5654" s="153"/>
      <c r="B5654" s="153"/>
      <c r="C5654" s="153"/>
      <c r="D5654" s="153"/>
    </row>
    <row r="5655">
      <c r="A5655" s="153"/>
      <c r="B5655" s="153"/>
      <c r="C5655" s="153"/>
      <c r="D5655" s="153"/>
    </row>
    <row r="5656">
      <c r="A5656" s="153"/>
      <c r="B5656" s="153"/>
      <c r="C5656" s="153"/>
      <c r="D5656" s="153"/>
    </row>
    <row r="5657">
      <c r="A5657" s="153"/>
      <c r="B5657" s="153"/>
      <c r="C5657" s="153"/>
      <c r="D5657" s="153"/>
    </row>
    <row r="5658">
      <c r="A5658" s="153"/>
      <c r="B5658" s="153"/>
      <c r="C5658" s="153"/>
      <c r="D5658" s="153"/>
    </row>
    <row r="5659">
      <c r="A5659" s="153"/>
      <c r="B5659" s="153"/>
      <c r="C5659" s="153"/>
      <c r="D5659" s="153"/>
    </row>
    <row r="5660">
      <c r="A5660" s="153"/>
      <c r="B5660" s="153"/>
      <c r="C5660" s="153"/>
      <c r="D5660" s="153"/>
    </row>
    <row r="5661">
      <c r="A5661" s="153"/>
      <c r="B5661" s="153"/>
      <c r="C5661" s="153"/>
      <c r="D5661" s="153"/>
    </row>
    <row r="5662">
      <c r="A5662" s="153"/>
      <c r="B5662" s="153"/>
      <c r="C5662" s="153"/>
      <c r="D5662" s="153"/>
    </row>
    <row r="5663">
      <c r="A5663" s="153"/>
      <c r="B5663" s="153"/>
      <c r="C5663" s="153"/>
      <c r="D5663" s="153"/>
    </row>
    <row r="5664">
      <c r="A5664" s="153"/>
      <c r="B5664" s="153"/>
      <c r="C5664" s="153"/>
      <c r="D5664" s="153"/>
    </row>
    <row r="5665">
      <c r="A5665" s="153"/>
      <c r="B5665" s="153"/>
      <c r="C5665" s="153"/>
      <c r="D5665" s="153"/>
    </row>
    <row r="5666">
      <c r="A5666" s="153"/>
      <c r="B5666" s="153"/>
      <c r="C5666" s="153"/>
      <c r="D5666" s="153"/>
    </row>
    <row r="5667">
      <c r="A5667" s="153"/>
      <c r="B5667" s="153"/>
      <c r="C5667" s="153"/>
      <c r="D5667" s="153"/>
    </row>
    <row r="5668">
      <c r="A5668" s="153"/>
      <c r="B5668" s="153"/>
      <c r="C5668" s="153"/>
      <c r="D5668" s="153"/>
    </row>
    <row r="5669">
      <c r="A5669" s="153"/>
      <c r="B5669" s="153"/>
      <c r="C5669" s="153"/>
      <c r="D5669" s="153"/>
    </row>
    <row r="5670">
      <c r="A5670" s="153"/>
      <c r="B5670" s="153"/>
      <c r="C5670" s="153"/>
      <c r="D5670" s="153"/>
    </row>
    <row r="5671">
      <c r="A5671" s="153"/>
      <c r="B5671" s="153"/>
      <c r="C5671" s="153"/>
      <c r="D5671" s="153"/>
    </row>
    <row r="5672">
      <c r="A5672" s="153"/>
      <c r="B5672" s="153"/>
      <c r="C5672" s="153"/>
      <c r="D5672" s="153"/>
    </row>
    <row r="5673">
      <c r="A5673" s="153"/>
      <c r="B5673" s="153"/>
      <c r="C5673" s="153"/>
      <c r="D5673" s="153"/>
    </row>
    <row r="5674">
      <c r="A5674" s="153"/>
      <c r="B5674" s="153"/>
      <c r="C5674" s="153"/>
      <c r="D5674" s="153"/>
    </row>
    <row r="5675">
      <c r="A5675" s="153"/>
      <c r="B5675" s="153"/>
      <c r="C5675" s="153"/>
      <c r="D5675" s="153"/>
    </row>
    <row r="5676">
      <c r="A5676" s="153"/>
      <c r="B5676" s="153"/>
      <c r="C5676" s="153"/>
      <c r="D5676" s="153"/>
    </row>
    <row r="5677">
      <c r="A5677" s="153"/>
      <c r="B5677" s="153"/>
      <c r="C5677" s="153"/>
      <c r="D5677" s="153"/>
    </row>
    <row r="5678">
      <c r="A5678" s="153"/>
      <c r="B5678" s="153"/>
      <c r="C5678" s="153"/>
      <c r="D5678" s="153"/>
    </row>
    <row r="5679">
      <c r="A5679" s="153"/>
      <c r="B5679" s="153"/>
      <c r="C5679" s="153"/>
      <c r="D5679" s="153"/>
    </row>
    <row r="5680">
      <c r="A5680" s="153"/>
      <c r="B5680" s="153"/>
      <c r="C5680" s="153"/>
      <c r="D5680" s="153"/>
    </row>
    <row r="5681">
      <c r="A5681" s="153"/>
      <c r="B5681" s="153"/>
      <c r="C5681" s="153"/>
      <c r="D5681" s="153"/>
    </row>
    <row r="5682">
      <c r="A5682" s="153"/>
      <c r="B5682" s="153"/>
      <c r="C5682" s="153"/>
      <c r="D5682" s="153"/>
    </row>
    <row r="5683">
      <c r="A5683" s="153"/>
      <c r="B5683" s="153"/>
      <c r="C5683" s="153"/>
      <c r="D5683" s="153"/>
    </row>
    <row r="5684">
      <c r="A5684" s="153"/>
      <c r="B5684" s="153"/>
      <c r="C5684" s="153"/>
      <c r="D5684" s="153"/>
    </row>
    <row r="5685">
      <c r="A5685" s="153"/>
      <c r="B5685" s="153"/>
      <c r="C5685" s="153"/>
      <c r="D5685" s="153"/>
    </row>
    <row r="5686">
      <c r="A5686" s="153"/>
      <c r="B5686" s="153"/>
      <c r="C5686" s="153"/>
      <c r="D5686" s="153"/>
    </row>
    <row r="5687">
      <c r="A5687" s="153"/>
      <c r="B5687" s="153"/>
      <c r="C5687" s="153"/>
      <c r="D5687" s="153"/>
    </row>
    <row r="5688">
      <c r="A5688" s="153"/>
      <c r="B5688" s="153"/>
      <c r="C5688" s="153"/>
      <c r="D5688" s="153"/>
    </row>
    <row r="5689">
      <c r="A5689" s="153"/>
      <c r="B5689" s="153"/>
      <c r="C5689" s="153"/>
      <c r="D5689" s="153"/>
    </row>
    <row r="5690">
      <c r="A5690" s="153"/>
      <c r="B5690" s="153"/>
      <c r="C5690" s="153"/>
      <c r="D5690" s="153"/>
    </row>
    <row r="5691">
      <c r="A5691" s="153"/>
      <c r="B5691" s="153"/>
      <c r="C5691" s="153"/>
      <c r="D5691" s="153"/>
    </row>
    <row r="5692">
      <c r="A5692" s="153"/>
      <c r="B5692" s="153"/>
      <c r="C5692" s="153"/>
      <c r="D5692" s="153"/>
    </row>
    <row r="5693">
      <c r="A5693" s="153"/>
      <c r="B5693" s="153"/>
      <c r="C5693" s="153"/>
      <c r="D5693" s="153"/>
    </row>
    <row r="5694">
      <c r="A5694" s="153"/>
      <c r="B5694" s="153"/>
      <c r="C5694" s="153"/>
      <c r="D5694" s="153"/>
    </row>
    <row r="5695">
      <c r="A5695" s="153"/>
      <c r="B5695" s="153"/>
      <c r="C5695" s="153"/>
      <c r="D5695" s="153"/>
    </row>
    <row r="5696">
      <c r="A5696" s="153"/>
      <c r="B5696" s="153"/>
      <c r="C5696" s="153"/>
      <c r="D5696" s="153"/>
    </row>
    <row r="5697">
      <c r="A5697" s="153"/>
      <c r="B5697" s="153"/>
      <c r="C5697" s="153"/>
      <c r="D5697" s="153"/>
    </row>
    <row r="5698">
      <c r="A5698" s="153"/>
      <c r="B5698" s="153"/>
      <c r="C5698" s="153"/>
      <c r="D5698" s="153"/>
    </row>
    <row r="5699">
      <c r="A5699" s="153"/>
      <c r="B5699" s="153"/>
      <c r="C5699" s="153"/>
      <c r="D5699" s="153"/>
    </row>
    <row r="5700">
      <c r="A5700" s="153"/>
      <c r="B5700" s="153"/>
      <c r="C5700" s="153"/>
      <c r="D5700" s="153"/>
    </row>
    <row r="5701">
      <c r="A5701" s="153"/>
      <c r="B5701" s="153"/>
      <c r="C5701" s="153"/>
      <c r="D5701" s="153"/>
    </row>
    <row r="5702">
      <c r="A5702" s="153"/>
      <c r="B5702" s="153"/>
      <c r="C5702" s="153"/>
      <c r="D5702" s="153"/>
    </row>
    <row r="5703">
      <c r="A5703" s="153"/>
      <c r="B5703" s="153"/>
      <c r="C5703" s="153"/>
      <c r="D5703" s="153"/>
    </row>
    <row r="5704">
      <c r="A5704" s="153"/>
      <c r="B5704" s="153"/>
      <c r="C5704" s="153"/>
      <c r="D5704" s="153"/>
    </row>
    <row r="5705">
      <c r="A5705" s="153"/>
      <c r="B5705" s="153"/>
      <c r="C5705" s="153"/>
      <c r="D5705" s="153"/>
    </row>
    <row r="5706">
      <c r="A5706" s="153"/>
      <c r="B5706" s="153"/>
      <c r="C5706" s="153"/>
      <c r="D5706" s="153"/>
    </row>
    <row r="5707">
      <c r="A5707" s="153"/>
      <c r="B5707" s="153"/>
      <c r="C5707" s="153"/>
      <c r="D5707" s="153"/>
    </row>
    <row r="5708">
      <c r="A5708" s="153"/>
      <c r="B5708" s="153"/>
      <c r="C5708" s="153"/>
      <c r="D5708" s="153"/>
    </row>
    <row r="5709">
      <c r="A5709" s="153"/>
      <c r="B5709" s="153"/>
      <c r="C5709" s="153"/>
      <c r="D5709" s="153"/>
    </row>
    <row r="5710">
      <c r="A5710" s="153"/>
      <c r="B5710" s="153"/>
      <c r="C5710" s="153"/>
      <c r="D5710" s="153"/>
    </row>
    <row r="5711">
      <c r="A5711" s="153"/>
      <c r="B5711" s="153"/>
      <c r="C5711" s="153"/>
      <c r="D5711" s="153"/>
    </row>
    <row r="5712">
      <c r="A5712" s="153"/>
      <c r="B5712" s="153"/>
      <c r="C5712" s="153"/>
      <c r="D5712" s="153"/>
    </row>
    <row r="5713">
      <c r="A5713" s="153"/>
      <c r="B5713" s="153"/>
      <c r="C5713" s="153"/>
      <c r="D5713" s="153"/>
    </row>
    <row r="5714">
      <c r="A5714" s="153"/>
      <c r="B5714" s="153"/>
      <c r="C5714" s="153"/>
      <c r="D5714" s="153"/>
    </row>
    <row r="5715">
      <c r="A5715" s="153"/>
      <c r="B5715" s="153"/>
      <c r="C5715" s="153"/>
      <c r="D5715" s="153"/>
    </row>
    <row r="5716">
      <c r="A5716" s="153"/>
      <c r="B5716" s="153"/>
      <c r="C5716" s="153"/>
      <c r="D5716" s="153"/>
    </row>
    <row r="5717">
      <c r="A5717" s="153"/>
      <c r="B5717" s="153"/>
      <c r="C5717" s="153"/>
      <c r="D5717" s="153"/>
    </row>
    <row r="5718">
      <c r="A5718" s="153"/>
      <c r="B5718" s="153"/>
      <c r="C5718" s="153"/>
      <c r="D5718" s="153"/>
    </row>
    <row r="5719">
      <c r="A5719" s="153"/>
      <c r="B5719" s="153"/>
      <c r="C5719" s="153"/>
      <c r="D5719" s="153"/>
    </row>
    <row r="5720">
      <c r="A5720" s="153"/>
      <c r="B5720" s="153"/>
      <c r="C5720" s="153"/>
      <c r="D5720" s="153"/>
    </row>
    <row r="5721">
      <c r="A5721" s="153"/>
      <c r="B5721" s="153"/>
      <c r="C5721" s="153"/>
      <c r="D5721" s="153"/>
    </row>
    <row r="5722">
      <c r="A5722" s="153"/>
      <c r="B5722" s="153"/>
      <c r="C5722" s="153"/>
      <c r="D5722" s="153"/>
    </row>
    <row r="5723">
      <c r="A5723" s="153"/>
      <c r="B5723" s="153"/>
      <c r="C5723" s="153"/>
      <c r="D5723" s="153"/>
    </row>
    <row r="5724">
      <c r="A5724" s="153"/>
      <c r="B5724" s="153"/>
      <c r="C5724" s="153"/>
      <c r="D5724" s="153"/>
    </row>
    <row r="5725">
      <c r="A5725" s="153"/>
      <c r="B5725" s="153"/>
      <c r="C5725" s="153"/>
      <c r="D5725" s="153"/>
    </row>
    <row r="5726">
      <c r="A5726" s="153"/>
      <c r="B5726" s="153"/>
      <c r="C5726" s="153"/>
      <c r="D5726" s="153"/>
    </row>
    <row r="5727">
      <c r="A5727" s="153"/>
      <c r="B5727" s="153"/>
      <c r="C5727" s="153"/>
      <c r="D5727" s="153"/>
    </row>
    <row r="5728">
      <c r="A5728" s="153"/>
      <c r="B5728" s="153"/>
      <c r="C5728" s="153"/>
      <c r="D5728" s="153"/>
    </row>
    <row r="5729">
      <c r="A5729" s="153"/>
      <c r="B5729" s="153"/>
      <c r="C5729" s="153"/>
      <c r="D5729" s="153"/>
    </row>
    <row r="5730">
      <c r="A5730" s="153"/>
      <c r="B5730" s="153"/>
      <c r="C5730" s="153"/>
      <c r="D5730" s="153"/>
    </row>
    <row r="5731">
      <c r="A5731" s="153"/>
      <c r="B5731" s="153"/>
      <c r="C5731" s="153"/>
      <c r="D5731" s="153"/>
    </row>
    <row r="5732">
      <c r="A5732" s="153"/>
      <c r="B5732" s="153"/>
      <c r="C5732" s="153"/>
      <c r="D5732" s="153"/>
    </row>
    <row r="5733">
      <c r="A5733" s="153"/>
      <c r="B5733" s="153"/>
      <c r="C5733" s="153"/>
      <c r="D5733" s="153"/>
    </row>
    <row r="5734">
      <c r="A5734" s="153"/>
      <c r="B5734" s="153"/>
      <c r="C5734" s="153"/>
      <c r="D5734" s="153"/>
    </row>
    <row r="5735">
      <c r="A5735" s="153"/>
      <c r="B5735" s="153"/>
      <c r="C5735" s="153"/>
      <c r="D5735" s="153"/>
    </row>
    <row r="5736">
      <c r="A5736" s="153"/>
      <c r="B5736" s="153"/>
      <c r="C5736" s="153"/>
      <c r="D5736" s="153"/>
    </row>
    <row r="5737">
      <c r="A5737" s="153"/>
      <c r="B5737" s="153"/>
      <c r="C5737" s="153"/>
      <c r="D5737" s="153"/>
    </row>
    <row r="5738">
      <c r="A5738" s="153"/>
      <c r="B5738" s="153"/>
      <c r="C5738" s="153"/>
      <c r="D5738" s="153"/>
    </row>
    <row r="5739">
      <c r="A5739" s="153"/>
      <c r="B5739" s="153"/>
      <c r="C5739" s="153"/>
      <c r="D5739" s="153"/>
    </row>
    <row r="5740">
      <c r="A5740" s="153"/>
      <c r="B5740" s="153"/>
      <c r="C5740" s="153"/>
      <c r="D5740" s="153"/>
    </row>
    <row r="5741">
      <c r="A5741" s="153"/>
      <c r="B5741" s="153"/>
      <c r="C5741" s="153"/>
      <c r="D5741" s="153"/>
    </row>
    <row r="5742">
      <c r="A5742" s="153"/>
      <c r="B5742" s="153"/>
      <c r="C5742" s="153"/>
      <c r="D5742" s="153"/>
    </row>
    <row r="5743">
      <c r="A5743" s="153"/>
      <c r="B5743" s="153"/>
      <c r="C5743" s="153"/>
      <c r="D5743" s="153"/>
    </row>
    <row r="5744">
      <c r="A5744" s="153"/>
      <c r="B5744" s="153"/>
      <c r="C5744" s="153"/>
      <c r="D5744" s="153"/>
    </row>
    <row r="5745">
      <c r="A5745" s="153"/>
      <c r="B5745" s="153"/>
      <c r="C5745" s="153"/>
      <c r="D5745" s="153"/>
    </row>
    <row r="5746">
      <c r="A5746" s="153"/>
      <c r="B5746" s="153"/>
      <c r="C5746" s="153"/>
      <c r="D5746" s="153"/>
    </row>
    <row r="5747">
      <c r="A5747" s="153"/>
      <c r="B5747" s="153"/>
      <c r="C5747" s="153"/>
      <c r="D5747" s="153"/>
    </row>
    <row r="5748">
      <c r="A5748" s="153"/>
      <c r="B5748" s="153"/>
      <c r="C5748" s="153"/>
      <c r="D5748" s="153"/>
    </row>
    <row r="5749">
      <c r="A5749" s="153"/>
      <c r="B5749" s="153"/>
      <c r="C5749" s="153"/>
      <c r="D5749" s="153"/>
    </row>
    <row r="5750">
      <c r="A5750" s="153"/>
      <c r="B5750" s="153"/>
      <c r="C5750" s="153"/>
      <c r="D5750" s="153"/>
    </row>
    <row r="5751">
      <c r="A5751" s="153"/>
      <c r="B5751" s="153"/>
      <c r="C5751" s="153"/>
      <c r="D5751" s="153"/>
    </row>
    <row r="5752">
      <c r="A5752" s="153"/>
      <c r="B5752" s="153"/>
      <c r="C5752" s="153"/>
      <c r="D5752" s="153"/>
    </row>
    <row r="5753">
      <c r="A5753" s="153"/>
      <c r="B5753" s="153"/>
      <c r="C5753" s="153"/>
      <c r="D5753" s="153"/>
    </row>
    <row r="5754">
      <c r="A5754" s="153"/>
      <c r="B5754" s="153"/>
      <c r="C5754" s="153"/>
      <c r="D5754" s="153"/>
    </row>
    <row r="5755">
      <c r="A5755" s="153"/>
      <c r="B5755" s="153"/>
      <c r="C5755" s="153"/>
      <c r="D5755" s="153"/>
    </row>
    <row r="5756">
      <c r="A5756" s="153"/>
      <c r="B5756" s="153"/>
      <c r="C5756" s="153"/>
      <c r="D5756" s="153"/>
    </row>
    <row r="5757">
      <c r="A5757" s="153"/>
      <c r="B5757" s="153"/>
      <c r="C5757" s="153"/>
      <c r="D5757" s="153"/>
    </row>
    <row r="5758">
      <c r="A5758" s="153"/>
      <c r="B5758" s="153"/>
      <c r="C5758" s="153"/>
      <c r="D5758" s="153"/>
    </row>
    <row r="5759">
      <c r="A5759" s="153"/>
      <c r="B5759" s="153"/>
      <c r="C5759" s="153"/>
      <c r="D5759" s="153"/>
    </row>
    <row r="5760">
      <c r="A5760" s="153"/>
      <c r="B5760" s="153"/>
      <c r="C5760" s="153"/>
      <c r="D5760" s="153"/>
    </row>
    <row r="5761">
      <c r="A5761" s="153"/>
      <c r="B5761" s="153"/>
      <c r="C5761" s="153"/>
      <c r="D5761" s="153"/>
    </row>
    <row r="5762">
      <c r="A5762" s="153"/>
      <c r="B5762" s="153"/>
      <c r="C5762" s="153"/>
      <c r="D5762" s="153"/>
    </row>
    <row r="5763">
      <c r="A5763" s="153"/>
      <c r="B5763" s="153"/>
      <c r="C5763" s="153"/>
      <c r="D5763" s="153"/>
    </row>
    <row r="5764">
      <c r="A5764" s="153"/>
      <c r="B5764" s="153"/>
      <c r="C5764" s="153"/>
      <c r="D5764" s="153"/>
    </row>
    <row r="5765">
      <c r="A5765" s="153"/>
      <c r="B5765" s="153"/>
      <c r="C5765" s="153"/>
      <c r="D5765" s="153"/>
    </row>
    <row r="5766">
      <c r="A5766" s="153"/>
      <c r="B5766" s="153"/>
      <c r="C5766" s="153"/>
      <c r="D5766" s="153"/>
    </row>
    <row r="5767">
      <c r="A5767" s="153"/>
      <c r="B5767" s="153"/>
      <c r="C5767" s="153"/>
      <c r="D5767" s="153"/>
    </row>
    <row r="5768">
      <c r="A5768" s="153"/>
      <c r="B5768" s="153"/>
      <c r="C5768" s="153"/>
      <c r="D5768" s="153"/>
    </row>
    <row r="5769">
      <c r="A5769" s="153"/>
      <c r="B5769" s="153"/>
      <c r="C5769" s="153"/>
      <c r="D5769" s="153"/>
    </row>
    <row r="5770">
      <c r="A5770" s="153"/>
      <c r="B5770" s="153"/>
      <c r="C5770" s="153"/>
      <c r="D5770" s="153"/>
    </row>
    <row r="5771">
      <c r="A5771" s="153"/>
      <c r="B5771" s="153"/>
      <c r="C5771" s="153"/>
      <c r="D5771" s="153"/>
    </row>
    <row r="5772">
      <c r="A5772" s="153"/>
      <c r="B5772" s="153"/>
      <c r="C5772" s="153"/>
      <c r="D5772" s="153"/>
    </row>
    <row r="5773">
      <c r="A5773" s="153"/>
      <c r="B5773" s="153"/>
      <c r="C5773" s="153"/>
      <c r="D5773" s="153"/>
    </row>
    <row r="5774">
      <c r="A5774" s="153"/>
      <c r="B5774" s="153"/>
      <c r="C5774" s="153"/>
      <c r="D5774" s="153"/>
    </row>
    <row r="5775">
      <c r="A5775" s="153"/>
      <c r="B5775" s="153"/>
      <c r="C5775" s="153"/>
      <c r="D5775" s="153"/>
    </row>
    <row r="5776">
      <c r="A5776" s="153"/>
      <c r="B5776" s="153"/>
      <c r="C5776" s="153"/>
      <c r="D5776" s="153"/>
    </row>
    <row r="5777">
      <c r="A5777" s="153"/>
      <c r="B5777" s="153"/>
      <c r="C5777" s="153"/>
      <c r="D5777" s="153"/>
    </row>
    <row r="5778">
      <c r="A5778" s="153"/>
      <c r="B5778" s="153"/>
      <c r="C5778" s="153"/>
      <c r="D5778" s="153"/>
    </row>
    <row r="5779">
      <c r="A5779" s="153"/>
      <c r="B5779" s="153"/>
      <c r="C5779" s="153"/>
      <c r="D5779" s="153"/>
    </row>
    <row r="5780">
      <c r="A5780" s="153"/>
      <c r="B5780" s="153"/>
      <c r="C5780" s="153"/>
      <c r="D5780" s="153"/>
    </row>
    <row r="5781">
      <c r="A5781" s="153"/>
      <c r="B5781" s="153"/>
      <c r="C5781" s="153"/>
      <c r="D5781" s="153"/>
    </row>
    <row r="5782">
      <c r="A5782" s="153"/>
      <c r="B5782" s="153"/>
      <c r="C5782" s="153"/>
      <c r="D5782" s="153"/>
    </row>
    <row r="5783">
      <c r="A5783" s="153"/>
      <c r="B5783" s="153"/>
      <c r="C5783" s="153"/>
      <c r="D5783" s="153"/>
    </row>
    <row r="5784">
      <c r="A5784" s="153"/>
      <c r="B5784" s="153"/>
      <c r="C5784" s="153"/>
      <c r="D5784" s="153"/>
    </row>
    <row r="5785">
      <c r="A5785" s="153"/>
      <c r="B5785" s="153"/>
      <c r="C5785" s="153"/>
      <c r="D5785" s="153"/>
    </row>
    <row r="5786">
      <c r="A5786" s="153"/>
      <c r="B5786" s="153"/>
      <c r="C5786" s="153"/>
      <c r="D5786" s="153"/>
    </row>
    <row r="5787">
      <c r="A5787" s="153"/>
      <c r="B5787" s="153"/>
      <c r="C5787" s="153"/>
      <c r="D5787" s="153"/>
    </row>
    <row r="5788">
      <c r="A5788" s="153"/>
      <c r="B5788" s="153"/>
      <c r="C5788" s="153"/>
      <c r="D5788" s="153"/>
    </row>
    <row r="5789">
      <c r="A5789" s="153"/>
      <c r="B5789" s="153"/>
      <c r="C5789" s="153"/>
      <c r="D5789" s="153"/>
    </row>
    <row r="5790">
      <c r="A5790" s="153"/>
      <c r="B5790" s="153"/>
      <c r="C5790" s="153"/>
      <c r="D5790" s="153"/>
    </row>
    <row r="5791">
      <c r="A5791" s="153"/>
      <c r="B5791" s="153"/>
      <c r="C5791" s="153"/>
      <c r="D5791" s="153"/>
    </row>
    <row r="5792">
      <c r="A5792" s="153"/>
      <c r="B5792" s="153"/>
      <c r="C5792" s="153"/>
      <c r="D5792" s="153"/>
    </row>
    <row r="5793">
      <c r="A5793" s="153"/>
      <c r="B5793" s="153"/>
      <c r="C5793" s="153"/>
      <c r="D5793" s="153"/>
    </row>
    <row r="5794">
      <c r="A5794" s="153"/>
      <c r="B5794" s="153"/>
      <c r="C5794" s="153"/>
      <c r="D5794" s="153"/>
    </row>
    <row r="5795">
      <c r="A5795" s="153"/>
      <c r="B5795" s="153"/>
      <c r="C5795" s="153"/>
      <c r="D5795" s="153"/>
    </row>
    <row r="5796">
      <c r="A5796" s="153"/>
      <c r="B5796" s="153"/>
      <c r="C5796" s="153"/>
      <c r="D5796" s="153"/>
    </row>
    <row r="5797">
      <c r="A5797" s="153"/>
      <c r="B5797" s="153"/>
      <c r="C5797" s="153"/>
      <c r="D5797" s="153"/>
    </row>
    <row r="5798">
      <c r="A5798" s="153"/>
      <c r="B5798" s="153"/>
      <c r="C5798" s="153"/>
      <c r="D5798" s="153"/>
    </row>
    <row r="5799">
      <c r="A5799" s="153"/>
      <c r="B5799" s="153"/>
      <c r="C5799" s="153"/>
      <c r="D5799" s="153"/>
    </row>
    <row r="5800">
      <c r="A5800" s="153"/>
      <c r="B5800" s="153"/>
      <c r="C5800" s="153"/>
      <c r="D5800" s="153"/>
    </row>
    <row r="5801">
      <c r="A5801" s="153"/>
      <c r="B5801" s="153"/>
      <c r="C5801" s="153"/>
      <c r="D5801" s="153"/>
    </row>
    <row r="5802">
      <c r="A5802" s="153"/>
      <c r="B5802" s="153"/>
      <c r="C5802" s="153"/>
      <c r="D5802" s="153"/>
    </row>
    <row r="5803">
      <c r="A5803" s="153"/>
      <c r="B5803" s="153"/>
      <c r="C5803" s="153"/>
      <c r="D5803" s="153"/>
    </row>
    <row r="5804">
      <c r="A5804" s="153"/>
      <c r="B5804" s="153"/>
      <c r="C5804" s="153"/>
      <c r="D5804" s="153"/>
    </row>
    <row r="5805">
      <c r="A5805" s="153"/>
      <c r="B5805" s="153"/>
      <c r="C5805" s="153"/>
      <c r="D5805" s="153"/>
    </row>
    <row r="5806">
      <c r="A5806" s="153"/>
      <c r="B5806" s="153"/>
      <c r="C5806" s="153"/>
      <c r="D5806" s="153"/>
    </row>
    <row r="5807">
      <c r="A5807" s="153"/>
      <c r="B5807" s="153"/>
      <c r="C5807" s="153"/>
      <c r="D5807" s="153"/>
    </row>
    <row r="5808">
      <c r="A5808" s="153"/>
      <c r="B5808" s="153"/>
      <c r="C5808" s="153"/>
      <c r="D5808" s="153"/>
    </row>
    <row r="5809">
      <c r="A5809" s="153"/>
      <c r="B5809" s="153"/>
      <c r="C5809" s="153"/>
      <c r="D5809" s="153"/>
    </row>
    <row r="5810">
      <c r="A5810" s="153"/>
      <c r="B5810" s="153"/>
      <c r="C5810" s="153"/>
      <c r="D5810" s="153"/>
    </row>
    <row r="5811">
      <c r="A5811" s="153"/>
      <c r="B5811" s="153"/>
      <c r="C5811" s="153"/>
      <c r="D5811" s="153"/>
    </row>
    <row r="5812">
      <c r="A5812" s="153"/>
      <c r="B5812" s="153"/>
      <c r="C5812" s="153"/>
      <c r="D5812" s="153"/>
    </row>
    <row r="5813">
      <c r="A5813" s="153"/>
      <c r="B5813" s="153"/>
      <c r="C5813" s="153"/>
      <c r="D5813" s="153"/>
    </row>
    <row r="5814">
      <c r="A5814" s="153"/>
      <c r="B5814" s="153"/>
      <c r="C5814" s="153"/>
      <c r="D5814" s="153"/>
    </row>
    <row r="5815">
      <c r="A5815" s="153"/>
      <c r="B5815" s="153"/>
      <c r="C5815" s="153"/>
      <c r="D5815" s="153"/>
    </row>
    <row r="5816">
      <c r="A5816" s="153"/>
      <c r="B5816" s="153"/>
      <c r="C5816" s="153"/>
      <c r="D5816" s="153"/>
    </row>
    <row r="5817">
      <c r="A5817" s="153"/>
      <c r="B5817" s="153"/>
      <c r="C5817" s="153"/>
      <c r="D5817" s="153"/>
    </row>
    <row r="5818">
      <c r="A5818" s="153"/>
      <c r="B5818" s="153"/>
      <c r="C5818" s="153"/>
      <c r="D5818" s="153"/>
    </row>
    <row r="5819">
      <c r="A5819" s="153"/>
      <c r="B5819" s="153"/>
      <c r="C5819" s="153"/>
      <c r="D5819" s="153"/>
    </row>
    <row r="5820">
      <c r="A5820" s="153"/>
      <c r="B5820" s="153"/>
      <c r="C5820" s="153"/>
      <c r="D5820" s="153"/>
    </row>
    <row r="5821">
      <c r="A5821" s="153"/>
      <c r="B5821" s="153"/>
      <c r="C5821" s="153"/>
      <c r="D5821" s="153"/>
    </row>
    <row r="5822">
      <c r="A5822" s="153"/>
      <c r="B5822" s="153"/>
      <c r="C5822" s="153"/>
      <c r="D5822" s="153"/>
    </row>
    <row r="5823">
      <c r="A5823" s="153"/>
      <c r="B5823" s="153"/>
      <c r="C5823" s="153"/>
      <c r="D5823" s="153"/>
    </row>
    <row r="5824">
      <c r="A5824" s="153"/>
      <c r="B5824" s="153"/>
      <c r="C5824" s="153"/>
      <c r="D5824" s="153"/>
    </row>
    <row r="5825">
      <c r="A5825" s="153"/>
      <c r="B5825" s="153"/>
      <c r="C5825" s="153"/>
      <c r="D5825" s="153"/>
    </row>
    <row r="5826">
      <c r="A5826" s="153"/>
      <c r="B5826" s="153"/>
      <c r="C5826" s="153"/>
      <c r="D5826" s="153"/>
    </row>
    <row r="5827">
      <c r="A5827" s="153"/>
      <c r="B5827" s="153"/>
      <c r="C5827" s="153"/>
      <c r="D5827" s="153"/>
    </row>
    <row r="5828">
      <c r="A5828" s="153"/>
      <c r="B5828" s="153"/>
      <c r="C5828" s="153"/>
      <c r="D5828" s="153"/>
    </row>
    <row r="5829">
      <c r="A5829" s="153"/>
      <c r="B5829" s="153"/>
      <c r="C5829" s="153"/>
      <c r="D5829" s="153"/>
    </row>
    <row r="5830">
      <c r="A5830" s="153"/>
      <c r="B5830" s="153"/>
      <c r="C5830" s="153"/>
      <c r="D5830" s="153"/>
    </row>
    <row r="5831">
      <c r="A5831" s="153"/>
      <c r="B5831" s="153"/>
      <c r="C5831" s="153"/>
      <c r="D5831" s="153"/>
    </row>
    <row r="5832">
      <c r="A5832" s="153"/>
      <c r="B5832" s="153"/>
      <c r="C5832" s="153"/>
      <c r="D5832" s="153"/>
    </row>
    <row r="5833">
      <c r="A5833" s="153"/>
      <c r="B5833" s="153"/>
      <c r="C5833" s="153"/>
      <c r="D5833" s="153"/>
    </row>
    <row r="5834">
      <c r="A5834" s="153"/>
      <c r="B5834" s="153"/>
      <c r="C5834" s="153"/>
      <c r="D5834" s="153"/>
    </row>
    <row r="5835">
      <c r="A5835" s="153"/>
      <c r="B5835" s="153"/>
      <c r="C5835" s="153"/>
      <c r="D5835" s="153"/>
    </row>
    <row r="5836">
      <c r="A5836" s="153"/>
      <c r="B5836" s="153"/>
      <c r="C5836" s="153"/>
      <c r="D5836" s="153"/>
    </row>
    <row r="5837">
      <c r="A5837" s="153"/>
      <c r="B5837" s="153"/>
      <c r="C5837" s="153"/>
      <c r="D5837" s="153"/>
    </row>
    <row r="5838">
      <c r="A5838" s="153"/>
      <c r="B5838" s="153"/>
      <c r="C5838" s="153"/>
      <c r="D5838" s="153"/>
    </row>
    <row r="5839">
      <c r="A5839" s="153"/>
      <c r="B5839" s="153"/>
      <c r="C5839" s="153"/>
      <c r="D5839" s="153"/>
    </row>
    <row r="5840">
      <c r="A5840" s="153"/>
      <c r="B5840" s="153"/>
      <c r="C5840" s="153"/>
      <c r="D5840" s="153"/>
    </row>
    <row r="5841">
      <c r="A5841" s="153"/>
      <c r="B5841" s="153"/>
      <c r="C5841" s="153"/>
      <c r="D5841" s="153"/>
    </row>
    <row r="5842">
      <c r="A5842" s="153"/>
      <c r="B5842" s="153"/>
      <c r="C5842" s="153"/>
      <c r="D5842" s="153"/>
    </row>
    <row r="5843">
      <c r="A5843" s="153"/>
      <c r="B5843" s="153"/>
      <c r="C5843" s="153"/>
      <c r="D5843" s="153"/>
    </row>
    <row r="5844">
      <c r="A5844" s="153"/>
      <c r="B5844" s="153"/>
      <c r="C5844" s="153"/>
      <c r="D5844" s="153"/>
    </row>
    <row r="5845">
      <c r="A5845" s="153"/>
      <c r="B5845" s="153"/>
      <c r="C5845" s="153"/>
      <c r="D5845" s="153"/>
    </row>
    <row r="5846">
      <c r="A5846" s="153"/>
      <c r="B5846" s="153"/>
      <c r="C5846" s="153"/>
      <c r="D5846" s="153"/>
    </row>
    <row r="5847">
      <c r="A5847" s="153"/>
      <c r="B5847" s="153"/>
      <c r="C5847" s="153"/>
      <c r="D5847" s="153"/>
    </row>
    <row r="5848">
      <c r="A5848" s="153"/>
      <c r="B5848" s="153"/>
      <c r="C5848" s="153"/>
      <c r="D5848" s="153"/>
    </row>
    <row r="5849">
      <c r="A5849" s="153"/>
      <c r="B5849" s="153"/>
      <c r="C5849" s="153"/>
      <c r="D5849" s="153"/>
    </row>
    <row r="5850">
      <c r="A5850" s="153"/>
      <c r="B5850" s="153"/>
      <c r="C5850" s="153"/>
      <c r="D5850" s="153"/>
    </row>
    <row r="5851">
      <c r="A5851" s="153"/>
      <c r="B5851" s="153"/>
      <c r="C5851" s="153"/>
      <c r="D5851" s="153"/>
    </row>
    <row r="5852">
      <c r="A5852" s="153"/>
      <c r="B5852" s="153"/>
      <c r="C5852" s="153"/>
      <c r="D5852" s="153"/>
    </row>
    <row r="5853">
      <c r="A5853" s="153"/>
      <c r="B5853" s="153"/>
      <c r="C5853" s="153"/>
      <c r="D5853" s="153"/>
    </row>
    <row r="5854">
      <c r="A5854" s="153"/>
      <c r="B5854" s="153"/>
      <c r="C5854" s="153"/>
      <c r="D5854" s="153"/>
    </row>
    <row r="5855">
      <c r="A5855" s="153"/>
      <c r="B5855" s="153"/>
      <c r="C5855" s="153"/>
      <c r="D5855" s="153"/>
    </row>
    <row r="5856">
      <c r="A5856" s="153"/>
      <c r="B5856" s="153"/>
      <c r="C5856" s="153"/>
      <c r="D5856" s="153"/>
    </row>
    <row r="5857">
      <c r="A5857" s="153"/>
      <c r="B5857" s="153"/>
      <c r="C5857" s="153"/>
      <c r="D5857" s="153"/>
    </row>
    <row r="5858">
      <c r="A5858" s="153"/>
      <c r="B5858" s="153"/>
      <c r="C5858" s="153"/>
      <c r="D5858" s="153"/>
    </row>
    <row r="5859">
      <c r="A5859" s="153"/>
      <c r="B5859" s="153"/>
      <c r="C5859" s="153"/>
      <c r="D5859" s="153"/>
    </row>
    <row r="5860">
      <c r="A5860" s="153"/>
      <c r="B5860" s="153"/>
      <c r="C5860" s="153"/>
      <c r="D5860" s="153"/>
    </row>
    <row r="5861">
      <c r="A5861" s="153"/>
      <c r="B5861" s="153"/>
      <c r="C5861" s="153"/>
      <c r="D5861" s="153"/>
    </row>
    <row r="5862">
      <c r="A5862" s="153"/>
      <c r="B5862" s="153"/>
      <c r="C5862" s="153"/>
      <c r="D5862" s="153"/>
    </row>
    <row r="5863">
      <c r="A5863" s="153"/>
      <c r="B5863" s="153"/>
      <c r="C5863" s="153"/>
      <c r="D5863" s="153"/>
    </row>
    <row r="5864">
      <c r="A5864" s="153"/>
      <c r="B5864" s="153"/>
      <c r="C5864" s="153"/>
      <c r="D5864" s="153"/>
    </row>
    <row r="5865">
      <c r="A5865" s="153"/>
      <c r="B5865" s="153"/>
      <c r="C5865" s="153"/>
      <c r="D5865" s="153"/>
    </row>
    <row r="5866">
      <c r="A5866" s="153"/>
      <c r="B5866" s="153"/>
      <c r="C5866" s="153"/>
      <c r="D5866" s="153"/>
    </row>
    <row r="5867">
      <c r="A5867" s="153"/>
      <c r="B5867" s="153"/>
      <c r="C5867" s="153"/>
      <c r="D5867" s="153"/>
    </row>
    <row r="5868">
      <c r="A5868" s="153"/>
      <c r="B5868" s="153"/>
      <c r="C5868" s="153"/>
      <c r="D5868" s="153"/>
    </row>
    <row r="5869">
      <c r="A5869" s="153"/>
      <c r="B5869" s="153"/>
      <c r="C5869" s="153"/>
      <c r="D5869" s="153"/>
    </row>
    <row r="5870">
      <c r="A5870" s="153"/>
      <c r="B5870" s="153"/>
      <c r="C5870" s="153"/>
      <c r="D5870" s="153"/>
    </row>
    <row r="5871">
      <c r="A5871" s="153"/>
      <c r="B5871" s="153"/>
      <c r="C5871" s="153"/>
      <c r="D5871" s="153"/>
    </row>
    <row r="5872">
      <c r="A5872" s="153"/>
      <c r="B5872" s="153"/>
      <c r="C5872" s="153"/>
      <c r="D5872" s="153"/>
    </row>
    <row r="5873">
      <c r="A5873" s="153"/>
      <c r="B5873" s="153"/>
      <c r="C5873" s="153"/>
      <c r="D5873" s="153"/>
    </row>
    <row r="5874">
      <c r="A5874" s="153"/>
      <c r="B5874" s="153"/>
      <c r="C5874" s="153"/>
      <c r="D5874" s="153"/>
    </row>
    <row r="5875">
      <c r="A5875" s="153"/>
      <c r="B5875" s="153"/>
      <c r="C5875" s="153"/>
      <c r="D5875" s="153"/>
    </row>
    <row r="5876">
      <c r="A5876" s="153"/>
      <c r="B5876" s="153"/>
      <c r="C5876" s="153"/>
      <c r="D5876" s="153"/>
    </row>
    <row r="5877">
      <c r="A5877" s="153"/>
      <c r="B5877" s="153"/>
      <c r="C5877" s="153"/>
      <c r="D5877" s="153"/>
    </row>
    <row r="5878">
      <c r="A5878" s="153"/>
      <c r="B5878" s="153"/>
      <c r="C5878" s="153"/>
      <c r="D5878" s="153"/>
    </row>
    <row r="5879">
      <c r="A5879" s="153"/>
      <c r="B5879" s="153"/>
      <c r="C5879" s="153"/>
      <c r="D5879" s="153"/>
    </row>
    <row r="5880">
      <c r="A5880" s="153"/>
      <c r="B5880" s="153"/>
      <c r="C5880" s="153"/>
      <c r="D5880" s="153"/>
    </row>
    <row r="5881">
      <c r="A5881" s="153"/>
      <c r="B5881" s="153"/>
      <c r="C5881" s="153"/>
      <c r="D5881" s="153"/>
    </row>
    <row r="5882">
      <c r="A5882" s="153"/>
      <c r="B5882" s="153"/>
      <c r="C5882" s="153"/>
      <c r="D5882" s="153"/>
    </row>
    <row r="5883">
      <c r="A5883" s="153"/>
      <c r="B5883" s="153"/>
      <c r="C5883" s="153"/>
      <c r="D5883" s="153"/>
    </row>
    <row r="5884">
      <c r="A5884" s="153"/>
      <c r="B5884" s="153"/>
      <c r="C5884" s="153"/>
      <c r="D5884" s="153"/>
    </row>
    <row r="5885">
      <c r="A5885" s="153"/>
      <c r="B5885" s="153"/>
      <c r="C5885" s="153"/>
      <c r="D5885" s="153"/>
    </row>
    <row r="5886">
      <c r="A5886" s="153"/>
      <c r="B5886" s="153"/>
      <c r="C5886" s="153"/>
      <c r="D5886" s="153"/>
    </row>
    <row r="5887">
      <c r="A5887" s="153"/>
      <c r="B5887" s="153"/>
      <c r="C5887" s="153"/>
      <c r="D5887" s="153"/>
    </row>
    <row r="5888">
      <c r="A5888" s="153"/>
      <c r="B5888" s="153"/>
      <c r="C5888" s="153"/>
      <c r="D5888" s="153"/>
    </row>
    <row r="5889">
      <c r="A5889" s="153"/>
      <c r="B5889" s="153"/>
      <c r="C5889" s="153"/>
      <c r="D5889" s="153"/>
    </row>
    <row r="5890">
      <c r="A5890" s="153"/>
      <c r="B5890" s="153"/>
      <c r="C5890" s="153"/>
      <c r="D5890" s="153"/>
    </row>
    <row r="5891">
      <c r="A5891" s="153"/>
      <c r="B5891" s="153"/>
      <c r="C5891" s="153"/>
      <c r="D5891" s="153"/>
    </row>
    <row r="5892">
      <c r="A5892" s="153"/>
      <c r="B5892" s="153"/>
      <c r="C5892" s="153"/>
      <c r="D5892" s="153"/>
    </row>
    <row r="5893">
      <c r="A5893" s="153"/>
      <c r="B5893" s="153"/>
      <c r="C5893" s="153"/>
      <c r="D5893" s="153"/>
    </row>
    <row r="5894">
      <c r="A5894" s="153"/>
      <c r="B5894" s="153"/>
      <c r="C5894" s="153"/>
      <c r="D5894" s="153"/>
    </row>
    <row r="5895">
      <c r="A5895" s="153"/>
      <c r="B5895" s="153"/>
      <c r="C5895" s="153"/>
      <c r="D5895" s="153"/>
    </row>
    <row r="5896">
      <c r="A5896" s="153"/>
      <c r="B5896" s="153"/>
      <c r="C5896" s="153"/>
      <c r="D5896" s="153"/>
    </row>
    <row r="5897">
      <c r="A5897" s="153"/>
      <c r="B5897" s="153"/>
      <c r="C5897" s="153"/>
      <c r="D5897" s="153"/>
    </row>
    <row r="5898">
      <c r="A5898" s="153"/>
      <c r="B5898" s="153"/>
      <c r="C5898" s="153"/>
      <c r="D5898" s="153"/>
    </row>
    <row r="5899">
      <c r="A5899" s="153"/>
      <c r="B5899" s="153"/>
      <c r="C5899" s="153"/>
      <c r="D5899" s="153"/>
    </row>
    <row r="5900">
      <c r="A5900" s="153"/>
      <c r="B5900" s="153"/>
      <c r="C5900" s="153"/>
      <c r="D5900" s="153"/>
    </row>
    <row r="5901">
      <c r="A5901" s="153"/>
      <c r="B5901" s="153"/>
      <c r="C5901" s="153"/>
      <c r="D5901" s="153"/>
    </row>
    <row r="5902">
      <c r="A5902" s="153"/>
      <c r="B5902" s="153"/>
      <c r="C5902" s="153"/>
      <c r="D5902" s="153"/>
    </row>
    <row r="5903">
      <c r="A5903" s="153"/>
      <c r="B5903" s="153"/>
      <c r="C5903" s="153"/>
      <c r="D5903" s="153"/>
    </row>
    <row r="5904">
      <c r="A5904" s="153"/>
      <c r="B5904" s="153"/>
      <c r="C5904" s="153"/>
      <c r="D5904" s="153"/>
    </row>
    <row r="5905">
      <c r="A5905" s="153"/>
      <c r="B5905" s="153"/>
      <c r="C5905" s="153"/>
      <c r="D5905" s="153"/>
    </row>
    <row r="5906">
      <c r="A5906" s="153"/>
      <c r="B5906" s="153"/>
      <c r="C5906" s="153"/>
      <c r="D5906" s="153"/>
    </row>
    <row r="5907">
      <c r="A5907" s="153"/>
      <c r="B5907" s="153"/>
      <c r="C5907" s="153"/>
      <c r="D5907" s="153"/>
    </row>
    <row r="5908">
      <c r="A5908" s="153"/>
      <c r="B5908" s="153"/>
      <c r="C5908" s="153"/>
      <c r="D5908" s="153"/>
    </row>
    <row r="5909">
      <c r="A5909" s="153"/>
      <c r="B5909" s="153"/>
      <c r="C5909" s="153"/>
      <c r="D5909" s="153"/>
    </row>
    <row r="5910">
      <c r="A5910" s="153"/>
      <c r="B5910" s="153"/>
      <c r="C5910" s="153"/>
      <c r="D5910" s="153"/>
    </row>
    <row r="5911">
      <c r="A5911" s="153"/>
      <c r="B5911" s="153"/>
      <c r="C5911" s="153"/>
      <c r="D5911" s="153"/>
    </row>
    <row r="5912">
      <c r="A5912" s="153"/>
      <c r="B5912" s="153"/>
      <c r="C5912" s="153"/>
      <c r="D5912" s="153"/>
    </row>
    <row r="5913">
      <c r="A5913" s="153"/>
      <c r="B5913" s="153"/>
      <c r="C5913" s="153"/>
      <c r="D5913" s="153"/>
    </row>
    <row r="5914">
      <c r="A5914" s="153"/>
      <c r="B5914" s="153"/>
      <c r="C5914" s="153"/>
      <c r="D5914" s="153"/>
    </row>
    <row r="5915">
      <c r="A5915" s="153"/>
      <c r="B5915" s="153"/>
      <c r="C5915" s="153"/>
      <c r="D5915" s="153"/>
    </row>
    <row r="5916">
      <c r="A5916" s="153"/>
      <c r="B5916" s="153"/>
      <c r="C5916" s="153"/>
      <c r="D5916" s="153"/>
    </row>
    <row r="5917">
      <c r="A5917" s="153"/>
      <c r="B5917" s="153"/>
      <c r="C5917" s="153"/>
      <c r="D5917" s="153"/>
    </row>
    <row r="5918">
      <c r="A5918" s="153"/>
      <c r="B5918" s="153"/>
      <c r="C5918" s="153"/>
      <c r="D5918" s="153"/>
    </row>
    <row r="5919">
      <c r="A5919" s="153"/>
      <c r="B5919" s="153"/>
      <c r="C5919" s="153"/>
      <c r="D5919" s="153"/>
    </row>
    <row r="5920">
      <c r="A5920" s="153"/>
      <c r="B5920" s="153"/>
      <c r="C5920" s="153"/>
      <c r="D5920" s="153"/>
    </row>
    <row r="5921">
      <c r="A5921" s="153"/>
      <c r="B5921" s="153"/>
      <c r="C5921" s="153"/>
      <c r="D5921" s="153"/>
    </row>
    <row r="5922">
      <c r="A5922" s="153"/>
      <c r="B5922" s="153"/>
      <c r="C5922" s="153"/>
      <c r="D5922" s="153"/>
    </row>
    <row r="5923">
      <c r="A5923" s="153"/>
      <c r="B5923" s="153"/>
      <c r="C5923" s="153"/>
      <c r="D5923" s="153"/>
    </row>
    <row r="5924">
      <c r="A5924" s="153"/>
      <c r="B5924" s="153"/>
      <c r="C5924" s="153"/>
      <c r="D5924" s="153"/>
    </row>
    <row r="5925">
      <c r="A5925" s="153"/>
      <c r="B5925" s="153"/>
      <c r="C5925" s="153"/>
      <c r="D5925" s="153"/>
    </row>
    <row r="5926">
      <c r="A5926" s="153"/>
      <c r="B5926" s="153"/>
      <c r="C5926" s="153"/>
      <c r="D5926" s="153"/>
    </row>
    <row r="5927">
      <c r="A5927" s="153"/>
      <c r="B5927" s="153"/>
      <c r="C5927" s="153"/>
      <c r="D5927" s="153"/>
    </row>
    <row r="5928">
      <c r="A5928" s="153"/>
      <c r="B5928" s="153"/>
      <c r="C5928" s="153"/>
      <c r="D5928" s="153"/>
    </row>
    <row r="5929">
      <c r="A5929" s="153"/>
      <c r="B5929" s="153"/>
      <c r="C5929" s="153"/>
      <c r="D5929" s="153"/>
    </row>
    <row r="5930">
      <c r="A5930" s="153"/>
      <c r="B5930" s="153"/>
      <c r="C5930" s="153"/>
      <c r="D5930" s="153"/>
    </row>
    <row r="5931">
      <c r="A5931" s="153"/>
      <c r="B5931" s="153"/>
      <c r="C5931" s="153"/>
      <c r="D5931" s="153"/>
    </row>
    <row r="5932">
      <c r="A5932" s="153"/>
      <c r="B5932" s="153"/>
      <c r="C5932" s="153"/>
      <c r="D5932" s="153"/>
    </row>
    <row r="5933">
      <c r="A5933" s="153"/>
      <c r="B5933" s="153"/>
      <c r="C5933" s="153"/>
      <c r="D5933" s="153"/>
    </row>
    <row r="5934">
      <c r="A5934" s="153"/>
      <c r="B5934" s="153"/>
      <c r="C5934" s="153"/>
      <c r="D5934" s="153"/>
    </row>
    <row r="5935">
      <c r="A5935" s="153"/>
      <c r="B5935" s="153"/>
      <c r="C5935" s="153"/>
      <c r="D5935" s="153"/>
    </row>
    <row r="5936">
      <c r="A5936" s="153"/>
      <c r="B5936" s="153"/>
      <c r="C5936" s="153"/>
      <c r="D5936" s="153"/>
    </row>
    <row r="5937">
      <c r="A5937" s="153"/>
      <c r="B5937" s="153"/>
      <c r="C5937" s="153"/>
      <c r="D5937" s="153"/>
    </row>
    <row r="5938">
      <c r="A5938" s="153"/>
      <c r="B5938" s="153"/>
      <c r="C5938" s="153"/>
      <c r="D5938" s="153"/>
    </row>
    <row r="5939">
      <c r="A5939" s="153"/>
      <c r="B5939" s="153"/>
      <c r="C5939" s="153"/>
      <c r="D5939" s="153"/>
    </row>
    <row r="5940">
      <c r="A5940" s="153"/>
      <c r="B5940" s="153"/>
      <c r="C5940" s="153"/>
      <c r="D5940" s="153"/>
    </row>
    <row r="5941">
      <c r="A5941" s="153"/>
      <c r="B5941" s="153"/>
      <c r="C5941" s="153"/>
      <c r="D5941" s="153"/>
    </row>
    <row r="5942">
      <c r="A5942" s="153"/>
      <c r="B5942" s="153"/>
      <c r="C5942" s="153"/>
      <c r="D5942" s="153"/>
    </row>
    <row r="5943">
      <c r="A5943" s="153"/>
      <c r="B5943" s="153"/>
      <c r="C5943" s="153"/>
      <c r="D5943" s="153"/>
    </row>
    <row r="5944">
      <c r="A5944" s="153"/>
      <c r="B5944" s="153"/>
      <c r="C5944" s="153"/>
      <c r="D5944" s="153"/>
    </row>
    <row r="5945">
      <c r="A5945" s="153"/>
      <c r="B5945" s="153"/>
      <c r="C5945" s="153"/>
      <c r="D5945" s="153"/>
    </row>
    <row r="5946">
      <c r="A5946" s="153"/>
      <c r="B5946" s="153"/>
      <c r="C5946" s="153"/>
      <c r="D5946" s="153"/>
    </row>
    <row r="5947">
      <c r="A5947" s="153"/>
      <c r="B5947" s="153"/>
      <c r="C5947" s="153"/>
      <c r="D5947" s="153"/>
    </row>
    <row r="5948">
      <c r="A5948" s="153"/>
      <c r="B5948" s="153"/>
      <c r="C5948" s="153"/>
      <c r="D5948" s="153"/>
    </row>
    <row r="5949">
      <c r="A5949" s="153"/>
      <c r="B5949" s="153"/>
      <c r="C5949" s="153"/>
      <c r="D5949" s="153"/>
    </row>
    <row r="5950">
      <c r="A5950" s="153"/>
      <c r="B5950" s="153"/>
      <c r="C5950" s="153"/>
      <c r="D5950" s="153"/>
    </row>
    <row r="5951">
      <c r="A5951" s="153"/>
      <c r="B5951" s="153"/>
      <c r="C5951" s="153"/>
      <c r="D5951" s="153"/>
    </row>
    <row r="5952">
      <c r="A5952" s="153"/>
      <c r="B5952" s="153"/>
      <c r="C5952" s="153"/>
      <c r="D5952" s="153"/>
    </row>
    <row r="5953">
      <c r="A5953" s="153"/>
      <c r="B5953" s="153"/>
      <c r="C5953" s="153"/>
      <c r="D5953" s="153"/>
    </row>
    <row r="5954">
      <c r="A5954" s="153"/>
      <c r="B5954" s="153"/>
      <c r="C5954" s="153"/>
      <c r="D5954" s="153"/>
    </row>
    <row r="5955">
      <c r="A5955" s="153"/>
      <c r="B5955" s="153"/>
      <c r="C5955" s="153"/>
      <c r="D5955" s="153"/>
    </row>
    <row r="5956">
      <c r="A5956" s="153"/>
      <c r="B5956" s="153"/>
      <c r="C5956" s="153"/>
      <c r="D5956" s="153"/>
    </row>
    <row r="5957">
      <c r="A5957" s="153"/>
      <c r="B5957" s="153"/>
      <c r="C5957" s="153"/>
      <c r="D5957" s="153"/>
    </row>
    <row r="5958">
      <c r="A5958" s="153"/>
      <c r="B5958" s="153"/>
      <c r="C5958" s="153"/>
      <c r="D5958" s="153"/>
    </row>
    <row r="5959">
      <c r="A5959" s="153"/>
      <c r="B5959" s="153"/>
      <c r="C5959" s="153"/>
      <c r="D5959" s="153"/>
    </row>
    <row r="5960">
      <c r="A5960" s="153"/>
      <c r="B5960" s="153"/>
      <c r="C5960" s="153"/>
      <c r="D5960" s="153"/>
    </row>
    <row r="5961">
      <c r="A5961" s="153"/>
      <c r="B5961" s="153"/>
      <c r="C5961" s="153"/>
      <c r="D5961" s="153"/>
    </row>
    <row r="5962">
      <c r="A5962" s="153"/>
      <c r="B5962" s="153"/>
      <c r="C5962" s="153"/>
      <c r="D5962" s="153"/>
    </row>
    <row r="5963">
      <c r="A5963" s="153"/>
      <c r="B5963" s="153"/>
      <c r="C5963" s="153"/>
      <c r="D5963" s="153"/>
    </row>
    <row r="5964">
      <c r="A5964" s="153"/>
      <c r="B5964" s="153"/>
      <c r="C5964" s="153"/>
      <c r="D5964" s="153"/>
    </row>
    <row r="5965">
      <c r="A5965" s="153"/>
      <c r="B5965" s="153"/>
      <c r="C5965" s="153"/>
      <c r="D5965" s="153"/>
    </row>
    <row r="5966">
      <c r="A5966" s="153"/>
      <c r="B5966" s="153"/>
      <c r="C5966" s="153"/>
      <c r="D5966" s="153"/>
    </row>
    <row r="5967">
      <c r="A5967" s="153"/>
      <c r="B5967" s="153"/>
      <c r="C5967" s="153"/>
      <c r="D5967" s="153"/>
    </row>
    <row r="5968">
      <c r="A5968" s="153"/>
      <c r="B5968" s="153"/>
      <c r="C5968" s="153"/>
      <c r="D5968" s="153"/>
    </row>
    <row r="5969">
      <c r="A5969" s="153"/>
      <c r="B5969" s="153"/>
      <c r="C5969" s="153"/>
      <c r="D5969" s="153"/>
    </row>
    <row r="5970">
      <c r="A5970" s="153"/>
      <c r="B5970" s="153"/>
      <c r="C5970" s="153"/>
      <c r="D5970" s="153"/>
    </row>
    <row r="5971">
      <c r="A5971" s="153"/>
      <c r="B5971" s="153"/>
      <c r="C5971" s="153"/>
      <c r="D5971" s="153"/>
    </row>
    <row r="5972">
      <c r="A5972" s="153"/>
      <c r="B5972" s="153"/>
      <c r="C5972" s="153"/>
      <c r="D5972" s="153"/>
    </row>
    <row r="5973">
      <c r="A5973" s="153"/>
      <c r="B5973" s="153"/>
      <c r="C5973" s="153"/>
      <c r="D5973" s="153"/>
    </row>
    <row r="5974">
      <c r="A5974" s="153"/>
      <c r="B5974" s="153"/>
      <c r="C5974" s="153"/>
      <c r="D5974" s="153"/>
    </row>
    <row r="5975">
      <c r="A5975" s="153"/>
      <c r="B5975" s="153"/>
      <c r="C5975" s="153"/>
      <c r="D5975" s="153"/>
    </row>
    <row r="5976">
      <c r="A5976" s="153"/>
      <c r="B5976" s="153"/>
      <c r="C5976" s="153"/>
      <c r="D5976" s="153"/>
    </row>
    <row r="5977">
      <c r="A5977" s="153"/>
      <c r="B5977" s="153"/>
      <c r="C5977" s="153"/>
      <c r="D5977" s="153"/>
    </row>
    <row r="5978">
      <c r="A5978" s="153"/>
      <c r="B5978" s="153"/>
      <c r="C5978" s="153"/>
      <c r="D5978" s="153"/>
    </row>
    <row r="5979">
      <c r="A5979" s="153"/>
      <c r="B5979" s="153"/>
      <c r="C5979" s="153"/>
      <c r="D5979" s="153"/>
    </row>
    <row r="5980">
      <c r="A5980" s="153"/>
      <c r="B5980" s="153"/>
      <c r="C5980" s="153"/>
      <c r="D5980" s="153"/>
    </row>
    <row r="5981">
      <c r="A5981" s="153"/>
      <c r="B5981" s="153"/>
      <c r="C5981" s="153"/>
      <c r="D5981" s="153"/>
    </row>
    <row r="5982">
      <c r="A5982" s="153"/>
      <c r="B5982" s="153"/>
      <c r="C5982" s="153"/>
      <c r="D5982" s="153"/>
    </row>
    <row r="5983">
      <c r="A5983" s="153"/>
      <c r="B5983" s="153"/>
      <c r="C5983" s="153"/>
      <c r="D5983" s="153"/>
    </row>
    <row r="5984">
      <c r="A5984" s="153"/>
      <c r="B5984" s="153"/>
      <c r="C5984" s="153"/>
      <c r="D5984" s="153"/>
    </row>
    <row r="5985">
      <c r="A5985" s="153"/>
      <c r="B5985" s="153"/>
      <c r="C5985" s="153"/>
      <c r="D5985" s="153"/>
    </row>
    <row r="5986">
      <c r="A5986" s="153"/>
      <c r="B5986" s="153"/>
      <c r="C5986" s="153"/>
      <c r="D5986" s="153"/>
    </row>
    <row r="5987">
      <c r="A5987" s="153"/>
      <c r="B5987" s="153"/>
      <c r="C5987" s="153"/>
      <c r="D5987" s="153"/>
    </row>
    <row r="5988">
      <c r="A5988" s="153"/>
      <c r="B5988" s="153"/>
      <c r="C5988" s="153"/>
      <c r="D5988" s="153"/>
    </row>
    <row r="5989">
      <c r="A5989" s="153"/>
      <c r="B5989" s="153"/>
      <c r="C5989" s="153"/>
      <c r="D5989" s="153"/>
    </row>
    <row r="5990">
      <c r="A5990" s="153"/>
      <c r="B5990" s="153"/>
      <c r="C5990" s="153"/>
      <c r="D5990" s="153"/>
    </row>
    <row r="5991">
      <c r="A5991" s="153" t="str">
        <f>IFERROR(__xludf.DUMMYFUNCTION("""COMPUTED_VALUE"""),"ANDERSON ID")</f>
        <v>ANDERSON ID</v>
      </c>
      <c r="B5991" s="153" t="str">
        <f>IFERROR(__xludf.DUMMYFUNCTION("""COMPUTED_VALUE"""),"CATEGORY")</f>
        <v>CATEGORY</v>
      </c>
      <c r="C5991" s="153" t="str">
        <f>IFERROR(__xludf.DUMMYFUNCTION("""COMPUTED_VALUE"""),"RAW DATA RECEIVED")</f>
        <v>RAW DATA RECEIVED</v>
      </c>
      <c r="D5991" s="153" t="str">
        <f>IFERROR(__xludf.DUMMYFUNCTION("""COMPUTED_VALUE"""),"ANDERSON TAT")</f>
        <v>ANDERSON TAT</v>
      </c>
    </row>
    <row r="5992">
      <c r="A5992" s="153" t="str">
        <f>IFERROR(__xludf.DUMMYFUNCTION("""COMPUTED_VALUE"""),"ADK0000003644")</f>
        <v>ADK0000003644</v>
      </c>
      <c r="B5992" s="153" t="str">
        <f>IFERROR(__xludf.DUMMYFUNCTION("""COMPUTED_VALUE"""),"WHOLE EXOME SEQUENCING")</f>
        <v>WHOLE EXOME SEQUENCING</v>
      </c>
      <c r="C5992" s="153"/>
      <c r="D5992" s="378">
        <f>IFERROR(__xludf.DUMMYFUNCTION("""COMPUTED_VALUE"""),46228.0)</f>
        <v>46228</v>
      </c>
    </row>
    <row r="5993">
      <c r="A5993" s="153" t="str">
        <f>IFERROR(__xludf.DUMMYFUNCTION("""COMPUTED_VALUE"""),"ADK0000003645")</f>
        <v>ADK0000003645</v>
      </c>
      <c r="B5993" s="153" t="str">
        <f>IFERROR(__xludf.DUMMYFUNCTION("""COMPUTED_VALUE"""),"WHOLE EXOME SEQUENCING")</f>
        <v>WHOLE EXOME SEQUENCING</v>
      </c>
      <c r="C5993" s="153"/>
      <c r="D5993" s="378">
        <f>IFERROR(__xludf.DUMMYFUNCTION("""COMPUTED_VALUE"""),46228.0)</f>
        <v>46228</v>
      </c>
    </row>
    <row r="5994">
      <c r="A5994" s="153" t="str">
        <f>IFERROR(__xludf.DUMMYFUNCTION("""COMPUTED_VALUE"""),"ADK0000003646")</f>
        <v>ADK0000003646</v>
      </c>
      <c r="B5994" s="153" t="str">
        <f>IFERROR(__xludf.DUMMYFUNCTION("""COMPUTED_VALUE"""),"WHOLE EXOME SEQUENCING")</f>
        <v>WHOLE EXOME SEQUENCING</v>
      </c>
      <c r="C5994" s="153"/>
      <c r="D5994" s="378">
        <f>IFERROR(__xludf.DUMMYFUNCTION("""COMPUTED_VALUE"""),46228.0)</f>
        <v>46228</v>
      </c>
    </row>
    <row r="5995">
      <c r="A5995" s="153" t="str">
        <f>IFERROR(__xludf.DUMMYFUNCTION("""COMPUTED_VALUE"""),"ADK0000003647")</f>
        <v>ADK0000003647</v>
      </c>
      <c r="B5995" s="153" t="str">
        <f>IFERROR(__xludf.DUMMYFUNCTION("""COMPUTED_VALUE"""),"WHOLE EXOME SEQUENCING")</f>
        <v>WHOLE EXOME SEQUENCING</v>
      </c>
      <c r="C5995" s="153"/>
      <c r="D5995" s="378">
        <f>IFERROR(__xludf.DUMMYFUNCTION("""COMPUTED_VALUE"""),46228.0)</f>
        <v>46228</v>
      </c>
    </row>
    <row r="5996">
      <c r="A5996" s="153" t="str">
        <f>IFERROR(__xludf.DUMMYFUNCTION("""COMPUTED_VALUE"""),"ADK0000003648")</f>
        <v>ADK0000003648</v>
      </c>
      <c r="B5996" s="153" t="str">
        <f>IFERROR(__xludf.DUMMYFUNCTION("""COMPUTED_VALUE"""),"WHOLE EXOME SEQUENCING")</f>
        <v>WHOLE EXOME SEQUENCING</v>
      </c>
      <c r="C5996" s="153"/>
      <c r="D5996" s="378">
        <f>IFERROR(__xludf.DUMMYFUNCTION("""COMPUTED_VALUE"""),46228.0)</f>
        <v>46228</v>
      </c>
    </row>
    <row r="5997">
      <c r="A5997" s="153" t="str">
        <f>IFERROR(__xludf.DUMMYFUNCTION("""COMPUTED_VALUE"""),"ADK0000003649")</f>
        <v>ADK0000003649</v>
      </c>
      <c r="B5997" s="153" t="str">
        <f>IFERROR(__xludf.DUMMYFUNCTION("""COMPUTED_VALUE"""),"WHOLE EXOME SEQUENCING")</f>
        <v>WHOLE EXOME SEQUENCING</v>
      </c>
      <c r="C5997" s="153"/>
      <c r="D5997" s="378">
        <f>IFERROR(__xludf.DUMMYFUNCTION("""COMPUTED_VALUE"""),46228.0)</f>
        <v>46228</v>
      </c>
    </row>
    <row r="5998">
      <c r="A5998" s="153" t="str">
        <f>IFERROR(__xludf.DUMMYFUNCTION("""COMPUTED_VALUE"""),"ADK0000003650")</f>
        <v>ADK0000003650</v>
      </c>
      <c r="B5998" s="153" t="str">
        <f>IFERROR(__xludf.DUMMYFUNCTION("""COMPUTED_VALUE"""),"WHOLE EXOME SEQUENCING")</f>
        <v>WHOLE EXOME SEQUENCING</v>
      </c>
      <c r="C5998" s="153"/>
      <c r="D5998" s="378">
        <f>IFERROR(__xludf.DUMMYFUNCTION("""COMPUTED_VALUE"""),46228.0)</f>
        <v>46228</v>
      </c>
    </row>
    <row r="5999">
      <c r="A5999" s="153" t="str">
        <f>IFERROR(__xludf.DUMMYFUNCTION("""COMPUTED_VALUE"""),"ADK0000003651")</f>
        <v>ADK0000003651</v>
      </c>
      <c r="B5999" s="153" t="str">
        <f>IFERROR(__xludf.DUMMYFUNCTION("""COMPUTED_VALUE"""),"WHOLE EXOME SEQUENCING")</f>
        <v>WHOLE EXOME SEQUENCING</v>
      </c>
      <c r="C5999" s="153"/>
      <c r="D5999" s="378">
        <f>IFERROR(__xludf.DUMMYFUNCTION("""COMPUTED_VALUE"""),46228.0)</f>
        <v>46228</v>
      </c>
    </row>
    <row r="6000">
      <c r="A6000" s="153" t="str">
        <f>IFERROR(__xludf.DUMMYFUNCTION("""COMPUTED_VALUE"""),"ADK0000003652")</f>
        <v>ADK0000003652</v>
      </c>
      <c r="B6000" s="153" t="str">
        <f>IFERROR(__xludf.DUMMYFUNCTION("""COMPUTED_VALUE"""),"WHOLE EXOME SEQUENCING")</f>
        <v>WHOLE EXOME SEQUENCING</v>
      </c>
      <c r="C6000" s="153"/>
      <c r="D6000" s="378">
        <f>IFERROR(__xludf.DUMMYFUNCTION("""COMPUTED_VALUE"""),46228.0)</f>
        <v>46228</v>
      </c>
    </row>
    <row r="6001">
      <c r="A6001" s="153" t="str">
        <f>IFERROR(__xludf.DUMMYFUNCTION("""COMPUTED_VALUE"""),"ADK0000003653")</f>
        <v>ADK0000003653</v>
      </c>
      <c r="B6001" s="153" t="str">
        <f>IFERROR(__xludf.DUMMYFUNCTION("""COMPUTED_VALUE"""),"WHOLE EXOME SEQUENCING")</f>
        <v>WHOLE EXOME SEQUENCING</v>
      </c>
      <c r="C6001" s="153"/>
      <c r="D6001" s="378">
        <f>IFERROR(__xludf.DUMMYFUNCTION("""COMPUTED_VALUE"""),46228.0)</f>
        <v>46228</v>
      </c>
    </row>
    <row r="6002">
      <c r="A6002" s="153" t="str">
        <f>IFERROR(__xludf.DUMMYFUNCTION("""COMPUTED_VALUE"""),"ADK0000003654")</f>
        <v>ADK0000003654</v>
      </c>
      <c r="B6002" s="153" t="str">
        <f>IFERROR(__xludf.DUMMYFUNCTION("""COMPUTED_VALUE"""),"WHOLE EXOME SEQUENCING")</f>
        <v>WHOLE EXOME SEQUENCING</v>
      </c>
      <c r="C6002" s="153"/>
      <c r="D6002" s="378">
        <f>IFERROR(__xludf.DUMMYFUNCTION("""COMPUTED_VALUE"""),46228.0)</f>
        <v>46228</v>
      </c>
    </row>
    <row r="6003">
      <c r="A6003" s="153" t="str">
        <f>IFERROR(__xludf.DUMMYFUNCTION("""COMPUTED_VALUE"""),"ADB0000046687")</f>
        <v>ADB0000046687</v>
      </c>
      <c r="B6003" s="153" t="str">
        <f>IFERROR(__xludf.DUMMYFUNCTION("""COMPUTED_VALUE"""),"WHOLE EXOME SEQUENCING")</f>
        <v>WHOLE EXOME SEQUENCING</v>
      </c>
      <c r="C6003" s="153"/>
      <c r="D6003" s="378">
        <f>IFERROR(__xludf.DUMMYFUNCTION("""COMPUTED_VALUE"""),46228.0)</f>
        <v>46228</v>
      </c>
    </row>
    <row r="6004">
      <c r="A6004" s="153" t="str">
        <f>IFERROR(__xludf.DUMMYFUNCTION("""COMPUTED_VALUE"""),"ADH0000034001")</f>
        <v>ADH0000034001</v>
      </c>
      <c r="B6004" s="153" t="str">
        <f>IFERROR(__xludf.DUMMYFUNCTION("""COMPUTED_VALUE"""),"WHOLE EXOME SEQUENCING")</f>
        <v>WHOLE EXOME SEQUENCING</v>
      </c>
      <c r="C6004" s="153"/>
      <c r="D6004" s="378">
        <f>IFERROR(__xludf.DUMMYFUNCTION("""COMPUTED_VALUE"""),46230.0)</f>
        <v>46230</v>
      </c>
    </row>
    <row r="6005">
      <c r="A6005" s="153" t="str">
        <f>IFERROR(__xludf.DUMMYFUNCTION("""COMPUTED_VALUE"""),"ADH0000034002")</f>
        <v>ADH0000034002</v>
      </c>
      <c r="B6005" s="153" t="str">
        <f>IFERROR(__xludf.DUMMYFUNCTION("""COMPUTED_VALUE"""),"WHOLE EXOME SEQUENCING")</f>
        <v>WHOLE EXOME SEQUENCING</v>
      </c>
      <c r="C6005" s="153"/>
      <c r="D6005" s="378">
        <f>IFERROR(__xludf.DUMMYFUNCTION("""COMPUTED_VALUE"""),46230.0)</f>
        <v>46230</v>
      </c>
    </row>
    <row r="6006">
      <c r="A6006" s="153" t="str">
        <f>IFERROR(__xludf.DUMMYFUNCTION("""COMPUTED_VALUE"""),"ADH0000034003")</f>
        <v>ADH0000034003</v>
      </c>
      <c r="B6006" s="153" t="str">
        <f>IFERROR(__xludf.DUMMYFUNCTION("""COMPUTED_VALUE"""),"WHOLE EXOME SEQUENCING")</f>
        <v>WHOLE EXOME SEQUENCING</v>
      </c>
      <c r="C6006" s="153"/>
      <c r="D6006" s="378">
        <f>IFERROR(__xludf.DUMMYFUNCTION("""COMPUTED_VALUE"""),46225.0)</f>
        <v>46225</v>
      </c>
    </row>
    <row r="6007">
      <c r="A6007" s="153" t="str">
        <f>IFERROR(__xludf.DUMMYFUNCTION("""COMPUTED_VALUE"""),"ADK0000003633")</f>
        <v>ADK0000003633</v>
      </c>
      <c r="B6007" s="153" t="str">
        <f>IFERROR(__xludf.DUMMYFUNCTION("""COMPUTED_VALUE"""),"WHOLE EXOME SEQUENCING")</f>
        <v>WHOLE EXOME SEQUENCING</v>
      </c>
      <c r="C6007" s="153"/>
      <c r="D6007" s="378">
        <f>IFERROR(__xludf.DUMMYFUNCTION("""COMPUTED_VALUE"""),46227.0)</f>
        <v>46227</v>
      </c>
    </row>
    <row r="6008">
      <c r="A6008" s="153" t="str">
        <f>IFERROR(__xludf.DUMMYFUNCTION("""COMPUTED_VALUE"""),"ADH0000033788")</f>
        <v>ADH0000033788</v>
      </c>
      <c r="B6008" s="153" t="str">
        <f>IFERROR(__xludf.DUMMYFUNCTION("""COMPUTED_VALUE"""),"WHOLE EXOME SEQUENCING")</f>
        <v>WHOLE EXOME SEQUENCING</v>
      </c>
      <c r="C6008" s="153"/>
      <c r="D6008" s="378">
        <f>IFERROR(__xludf.DUMMYFUNCTION("""COMPUTED_VALUE"""),46225.0)</f>
        <v>46225</v>
      </c>
    </row>
    <row r="6009">
      <c r="A6009" s="153" t="str">
        <f>IFERROR(__xludf.DUMMYFUNCTION("""COMPUTED_VALUE"""),"ADB0000046739")</f>
        <v>ADB0000046739</v>
      </c>
      <c r="B6009" s="153" t="str">
        <f>IFERROR(__xludf.DUMMYFUNCTION("""COMPUTED_VALUE"""),"HEREDITARY CANCER GENE PANEL")</f>
        <v>HEREDITARY CANCER GENE PANEL</v>
      </c>
      <c r="C6009" s="153"/>
      <c r="D6009" s="153"/>
    </row>
    <row r="6010">
      <c r="A6010" s="153" t="str">
        <f>IFERROR(__xludf.DUMMYFUNCTION("""COMPUTED_VALUE"""),"ADS0000019955")</f>
        <v>ADS0000019955</v>
      </c>
      <c r="B6010" s="153" t="str">
        <f>IFERROR(__xludf.DUMMYFUNCTION("""COMPUTED_VALUE"""),"COMPREHENSIVE HEREDITARY CANCER PANEL (NGS+MLPA)")</f>
        <v>COMPREHENSIVE HEREDITARY CANCER PANEL (NGS+MLPA)</v>
      </c>
      <c r="C6010" s="153"/>
      <c r="D6010" s="153"/>
    </row>
    <row r="6011">
      <c r="A6011" s="153" t="str">
        <f>IFERROR(__xludf.DUMMYFUNCTION("""COMPUTED_VALUE"""),"MDU0000027417")</f>
        <v>MDU0000027417</v>
      </c>
      <c r="B6011" s="153" t="str">
        <f>IFERROR(__xludf.DUMMYFUNCTION("""COMPUTED_VALUE"""),"HEREDITARY CANCER GENE PANEL")</f>
        <v>HEREDITARY CANCER GENE PANEL</v>
      </c>
      <c r="C6011" s="153"/>
      <c r="D6011" s="153"/>
    </row>
    <row r="6012">
      <c r="A6012" s="153" t="str">
        <f>IFERROR(__xludf.DUMMYFUNCTION("""COMPUTED_VALUE"""),"ADS0000019730")</f>
        <v>ADS0000019730</v>
      </c>
      <c r="B6012" s="153" t="str">
        <f>IFERROR(__xludf.DUMMYFUNCTION("""COMPUTED_VALUE"""),"WHOLE EXOME SEQUENCING")</f>
        <v>WHOLE EXOME SEQUENCING</v>
      </c>
      <c r="C6012" s="153"/>
      <c r="D6012" s="378">
        <f>IFERROR(__xludf.DUMMYFUNCTION("""COMPUTED_VALUE"""),46227.0)</f>
        <v>46227</v>
      </c>
    </row>
    <row r="6013">
      <c r="A6013" s="153" t="str">
        <f>IFERROR(__xludf.DUMMYFUNCTION("""COMPUTED_VALUE"""),"MDU0000027396")</f>
        <v>MDU0000027396</v>
      </c>
      <c r="B6013" s="153" t="str">
        <f>IFERROR(__xludf.DUMMYFUNCTION("""COMPUTED_VALUE"""),"WHOLE EXOME SEQUENCING")</f>
        <v>WHOLE EXOME SEQUENCING</v>
      </c>
      <c r="C6013" s="153"/>
      <c r="D6013" s="378">
        <f>IFERROR(__xludf.DUMMYFUNCTION("""COMPUTED_VALUE"""),46227.0)</f>
        <v>46227</v>
      </c>
    </row>
    <row r="6014">
      <c r="A6014" s="153" t="str">
        <f>IFERROR(__xludf.DUMMYFUNCTION("""COMPUTED_VALUE"""),"ADB0000046285")</f>
        <v>ADB0000046285</v>
      </c>
      <c r="B6014" s="153" t="str">
        <f>IFERROR(__xludf.DUMMYFUNCTION("""COMPUTED_VALUE"""),"WHOLE EXOME SEQUENCING")</f>
        <v>WHOLE EXOME SEQUENCING</v>
      </c>
      <c r="C6014" s="153"/>
      <c r="D6014" s="378">
        <f>IFERROR(__xludf.DUMMYFUNCTION("""COMPUTED_VALUE"""),46230.0)</f>
        <v>46230</v>
      </c>
    </row>
    <row r="6015">
      <c r="A6015" s="153" t="str">
        <f>IFERROR(__xludf.DUMMYFUNCTION("""COMPUTED_VALUE"""),"ADH0000032214")</f>
        <v>ADH0000032214</v>
      </c>
      <c r="B6015" s="153" t="str">
        <f>IFERROR(__xludf.DUMMYFUNCTION("""COMPUTED_VALUE"""),"WHOLE EXOME SEQUENCING")</f>
        <v>WHOLE EXOME SEQUENCING</v>
      </c>
      <c r="C6015" s="153"/>
      <c r="D6015" s="378">
        <f>IFERROR(__xludf.DUMMYFUNCTION("""COMPUTED_VALUE"""),46214.0)</f>
        <v>46214</v>
      </c>
    </row>
    <row r="6016">
      <c r="A6016" s="153" t="str">
        <f>IFERROR(__xludf.DUMMYFUNCTION("""COMPUTED_VALUE"""),"HYP0000002936")</f>
        <v>HYP0000002936</v>
      </c>
      <c r="B6016" s="153" t="str">
        <f>IFERROR(__xludf.DUMMYFUNCTION("""COMPUTED_VALUE"""),"WHOLE EXOME SEQUENCING")</f>
        <v>WHOLE EXOME SEQUENCING</v>
      </c>
      <c r="C6016" s="153" t="str">
        <f>IFERROR(__xludf.DUMMYFUNCTION("""COMPUTED_VALUE"""),"14-07-2026")</f>
        <v>14-07-2026</v>
      </c>
      <c r="D6016" s="378">
        <f>IFERROR(__xludf.DUMMYFUNCTION("""COMPUTED_VALUE"""),46231.0)</f>
        <v>46231</v>
      </c>
    </row>
    <row r="6017">
      <c r="A6017" s="153" t="str">
        <f>IFERROR(__xludf.DUMMYFUNCTION("""COMPUTED_VALUE"""),"ACL0000024236
")</f>
        <v>ACL0000024236
</v>
      </c>
      <c r="B6017" s="153" t="str">
        <f>IFERROR(__xludf.DUMMYFUNCTION("""COMPUTED_VALUE"""),"WHOLE EXOME SEQUENCING + MITOCHONDRIAL GENOME SEQUENCING")</f>
        <v>WHOLE EXOME SEQUENCING + MITOCHONDRIAL GENOME SEQUENCING</v>
      </c>
      <c r="C6017" s="153" t="str">
        <f>IFERROR(__xludf.DUMMYFUNCTION("""COMPUTED_VALUE"""),"14-07-2026")</f>
        <v>14-07-2026</v>
      </c>
      <c r="D6017" s="378">
        <f>IFERROR(__xludf.DUMMYFUNCTION("""COMPUTED_VALUE"""),46231.0)</f>
        <v>46231</v>
      </c>
    </row>
    <row r="6018">
      <c r="A6018" s="153" t="str">
        <f>IFERROR(__xludf.DUMMYFUNCTION("""COMPUTED_VALUE"""),"ACL0000024237
")</f>
        <v>ACL0000024237
</v>
      </c>
      <c r="B6018" s="153" t="str">
        <f>IFERROR(__xludf.DUMMYFUNCTION("""COMPUTED_VALUE"""),"WHOLE EXOME SEQUENCING + MITOCHONDRIAL GENOME SEQUENCING")</f>
        <v>WHOLE EXOME SEQUENCING + MITOCHONDRIAL GENOME SEQUENCING</v>
      </c>
      <c r="C6018" s="153" t="str">
        <f>IFERROR(__xludf.DUMMYFUNCTION("""COMPUTED_VALUE"""),"14-07-2026")</f>
        <v>14-07-2026</v>
      </c>
      <c r="D6018" s="378">
        <f>IFERROR(__xludf.DUMMYFUNCTION("""COMPUTED_VALUE"""),46231.0)</f>
        <v>46231</v>
      </c>
    </row>
    <row r="6019">
      <c r="A6019" s="153" t="str">
        <f>IFERROR(__xludf.DUMMYFUNCTION("""COMPUTED_VALUE"""),"ANG0000015548")</f>
        <v>ANG0000015548</v>
      </c>
      <c r="B6019" s="153" t="str">
        <f>IFERROR(__xludf.DUMMYFUNCTION("""COMPUTED_VALUE"""),"WHOLE EXOME SEQUENCING")</f>
        <v>WHOLE EXOME SEQUENCING</v>
      </c>
      <c r="C6019" s="153" t="str">
        <f>IFERROR(__xludf.DUMMYFUNCTION("""COMPUTED_VALUE"""),"14-07-2026")</f>
        <v>14-07-2026</v>
      </c>
      <c r="D6019" s="378">
        <f>IFERROR(__xludf.DUMMYFUNCTION("""COMPUTED_VALUE"""),46231.0)</f>
        <v>46231</v>
      </c>
    </row>
    <row r="6020">
      <c r="A6020" s="153" t="str">
        <f>IFERROR(__xludf.DUMMYFUNCTION("""COMPUTED_VALUE"""),"ANG0000015547")</f>
        <v>ANG0000015547</v>
      </c>
      <c r="B6020" s="153" t="str">
        <f>IFERROR(__xludf.DUMMYFUNCTION("""COMPUTED_VALUE"""),"WHOLE EXOME SEQUENCING + MITOCHONDRIAL GENOME SEQUENCING")</f>
        <v>WHOLE EXOME SEQUENCING + MITOCHONDRIAL GENOME SEQUENCING</v>
      </c>
      <c r="C6020" s="153" t="str">
        <f>IFERROR(__xludf.DUMMYFUNCTION("""COMPUTED_VALUE"""),"14-07-2026")</f>
        <v>14-07-2026</v>
      </c>
      <c r="D6020" s="378">
        <f>IFERROR(__xludf.DUMMYFUNCTION("""COMPUTED_VALUE"""),46231.0)</f>
        <v>46231</v>
      </c>
    </row>
    <row r="6021">
      <c r="A6021" s="153" t="str">
        <f>IFERROR(__xludf.DUMMYFUNCTION("""COMPUTED_VALUE"""),"TPJ0000027386")</f>
        <v>TPJ0000027386</v>
      </c>
      <c r="B6021" s="153" t="str">
        <f>IFERROR(__xludf.DUMMYFUNCTION("""COMPUTED_VALUE"""),"WHOLE EXOME SEQUENCING + MITOCHONDRIAL GENOME SEQUENCING")</f>
        <v>WHOLE EXOME SEQUENCING + MITOCHONDRIAL GENOME SEQUENCING</v>
      </c>
      <c r="C6021" s="153" t="str">
        <f>IFERROR(__xludf.DUMMYFUNCTION("""COMPUTED_VALUE"""),"14-07-2026")</f>
        <v>14-07-2026</v>
      </c>
      <c r="D6021" s="378">
        <f>IFERROR(__xludf.DUMMYFUNCTION("""COMPUTED_VALUE"""),46231.0)</f>
        <v>46231</v>
      </c>
    </row>
    <row r="6022">
      <c r="A6022" s="153" t="str">
        <f>IFERROR(__xludf.DUMMYFUNCTION("""COMPUTED_VALUE"""),"TPJ0000027387")</f>
        <v>TPJ0000027387</v>
      </c>
      <c r="B6022" s="153" t="str">
        <f>IFERROR(__xludf.DUMMYFUNCTION("""COMPUTED_VALUE"""),"WHOLE EXOME SEQUENCING + MITOCHONDRIAL GENOME SEQUENCING")</f>
        <v>WHOLE EXOME SEQUENCING + MITOCHONDRIAL GENOME SEQUENCING</v>
      </c>
      <c r="C6022" s="153" t="str">
        <f>IFERROR(__xludf.DUMMYFUNCTION("""COMPUTED_VALUE"""),"14-07-2026")</f>
        <v>14-07-2026</v>
      </c>
      <c r="D6022" s="378">
        <f>IFERROR(__xludf.DUMMYFUNCTION("""COMPUTED_VALUE"""),46231.0)</f>
        <v>46231</v>
      </c>
    </row>
    <row r="6023">
      <c r="A6023" s="153" t="str">
        <f>IFERROR(__xludf.DUMMYFUNCTION("""COMPUTED_VALUE"""),"PH60000014789")</f>
        <v>PH60000014789</v>
      </c>
      <c r="B6023" s="153" t="str">
        <f>IFERROR(__xludf.DUMMYFUNCTION("""COMPUTED_VALUE"""),"CLINICAL EXOME SEQUENCING")</f>
        <v>CLINICAL EXOME SEQUENCING</v>
      </c>
      <c r="C6023" s="153" t="str">
        <f>IFERROR(__xludf.DUMMYFUNCTION("""COMPUTED_VALUE"""),"14-07-2026")</f>
        <v>14-07-2026</v>
      </c>
      <c r="D6023" s="378">
        <f>IFERROR(__xludf.DUMMYFUNCTION("""COMPUTED_VALUE"""),46231.0)</f>
        <v>46231</v>
      </c>
    </row>
    <row r="6024">
      <c r="A6024" s="153" t="str">
        <f>IFERROR(__xludf.DUMMYFUNCTION("""COMPUTED_VALUE"""),"ADB0000046536")</f>
        <v>ADB0000046536</v>
      </c>
      <c r="B6024" s="153" t="str">
        <f>IFERROR(__xludf.DUMMYFUNCTION("""COMPUTED_VALUE"""),"WHOLE EXOME SEQUENCING")</f>
        <v>WHOLE EXOME SEQUENCING</v>
      </c>
      <c r="C6024" s="153" t="str">
        <f>IFERROR(__xludf.DUMMYFUNCTION("""COMPUTED_VALUE"""),"14-07-2026")</f>
        <v>14-07-2026</v>
      </c>
      <c r="D6024" s="378">
        <f>IFERROR(__xludf.DUMMYFUNCTION("""COMPUTED_VALUE"""),46232.0)</f>
        <v>46232</v>
      </c>
    </row>
    <row r="6025">
      <c r="A6025" s="153" t="str">
        <f>IFERROR(__xludf.DUMMYFUNCTION("""COMPUTED_VALUE"""),"ADB0000046537")</f>
        <v>ADB0000046537</v>
      </c>
      <c r="B6025" s="153" t="str">
        <f>IFERROR(__xludf.DUMMYFUNCTION("""COMPUTED_VALUE"""),"WHOLE EXOME SEQUENCING")</f>
        <v>WHOLE EXOME SEQUENCING</v>
      </c>
      <c r="C6025" s="153" t="str">
        <f>IFERROR(__xludf.DUMMYFUNCTION("""COMPUTED_VALUE"""),"14-07-2026")</f>
        <v>14-07-2026</v>
      </c>
      <c r="D6025" s="378">
        <f>IFERROR(__xludf.DUMMYFUNCTION("""COMPUTED_VALUE"""),46232.0)</f>
        <v>46232</v>
      </c>
    </row>
    <row r="6026">
      <c r="A6026" s="153" t="str">
        <f>IFERROR(__xludf.DUMMYFUNCTION("""COMPUTED_VALUE"""),"HYP0000002948")</f>
        <v>HYP0000002948</v>
      </c>
      <c r="B6026" s="153" t="str">
        <f>IFERROR(__xludf.DUMMYFUNCTION("""COMPUTED_VALUE"""),"FEMALE INFERTILITY NGS PANEL")</f>
        <v>FEMALE INFERTILITY NGS PANEL</v>
      </c>
      <c r="C6026" s="153" t="str">
        <f>IFERROR(__xludf.DUMMYFUNCTION("""COMPUTED_VALUE"""),"14-07-2026")</f>
        <v>14-07-2026</v>
      </c>
      <c r="D6026" s="378">
        <f>IFERROR(__xludf.DUMMYFUNCTION("""COMPUTED_VALUE"""),46221.0)</f>
        <v>46221</v>
      </c>
    </row>
    <row r="6027">
      <c r="A6027" s="153" t="str">
        <f>IFERROR(__xludf.DUMMYFUNCTION("""COMPUTED_VALUE"""),"ACO0000013827")</f>
        <v>ACO0000013827</v>
      </c>
      <c r="B6027" s="153" t="str">
        <f>IFERROR(__xludf.DUMMYFUNCTION("""COMPUTED_VALUE"""),"FEMALE INFERTILITY NGS PANEL")</f>
        <v>FEMALE INFERTILITY NGS PANEL</v>
      </c>
      <c r="C6027" s="153" t="str">
        <f>IFERROR(__xludf.DUMMYFUNCTION("""COMPUTED_VALUE"""),"14-07-2026")</f>
        <v>14-07-2026</v>
      </c>
      <c r="D6027" s="378">
        <f>IFERROR(__xludf.DUMMYFUNCTION("""COMPUTED_VALUE"""),46222.0)</f>
        <v>46222</v>
      </c>
    </row>
    <row r="6028">
      <c r="A6028" s="153" t="str">
        <f>IFERROR(__xludf.DUMMYFUNCTION("""COMPUTED_VALUE"""),"ADK0000003605")</f>
        <v>ADK0000003605</v>
      </c>
      <c r="B6028" s="153" t="str">
        <f>IFERROR(__xludf.DUMMYFUNCTION("""COMPUTED_VALUE"""),"WES+WMGS")</f>
        <v>WES+WMGS</v>
      </c>
      <c r="C6028" s="153" t="str">
        <f>IFERROR(__xludf.DUMMYFUNCTION("""COMPUTED_VALUE"""),"14-07-2026")</f>
        <v>14-07-2026</v>
      </c>
      <c r="D6028" s="378">
        <f>IFERROR(__xludf.DUMMYFUNCTION("""COMPUTED_VALUE"""),46232.0)</f>
        <v>46232</v>
      </c>
    </row>
    <row r="6029">
      <c r="A6029" s="153" t="str">
        <f>IFERROR(__xludf.DUMMYFUNCTION("""COMPUTED_VALUE"""),"ADK0000003606")</f>
        <v>ADK0000003606</v>
      </c>
      <c r="B6029" s="153" t="str">
        <f>IFERROR(__xludf.DUMMYFUNCTION("""COMPUTED_VALUE"""),"WES+WMGS")</f>
        <v>WES+WMGS</v>
      </c>
      <c r="C6029" s="153" t="str">
        <f>IFERROR(__xludf.DUMMYFUNCTION("""COMPUTED_VALUE"""),"14-07-2026")</f>
        <v>14-07-2026</v>
      </c>
      <c r="D6029" s="378">
        <f>IFERROR(__xludf.DUMMYFUNCTION("""COMPUTED_VALUE"""),46232.0)</f>
        <v>46232</v>
      </c>
    </row>
    <row r="6030">
      <c r="A6030" s="153" t="str">
        <f>IFERROR(__xludf.DUMMYFUNCTION("""COMPUTED_VALUE"""),"ACL0000024990")</f>
        <v>ACL0000024990</v>
      </c>
      <c r="B6030" s="153" t="str">
        <f>IFERROR(__xludf.DUMMYFUNCTION("""COMPUTED_VALUE"""),"WHOLE EXOME SEQUENCING")</f>
        <v>WHOLE EXOME SEQUENCING</v>
      </c>
      <c r="C6030" s="153" t="str">
        <f>IFERROR(__xludf.DUMMYFUNCTION("""COMPUTED_VALUE"""),"14-07-2026")</f>
        <v>14-07-2026</v>
      </c>
      <c r="D6030" s="378">
        <f>IFERROR(__xludf.DUMMYFUNCTION("""COMPUTED_VALUE"""),46232.0)</f>
        <v>46232</v>
      </c>
    </row>
    <row r="6031">
      <c r="A6031" s="153" t="str">
        <f>IFERROR(__xludf.DUMMYFUNCTION("""COMPUTED_VALUE"""),"TPJ0000027739")</f>
        <v>TPJ0000027739</v>
      </c>
      <c r="B6031" s="153" t="str">
        <f>IFERROR(__xludf.DUMMYFUNCTION("""COMPUTED_VALUE"""),"WHOLE EXOME SEQUENCING")</f>
        <v>WHOLE EXOME SEQUENCING</v>
      </c>
      <c r="C6031" s="153" t="str">
        <f>IFERROR(__xludf.DUMMYFUNCTION("""COMPUTED_VALUE"""),"14-07-2026")</f>
        <v>14-07-2026</v>
      </c>
      <c r="D6031" s="378">
        <f>IFERROR(__xludf.DUMMYFUNCTION("""COMPUTED_VALUE"""),46233.0)</f>
        <v>46233</v>
      </c>
    </row>
    <row r="6032">
      <c r="A6032" s="153" t="str">
        <f>IFERROR(__xludf.DUMMYFUNCTION("""COMPUTED_VALUE"""),"SCF0000000912")</f>
        <v>SCF0000000912</v>
      </c>
      <c r="B6032" s="153" t="str">
        <f>IFERROR(__xludf.DUMMYFUNCTION("""COMPUTED_VALUE"""),"WHOLE EXOME SEQUENCING")</f>
        <v>WHOLE EXOME SEQUENCING</v>
      </c>
      <c r="C6032" s="153"/>
      <c r="D6032" s="378">
        <f>IFERROR(__xludf.DUMMYFUNCTION("""COMPUTED_VALUE"""),46233.0)</f>
        <v>46233</v>
      </c>
    </row>
    <row r="6033">
      <c r="A6033" s="153" t="str">
        <f>IFERROR(__xludf.DUMMYFUNCTION("""COMPUTED_VALUE"""),"ADK0000003604")</f>
        <v>ADK0000003604</v>
      </c>
      <c r="B6033" s="153" t="str">
        <f>IFERROR(__xludf.DUMMYFUNCTION("""COMPUTED_VALUE"""),"WES+WMGS")</f>
        <v>WES+WMGS</v>
      </c>
      <c r="C6033" s="153"/>
      <c r="D6033" s="378">
        <f>IFERROR(__xludf.DUMMYFUNCTION("""COMPUTED_VALUE"""),46232.0)</f>
        <v>46232</v>
      </c>
    </row>
    <row r="6034">
      <c r="A6034" s="153" t="str">
        <f>IFERROR(__xludf.DUMMYFUNCTION("""COMPUTED_VALUE"""),"ADH0000034179")</f>
        <v>ADH0000034179</v>
      </c>
      <c r="B6034" s="153" t="str">
        <f>IFERROR(__xludf.DUMMYFUNCTION("""COMPUTED_VALUE"""),"WHOLE EXOME SEQUENCING")</f>
        <v>WHOLE EXOME SEQUENCING</v>
      </c>
      <c r="C6034" s="153"/>
      <c r="D6034" s="378">
        <f>IFERROR(__xludf.DUMMYFUNCTION("""COMPUTED_VALUE"""),46233.0)</f>
        <v>46233</v>
      </c>
    </row>
    <row r="6035">
      <c r="A6035" s="153" t="str">
        <f>IFERROR(__xludf.DUMMYFUNCTION("""COMPUTED_VALUE"""),"ADK0000003666")</f>
        <v>ADK0000003666</v>
      </c>
      <c r="B6035" s="153" t="str">
        <f>IFERROR(__xludf.DUMMYFUNCTION("""COMPUTED_VALUE"""),"WES+WMGS")</f>
        <v>WES+WMGS</v>
      </c>
      <c r="C6035" s="153"/>
      <c r="D6035" s="378">
        <f>IFERROR(__xludf.DUMMYFUNCTION("""COMPUTED_VALUE"""),46235.0)</f>
        <v>46235</v>
      </c>
    </row>
    <row r="6036">
      <c r="A6036" s="153" t="str">
        <f>IFERROR(__xludf.DUMMYFUNCTION("""COMPUTED_VALUE"""),"ADK0000003667")</f>
        <v>ADK0000003667</v>
      </c>
      <c r="B6036" s="153" t="str">
        <f>IFERROR(__xludf.DUMMYFUNCTION("""COMPUTED_VALUE"""),"WES+WMGS")</f>
        <v>WES+WMGS</v>
      </c>
      <c r="C6036" s="153"/>
      <c r="D6036" s="378">
        <f>IFERROR(__xludf.DUMMYFUNCTION("""COMPUTED_VALUE"""),46235.0)</f>
        <v>46235</v>
      </c>
    </row>
    <row r="6037">
      <c r="A6037" s="153" t="str">
        <f>IFERROR(__xludf.DUMMYFUNCTION("""COMPUTED_VALUE"""),"ADK0000003603")</f>
        <v>ADK0000003603</v>
      </c>
      <c r="B6037" s="153" t="str">
        <f>IFERROR(__xludf.DUMMYFUNCTION("""COMPUTED_VALUE"""),"WES+WMGS")</f>
        <v>WES+WMGS</v>
      </c>
      <c r="C6037" s="153"/>
      <c r="D6037" s="378">
        <f>IFERROR(__xludf.DUMMYFUNCTION("""COMPUTED_VALUE"""),46232.0)</f>
        <v>46232</v>
      </c>
    </row>
    <row r="6038">
      <c r="A6038" s="153" t="str">
        <f>IFERROR(__xludf.DUMMYFUNCTION("""COMPUTED_VALUE"""),"PH50000028931")</f>
        <v>PH50000028931</v>
      </c>
      <c r="B6038" s="153" t="str">
        <f>IFERROR(__xludf.DUMMYFUNCTION("""COMPUTED_VALUE"""),"NEPHROTIC GENE PANEL ")</f>
        <v>NEPHROTIC GENE PANEL </v>
      </c>
      <c r="C6038" s="153"/>
      <c r="D6038" s="378">
        <f>IFERROR(__xludf.DUMMYFUNCTION("""COMPUTED_VALUE"""),46233.0)</f>
        <v>46233</v>
      </c>
    </row>
    <row r="6039">
      <c r="A6039" s="153" t="str">
        <f>IFERROR(__xludf.DUMMYFUNCTION("""COMPUTED_VALUE"""),"PH50000028927")</f>
        <v>PH50000028927</v>
      </c>
      <c r="B6039" s="153" t="str">
        <f>IFERROR(__xludf.DUMMYFUNCTION("""COMPUTED_VALUE"""),"WES+WMGS")</f>
        <v>WES+WMGS</v>
      </c>
      <c r="C6039" s="153"/>
      <c r="D6039" s="378">
        <f>IFERROR(__xludf.DUMMYFUNCTION("""COMPUTED_VALUE"""),46233.0)</f>
        <v>46233</v>
      </c>
    </row>
    <row r="6040">
      <c r="A6040" s="153" t="str">
        <f>IFERROR(__xludf.DUMMYFUNCTION("""COMPUTED_VALUE"""),"ABC0000002350")</f>
        <v>ABC0000002350</v>
      </c>
      <c r="B6040" s="153" t="str">
        <f>IFERROR(__xludf.DUMMYFUNCTION("""COMPUTED_VALUE"""),"CLINICAL EXOME SEQUENCING")</f>
        <v>CLINICAL EXOME SEQUENCING</v>
      </c>
      <c r="C6040" s="153"/>
      <c r="D6040" s="378">
        <f>IFERROR(__xludf.DUMMYFUNCTION("""COMPUTED_VALUE"""),46234.0)</f>
        <v>46234</v>
      </c>
    </row>
    <row r="6041">
      <c r="A6041" s="153" t="str">
        <f>IFERROR(__xludf.DUMMYFUNCTION("""COMPUTED_VALUE"""),"HYP0000002971")</f>
        <v>HYP0000002971</v>
      </c>
      <c r="B6041" s="153" t="str">
        <f>IFERROR(__xludf.DUMMYFUNCTION("""COMPUTED_VALUE"""),"WHOLE EXOME SEQUENCING")</f>
        <v>WHOLE EXOME SEQUENCING</v>
      </c>
      <c r="C6041" s="153"/>
      <c r="D6041" s="378">
        <f>IFERROR(__xludf.DUMMYFUNCTION("""COMPUTED_VALUE"""),46234.0)</f>
        <v>46234</v>
      </c>
    </row>
    <row r="6042">
      <c r="A6042" s="153" t="str">
        <f>IFERROR(__xludf.DUMMYFUNCTION("""COMPUTED_VALUE"""),"HYP0000002972")</f>
        <v>HYP0000002972</v>
      </c>
      <c r="B6042" s="153" t="str">
        <f>IFERROR(__xludf.DUMMYFUNCTION("""COMPUTED_VALUE"""),"WHOLE EXOME SEQUENCING")</f>
        <v>WHOLE EXOME SEQUENCING</v>
      </c>
      <c r="C6042" s="153"/>
      <c r="D6042" s="378">
        <f>IFERROR(__xludf.DUMMYFUNCTION("""COMPUTED_VALUE"""),46234.0)</f>
        <v>46234</v>
      </c>
    </row>
    <row r="6043">
      <c r="A6043" s="153" t="str">
        <f>IFERROR(__xludf.DUMMYFUNCTION("""COMPUTED_VALUE"""),"ATN0000012186")</f>
        <v>ATN0000012186</v>
      </c>
      <c r="B6043" s="153" t="str">
        <f>IFERROR(__xludf.DUMMYFUNCTION("""COMPUTED_VALUE"""),"WHOLE EXOME SEQUENCING")</f>
        <v>WHOLE EXOME SEQUENCING</v>
      </c>
      <c r="C6043" s="153"/>
      <c r="D6043" s="378">
        <f>IFERROR(__xludf.DUMMYFUNCTION("""COMPUTED_VALUE"""),46233.0)</f>
        <v>46233</v>
      </c>
    </row>
    <row r="6044">
      <c r="A6044" s="153" t="str">
        <f>IFERROR(__xludf.DUMMYFUNCTION("""COMPUTED_VALUE"""),"HYP0000002967")</f>
        <v>HYP0000002967</v>
      </c>
      <c r="B6044" s="153" t="str">
        <f>IFERROR(__xludf.DUMMYFUNCTION("""COMPUTED_VALUE"""),"COMPREHENSIVE CARRIER SCREENING")</f>
        <v>COMPREHENSIVE CARRIER SCREENING</v>
      </c>
      <c r="C6044" s="153"/>
      <c r="D6044" s="378">
        <f>IFERROR(__xludf.DUMMYFUNCTION("""COMPUTED_VALUE"""),46233.0)</f>
        <v>46233</v>
      </c>
    </row>
    <row r="6045">
      <c r="A6045" s="153" t="str">
        <f>IFERROR(__xludf.DUMMYFUNCTION("""COMPUTED_VALUE"""),"HYP0000002968")</f>
        <v>HYP0000002968</v>
      </c>
      <c r="B6045" s="153" t="str">
        <f>IFERROR(__xludf.DUMMYFUNCTION("""COMPUTED_VALUE"""),"COMPREHENSIVE CARRIER SCREENING")</f>
        <v>COMPREHENSIVE CARRIER SCREENING</v>
      </c>
      <c r="C6045" s="153"/>
      <c r="D6045" s="378">
        <f>IFERROR(__xludf.DUMMYFUNCTION("""COMPUTED_VALUE"""),46233.0)</f>
        <v>46233</v>
      </c>
    </row>
    <row r="6046">
      <c r="A6046" s="153" t="str">
        <f>IFERROR(__xludf.DUMMYFUNCTION("""COMPUTED_VALUE"""),"ADB0000047153")</f>
        <v>ADB0000047153</v>
      </c>
      <c r="B6046" s="153" t="str">
        <f>IFERROR(__xludf.DUMMYFUNCTION("""COMPUTED_VALUE"""),"WES+WMGS")</f>
        <v>WES+WMGS</v>
      </c>
      <c r="C6046" s="153"/>
      <c r="D6046" s="378">
        <f>IFERROR(__xludf.DUMMYFUNCTION("""COMPUTED_VALUE"""),46235.0)</f>
        <v>46235</v>
      </c>
    </row>
    <row r="6047">
      <c r="A6047" s="153" t="str">
        <f>IFERROR(__xludf.DUMMYFUNCTION("""COMPUTED_VALUE"""),"ADB0000047372")</f>
        <v>ADB0000047372</v>
      </c>
      <c r="B6047" s="153" t="str">
        <f>IFERROR(__xludf.DUMMYFUNCTION("""COMPUTED_VALUE"""),"COMPREHENSIVE HEREDITARY CANCER PANEL (NGS+MLPA)")</f>
        <v>COMPREHENSIVE HEREDITARY CANCER PANEL (NGS+MLPA)</v>
      </c>
      <c r="C6047" s="153"/>
      <c r="D6047" s="153"/>
    </row>
    <row r="6048">
      <c r="A6048" s="153" t="str">
        <f>IFERROR(__xludf.DUMMYFUNCTION("""COMPUTED_VALUE"""),"ADB0000047322")</f>
        <v>ADB0000047322</v>
      </c>
      <c r="B6048" s="153" t="str">
        <f>IFERROR(__xludf.DUMMYFUNCTION("""COMPUTED_VALUE"""),"WHOLE EXOME SEQUENCING")</f>
        <v>WHOLE EXOME SEQUENCING</v>
      </c>
      <c r="C6048" s="153"/>
      <c r="D6048" s="378">
        <f>IFERROR(__xludf.DUMMYFUNCTION("""COMPUTED_VALUE"""),46236.0)</f>
        <v>46236</v>
      </c>
    </row>
    <row r="6049">
      <c r="A6049" s="153" t="str">
        <f>IFERROR(__xludf.DUMMYFUNCTION("""COMPUTED_VALUE"""),"ADN0000032769")</f>
        <v>ADN0000032769</v>
      </c>
      <c r="B6049" s="153" t="str">
        <f>IFERROR(__xludf.DUMMYFUNCTION("""COMPUTED_VALUE"""),"WHOLE EXOME SEQUENCING")</f>
        <v>WHOLE EXOME SEQUENCING</v>
      </c>
      <c r="C6049" s="153"/>
      <c r="D6049" s="378">
        <f>IFERROR(__xludf.DUMMYFUNCTION("""COMPUTED_VALUE"""),46236.0)</f>
        <v>46236</v>
      </c>
    </row>
    <row r="6050">
      <c r="A6050" s="153" t="str">
        <f>IFERROR(__xludf.DUMMYFUNCTION("""COMPUTED_VALUE"""),"GRF0000000744")</f>
        <v>GRF0000000744</v>
      </c>
      <c r="B6050" s="153" t="str">
        <f>IFERROR(__xludf.DUMMYFUNCTION("""COMPUTED_VALUE"""),"WHOLE EXOME SEQUENCING")</f>
        <v>WHOLE EXOME SEQUENCING</v>
      </c>
      <c r="C6050" s="153"/>
      <c r="D6050" s="378">
        <f>IFERROR(__xludf.DUMMYFUNCTION("""COMPUTED_VALUE"""),46236.0)</f>
        <v>46236</v>
      </c>
    </row>
    <row r="6051">
      <c r="A6051" s="153" t="str">
        <f>IFERROR(__xludf.DUMMYFUNCTION("""COMPUTED_VALUE"""),"ADK0000003712")</f>
        <v>ADK0000003712</v>
      </c>
      <c r="B6051" s="153" t="str">
        <f>IFERROR(__xludf.DUMMYFUNCTION("""COMPUTED_VALUE"""),"WES+WMGS")</f>
        <v>WES+WMGS</v>
      </c>
      <c r="C6051" s="153"/>
      <c r="D6051" s="378">
        <f>IFERROR(__xludf.DUMMYFUNCTION("""COMPUTED_VALUE"""),46236.0)</f>
        <v>46236</v>
      </c>
    </row>
    <row r="6052">
      <c r="A6052" s="153" t="str">
        <f>IFERROR(__xludf.DUMMYFUNCTION("""COMPUTED_VALUE"""),"ADK0000003713")</f>
        <v>ADK0000003713</v>
      </c>
      <c r="B6052" s="153" t="str">
        <f>IFERROR(__xludf.DUMMYFUNCTION("""COMPUTED_VALUE"""),"WES+WMGS")</f>
        <v>WES+WMGS</v>
      </c>
      <c r="C6052" s="153"/>
      <c r="D6052" s="378">
        <f>IFERROR(__xludf.DUMMYFUNCTION("""COMPUTED_VALUE"""),46236.0)</f>
        <v>46236</v>
      </c>
    </row>
    <row r="6053">
      <c r="A6053" s="153" t="str">
        <f>IFERROR(__xludf.DUMMYFUNCTION("""COMPUTED_VALUE"""),"ADK0000003714")</f>
        <v>ADK0000003714</v>
      </c>
      <c r="B6053" s="153" t="str">
        <f>IFERROR(__xludf.DUMMYFUNCTION("""COMPUTED_VALUE"""),"WES+WMGS")</f>
        <v>WES+WMGS</v>
      </c>
      <c r="C6053" s="153"/>
      <c r="D6053" s="378">
        <f>IFERROR(__xludf.DUMMYFUNCTION("""COMPUTED_VALUE"""),46236.0)</f>
        <v>46236</v>
      </c>
    </row>
    <row r="6054">
      <c r="A6054" s="153" t="str">
        <f>IFERROR(__xludf.DUMMYFUNCTION("""COMPUTED_VALUE"""),"ANV0000001952")</f>
        <v>ANV0000001952</v>
      </c>
      <c r="B6054" s="153" t="str">
        <f>IFERROR(__xludf.DUMMYFUNCTION("""COMPUTED_VALUE"""),"MALE INFERTILITY NGS PANEL")</f>
        <v>MALE INFERTILITY NGS PANEL</v>
      </c>
      <c r="C6054" s="153"/>
      <c r="D6054" s="378">
        <f>IFERROR(__xludf.DUMMYFUNCTION("""COMPUTED_VALUE"""),46226.0)</f>
        <v>46226</v>
      </c>
    </row>
    <row r="6055">
      <c r="A6055" s="153" t="str">
        <f>IFERROR(__xludf.DUMMYFUNCTION("""COMPUTED_VALUE"""),"ADB0000047445")</f>
        <v>ADB0000047445</v>
      </c>
      <c r="B6055" s="153" t="str">
        <f>IFERROR(__xludf.DUMMYFUNCTION("""COMPUTED_VALUE"""),"WHOLE EXOME SEQUENCING")</f>
        <v>WHOLE EXOME SEQUENCING</v>
      </c>
      <c r="C6055" s="153"/>
      <c r="D6055" s="378">
        <f>IFERROR(__xludf.DUMMYFUNCTION("""COMPUTED_VALUE"""),46237.0)</f>
        <v>46237</v>
      </c>
    </row>
    <row r="6056">
      <c r="A6056" s="153" t="str">
        <f>IFERROR(__xludf.DUMMYFUNCTION("""COMPUTED_VALUE"""),"ADB0000047446")</f>
        <v>ADB0000047446</v>
      </c>
      <c r="B6056" s="153" t="str">
        <f>IFERROR(__xludf.DUMMYFUNCTION("""COMPUTED_VALUE"""),"WHOLE EXOME SEQUENCING")</f>
        <v>WHOLE EXOME SEQUENCING</v>
      </c>
      <c r="C6056" s="153"/>
      <c r="D6056" s="378">
        <f>IFERROR(__xludf.DUMMYFUNCTION("""COMPUTED_VALUE"""),46237.0)</f>
        <v>46237</v>
      </c>
    </row>
    <row r="6057">
      <c r="A6057" s="153" t="str">
        <f>IFERROR(__xludf.DUMMYFUNCTION("""COMPUTED_VALUE"""),"HCC0000019117")</f>
        <v>HCC0000019117</v>
      </c>
      <c r="B6057" s="153" t="str">
        <f>IFERROR(__xludf.DUMMYFUNCTION("""COMPUTED_VALUE"""),"WHOLE EXOME SEQUENCING")</f>
        <v>WHOLE EXOME SEQUENCING</v>
      </c>
      <c r="C6057" s="153"/>
      <c r="D6057" s="378">
        <f>IFERROR(__xludf.DUMMYFUNCTION("""COMPUTED_VALUE"""),46237.0)</f>
        <v>46237</v>
      </c>
    </row>
    <row r="6058">
      <c r="A6058" s="153" t="str">
        <f>IFERROR(__xludf.DUMMYFUNCTION("""COMPUTED_VALUE"""),"HCC0000019118")</f>
        <v>HCC0000019118</v>
      </c>
      <c r="B6058" s="153" t="str">
        <f>IFERROR(__xludf.DUMMYFUNCTION("""COMPUTED_VALUE"""),"WHOLE EXOME SEQUENCING")</f>
        <v>WHOLE EXOME SEQUENCING</v>
      </c>
      <c r="C6058" s="153"/>
      <c r="D6058" s="378">
        <f>IFERROR(__xludf.DUMMYFUNCTION("""COMPUTED_VALUE"""),46237.0)</f>
        <v>46237</v>
      </c>
    </row>
    <row r="6059">
      <c r="A6059" s="153" t="str">
        <f>IFERROR(__xludf.DUMMYFUNCTION("""COMPUTED_VALUE"""),"ADK0000003769")</f>
        <v>ADK0000003769</v>
      </c>
      <c r="B6059" s="153" t="str">
        <f>IFERROR(__xludf.DUMMYFUNCTION("""COMPUTED_VALUE"""),"WES+WMGS")</f>
        <v>WES+WMGS</v>
      </c>
      <c r="C6059" s="153"/>
      <c r="D6059" s="378">
        <f>IFERROR(__xludf.DUMMYFUNCTION("""COMPUTED_VALUE"""),46237.0)</f>
        <v>46237</v>
      </c>
    </row>
    <row r="6060">
      <c r="A6060" s="153" t="str">
        <f>IFERROR(__xludf.DUMMYFUNCTION("""COMPUTED_VALUE"""),"AMB0000012316")</f>
        <v>AMB0000012316</v>
      </c>
      <c r="B6060" s="153" t="str">
        <f>IFERROR(__xludf.DUMMYFUNCTION("""COMPUTED_VALUE"""),"FEMALE INFERTILITY NGS PANEL")</f>
        <v>FEMALE INFERTILITY NGS PANEL</v>
      </c>
      <c r="C6060" s="153"/>
      <c r="D6060" s="378">
        <f>IFERROR(__xludf.DUMMYFUNCTION("""COMPUTED_VALUE"""),46226.0)</f>
        <v>46226</v>
      </c>
    </row>
    <row r="6061">
      <c r="A6061" s="153" t="str">
        <f>IFERROR(__xludf.DUMMYFUNCTION("""COMPUTED_VALUE"""),"ADK0000003767")</f>
        <v>ADK0000003767</v>
      </c>
      <c r="B6061" s="153" t="str">
        <f>IFERROR(__xludf.DUMMYFUNCTION("""COMPUTED_VALUE"""),"WES+WMGS")</f>
        <v>WES+WMGS</v>
      </c>
      <c r="C6061" s="153"/>
      <c r="D6061" s="378">
        <f>IFERROR(__xludf.DUMMYFUNCTION("""COMPUTED_VALUE"""),46237.0)</f>
        <v>46237</v>
      </c>
    </row>
    <row r="6062">
      <c r="A6062" s="153" t="str">
        <f>IFERROR(__xludf.DUMMYFUNCTION("""COMPUTED_VALUE"""),"FR20000014003")</f>
        <v>FR20000014003</v>
      </c>
      <c r="B6062" s="153" t="str">
        <f>IFERROR(__xludf.DUMMYFUNCTION("""COMPUTED_VALUE"""),"WHOLE EXOME SEQUENCING")</f>
        <v>WHOLE EXOME SEQUENCING</v>
      </c>
      <c r="C6062" s="153"/>
      <c r="D6062" s="378">
        <f>IFERROR(__xludf.DUMMYFUNCTION("""COMPUTED_VALUE"""),46238.0)</f>
        <v>46238</v>
      </c>
    </row>
    <row r="6063">
      <c r="A6063" s="153" t="str">
        <f>IFERROR(__xludf.DUMMYFUNCTION("""COMPUTED_VALUE"""),"ADB0000047664")</f>
        <v>ADB0000047664</v>
      </c>
      <c r="B6063" s="153" t="str">
        <f>IFERROR(__xludf.DUMMYFUNCTION("""COMPUTED_VALUE"""),"COMPREHENSIVE HEREDITARY CANCER PANEL (NGS+MLPA)")</f>
        <v>COMPREHENSIVE HEREDITARY CANCER PANEL (NGS+MLPA)</v>
      </c>
      <c r="C6063" s="153"/>
      <c r="D6063" s="153"/>
    </row>
    <row r="6064">
      <c r="A6064" s="153" t="str">
        <f>IFERROR(__xludf.DUMMYFUNCTION("""COMPUTED_VALUE"""),"ADH0000035071")</f>
        <v>ADH0000035071</v>
      </c>
      <c r="B6064" s="153" t="str">
        <f>IFERROR(__xludf.DUMMYFUNCTION("""COMPUTED_VALUE"""),"WHOLE EXOME SEQUENCING")</f>
        <v>WHOLE EXOME SEQUENCING</v>
      </c>
      <c r="C6064" s="153"/>
      <c r="D6064" s="378">
        <f>IFERROR(__xludf.DUMMYFUNCTION("""COMPUTED_VALUE"""),46238.0)</f>
        <v>46238</v>
      </c>
    </row>
    <row r="6065">
      <c r="A6065" s="153" t="str">
        <f>IFERROR(__xludf.DUMMYFUNCTION("""COMPUTED_VALUE"""),"WMC0000000859")</f>
        <v>WMC0000000859</v>
      </c>
      <c r="B6065" s="153" t="str">
        <f>IFERROR(__xludf.DUMMYFUNCTION("""COMPUTED_VALUE"""),"WHOLE EXOME SEQUENCING")</f>
        <v>WHOLE EXOME SEQUENCING</v>
      </c>
      <c r="C6065" s="153"/>
      <c r="D6065" s="378">
        <f>IFERROR(__xludf.DUMMYFUNCTION("""COMPUTED_VALUE"""),46238.0)</f>
        <v>46238</v>
      </c>
    </row>
    <row r="6066">
      <c r="A6066" s="153" t="str">
        <f>IFERROR(__xludf.DUMMYFUNCTION("""COMPUTED_VALUE"""),"ADS0000021142")</f>
        <v>ADS0000021142</v>
      </c>
      <c r="B6066" s="153" t="str">
        <f>IFERROR(__xludf.DUMMYFUNCTION("""COMPUTED_VALUE"""),"WHOLE EXOME SEQUENCING")</f>
        <v>WHOLE EXOME SEQUENCING</v>
      </c>
      <c r="C6066" s="153"/>
      <c r="D6066" s="378">
        <f>IFERROR(__xludf.DUMMYFUNCTION("""COMPUTED_VALUE"""),46238.0)</f>
        <v>46238</v>
      </c>
    </row>
    <row r="6067">
      <c r="A6067" s="153" t="str">
        <f>IFERROR(__xludf.DUMMYFUNCTION("""COMPUTED_VALUE"""),"ACL0000029096")</f>
        <v>ACL0000029096</v>
      </c>
      <c r="B6067" s="153" t="str">
        <f>IFERROR(__xludf.DUMMYFUNCTION("""COMPUTED_VALUE"""),"WHOLE EXOME SEQUENCING")</f>
        <v>WHOLE EXOME SEQUENCING</v>
      </c>
      <c r="C6067" s="153"/>
      <c r="D6067" s="378">
        <f>IFERROR(__xludf.DUMMYFUNCTION("""COMPUTED_VALUE"""),46238.0)</f>
        <v>46238</v>
      </c>
    </row>
    <row r="6068">
      <c r="A6068" s="153" t="str">
        <f>IFERROR(__xludf.DUMMYFUNCTION("""COMPUTED_VALUE"""),"AMB0000012374")</f>
        <v>AMB0000012374</v>
      </c>
      <c r="B6068" s="153" t="str">
        <f>IFERROR(__xludf.DUMMYFUNCTION("""COMPUTED_VALUE"""),"WHOLE EXOME SEQUENCING")</f>
        <v>WHOLE EXOME SEQUENCING</v>
      </c>
      <c r="C6068" s="153"/>
      <c r="D6068" s="378">
        <f>IFERROR(__xludf.DUMMYFUNCTION("""COMPUTED_VALUE"""),46238.0)</f>
        <v>46238</v>
      </c>
    </row>
    <row r="6069">
      <c r="A6069" s="153" t="str">
        <f>IFERROR(__xludf.DUMMYFUNCTION("""COMPUTED_VALUE"""),"AMB0000012375")</f>
        <v>AMB0000012375</v>
      </c>
      <c r="B6069" s="153" t="str">
        <f>IFERROR(__xludf.DUMMYFUNCTION("""COMPUTED_VALUE"""),"WHOLE EXOME SEQUENCING")</f>
        <v>WHOLE EXOME SEQUENCING</v>
      </c>
      <c r="C6069" s="153"/>
      <c r="D6069" s="378">
        <f>IFERROR(__xludf.DUMMYFUNCTION("""COMPUTED_VALUE"""),46238.0)</f>
        <v>46238</v>
      </c>
    </row>
    <row r="6070">
      <c r="A6070" s="153" t="str">
        <f>IFERROR(__xludf.DUMMYFUNCTION("""COMPUTED_VALUE"""),"ADK0000003766")</f>
        <v>ADK0000003766</v>
      </c>
      <c r="B6070" s="153" t="str">
        <f>IFERROR(__xludf.DUMMYFUNCTION("""COMPUTED_VALUE"""),"WES+WMGS")</f>
        <v>WES+WMGS</v>
      </c>
      <c r="C6070" s="153"/>
      <c r="D6070" s="378">
        <f>IFERROR(__xludf.DUMMYFUNCTION("""COMPUTED_VALUE"""),46231.0)</f>
        <v>46231</v>
      </c>
    </row>
    <row r="6071">
      <c r="A6071" s="153" t="str">
        <f>IFERROR(__xludf.DUMMYFUNCTION("""COMPUTED_VALUE"""),"ADK0000003734")</f>
        <v>ADK0000003734</v>
      </c>
      <c r="B6071" s="153" t="str">
        <f>IFERROR(__xludf.DUMMYFUNCTION("""COMPUTED_VALUE"""),"WHOLE EXOME SEQUENCING")</f>
        <v>WHOLE EXOME SEQUENCING</v>
      </c>
      <c r="C6071" s="153" t="str">
        <f>IFERROR(__xludf.DUMMYFUNCTION("""COMPUTED_VALUE"""),"14-07-2026")</f>
        <v>14-07-2026</v>
      </c>
      <c r="D6071" s="378">
        <f>IFERROR(__xludf.DUMMYFUNCTION("""COMPUTED_VALUE"""),46231.0)</f>
        <v>46231</v>
      </c>
    </row>
    <row r="6072">
      <c r="A6072" s="153" t="str">
        <f>IFERROR(__xludf.DUMMYFUNCTION("""COMPUTED_VALUE"""),"ADK0000003735")</f>
        <v>ADK0000003735</v>
      </c>
      <c r="B6072" s="153" t="str">
        <f>IFERROR(__xludf.DUMMYFUNCTION("""COMPUTED_VALUE"""),"WHOLE EXOME SEQUENCING")</f>
        <v>WHOLE EXOME SEQUENCING</v>
      </c>
      <c r="C6072" s="153" t="str">
        <f>IFERROR(__xludf.DUMMYFUNCTION("""COMPUTED_VALUE"""),"14-07-2026")</f>
        <v>14-07-2026</v>
      </c>
      <c r="D6072" s="378">
        <f>IFERROR(__xludf.DUMMYFUNCTION("""COMPUTED_VALUE"""),46231.0)</f>
        <v>46231</v>
      </c>
    </row>
    <row r="6073">
      <c r="A6073" s="153" t="str">
        <f>IFERROR(__xludf.DUMMYFUNCTION("""COMPUTED_VALUE"""),"ADK0000003736")</f>
        <v>ADK0000003736</v>
      </c>
      <c r="B6073" s="153" t="str">
        <f>IFERROR(__xludf.DUMMYFUNCTION("""COMPUTED_VALUE"""),"WHOLE EXOME SEQUENCING")</f>
        <v>WHOLE EXOME SEQUENCING</v>
      </c>
      <c r="C6073" s="153" t="str">
        <f>IFERROR(__xludf.DUMMYFUNCTION("""COMPUTED_VALUE"""),"14-07-2026")</f>
        <v>14-07-2026</v>
      </c>
      <c r="D6073" s="378">
        <f>IFERROR(__xludf.DUMMYFUNCTION("""COMPUTED_VALUE"""),46231.0)</f>
        <v>46231</v>
      </c>
    </row>
    <row r="6074">
      <c r="A6074" s="153" t="str">
        <f>IFERROR(__xludf.DUMMYFUNCTION("""COMPUTED_VALUE"""),"ADK0000003737")</f>
        <v>ADK0000003737</v>
      </c>
      <c r="B6074" s="153" t="str">
        <f>IFERROR(__xludf.DUMMYFUNCTION("""COMPUTED_VALUE"""),"WHOLE EXOME SEQUENCING")</f>
        <v>WHOLE EXOME SEQUENCING</v>
      </c>
      <c r="C6074" s="153" t="str">
        <f>IFERROR(__xludf.DUMMYFUNCTION("""COMPUTED_VALUE"""),"14-07-2026")</f>
        <v>14-07-2026</v>
      </c>
      <c r="D6074" s="378">
        <f>IFERROR(__xludf.DUMMYFUNCTION("""COMPUTED_VALUE"""),46231.0)</f>
        <v>46231</v>
      </c>
    </row>
    <row r="6075">
      <c r="A6075" s="153" t="str">
        <f>IFERROR(__xludf.DUMMYFUNCTION("""COMPUTED_VALUE"""),"ADK0000003738")</f>
        <v>ADK0000003738</v>
      </c>
      <c r="B6075" s="153" t="str">
        <f>IFERROR(__xludf.DUMMYFUNCTION("""COMPUTED_VALUE"""),"WHOLE EXOME SEQUENCING")</f>
        <v>WHOLE EXOME SEQUENCING</v>
      </c>
      <c r="C6075" s="153" t="str">
        <f>IFERROR(__xludf.DUMMYFUNCTION("""COMPUTED_VALUE"""),"14-07-2026")</f>
        <v>14-07-2026</v>
      </c>
      <c r="D6075" s="378">
        <f>IFERROR(__xludf.DUMMYFUNCTION("""COMPUTED_VALUE"""),46231.0)</f>
        <v>46231</v>
      </c>
    </row>
    <row r="6076">
      <c r="A6076" s="153" t="str">
        <f>IFERROR(__xludf.DUMMYFUNCTION("""COMPUTED_VALUE"""),"ADK0000003739")</f>
        <v>ADK0000003739</v>
      </c>
      <c r="B6076" s="153" t="str">
        <f>IFERROR(__xludf.DUMMYFUNCTION("""COMPUTED_VALUE"""),"WHOLE EXOME SEQUENCING")</f>
        <v>WHOLE EXOME SEQUENCING</v>
      </c>
      <c r="C6076" s="153" t="str">
        <f>IFERROR(__xludf.DUMMYFUNCTION("""COMPUTED_VALUE"""),"14-07-2026")</f>
        <v>14-07-2026</v>
      </c>
      <c r="D6076" s="378">
        <f>IFERROR(__xludf.DUMMYFUNCTION("""COMPUTED_VALUE"""),46231.0)</f>
        <v>46231</v>
      </c>
    </row>
    <row r="6077">
      <c r="A6077" s="153" t="str">
        <f>IFERROR(__xludf.DUMMYFUNCTION("""COMPUTED_VALUE"""),"ADK0000003740")</f>
        <v>ADK0000003740</v>
      </c>
      <c r="B6077" s="153" t="str">
        <f>IFERROR(__xludf.DUMMYFUNCTION("""COMPUTED_VALUE"""),"WHOLE EXOME SEQUENCING")</f>
        <v>WHOLE EXOME SEQUENCING</v>
      </c>
      <c r="C6077" s="153" t="str">
        <f>IFERROR(__xludf.DUMMYFUNCTION("""COMPUTED_VALUE"""),"14-07-2026")</f>
        <v>14-07-2026</v>
      </c>
      <c r="D6077" s="378">
        <f>IFERROR(__xludf.DUMMYFUNCTION("""COMPUTED_VALUE"""),46231.0)</f>
        <v>46231</v>
      </c>
    </row>
    <row r="6078">
      <c r="A6078" s="153" t="str">
        <f>IFERROR(__xludf.DUMMYFUNCTION("""COMPUTED_VALUE"""),"ADK0000003741")</f>
        <v>ADK0000003741</v>
      </c>
      <c r="B6078" s="153" t="str">
        <f>IFERROR(__xludf.DUMMYFUNCTION("""COMPUTED_VALUE"""),"WHOLE EXOME SEQUENCING")</f>
        <v>WHOLE EXOME SEQUENCING</v>
      </c>
      <c r="C6078" s="153" t="str">
        <f>IFERROR(__xludf.DUMMYFUNCTION("""COMPUTED_VALUE"""),"14-07-2026")</f>
        <v>14-07-2026</v>
      </c>
      <c r="D6078" s="378">
        <f>IFERROR(__xludf.DUMMYFUNCTION("""COMPUTED_VALUE"""),46231.0)</f>
        <v>46231</v>
      </c>
    </row>
    <row r="6079">
      <c r="A6079" s="153" t="str">
        <f>IFERROR(__xludf.DUMMYFUNCTION("""COMPUTED_VALUE"""),"ADK0000003742")</f>
        <v>ADK0000003742</v>
      </c>
      <c r="B6079" s="153" t="str">
        <f>IFERROR(__xludf.DUMMYFUNCTION("""COMPUTED_VALUE"""),"WHOLE EXOME SEQUENCING")</f>
        <v>WHOLE EXOME SEQUENCING</v>
      </c>
      <c r="C6079" s="153" t="str">
        <f>IFERROR(__xludf.DUMMYFUNCTION("""COMPUTED_VALUE"""),"14-07-2026")</f>
        <v>14-07-2026</v>
      </c>
      <c r="D6079" s="378">
        <f>IFERROR(__xludf.DUMMYFUNCTION("""COMPUTED_VALUE"""),46231.0)</f>
        <v>46231</v>
      </c>
    </row>
    <row r="6080">
      <c r="A6080" s="153" t="str">
        <f>IFERROR(__xludf.DUMMYFUNCTION("""COMPUTED_VALUE"""),"ADK0000003743")</f>
        <v>ADK0000003743</v>
      </c>
      <c r="B6080" s="153" t="str">
        <f>IFERROR(__xludf.DUMMYFUNCTION("""COMPUTED_VALUE"""),"WHOLE EXOME SEQUENCING")</f>
        <v>WHOLE EXOME SEQUENCING</v>
      </c>
      <c r="C6080" s="153" t="str">
        <f>IFERROR(__xludf.DUMMYFUNCTION("""COMPUTED_VALUE"""),"14-07-2026")</f>
        <v>14-07-2026</v>
      </c>
      <c r="D6080" s="378">
        <f>IFERROR(__xludf.DUMMYFUNCTION("""COMPUTED_VALUE"""),46231.0)</f>
        <v>46231</v>
      </c>
    </row>
    <row r="6081">
      <c r="A6081" s="153" t="str">
        <f>IFERROR(__xludf.DUMMYFUNCTION("""COMPUTED_VALUE"""),"ADK0000003751")</f>
        <v>ADK0000003751</v>
      </c>
      <c r="B6081" s="153" t="str">
        <f>IFERROR(__xludf.DUMMYFUNCTION("""COMPUTED_VALUE"""),"WHOLE EXOME SEQUENCING")</f>
        <v>WHOLE EXOME SEQUENCING</v>
      </c>
      <c r="C6081" s="153" t="str">
        <f>IFERROR(__xludf.DUMMYFUNCTION("""COMPUTED_VALUE"""),"14-07-2026")</f>
        <v>14-07-2026</v>
      </c>
      <c r="D6081" s="378">
        <f>IFERROR(__xludf.DUMMYFUNCTION("""COMPUTED_VALUE"""),46231.0)</f>
        <v>46231</v>
      </c>
    </row>
    <row r="6082">
      <c r="A6082" s="153" t="str">
        <f>IFERROR(__xludf.DUMMYFUNCTION("""COMPUTED_VALUE"""),"ADK0000003757")</f>
        <v>ADK0000003757</v>
      </c>
      <c r="B6082" s="153" t="str">
        <f>IFERROR(__xludf.DUMMYFUNCTION("""COMPUTED_VALUE"""),"WHOLE EXOME SEQUENCING")</f>
        <v>WHOLE EXOME SEQUENCING</v>
      </c>
      <c r="C6082" s="153" t="str">
        <f>IFERROR(__xludf.DUMMYFUNCTION("""COMPUTED_VALUE"""),"14-07-2026")</f>
        <v>14-07-2026</v>
      </c>
      <c r="D6082" s="378">
        <f>IFERROR(__xludf.DUMMYFUNCTION("""COMPUTED_VALUE"""),46231.0)</f>
        <v>46231</v>
      </c>
    </row>
    <row r="6083">
      <c r="A6083" s="153" t="str">
        <f>IFERROR(__xludf.DUMMYFUNCTION("""COMPUTED_VALUE"""),"ADK0000003763")</f>
        <v>ADK0000003763</v>
      </c>
      <c r="B6083" s="153" t="str">
        <f>IFERROR(__xludf.DUMMYFUNCTION("""COMPUTED_VALUE"""),"WHOLE EXOME SEQUENCING + MITOCHONDRIAL GENOME SEQUENCING")</f>
        <v>WHOLE EXOME SEQUENCING + MITOCHONDRIAL GENOME SEQUENCING</v>
      </c>
      <c r="C6083" s="153" t="str">
        <f>IFERROR(__xludf.DUMMYFUNCTION("""COMPUTED_VALUE"""),"14-07-2026")</f>
        <v>14-07-2026</v>
      </c>
      <c r="D6083" s="378">
        <f>IFERROR(__xludf.DUMMYFUNCTION("""COMPUTED_VALUE"""),46231.0)</f>
        <v>46231</v>
      </c>
    </row>
    <row r="6084">
      <c r="A6084" s="153" t="str">
        <f>IFERROR(__xludf.DUMMYFUNCTION("""COMPUTED_VALUE"""),"ADK0000003762")</f>
        <v>ADK0000003762</v>
      </c>
      <c r="B6084" s="153" t="str">
        <f>IFERROR(__xludf.DUMMYFUNCTION("""COMPUTED_VALUE"""),"WHOLE EXOME SEQUENCING")</f>
        <v>WHOLE EXOME SEQUENCING</v>
      </c>
      <c r="C6084" s="153" t="str">
        <f>IFERROR(__xludf.DUMMYFUNCTION("""COMPUTED_VALUE"""),"14-07-2026")</f>
        <v>14-07-2026</v>
      </c>
      <c r="D6084" s="378">
        <f>IFERROR(__xludf.DUMMYFUNCTION("""COMPUTED_VALUE"""),46231.0)</f>
        <v>46231</v>
      </c>
    </row>
    <row r="6085">
      <c r="A6085" s="153" t="str">
        <f>IFERROR(__xludf.DUMMYFUNCTION("""COMPUTED_VALUE"""),"ADK0000003764")</f>
        <v>ADK0000003764</v>
      </c>
      <c r="B6085" s="153" t="str">
        <f>IFERROR(__xludf.DUMMYFUNCTION("""COMPUTED_VALUE"""),"WHOLE EXOME SEQUENCING")</f>
        <v>WHOLE EXOME SEQUENCING</v>
      </c>
      <c r="C6085" s="153" t="str">
        <f>IFERROR(__xludf.DUMMYFUNCTION("""COMPUTED_VALUE"""),"14-07-2026")</f>
        <v>14-07-2026</v>
      </c>
      <c r="D6085" s="378">
        <f>IFERROR(__xludf.DUMMYFUNCTION("""COMPUTED_VALUE"""),46231.0)</f>
        <v>46231</v>
      </c>
    </row>
    <row r="6086">
      <c r="A6086" s="153" t="str">
        <f>IFERROR(__xludf.DUMMYFUNCTION("""COMPUTED_VALUE"""),"ADK0000003758")</f>
        <v>ADK0000003758</v>
      </c>
      <c r="B6086" s="153" t="str">
        <f>IFERROR(__xludf.DUMMYFUNCTION("""COMPUTED_VALUE"""),"WHOLE EXOME SEQUENCING")</f>
        <v>WHOLE EXOME SEQUENCING</v>
      </c>
      <c r="C6086" s="153" t="str">
        <f>IFERROR(__xludf.DUMMYFUNCTION("""COMPUTED_VALUE"""),"14-07-2026")</f>
        <v>14-07-2026</v>
      </c>
      <c r="D6086" s="378">
        <f>IFERROR(__xludf.DUMMYFUNCTION("""COMPUTED_VALUE"""),46231.0)</f>
        <v>46231</v>
      </c>
    </row>
    <row r="6087">
      <c r="A6087" s="153" t="str">
        <f>IFERROR(__xludf.DUMMYFUNCTION("""COMPUTED_VALUE"""),"ADK0000003756")</f>
        <v>ADK0000003756</v>
      </c>
      <c r="B6087" s="153" t="str">
        <f>IFERROR(__xludf.DUMMYFUNCTION("""COMPUTED_VALUE"""),"WHOLE EXOME SEQUENCING")</f>
        <v>WHOLE EXOME SEQUENCING</v>
      </c>
      <c r="C6087" s="153" t="str">
        <f>IFERROR(__xludf.DUMMYFUNCTION("""COMPUTED_VALUE"""),"14-07-2026")</f>
        <v>14-07-2026</v>
      </c>
      <c r="D6087" s="378">
        <f>IFERROR(__xludf.DUMMYFUNCTION("""COMPUTED_VALUE"""),46231.0)</f>
        <v>46231</v>
      </c>
    </row>
    <row r="6088">
      <c r="A6088" s="153" t="str">
        <f>IFERROR(__xludf.DUMMYFUNCTION("""COMPUTED_VALUE"""),"ADK0000003761")</f>
        <v>ADK0000003761</v>
      </c>
      <c r="B6088" s="153" t="str">
        <f>IFERROR(__xludf.DUMMYFUNCTION("""COMPUTED_VALUE"""),"WHOLE EXOME SEQUENCING")</f>
        <v>WHOLE EXOME SEQUENCING</v>
      </c>
      <c r="C6088" s="153" t="str">
        <f>IFERROR(__xludf.DUMMYFUNCTION("""COMPUTED_VALUE"""),"14-07-2026")</f>
        <v>14-07-2026</v>
      </c>
      <c r="D6088" s="378">
        <f>IFERROR(__xludf.DUMMYFUNCTION("""COMPUTED_VALUE"""),46231.0)</f>
        <v>46231</v>
      </c>
    </row>
    <row r="6089">
      <c r="A6089" s="153" t="str">
        <f>IFERROR(__xludf.DUMMYFUNCTION("""COMPUTED_VALUE"""),"ADK0000003760")</f>
        <v>ADK0000003760</v>
      </c>
      <c r="B6089" s="153" t="str">
        <f>IFERROR(__xludf.DUMMYFUNCTION("""COMPUTED_VALUE"""),"WHOLE EXOME SEQUENCING")</f>
        <v>WHOLE EXOME SEQUENCING</v>
      </c>
      <c r="C6089" s="153" t="str">
        <f>IFERROR(__xludf.DUMMYFUNCTION("""COMPUTED_VALUE"""),"14-07-2026")</f>
        <v>14-07-2026</v>
      </c>
      <c r="D6089" s="378">
        <f>IFERROR(__xludf.DUMMYFUNCTION("""COMPUTED_VALUE"""),46231.0)</f>
        <v>46231</v>
      </c>
    </row>
    <row r="6090">
      <c r="A6090" s="153" t="str">
        <f>IFERROR(__xludf.DUMMYFUNCTION("""COMPUTED_VALUE"""),"ADK0000003759")</f>
        <v>ADK0000003759</v>
      </c>
      <c r="B6090" s="153" t="str">
        <f>IFERROR(__xludf.DUMMYFUNCTION("""COMPUTED_VALUE"""),"WHOLE EXOME SEQUENCING")</f>
        <v>WHOLE EXOME SEQUENCING</v>
      </c>
      <c r="C6090" s="153" t="str">
        <f>IFERROR(__xludf.DUMMYFUNCTION("""COMPUTED_VALUE"""),"14-07-2026")</f>
        <v>14-07-2026</v>
      </c>
      <c r="D6090" s="378">
        <f>IFERROR(__xludf.DUMMYFUNCTION("""COMPUTED_VALUE"""),46231.0)</f>
        <v>46231</v>
      </c>
    </row>
    <row r="6091">
      <c r="A6091" s="153" t="str">
        <f>IFERROR(__xludf.DUMMYFUNCTION("""COMPUTED_VALUE"""),"ADK0000003850")</f>
        <v>ADK0000003850</v>
      </c>
      <c r="B6091" s="153" t="str">
        <f>IFERROR(__xludf.DUMMYFUNCTION("""COMPUTED_VALUE"""),"WHOLE EXOME SEQUENCING + MITOCHONDRIAL GENOME SEQUENCING")</f>
        <v>WHOLE EXOME SEQUENCING + MITOCHONDRIAL GENOME SEQUENCING</v>
      </c>
      <c r="C6091" s="153" t="str">
        <f>IFERROR(__xludf.DUMMYFUNCTION("""COMPUTED_VALUE"""),"14-07-2026")</f>
        <v>14-07-2026</v>
      </c>
      <c r="D6091" s="378">
        <f>IFERROR(__xludf.DUMMYFUNCTION("""COMPUTED_VALUE"""),46233.0)</f>
        <v>46233</v>
      </c>
    </row>
    <row r="6092">
      <c r="A6092" s="153" t="str">
        <f>IFERROR(__xludf.DUMMYFUNCTION("""COMPUTED_VALUE"""),"ADK0000003852")</f>
        <v>ADK0000003852</v>
      </c>
      <c r="B6092" s="153" t="str">
        <f>IFERROR(__xludf.DUMMYFUNCTION("""COMPUTED_VALUE"""),"WHOLE EXOME SEQUENCING")</f>
        <v>WHOLE EXOME SEQUENCING</v>
      </c>
      <c r="C6092" s="153" t="str">
        <f>IFERROR(__xludf.DUMMYFUNCTION("""COMPUTED_VALUE"""),"14-07-2026")</f>
        <v>14-07-2026</v>
      </c>
      <c r="D6092" s="378">
        <f>IFERROR(__xludf.DUMMYFUNCTION("""COMPUTED_VALUE"""),46233.0)</f>
        <v>46233</v>
      </c>
    </row>
    <row r="6093">
      <c r="A6093" s="153" t="str">
        <f>IFERROR(__xludf.DUMMYFUNCTION("""COMPUTED_VALUE"""),"ADK0000003854")</f>
        <v>ADK0000003854</v>
      </c>
      <c r="B6093" s="153" t="str">
        <f>IFERROR(__xludf.DUMMYFUNCTION("""COMPUTED_VALUE"""),"WHOLE EXOME SEQUENCING")</f>
        <v>WHOLE EXOME SEQUENCING</v>
      </c>
      <c r="C6093" s="153" t="str">
        <f>IFERROR(__xludf.DUMMYFUNCTION("""COMPUTED_VALUE"""),"14-07-2026")</f>
        <v>14-07-2026</v>
      </c>
      <c r="D6093" s="378">
        <f>IFERROR(__xludf.DUMMYFUNCTION("""COMPUTED_VALUE"""),46233.0)</f>
        <v>46233</v>
      </c>
    </row>
    <row r="6094">
      <c r="A6094" s="153" t="str">
        <f>IFERROR(__xludf.DUMMYFUNCTION("""COMPUTED_VALUE"""),"ADK0000003851")</f>
        <v>ADK0000003851</v>
      </c>
      <c r="B6094" s="153" t="str">
        <f>IFERROR(__xludf.DUMMYFUNCTION("""COMPUTED_VALUE"""),"WHOLE EXOME SEQUENCING + MITOCHONDRIAL GENOME SEQUENCING")</f>
        <v>WHOLE EXOME SEQUENCING + MITOCHONDRIAL GENOME SEQUENCING</v>
      </c>
      <c r="C6094" s="153" t="str">
        <f>IFERROR(__xludf.DUMMYFUNCTION("""COMPUTED_VALUE"""),"14-07-2026")</f>
        <v>14-07-2026</v>
      </c>
      <c r="D6094" s="378">
        <f>IFERROR(__xludf.DUMMYFUNCTION("""COMPUTED_VALUE"""),46233.0)</f>
        <v>46233</v>
      </c>
    </row>
    <row r="6095">
      <c r="A6095" s="153" t="str">
        <f>IFERROR(__xludf.DUMMYFUNCTION("""COMPUTED_VALUE"""),"ADK0000003853")</f>
        <v>ADK0000003853</v>
      </c>
      <c r="B6095" s="153" t="str">
        <f>IFERROR(__xludf.DUMMYFUNCTION("""COMPUTED_VALUE"""),"WHOLE EXOME SEQUENCING")</f>
        <v>WHOLE EXOME SEQUENCING</v>
      </c>
      <c r="C6095" s="153" t="str">
        <f>IFERROR(__xludf.DUMMYFUNCTION("""COMPUTED_VALUE"""),"14-07-2026")</f>
        <v>14-07-2026</v>
      </c>
      <c r="D6095" s="378">
        <f>IFERROR(__xludf.DUMMYFUNCTION("""COMPUTED_VALUE"""),46233.0)</f>
        <v>46233</v>
      </c>
    </row>
    <row r="6096">
      <c r="A6096" s="153" t="str">
        <f>IFERROR(__xludf.DUMMYFUNCTION("""COMPUTED_VALUE"""),"ADK0000003813")</f>
        <v>ADK0000003813</v>
      </c>
      <c r="B6096" s="153" t="str">
        <f>IFERROR(__xludf.DUMMYFUNCTION("""COMPUTED_VALUE"""),"WHOLE EXOME SEQUENCING")</f>
        <v>WHOLE EXOME SEQUENCING</v>
      </c>
      <c r="C6096" s="153" t="str">
        <f>IFERROR(__xludf.DUMMYFUNCTION("""COMPUTED_VALUE"""),"14-07-2026")</f>
        <v>14-07-2026</v>
      </c>
      <c r="D6096" s="378">
        <f>IFERROR(__xludf.DUMMYFUNCTION("""COMPUTED_VALUE"""),46233.0)</f>
        <v>46233</v>
      </c>
    </row>
    <row r="6097">
      <c r="A6097" s="153" t="str">
        <f>IFERROR(__xludf.DUMMYFUNCTION("""COMPUTED_VALUE"""),"ADK0000003814")</f>
        <v>ADK0000003814</v>
      </c>
      <c r="B6097" s="153" t="str">
        <f>IFERROR(__xludf.DUMMYFUNCTION("""COMPUTED_VALUE"""),"WHOLE EXOME SEQUENCING")</f>
        <v>WHOLE EXOME SEQUENCING</v>
      </c>
      <c r="C6097" s="153" t="str">
        <f>IFERROR(__xludf.DUMMYFUNCTION("""COMPUTED_VALUE"""),"14-07-2026")</f>
        <v>14-07-2026</v>
      </c>
      <c r="D6097" s="378">
        <f>IFERROR(__xludf.DUMMYFUNCTION("""COMPUTED_VALUE"""),46233.0)</f>
        <v>46233</v>
      </c>
    </row>
    <row r="6098">
      <c r="A6098" s="153" t="str">
        <f>IFERROR(__xludf.DUMMYFUNCTION("""COMPUTED_VALUE"""),"ADK0000003815")</f>
        <v>ADK0000003815</v>
      </c>
      <c r="B6098" s="153" t="str">
        <f>IFERROR(__xludf.DUMMYFUNCTION("""COMPUTED_VALUE"""),"WHOLE EXOME SEQUENCING")</f>
        <v>WHOLE EXOME SEQUENCING</v>
      </c>
      <c r="C6098" s="153" t="str">
        <f>IFERROR(__xludf.DUMMYFUNCTION("""COMPUTED_VALUE"""),"14-07-2026")</f>
        <v>14-07-2026</v>
      </c>
      <c r="D6098" s="378">
        <f>IFERROR(__xludf.DUMMYFUNCTION("""COMPUTED_VALUE"""),46233.0)</f>
        <v>46233</v>
      </c>
    </row>
    <row r="6099">
      <c r="A6099" s="153" t="str">
        <f>IFERROR(__xludf.DUMMYFUNCTION("""COMPUTED_VALUE"""),"ADK0000003816")</f>
        <v>ADK0000003816</v>
      </c>
      <c r="B6099" s="153" t="str">
        <f>IFERROR(__xludf.DUMMYFUNCTION("""COMPUTED_VALUE"""),"WHOLE EXOME SEQUENCING")</f>
        <v>WHOLE EXOME SEQUENCING</v>
      </c>
      <c r="C6099" s="153" t="str">
        <f>IFERROR(__xludf.DUMMYFUNCTION("""COMPUTED_VALUE"""),"14-07-2026")</f>
        <v>14-07-2026</v>
      </c>
      <c r="D6099" s="378">
        <f>IFERROR(__xludf.DUMMYFUNCTION("""COMPUTED_VALUE"""),46233.0)</f>
        <v>46233</v>
      </c>
    </row>
    <row r="6100">
      <c r="A6100" s="153" t="str">
        <f>IFERROR(__xludf.DUMMYFUNCTION("""COMPUTED_VALUE"""),"ADK0000003817")</f>
        <v>ADK0000003817</v>
      </c>
      <c r="B6100" s="153" t="str">
        <f>IFERROR(__xludf.DUMMYFUNCTION("""COMPUTED_VALUE"""),"WHOLE EXOME SEQUENCING")</f>
        <v>WHOLE EXOME SEQUENCING</v>
      </c>
      <c r="C6100" s="153" t="str">
        <f>IFERROR(__xludf.DUMMYFUNCTION("""COMPUTED_VALUE"""),"14-07-2026")</f>
        <v>14-07-2026</v>
      </c>
      <c r="D6100" s="378">
        <f>IFERROR(__xludf.DUMMYFUNCTION("""COMPUTED_VALUE"""),46233.0)</f>
        <v>46233</v>
      </c>
    </row>
    <row r="6101">
      <c r="A6101" s="153" t="str">
        <f>IFERROR(__xludf.DUMMYFUNCTION("""COMPUTED_VALUE"""),"AMB0000011850
")</f>
        <v>AMB0000011850
</v>
      </c>
      <c r="B6101" s="153" t="str">
        <f>IFERROR(__xludf.DUMMYFUNCTION("""COMPUTED_VALUE"""),"AMNIOTIC FLUID CLINICAL EXOME SEQUENCING (CES) + MCC")</f>
        <v>AMNIOTIC FLUID CLINICAL EXOME SEQUENCING (CES) + MCC</v>
      </c>
      <c r="C6101" s="153" t="str">
        <f>IFERROR(__xludf.DUMMYFUNCTION("""COMPUTED_VALUE"""),"14-07-2026")</f>
        <v>14-07-2026</v>
      </c>
      <c r="D6101" s="378">
        <f>IFERROR(__xludf.DUMMYFUNCTION("""COMPUTED_VALUE"""),46220.0)</f>
        <v>46220</v>
      </c>
    </row>
    <row r="6102">
      <c r="A6102" s="153" t="str">
        <f>IFERROR(__xludf.DUMMYFUNCTION("""COMPUTED_VALUE"""),"ADH0000035367
")</f>
        <v>ADH0000035367
</v>
      </c>
      <c r="B6102" s="153" t="str">
        <f>IFERROR(__xludf.DUMMYFUNCTION("""COMPUTED_VALUE"""),"WHOLE EXOME SEQUENCING")</f>
        <v>WHOLE EXOME SEQUENCING</v>
      </c>
      <c r="C6102" s="153" t="str">
        <f>IFERROR(__xludf.DUMMYFUNCTION("""COMPUTED_VALUE"""),"14-07-2026")</f>
        <v>14-07-2026</v>
      </c>
      <c r="D6102" s="378">
        <f>IFERROR(__xludf.DUMMYFUNCTION("""COMPUTED_VALUE"""),46233.0)</f>
        <v>46233</v>
      </c>
    </row>
    <row r="6103">
      <c r="A6103" s="153" t="str">
        <f>IFERROR(__xludf.DUMMYFUNCTION("""COMPUTED_VALUE"""),"AMB0000012174")</f>
        <v>AMB0000012174</v>
      </c>
      <c r="B6103" s="153" t="str">
        <f>IFERROR(__xludf.DUMMYFUNCTION("""COMPUTED_VALUE"""),"WHOLE EXOME SEQUENCING")</f>
        <v>WHOLE EXOME SEQUENCING</v>
      </c>
      <c r="C6103" s="153" t="str">
        <f>IFERROR(__xludf.DUMMYFUNCTION("""COMPUTED_VALUE"""),"14-07-2026")</f>
        <v>14-07-2026</v>
      </c>
      <c r="D6103" s="378">
        <f>IFERROR(__xludf.DUMMYFUNCTION("""COMPUTED_VALUE"""),46228.0)</f>
        <v>46228</v>
      </c>
    </row>
    <row r="6104">
      <c r="A6104" s="153" t="str">
        <f>IFERROR(__xludf.DUMMYFUNCTION("""COMPUTED_VALUE"""),"AMB0000012138")</f>
        <v>AMB0000012138</v>
      </c>
      <c r="B6104" s="153" t="str">
        <f>IFERROR(__xludf.DUMMYFUNCTION("""COMPUTED_VALUE"""),"WHOLE EXOME SEQUENCING")</f>
        <v>WHOLE EXOME SEQUENCING</v>
      </c>
      <c r="C6104" s="153" t="str">
        <f>IFERROR(__xludf.DUMMYFUNCTION("""COMPUTED_VALUE"""),"14-07-2026")</f>
        <v>14-07-2026</v>
      </c>
      <c r="D6104" s="378">
        <f>IFERROR(__xludf.DUMMYFUNCTION("""COMPUTED_VALUE"""),46228.0)</f>
        <v>46228</v>
      </c>
    </row>
    <row r="6105">
      <c r="A6105" s="153" t="str">
        <f>IFERROR(__xludf.DUMMYFUNCTION("""COMPUTED_VALUE"""),"AMB0000012137
")</f>
        <v>AMB0000012137
</v>
      </c>
      <c r="B6105" s="153" t="str">
        <f>IFERROR(__xludf.DUMMYFUNCTION("""COMPUTED_VALUE"""),"WHOLE EXOME SEQUENCING")</f>
        <v>WHOLE EXOME SEQUENCING</v>
      </c>
      <c r="C6105" s="153" t="str">
        <f>IFERROR(__xludf.DUMMYFUNCTION("""COMPUTED_VALUE"""),"14-07-2026")</f>
        <v>14-07-2026</v>
      </c>
      <c r="D6105" s="378">
        <f>IFERROR(__xludf.DUMMYFUNCTION("""COMPUTED_VALUE"""),46228.0)</f>
        <v>46228</v>
      </c>
    </row>
    <row r="6106">
      <c r="A6106" s="153" t="str">
        <f>IFERROR(__xludf.DUMMYFUNCTION("""COMPUTED_VALUE"""),"AMB0000012275
")</f>
        <v>AMB0000012275
</v>
      </c>
      <c r="B6106" s="153" t="str">
        <f>IFERROR(__xludf.DUMMYFUNCTION("""COMPUTED_VALUE"""),"WHOLE EXOME SEQUENCING")</f>
        <v>WHOLE EXOME SEQUENCING</v>
      </c>
      <c r="C6106" s="153" t="str">
        <f>IFERROR(__xludf.DUMMYFUNCTION("""COMPUTED_VALUE"""),"14-07-2026")</f>
        <v>14-07-2026</v>
      </c>
      <c r="D6106" s="378">
        <f>IFERROR(__xludf.DUMMYFUNCTION("""COMPUTED_VALUE"""),46231.0)</f>
        <v>46231</v>
      </c>
    </row>
    <row r="6107">
      <c r="A6107" s="153" t="str">
        <f>IFERROR(__xludf.DUMMYFUNCTION("""COMPUTED_VALUE"""),"HYP0000002986")</f>
        <v>HYP0000002986</v>
      </c>
      <c r="B6107" s="153" t="str">
        <f>IFERROR(__xludf.DUMMYFUNCTION("""COMPUTED_VALUE"""),"ADVAT FOCUS CARRIER SCREENING - NGS")</f>
        <v>ADVAT FOCUS CARRIER SCREENING - NGS</v>
      </c>
      <c r="C6107" s="153" t="str">
        <f>IFERROR(__xludf.DUMMYFUNCTION("""COMPUTED_VALUE"""),"14-07-2026")</f>
        <v>14-07-2026</v>
      </c>
      <c r="D6107" s="378">
        <f>IFERROR(__xludf.DUMMYFUNCTION("""COMPUTED_VALUE"""),46223.0)</f>
        <v>46223</v>
      </c>
    </row>
    <row r="6108">
      <c r="A6108" s="153" t="str">
        <f>IFERROR(__xludf.DUMMYFUNCTION("""COMPUTED_VALUE"""),"HYP0000002987")</f>
        <v>HYP0000002987</v>
      </c>
      <c r="B6108" s="153" t="str">
        <f>IFERROR(__xludf.DUMMYFUNCTION("""COMPUTED_VALUE"""),"ADVAT FOCUS CARRIER SCREENING - NGS")</f>
        <v>ADVAT FOCUS CARRIER SCREENING - NGS</v>
      </c>
      <c r="C6108" s="153" t="str">
        <f>IFERROR(__xludf.DUMMYFUNCTION("""COMPUTED_VALUE"""),"14-07-2026")</f>
        <v>14-07-2026</v>
      </c>
      <c r="D6108" s="378">
        <f>IFERROR(__xludf.DUMMYFUNCTION("""COMPUTED_VALUE"""),46223.0)</f>
        <v>46223</v>
      </c>
    </row>
    <row r="6109">
      <c r="A6109" s="153" t="str">
        <f>IFERROR(__xludf.DUMMYFUNCTION("""COMPUTED_VALUE"""),"CHM0000052759")</f>
        <v>CHM0000052759</v>
      </c>
      <c r="B6109" s="153" t="str">
        <f>IFERROR(__xludf.DUMMYFUNCTION("""COMPUTED_VALUE"""),"WHOLE EXOME SEQUENCING")</f>
        <v>WHOLE EXOME SEQUENCING</v>
      </c>
      <c r="C6109" s="153" t="str">
        <f>IFERROR(__xludf.DUMMYFUNCTION("""COMPUTED_VALUE"""),"14-07-2026")</f>
        <v>14-07-2026</v>
      </c>
      <c r="D6109" s="378">
        <f>IFERROR(__xludf.DUMMYFUNCTION("""COMPUTED_VALUE"""),46235.0)</f>
        <v>46235</v>
      </c>
    </row>
    <row r="6110">
      <c r="A6110" s="153" t="str">
        <f>IFERROR(__xludf.DUMMYFUNCTION("""COMPUTED_VALUE"""),"ADS0000020583")</f>
        <v>ADS0000020583</v>
      </c>
      <c r="B6110" s="153" t="str">
        <f>IFERROR(__xludf.DUMMYFUNCTION("""COMPUTED_VALUE"""),"WHOLE EXOME SEQUENCING")</f>
        <v>WHOLE EXOME SEQUENCING</v>
      </c>
      <c r="C6110" s="153" t="str">
        <f>IFERROR(__xludf.DUMMYFUNCTION("""COMPUTED_VALUE"""),"14-07-2026")</f>
        <v>14-07-2026</v>
      </c>
      <c r="D6110" s="378">
        <f>IFERROR(__xludf.DUMMYFUNCTION("""COMPUTED_VALUE"""),46236.0)</f>
        <v>46236</v>
      </c>
    </row>
    <row r="6111">
      <c r="A6111" s="153" t="str">
        <f>IFERROR(__xludf.DUMMYFUNCTION("""COMPUTED_VALUE"""),"ADH0000035311
")</f>
        <v>ADH0000035311
</v>
      </c>
      <c r="B6111" s="153" t="str">
        <f>IFERROR(__xludf.DUMMYFUNCTION("""COMPUTED_VALUE"""),"WHOLE EXOME SEQUENCING")</f>
        <v>WHOLE EXOME SEQUENCING</v>
      </c>
      <c r="C6111" s="153"/>
      <c r="D6111" s="378">
        <f>IFERROR(__xludf.DUMMYFUNCTION("""COMPUTED_VALUE"""),46239.0)</f>
        <v>46239</v>
      </c>
    </row>
    <row r="6112">
      <c r="A6112" s="153" t="str">
        <f>IFERROR(__xludf.DUMMYFUNCTION("""COMPUTED_VALUE"""),"ACL0000029367
")</f>
        <v>ACL0000029367
</v>
      </c>
      <c r="B6112" s="153" t="str">
        <f>IFERROR(__xludf.DUMMYFUNCTION("""COMPUTED_VALUE"""),"WHOLE EXOME SEQUENCING")</f>
        <v>WHOLE EXOME SEQUENCING</v>
      </c>
      <c r="C6112" s="153"/>
      <c r="D6112" s="378">
        <f>IFERROR(__xludf.DUMMYFUNCTION("""COMPUTED_VALUE"""),46240.0)</f>
        <v>46240</v>
      </c>
    </row>
    <row r="6113">
      <c r="A6113" s="153" t="str">
        <f>IFERROR(__xludf.DUMMYFUNCTION("""COMPUTED_VALUE"""),"ADM0000000263")</f>
        <v>ADM0000000263</v>
      </c>
      <c r="B6113" s="153" t="str">
        <f>IFERROR(__xludf.DUMMYFUNCTION("""COMPUTED_VALUE"""),"WHOLE EXOME SEQUENCING")</f>
        <v>WHOLE EXOME SEQUENCING</v>
      </c>
      <c r="C6113" s="153"/>
      <c r="D6113" s="378">
        <f>IFERROR(__xludf.DUMMYFUNCTION("""COMPUTED_VALUE"""),46240.0)</f>
        <v>46240</v>
      </c>
    </row>
    <row r="6114">
      <c r="A6114" s="153" t="str">
        <f>IFERROR(__xludf.DUMMYFUNCTION("""COMPUTED_VALUE"""),"ADM0000000264")</f>
        <v>ADM0000000264</v>
      </c>
      <c r="B6114" s="153" t="str">
        <f>IFERROR(__xludf.DUMMYFUNCTION("""COMPUTED_VALUE"""),"WHOLE EXOME SEQUENCING")</f>
        <v>WHOLE EXOME SEQUENCING</v>
      </c>
      <c r="C6114" s="153"/>
      <c r="D6114" s="378">
        <f>IFERROR(__xludf.DUMMYFUNCTION("""COMPUTED_VALUE"""),46240.0)</f>
        <v>46240</v>
      </c>
    </row>
    <row r="6115">
      <c r="A6115" s="153" t="str">
        <f>IFERROR(__xludf.DUMMYFUNCTION("""COMPUTED_VALUE"""),"AMB0000012467")</f>
        <v>AMB0000012467</v>
      </c>
      <c r="B6115" s="153" t="str">
        <f>IFERROR(__xludf.DUMMYFUNCTION("""COMPUTED_VALUE"""),"WHOLE EXOME SEQUENCING")</f>
        <v>WHOLE EXOME SEQUENCING</v>
      </c>
      <c r="C6115" s="153"/>
      <c r="D6115" s="378">
        <f>IFERROR(__xludf.DUMMYFUNCTION("""COMPUTED_VALUE"""),46240.0)</f>
        <v>46240</v>
      </c>
    </row>
    <row r="6116">
      <c r="A6116" s="153" t="str">
        <f>IFERROR(__xludf.DUMMYFUNCTION("""COMPUTED_VALUE"""),"AMB0000012468")</f>
        <v>AMB0000012468</v>
      </c>
      <c r="B6116" s="153" t="str">
        <f>IFERROR(__xludf.DUMMYFUNCTION("""COMPUTED_VALUE"""),"WHOLE EXOME SEQUENCING")</f>
        <v>WHOLE EXOME SEQUENCING</v>
      </c>
      <c r="C6116" s="153"/>
      <c r="D6116" s="378">
        <f>IFERROR(__xludf.DUMMYFUNCTION("""COMPUTED_VALUE"""),46240.0)</f>
        <v>46240</v>
      </c>
    </row>
    <row r="6117">
      <c r="A6117" s="153" t="str">
        <f>IFERROR(__xludf.DUMMYFUNCTION("""COMPUTED_VALUE"""),"FR20000014351")</f>
        <v>FR20000014351</v>
      </c>
      <c r="B6117" s="153" t="str">
        <f>IFERROR(__xludf.DUMMYFUNCTION("""COMPUTED_VALUE"""),"WHOLE EXOME SEQUENCING + MITOCHONDRIAL GENOME SEQUENCING")</f>
        <v>WHOLE EXOME SEQUENCING + MITOCHONDRIAL GENOME SEQUENCING</v>
      </c>
      <c r="C6117" s="153"/>
      <c r="D6117" s="378">
        <f>IFERROR(__xludf.DUMMYFUNCTION("""COMPUTED_VALUE"""),46241.0)</f>
        <v>46241</v>
      </c>
    </row>
    <row r="6118">
      <c r="A6118" s="153" t="str">
        <f>IFERROR(__xludf.DUMMYFUNCTION("""COMPUTED_VALUE"""),"CHM0000055648")</f>
        <v>CHM0000055648</v>
      </c>
      <c r="B6118" s="153" t="str">
        <f>IFERROR(__xludf.DUMMYFUNCTION("""COMPUTED_VALUE"""),"WHOLE EXOME SEQUENCING")</f>
        <v>WHOLE EXOME SEQUENCING</v>
      </c>
      <c r="C6118" s="153"/>
      <c r="D6118" s="378">
        <f>IFERROR(__xludf.DUMMYFUNCTION("""COMPUTED_VALUE"""),46241.0)</f>
        <v>46241</v>
      </c>
    </row>
    <row r="6119">
      <c r="A6119" s="153" t="str">
        <f>IFERROR(__xludf.DUMMYFUNCTION("""COMPUTED_VALUE"""),"CHM0000055652")</f>
        <v>CHM0000055652</v>
      </c>
      <c r="B6119" s="153" t="str">
        <f>IFERROR(__xludf.DUMMYFUNCTION("""COMPUTED_VALUE"""),"WHOLE EXOME SEQUENCING")</f>
        <v>WHOLE EXOME SEQUENCING</v>
      </c>
      <c r="C6119" s="153"/>
      <c r="D6119" s="378">
        <f>IFERROR(__xludf.DUMMYFUNCTION("""COMPUTED_VALUE"""),46241.0)</f>
        <v>46241</v>
      </c>
    </row>
    <row r="6120">
      <c r="A6120" s="153" t="str">
        <f>IFERROR(__xludf.DUMMYFUNCTION("""COMPUTED_VALUE"""),"AMB0000012538")</f>
        <v>AMB0000012538</v>
      </c>
      <c r="B6120" s="153" t="str">
        <f>IFERROR(__xludf.DUMMYFUNCTION("""COMPUTED_VALUE"""),"WHOLE EXOME SEQUENCING")</f>
        <v>WHOLE EXOME SEQUENCING</v>
      </c>
      <c r="C6120" s="153"/>
      <c r="D6120" s="378">
        <f>IFERROR(__xludf.DUMMYFUNCTION("""COMPUTED_VALUE"""),46241.0)</f>
        <v>46241</v>
      </c>
    </row>
    <row r="6121">
      <c r="A6121" s="153" t="str">
        <f>IFERROR(__xludf.DUMMYFUNCTION("""COMPUTED_VALUE"""),"AMB0000012539")</f>
        <v>AMB0000012539</v>
      </c>
      <c r="B6121" s="153" t="str">
        <f>IFERROR(__xludf.DUMMYFUNCTION("""COMPUTED_VALUE"""),"WHOLE EXOME SEQUENCING")</f>
        <v>WHOLE EXOME SEQUENCING</v>
      </c>
      <c r="C6121" s="153"/>
      <c r="D6121" s="378">
        <f>IFERROR(__xludf.DUMMYFUNCTION("""COMPUTED_VALUE"""),46241.0)</f>
        <v>46241</v>
      </c>
    </row>
    <row r="6122">
      <c r="A6122" s="153" t="str">
        <f>IFERROR(__xludf.DUMMYFUNCTION("""COMPUTED_VALUE"""),"ADB0000048554")</f>
        <v>ADB0000048554</v>
      </c>
      <c r="B6122" s="153" t="str">
        <f>IFERROR(__xludf.DUMMYFUNCTION("""COMPUTED_VALUE"""),"WHOLE EXOME SEQUENCING")</f>
        <v>WHOLE EXOME SEQUENCING</v>
      </c>
      <c r="C6122" s="153"/>
      <c r="D6122" s="378">
        <f>IFERROR(__xludf.DUMMYFUNCTION("""COMPUTED_VALUE"""),46242.0)</f>
        <v>46242</v>
      </c>
    </row>
    <row r="6123">
      <c r="A6123" s="153" t="str">
        <f>IFERROR(__xludf.DUMMYFUNCTION("""COMPUTED_VALUE"""),"ADB0000048556")</f>
        <v>ADB0000048556</v>
      </c>
      <c r="B6123" s="153" t="str">
        <f>IFERROR(__xludf.DUMMYFUNCTION("""COMPUTED_VALUE"""),"WHOLE EXOME SEQUENCING")</f>
        <v>WHOLE EXOME SEQUENCING</v>
      </c>
      <c r="C6123" s="153"/>
      <c r="D6123" s="378">
        <f>IFERROR(__xludf.DUMMYFUNCTION("""COMPUTED_VALUE"""),46242.0)</f>
        <v>46242</v>
      </c>
    </row>
    <row r="6124">
      <c r="A6124" s="153" t="str">
        <f>IFERROR(__xludf.DUMMYFUNCTION("""COMPUTED_VALUE"""),"ADH0000036139")</f>
        <v>ADH0000036139</v>
      </c>
      <c r="B6124" s="153" t="str">
        <f>IFERROR(__xludf.DUMMYFUNCTION("""COMPUTED_VALUE"""),"CLINICAL EXOME SEQUENCING")</f>
        <v>CLINICAL EXOME SEQUENCING</v>
      </c>
      <c r="C6124" s="153"/>
      <c r="D6124" s="378">
        <f>IFERROR(__xludf.DUMMYFUNCTION("""COMPUTED_VALUE"""),46242.0)</f>
        <v>46242</v>
      </c>
    </row>
    <row r="6125">
      <c r="A6125" s="153" t="str">
        <f>IFERROR(__xludf.DUMMYFUNCTION("""COMPUTED_VALUE"""),"ADH0000036138")</f>
        <v>ADH0000036138</v>
      </c>
      <c r="B6125" s="153" t="str">
        <f>IFERROR(__xludf.DUMMYFUNCTION("""COMPUTED_VALUE"""),"CLINICAL EXOME SEQUENCING")</f>
        <v>CLINICAL EXOME SEQUENCING</v>
      </c>
      <c r="C6125" s="153"/>
      <c r="D6125" s="378">
        <f>IFERROR(__xludf.DUMMYFUNCTION("""COMPUTED_VALUE"""),46242.0)</f>
        <v>46242</v>
      </c>
    </row>
    <row r="6126">
      <c r="A6126" s="153" t="str">
        <f>IFERROR(__xludf.DUMMYFUNCTION("""COMPUTED_VALUE"""),"AVP0000016082")</f>
        <v>AVP0000016082</v>
      </c>
      <c r="B6126" s="153" t="str">
        <f>IFERROR(__xludf.DUMMYFUNCTION("""COMPUTED_VALUE"""),"WHOLE EXOME SEQUENCING")</f>
        <v>WHOLE EXOME SEQUENCING</v>
      </c>
      <c r="C6126" s="153"/>
      <c r="D6126" s="378">
        <f>IFERROR(__xludf.DUMMYFUNCTION("""COMPUTED_VALUE"""),46239.0)</f>
        <v>46239</v>
      </c>
    </row>
    <row r="6127">
      <c r="A6127" s="153" t="str">
        <f>IFERROR(__xludf.DUMMYFUNCTION("""COMPUTED_VALUE"""),"ADK0000003911")</f>
        <v>ADK0000003911</v>
      </c>
      <c r="B6127" s="153" t="str">
        <f>IFERROR(__xludf.DUMMYFUNCTION("""COMPUTED_VALUE"""),"WHOLE EXOME SEQUENCING")</f>
        <v>WHOLE EXOME SEQUENCING</v>
      </c>
      <c r="C6127" s="153"/>
      <c r="D6127" s="378">
        <f>IFERROR(__xludf.DUMMYFUNCTION("""COMPUTED_VALUE"""),46234.0)</f>
        <v>46234</v>
      </c>
    </row>
    <row r="6128">
      <c r="A6128" s="153" t="str">
        <f>IFERROR(__xludf.DUMMYFUNCTION("""COMPUTED_VALUE"""),"ADK0000003912")</f>
        <v>ADK0000003912</v>
      </c>
      <c r="B6128" s="153" t="str">
        <f>IFERROR(__xludf.DUMMYFUNCTION("""COMPUTED_VALUE"""),"WHOLE EXOME SEQUENCING")</f>
        <v>WHOLE EXOME SEQUENCING</v>
      </c>
      <c r="C6128" s="153"/>
      <c r="D6128" s="378">
        <f>IFERROR(__xludf.DUMMYFUNCTION("""COMPUTED_VALUE"""),46234.0)</f>
        <v>46234</v>
      </c>
    </row>
    <row r="6129">
      <c r="A6129" s="153" t="str">
        <f>IFERROR(__xludf.DUMMYFUNCTION("""COMPUTED_VALUE"""),"ADK0000003913")</f>
        <v>ADK0000003913</v>
      </c>
      <c r="B6129" s="153" t="str">
        <f>IFERROR(__xludf.DUMMYFUNCTION("""COMPUTED_VALUE"""),"WHOLE EXOME SEQUENCING")</f>
        <v>WHOLE EXOME SEQUENCING</v>
      </c>
      <c r="C6129" s="153"/>
      <c r="D6129" s="378">
        <f>IFERROR(__xludf.DUMMYFUNCTION("""COMPUTED_VALUE"""),46234.0)</f>
        <v>46234</v>
      </c>
    </row>
    <row r="6130">
      <c r="A6130" s="153" t="str">
        <f>IFERROR(__xludf.DUMMYFUNCTION("""COMPUTED_VALUE"""),"ADK0000003914")</f>
        <v>ADK0000003914</v>
      </c>
      <c r="B6130" s="153" t="str">
        <f>IFERROR(__xludf.DUMMYFUNCTION("""COMPUTED_VALUE"""),"WHOLE EXOME SEQUENCING")</f>
        <v>WHOLE EXOME SEQUENCING</v>
      </c>
      <c r="C6130" s="153"/>
      <c r="D6130" s="378">
        <f>IFERROR(__xludf.DUMMYFUNCTION("""COMPUTED_VALUE"""),46234.0)</f>
        <v>46234</v>
      </c>
    </row>
    <row r="6131">
      <c r="A6131" s="153" t="str">
        <f>IFERROR(__xludf.DUMMYFUNCTION("""COMPUTED_VALUE"""),"ADK0000003915")</f>
        <v>ADK0000003915</v>
      </c>
      <c r="B6131" s="153" t="str">
        <f>IFERROR(__xludf.DUMMYFUNCTION("""COMPUTED_VALUE"""),"WHOLE EXOME SEQUENCING")</f>
        <v>WHOLE EXOME SEQUENCING</v>
      </c>
      <c r="C6131" s="153"/>
      <c r="D6131" s="378">
        <f>IFERROR(__xludf.DUMMYFUNCTION("""COMPUTED_VALUE"""),46234.0)</f>
        <v>46234</v>
      </c>
    </row>
    <row r="6132">
      <c r="A6132" s="153" t="str">
        <f>IFERROR(__xludf.DUMMYFUNCTION("""COMPUTED_VALUE"""),"ADK0000003917")</f>
        <v>ADK0000003917</v>
      </c>
      <c r="B6132" s="153" t="str">
        <f>IFERROR(__xludf.DUMMYFUNCTION("""COMPUTED_VALUE"""),"WHOLE EXOME SEQUENCING")</f>
        <v>WHOLE EXOME SEQUENCING</v>
      </c>
      <c r="C6132" s="153"/>
      <c r="D6132" s="378">
        <f>IFERROR(__xludf.DUMMYFUNCTION("""COMPUTED_VALUE"""),46234.0)</f>
        <v>46234</v>
      </c>
    </row>
    <row r="6133">
      <c r="A6133" s="153" t="str">
        <f>IFERROR(__xludf.DUMMYFUNCTION("""COMPUTED_VALUE"""),"ADK0000003918")</f>
        <v>ADK0000003918</v>
      </c>
      <c r="B6133" s="153" t="str">
        <f>IFERROR(__xludf.DUMMYFUNCTION("""COMPUTED_VALUE"""),"WHOLE EXOME SEQUENCING")</f>
        <v>WHOLE EXOME SEQUENCING</v>
      </c>
      <c r="C6133" s="153"/>
      <c r="D6133" s="378">
        <f>IFERROR(__xludf.DUMMYFUNCTION("""COMPUTED_VALUE"""),46234.0)</f>
        <v>46234</v>
      </c>
    </row>
    <row r="6134">
      <c r="A6134" s="153" t="str">
        <f>IFERROR(__xludf.DUMMYFUNCTION("""COMPUTED_VALUE"""),"ADK0000003803")</f>
        <v>ADK0000003803</v>
      </c>
      <c r="B6134" s="153" t="str">
        <f>IFERROR(__xludf.DUMMYFUNCTION("""COMPUTED_VALUE"""),"WES+WMGS")</f>
        <v>WES+WMGS</v>
      </c>
      <c r="C6134" s="153"/>
      <c r="D6134" s="378">
        <f>IFERROR(__xludf.DUMMYFUNCTION("""COMPUTED_VALUE"""),46238.0)</f>
        <v>46238</v>
      </c>
    </row>
    <row r="6135">
      <c r="A6135" s="153" t="str">
        <f>IFERROR(__xludf.DUMMYFUNCTION("""COMPUTED_VALUE"""),"ADB0000048175
")</f>
        <v>ADB0000048175
</v>
      </c>
      <c r="B6135" s="153" t="str">
        <f>IFERROR(__xludf.DUMMYFUNCTION("""COMPUTED_VALUE"""),"FEMALE INFERTILITY NGS PANEL")</f>
        <v>FEMALE INFERTILITY NGS PANEL</v>
      </c>
      <c r="C6135" s="153"/>
      <c r="D6135" s="378">
        <f>IFERROR(__xludf.DUMMYFUNCTION("""COMPUTED_VALUE"""),46229.0)</f>
        <v>46229</v>
      </c>
    </row>
    <row r="6136">
      <c r="A6136" s="153" t="str">
        <f>IFERROR(__xludf.DUMMYFUNCTION("""COMPUTED_VALUE"""),"ADB0000048176")</f>
        <v>ADB0000048176</v>
      </c>
      <c r="B6136" s="153" t="str">
        <f>IFERROR(__xludf.DUMMYFUNCTION("""COMPUTED_VALUE"""),"MALE INFERTILITY NGS PANEL")</f>
        <v>MALE INFERTILITY NGS PANEL</v>
      </c>
      <c r="C6136" s="153"/>
      <c r="D6136" s="378">
        <f>IFERROR(__xludf.DUMMYFUNCTION("""COMPUTED_VALUE"""),46229.0)</f>
        <v>46229</v>
      </c>
    </row>
    <row r="6137">
      <c r="A6137" s="153" t="str">
        <f>IFERROR(__xludf.DUMMYFUNCTION("""COMPUTED_VALUE"""),"ADK0000003804")</f>
        <v>ADK0000003804</v>
      </c>
      <c r="B6137" s="153" t="str">
        <f>IFERROR(__xludf.DUMMYFUNCTION("""COMPUTED_VALUE"""),"WES+WMGS")</f>
        <v>WES+WMGS</v>
      </c>
      <c r="C6137" s="153"/>
      <c r="D6137" s="378">
        <f>IFERROR(__xludf.DUMMYFUNCTION("""COMPUTED_VALUE"""),46238.0)</f>
        <v>46238</v>
      </c>
    </row>
    <row r="6138">
      <c r="A6138" s="153" t="str">
        <f>IFERROR(__xludf.DUMMYFUNCTION("""COMPUTED_VALUE"""),"ADH0000035266")</f>
        <v>ADH0000035266</v>
      </c>
      <c r="B6138" s="153" t="str">
        <f>IFERROR(__xludf.DUMMYFUNCTION("""COMPUTED_VALUE"""),"WHOLE EXOME SEQUENCING")</f>
        <v>WHOLE EXOME SEQUENCING</v>
      </c>
      <c r="C6138" s="153"/>
      <c r="D6138" s="378">
        <f>IFERROR(__xludf.DUMMYFUNCTION("""COMPUTED_VALUE"""),46235.0)</f>
        <v>46235</v>
      </c>
    </row>
    <row r="6139">
      <c r="A6139" s="153" t="str">
        <f>IFERROR(__xludf.DUMMYFUNCTION("""COMPUTED_VALUE"""),"ADH0000035265")</f>
        <v>ADH0000035265</v>
      </c>
      <c r="B6139" s="153" t="str">
        <f>IFERROR(__xludf.DUMMYFUNCTION("""COMPUTED_VALUE"""),"WHOLE EXOME SEQUENCING")</f>
        <v>WHOLE EXOME SEQUENCING</v>
      </c>
      <c r="C6139" s="153"/>
      <c r="D6139" s="378">
        <f>IFERROR(__xludf.DUMMYFUNCTION("""COMPUTED_VALUE"""),46235.0)</f>
        <v>46235</v>
      </c>
    </row>
    <row r="6140">
      <c r="A6140" s="153" t="str">
        <f>IFERROR(__xludf.DUMMYFUNCTION("""COMPUTED_VALUE"""),"AMB0000012432")</f>
        <v>AMB0000012432</v>
      </c>
      <c r="B6140" s="153" t="str">
        <f>IFERROR(__xludf.DUMMYFUNCTION("""COMPUTED_VALUE"""),"WHOLE EXOME SEQUENCING")</f>
        <v>WHOLE EXOME SEQUENCING</v>
      </c>
      <c r="C6140" s="153"/>
      <c r="D6140" s="378">
        <f>IFERROR(__xludf.DUMMYFUNCTION("""COMPUTED_VALUE"""),46233.0)</f>
        <v>46233</v>
      </c>
    </row>
    <row r="6141">
      <c r="A6141" s="153" t="str">
        <f>IFERROR(__xludf.DUMMYFUNCTION("""COMPUTED_VALUE"""),"AMB0000012383")</f>
        <v>AMB0000012383</v>
      </c>
      <c r="B6141" s="153" t="str">
        <f>IFERROR(__xludf.DUMMYFUNCTION("""COMPUTED_VALUE"""),"WHOLE EXOME SEQUENCING")</f>
        <v>WHOLE EXOME SEQUENCING</v>
      </c>
      <c r="C6141" s="153"/>
      <c r="D6141" s="378">
        <f>IFERROR(__xludf.DUMMYFUNCTION("""COMPUTED_VALUE"""),46233.0)</f>
        <v>46233</v>
      </c>
    </row>
    <row r="6142">
      <c r="A6142" s="153" t="str">
        <f>IFERROR(__xludf.DUMMYFUNCTION("""COMPUTED_VALUE"""),"AMB0000012385")</f>
        <v>AMB0000012385</v>
      </c>
      <c r="B6142" s="153" t="str">
        <f>IFERROR(__xludf.DUMMYFUNCTION("""COMPUTED_VALUE"""),"WHOLE EXOME SEQUENCING")</f>
        <v>WHOLE EXOME SEQUENCING</v>
      </c>
      <c r="C6142" s="153"/>
      <c r="D6142" s="378">
        <f>IFERROR(__xludf.DUMMYFUNCTION("""COMPUTED_VALUE"""),46233.0)</f>
        <v>46233</v>
      </c>
    </row>
    <row r="6143">
      <c r="A6143" s="153" t="str">
        <f>IFERROR(__xludf.DUMMYFUNCTION("""COMPUTED_VALUE"""),"ADK0000003960")</f>
        <v>ADK0000003960</v>
      </c>
      <c r="B6143" s="153" t="str">
        <f>IFERROR(__xludf.DUMMYFUNCTION("""COMPUTED_VALUE"""),"WHOLE EXOME SEQUENCING")</f>
        <v>WHOLE EXOME SEQUENCING</v>
      </c>
      <c r="C6143" s="153"/>
      <c r="D6143" s="378">
        <f>IFERROR(__xludf.DUMMYFUNCTION("""COMPUTED_VALUE"""),46237.0)</f>
        <v>46237</v>
      </c>
    </row>
    <row r="6144">
      <c r="A6144" s="153" t="str">
        <f>IFERROR(__xludf.DUMMYFUNCTION("""COMPUTED_VALUE"""),"ADK0000003959")</f>
        <v>ADK0000003959</v>
      </c>
      <c r="B6144" s="153" t="str">
        <f>IFERROR(__xludf.DUMMYFUNCTION("""COMPUTED_VALUE"""),"WHOLE EXOME SEQUENCING")</f>
        <v>WHOLE EXOME SEQUENCING</v>
      </c>
      <c r="C6144" s="153"/>
      <c r="D6144" s="378">
        <f>IFERROR(__xludf.DUMMYFUNCTION("""COMPUTED_VALUE"""),46237.0)</f>
        <v>46237</v>
      </c>
    </row>
    <row r="6145">
      <c r="A6145" s="153" t="str">
        <f>IFERROR(__xludf.DUMMYFUNCTION("""COMPUTED_VALUE"""),"ADK0000003961")</f>
        <v>ADK0000003961</v>
      </c>
      <c r="B6145" s="153" t="str">
        <f>IFERROR(__xludf.DUMMYFUNCTION("""COMPUTED_VALUE"""),"WHOLE EXOME SEQUENCING")</f>
        <v>WHOLE EXOME SEQUENCING</v>
      </c>
      <c r="C6145" s="153"/>
      <c r="D6145" s="378">
        <f>IFERROR(__xludf.DUMMYFUNCTION("""COMPUTED_VALUE"""),46237.0)</f>
        <v>46237</v>
      </c>
    </row>
    <row r="6146">
      <c r="A6146" s="153" t="str">
        <f>IFERROR(__xludf.DUMMYFUNCTION("""COMPUTED_VALUE"""),"ADK0000003987")</f>
        <v>ADK0000003987</v>
      </c>
      <c r="B6146" s="153" t="str">
        <f>IFERROR(__xludf.DUMMYFUNCTION("""COMPUTED_VALUE"""),"WHOLE EXOME SEQUENCING")</f>
        <v>WHOLE EXOME SEQUENCING</v>
      </c>
      <c r="C6146" s="153"/>
      <c r="D6146" s="378">
        <f>IFERROR(__xludf.DUMMYFUNCTION("""COMPUTED_VALUE"""),46238.0)</f>
        <v>46238</v>
      </c>
    </row>
    <row r="6147">
      <c r="A6147" s="153" t="str">
        <f>IFERROR(__xludf.DUMMYFUNCTION("""COMPUTED_VALUE"""),"ADK0000003985
")</f>
        <v>ADK0000003985
</v>
      </c>
      <c r="B6147" s="153" t="str">
        <f>IFERROR(__xludf.DUMMYFUNCTION("""COMPUTED_VALUE"""),"WHOLE EXOME SEQUENCING")</f>
        <v>WHOLE EXOME SEQUENCING</v>
      </c>
      <c r="C6147" s="153"/>
      <c r="D6147" s="378">
        <f>IFERROR(__xludf.DUMMYFUNCTION("""COMPUTED_VALUE"""),46238.0)</f>
        <v>46238</v>
      </c>
    </row>
    <row r="6148">
      <c r="A6148" s="153" t="str">
        <f>IFERROR(__xludf.DUMMYFUNCTION("""COMPUTED_VALUE"""),"ADK0000003973")</f>
        <v>ADK0000003973</v>
      </c>
      <c r="B6148" s="153" t="str">
        <f>IFERROR(__xludf.DUMMYFUNCTION("""COMPUTED_VALUE"""),"WHOLE EXOME SEQUENCING")</f>
        <v>WHOLE EXOME SEQUENCING</v>
      </c>
      <c r="C6148" s="153"/>
      <c r="D6148" s="378">
        <f>IFERROR(__xludf.DUMMYFUNCTION("""COMPUTED_VALUE"""),46238.0)</f>
        <v>46238</v>
      </c>
    </row>
    <row r="6149">
      <c r="A6149" s="153" t="str">
        <f>IFERROR(__xludf.DUMMYFUNCTION("""COMPUTED_VALUE"""),"ADK0000003974")</f>
        <v>ADK0000003974</v>
      </c>
      <c r="B6149" s="153" t="str">
        <f>IFERROR(__xludf.DUMMYFUNCTION("""COMPUTED_VALUE"""),"WHOLE EXOME SEQUENCING")</f>
        <v>WHOLE EXOME SEQUENCING</v>
      </c>
      <c r="C6149" s="153"/>
      <c r="D6149" s="378">
        <f>IFERROR(__xludf.DUMMYFUNCTION("""COMPUTED_VALUE"""),46238.0)</f>
        <v>46238</v>
      </c>
    </row>
    <row r="6150">
      <c r="A6150" s="153" t="str">
        <f>IFERROR(__xludf.DUMMYFUNCTION("""COMPUTED_VALUE"""),"ADK0000003975")</f>
        <v>ADK0000003975</v>
      </c>
      <c r="B6150" s="153" t="str">
        <f>IFERROR(__xludf.DUMMYFUNCTION("""COMPUTED_VALUE"""),"WHOLE EXOME SEQUENCING")</f>
        <v>WHOLE EXOME SEQUENCING</v>
      </c>
      <c r="C6150" s="153"/>
      <c r="D6150" s="378">
        <f>IFERROR(__xludf.DUMMYFUNCTION("""COMPUTED_VALUE"""),46238.0)</f>
        <v>46238</v>
      </c>
    </row>
    <row r="6151">
      <c r="A6151" s="153" t="str">
        <f>IFERROR(__xludf.DUMMYFUNCTION("""COMPUTED_VALUE"""),"ADK0000003976")</f>
        <v>ADK0000003976</v>
      </c>
      <c r="B6151" s="153" t="str">
        <f>IFERROR(__xludf.DUMMYFUNCTION("""COMPUTED_VALUE"""),"WHOLE EXOME SEQUENCING")</f>
        <v>WHOLE EXOME SEQUENCING</v>
      </c>
      <c r="C6151" s="153"/>
      <c r="D6151" s="378">
        <f>IFERROR(__xludf.DUMMYFUNCTION("""COMPUTED_VALUE"""),46238.0)</f>
        <v>46238</v>
      </c>
    </row>
    <row r="6152">
      <c r="A6152" s="153" t="str">
        <f>IFERROR(__xludf.DUMMYFUNCTION("""COMPUTED_VALUE"""),"ADK0000004015")</f>
        <v>ADK0000004015</v>
      </c>
      <c r="B6152" s="153" t="str">
        <f>IFERROR(__xludf.DUMMYFUNCTION("""COMPUTED_VALUE"""),"WHOLE EXOME SEQUENCING")</f>
        <v>WHOLE EXOME SEQUENCING</v>
      </c>
      <c r="C6152" s="153"/>
      <c r="D6152" s="378">
        <f>IFERROR(__xludf.DUMMYFUNCTION("""COMPUTED_VALUE"""),46240.0)</f>
        <v>46240</v>
      </c>
    </row>
    <row r="6153">
      <c r="A6153" s="153" t="str">
        <f>IFERROR(__xludf.DUMMYFUNCTION("""COMPUTED_VALUE"""),"ADK0000004016")</f>
        <v>ADK0000004016</v>
      </c>
      <c r="B6153" s="153" t="str">
        <f>IFERROR(__xludf.DUMMYFUNCTION("""COMPUTED_VALUE"""),"WHOLE EXOME SEQUENCING")</f>
        <v>WHOLE EXOME SEQUENCING</v>
      </c>
      <c r="C6153" s="153"/>
      <c r="D6153" s="378">
        <f>IFERROR(__xludf.DUMMYFUNCTION("""COMPUTED_VALUE"""),46240.0)</f>
        <v>46240</v>
      </c>
    </row>
    <row r="6154">
      <c r="A6154" s="153" t="str">
        <f>IFERROR(__xludf.DUMMYFUNCTION("""COMPUTED_VALUE"""),"ADK0000004017")</f>
        <v>ADK0000004017</v>
      </c>
      <c r="B6154" s="153" t="str">
        <f>IFERROR(__xludf.DUMMYFUNCTION("""COMPUTED_VALUE"""),"WHOLE EXOME SEQUENCING")</f>
        <v>WHOLE EXOME SEQUENCING</v>
      </c>
      <c r="C6154" s="153"/>
      <c r="D6154" s="378">
        <f>IFERROR(__xludf.DUMMYFUNCTION("""COMPUTED_VALUE"""),46240.0)</f>
        <v>46240</v>
      </c>
    </row>
    <row r="6155">
      <c r="A6155" s="153" t="str">
        <f>IFERROR(__xludf.DUMMYFUNCTION("""COMPUTED_VALUE"""),"ADK0000004018")</f>
        <v>ADK0000004018</v>
      </c>
      <c r="B6155" s="153" t="str">
        <f>IFERROR(__xludf.DUMMYFUNCTION("""COMPUTED_VALUE"""),"WHOLE EXOME SEQUENCING")</f>
        <v>WHOLE EXOME SEQUENCING</v>
      </c>
      <c r="C6155" s="153"/>
      <c r="D6155" s="378">
        <f>IFERROR(__xludf.DUMMYFUNCTION("""COMPUTED_VALUE"""),46240.0)</f>
        <v>46240</v>
      </c>
    </row>
    <row r="6156">
      <c r="A6156" s="153" t="str">
        <f>IFERROR(__xludf.DUMMYFUNCTION("""COMPUTED_VALUE"""),"ADK0000004019")</f>
        <v>ADK0000004019</v>
      </c>
      <c r="B6156" s="153" t="str">
        <f>IFERROR(__xludf.DUMMYFUNCTION("""COMPUTED_VALUE"""),"WHOLE EXOME SEQUENCING")</f>
        <v>WHOLE EXOME SEQUENCING</v>
      </c>
      <c r="C6156" s="153"/>
      <c r="D6156" s="378">
        <f>IFERROR(__xludf.DUMMYFUNCTION("""COMPUTED_VALUE"""),46240.0)</f>
        <v>46240</v>
      </c>
    </row>
    <row r="6157">
      <c r="A6157" s="153" t="str">
        <f>IFERROR(__xludf.DUMMYFUNCTION("""COMPUTED_VALUE"""),"ADK0000004031
")</f>
        <v>ADK0000004031
</v>
      </c>
      <c r="B6157" s="153" t="str">
        <f>IFERROR(__xludf.DUMMYFUNCTION("""COMPUTED_VALUE"""),"WHOLE EXOME SEQUENCING + MITOCHONDRIAL GENOME SEQUENCING")</f>
        <v>WHOLE EXOME SEQUENCING + MITOCHONDRIAL GENOME SEQUENCING</v>
      </c>
      <c r="C6157" s="153"/>
      <c r="D6157" s="378">
        <f>IFERROR(__xludf.DUMMYFUNCTION("""COMPUTED_VALUE"""),46239.0)</f>
        <v>46239</v>
      </c>
    </row>
    <row r="6158">
      <c r="A6158" s="153"/>
      <c r="B6158" s="153"/>
      <c r="C6158" s="153"/>
      <c r="D6158" s="153"/>
    </row>
    <row r="6159">
      <c r="A6159" s="153" t="str">
        <f>IFERROR(__xludf.DUMMYFUNCTION("""COMPUTED_VALUE"""),"MDU0000026905")</f>
        <v>MDU0000026905</v>
      </c>
      <c r="B6159" s="153" t="str">
        <f>IFERROR(__xludf.DUMMYFUNCTION("""COMPUTED_VALUE"""),"ONKOFOCUS GERMLINE BRCA1, BRCA2 PANEL")</f>
        <v>ONKOFOCUS GERMLINE BRCA1, BRCA2 PANEL</v>
      </c>
      <c r="C6159" s="153"/>
      <c r="D6159" s="153"/>
    </row>
    <row r="6160">
      <c r="A6160" s="153" t="str">
        <f>IFERROR(__xludf.DUMMYFUNCTION("""COMPUTED_VALUE"""),"PH60000014297")</f>
        <v>PH60000014297</v>
      </c>
      <c r="B6160" s="153" t="str">
        <f>IFERROR(__xludf.DUMMYFUNCTION("""COMPUTED_VALUE"""),"ONKOFOCUS GERMLINE BRCA1, BRCA2 PANEL")</f>
        <v>ONKOFOCUS GERMLINE BRCA1, BRCA2 PANEL</v>
      </c>
      <c r="C6160" s="153"/>
      <c r="D6160" s="153"/>
    </row>
    <row r="6161">
      <c r="A6161" s="153" t="str">
        <f>IFERROR(__xludf.DUMMYFUNCTION("""COMPUTED_VALUE"""),"CHM0000044696")</f>
        <v>CHM0000044696</v>
      </c>
      <c r="B6161" s="153" t="str">
        <f>IFERROR(__xludf.DUMMYFUNCTION("""COMPUTED_VALUE"""),"ONKOFOCUS GERMLINE BRCA1, BRCA2 PANEL")</f>
        <v>ONKOFOCUS GERMLINE BRCA1, BRCA2 PANEL</v>
      </c>
      <c r="C6161" s="153"/>
      <c r="D6161" s="153"/>
    </row>
    <row r="6162">
      <c r="A6162" s="153" t="str">
        <f>IFERROR(__xludf.DUMMYFUNCTION("""COMPUTED_VALUE"""),"AMB0000012472")</f>
        <v>AMB0000012472</v>
      </c>
      <c r="B6162" s="153" t="str">
        <f>IFERROR(__xludf.DUMMYFUNCTION("""COMPUTED_VALUE"""),"WHOLE EXOME SEQUENCING")</f>
        <v>WHOLE EXOME SEQUENCING</v>
      </c>
      <c r="C6162" s="153"/>
      <c r="D6162" s="378">
        <f>IFERROR(__xludf.DUMMYFUNCTION("""COMPUTED_VALUE"""),46242.0)</f>
        <v>46242</v>
      </c>
    </row>
    <row r="6163">
      <c r="A6163" s="153" t="str">
        <f>IFERROR(__xludf.DUMMYFUNCTION("""COMPUTED_VALUE"""),"ACL0000031057")</f>
        <v>ACL0000031057</v>
      </c>
      <c r="B6163" s="153" t="str">
        <f>IFERROR(__xludf.DUMMYFUNCTION("""COMPUTED_VALUE"""),"CLINICAL EXOME SEQUENCING")</f>
        <v>CLINICAL EXOME SEQUENCING</v>
      </c>
      <c r="C6163" s="153"/>
      <c r="D6163" s="378">
        <f>IFERROR(__xludf.DUMMYFUNCTION("""COMPUTED_VALUE"""),46242.0)</f>
        <v>46242</v>
      </c>
    </row>
    <row r="6164">
      <c r="A6164" s="153" t="str">
        <f>IFERROR(__xludf.DUMMYFUNCTION("""COMPUTED_VALUE"""),"FR20000014484")</f>
        <v>FR20000014484</v>
      </c>
      <c r="B6164" s="153" t="str">
        <f>IFERROR(__xludf.DUMMYFUNCTION("""COMPUTED_VALUE"""),"WHOLE EXOME SEQUENCING")</f>
        <v>WHOLE EXOME SEQUENCING</v>
      </c>
      <c r="C6164" s="153"/>
      <c r="D6164" s="378">
        <f>IFERROR(__xludf.DUMMYFUNCTION("""COMPUTED_VALUE"""),46242.0)</f>
        <v>46242</v>
      </c>
    </row>
    <row r="6165">
      <c r="A6165" s="153" t="str">
        <f>IFERROR(__xludf.DUMMYFUNCTION("""COMPUTED_VALUE"""),"ACO0000015370")</f>
        <v>ACO0000015370</v>
      </c>
      <c r="B6165" s="153" t="str">
        <f>IFERROR(__xludf.DUMMYFUNCTION("""COMPUTED_VALUE"""),"WHOLE EXOME SEQUENCING")</f>
        <v>WHOLE EXOME SEQUENCING</v>
      </c>
      <c r="C6165" s="153"/>
      <c r="D6165" s="378">
        <f>IFERROR(__xludf.DUMMYFUNCTION("""COMPUTED_VALUE"""),46243.0)</f>
        <v>46243</v>
      </c>
    </row>
    <row r="6166">
      <c r="A6166" s="153" t="str">
        <f>IFERROR(__xludf.DUMMYFUNCTION("""COMPUTED_VALUE"""),"ADK0000003966")</f>
        <v>ADK0000003966</v>
      </c>
      <c r="B6166" s="153" t="str">
        <f>IFERROR(__xludf.DUMMYFUNCTION("""COMPUTED_VALUE"""),"WES+WMGS")</f>
        <v>WES+WMGS</v>
      </c>
      <c r="C6166" s="153"/>
      <c r="D6166" s="378">
        <f>IFERROR(__xludf.DUMMYFUNCTION("""COMPUTED_VALUE"""),46243.0)</f>
        <v>46243</v>
      </c>
    </row>
    <row r="6167">
      <c r="A6167" s="153" t="str">
        <f>IFERROR(__xludf.DUMMYFUNCTION("""COMPUTED_VALUE"""),"ADK0000003910
")</f>
        <v>ADK0000003910
</v>
      </c>
      <c r="B6167" s="153" t="str">
        <f>IFERROR(__xludf.DUMMYFUNCTION("""COMPUTED_VALUE"""),"WHOLE EXOME SEQUENCING")</f>
        <v>WHOLE EXOME SEQUENCING</v>
      </c>
      <c r="C6167" s="153"/>
      <c r="D6167" s="378">
        <f>IFERROR(__xludf.DUMMYFUNCTION("""COMPUTED_VALUE"""),46240.0)</f>
        <v>46240</v>
      </c>
    </row>
    <row r="6168">
      <c r="A6168" s="153" t="str">
        <f>IFERROR(__xludf.DUMMYFUNCTION("""COMPUTED_VALUE"""),"ATR0000017099")</f>
        <v>ATR0000017099</v>
      </c>
      <c r="B6168" s="153" t="str">
        <f>IFERROR(__xludf.DUMMYFUNCTION("""COMPUTED_VALUE"""),"WHOLE EXOME SEQUENCING")</f>
        <v>WHOLE EXOME SEQUENCING</v>
      </c>
      <c r="C6168" s="153"/>
      <c r="D6168" s="378">
        <f>IFERROR(__xludf.DUMMYFUNCTION("""COMPUTED_VALUE"""),46242.0)</f>
        <v>46242</v>
      </c>
    </row>
    <row r="6169">
      <c r="A6169" s="153" t="str">
        <f>IFERROR(__xludf.DUMMYFUNCTION("""COMPUTED_VALUE"""),"ADB0000045213")</f>
        <v>ADB0000045213</v>
      </c>
      <c r="B6169" s="153" t="str">
        <f>IFERROR(__xludf.DUMMYFUNCTION("""COMPUTED_VALUE"""),"WHOLE EXOME SEQUENCING")</f>
        <v>WHOLE EXOME SEQUENCING</v>
      </c>
      <c r="C6169" s="153"/>
      <c r="D6169" s="378">
        <f>IFERROR(__xludf.DUMMYFUNCTION("""COMPUTED_VALUE"""),46225.0)</f>
        <v>46225</v>
      </c>
    </row>
    <row r="6170">
      <c r="A6170" s="153" t="str">
        <f>IFERROR(__xludf.DUMMYFUNCTION("""COMPUTED_VALUE"""),"PH50000031170")</f>
        <v>PH50000031170</v>
      </c>
      <c r="B6170" s="153" t="str">
        <f>IFERROR(__xludf.DUMMYFUNCTION("""COMPUTED_VALUE"""),"WES+WMGS")</f>
        <v>WES+WMGS</v>
      </c>
      <c r="C6170" s="153"/>
      <c r="D6170" s="378">
        <f>IFERROR(__xludf.DUMMYFUNCTION("""COMPUTED_VALUE"""),46243.0)</f>
        <v>46243</v>
      </c>
    </row>
    <row r="6171">
      <c r="A6171" s="153" t="str">
        <f>IFERROR(__xludf.DUMMYFUNCTION("""COMPUTED_VALUE"""),"PH60000016242")</f>
        <v>PH60000016242</v>
      </c>
      <c r="B6171" s="153" t="str">
        <f>IFERROR(__xludf.DUMMYFUNCTION("""COMPUTED_VALUE"""),"CLINICAL EXOME SEQUENCING")</f>
        <v>CLINICAL EXOME SEQUENCING</v>
      </c>
      <c r="C6171" s="153"/>
      <c r="D6171" s="378">
        <f>IFERROR(__xludf.DUMMYFUNCTION("""COMPUTED_VALUE"""),46244.0)</f>
        <v>46244</v>
      </c>
    </row>
    <row r="6172">
      <c r="A6172" s="153" t="str">
        <f>IFERROR(__xludf.DUMMYFUNCTION("""COMPUTED_VALUE"""),"ADK0000003962")</f>
        <v>ADK0000003962</v>
      </c>
      <c r="B6172" s="153" t="str">
        <f>IFERROR(__xludf.DUMMYFUNCTION("""COMPUTED_VALUE"""),"WES+WMGS")</f>
        <v>WES+WMGS</v>
      </c>
      <c r="C6172" s="153"/>
      <c r="D6172" s="378">
        <f>IFERROR(__xludf.DUMMYFUNCTION("""COMPUTED_VALUE"""),46243.0)</f>
        <v>46243</v>
      </c>
    </row>
    <row r="6173">
      <c r="A6173" s="153" t="str">
        <f>IFERROR(__xludf.DUMMYFUNCTION("""COMPUTED_VALUE"""),"ADK0000003963")</f>
        <v>ADK0000003963</v>
      </c>
      <c r="B6173" s="153" t="str">
        <f>IFERROR(__xludf.DUMMYFUNCTION("""COMPUTED_VALUE"""),"WES+WMGS")</f>
        <v>WES+WMGS</v>
      </c>
      <c r="C6173" s="153"/>
      <c r="D6173" s="378">
        <f>IFERROR(__xludf.DUMMYFUNCTION("""COMPUTED_VALUE"""),46243.0)</f>
        <v>46243</v>
      </c>
    </row>
    <row r="6174">
      <c r="A6174" s="153" t="str">
        <f>IFERROR(__xludf.DUMMYFUNCTION("""COMPUTED_VALUE"""),"ADK0000003964")</f>
        <v>ADK0000003964</v>
      </c>
      <c r="B6174" s="153" t="str">
        <f>IFERROR(__xludf.DUMMYFUNCTION("""COMPUTED_VALUE"""),"WES+WMGS")</f>
        <v>WES+WMGS</v>
      </c>
      <c r="C6174" s="153"/>
      <c r="D6174" s="378">
        <f>IFERROR(__xludf.DUMMYFUNCTION("""COMPUTED_VALUE"""),46243.0)</f>
        <v>46243</v>
      </c>
    </row>
    <row r="6175">
      <c r="A6175" s="153" t="str">
        <f>IFERROR(__xludf.DUMMYFUNCTION("""COMPUTED_VALUE"""),"PH60000016146")</f>
        <v>PH60000016146</v>
      </c>
      <c r="B6175" s="153" t="str">
        <f>IFERROR(__xludf.DUMMYFUNCTION("""COMPUTED_VALUE"""),"WHOLE EXOME SEQUENCING")</f>
        <v>WHOLE EXOME SEQUENCING</v>
      </c>
      <c r="C6175" s="153"/>
      <c r="D6175" s="378">
        <f>IFERROR(__xludf.DUMMYFUNCTION("""COMPUTED_VALUE"""),46243.0)</f>
        <v>46243</v>
      </c>
    </row>
    <row r="6176">
      <c r="A6176" s="153" t="str">
        <f>IFERROR(__xludf.DUMMYFUNCTION("""COMPUTED_VALUE"""),"ICF0000002232")</f>
        <v>ICF0000002232</v>
      </c>
      <c r="B6176" s="153" t="str">
        <f>IFERROR(__xludf.DUMMYFUNCTION("""COMPUTED_VALUE"""),"WHOLE EXOME SEQUENCING")</f>
        <v>WHOLE EXOME SEQUENCING</v>
      </c>
      <c r="C6176" s="153"/>
      <c r="D6176" s="378">
        <f>IFERROR(__xludf.DUMMYFUNCTION("""COMPUTED_VALUE"""),46243.0)</f>
        <v>46243</v>
      </c>
    </row>
    <row r="6177">
      <c r="A6177" s="153" t="str">
        <f>IFERROR(__xludf.DUMMYFUNCTION("""COMPUTED_VALUE"""),"CHM0000056546")</f>
        <v>CHM0000056546</v>
      </c>
      <c r="B6177" s="153" t="str">
        <f>IFERROR(__xludf.DUMMYFUNCTION("""COMPUTED_VALUE"""),"WHOLE EXOME SEQUENCING")</f>
        <v>WHOLE EXOME SEQUENCING</v>
      </c>
      <c r="C6177" s="153"/>
      <c r="D6177" s="378">
        <f>IFERROR(__xludf.DUMMYFUNCTION("""COMPUTED_VALUE"""),46243.0)</f>
        <v>46243</v>
      </c>
    </row>
    <row r="6178">
      <c r="A6178" s="153" t="str">
        <f>IFERROR(__xludf.DUMMYFUNCTION("""COMPUTED_VALUE"""),"CHM0000056551")</f>
        <v>CHM0000056551</v>
      </c>
      <c r="B6178" s="153" t="str">
        <f>IFERROR(__xludf.DUMMYFUNCTION("""COMPUTED_VALUE"""),"WHOLE EXOME SEQUENCING")</f>
        <v>WHOLE EXOME SEQUENCING</v>
      </c>
      <c r="C6178" s="153"/>
      <c r="D6178" s="378">
        <f>IFERROR(__xludf.DUMMYFUNCTION("""COMPUTED_VALUE"""),46243.0)</f>
        <v>46243</v>
      </c>
    </row>
    <row r="6179">
      <c r="A6179" s="153"/>
      <c r="B6179" s="153"/>
      <c r="C6179" s="153"/>
      <c r="D6179" s="153"/>
    </row>
    <row r="6180">
      <c r="A6180" s="153"/>
      <c r="B6180" s="153"/>
      <c r="C6180" s="153"/>
      <c r="D6180" s="153"/>
    </row>
    <row r="6181">
      <c r="A6181" s="153" t="str">
        <f>IFERROR(__xludf.DUMMYFUNCTION("""COMPUTED_VALUE"""),"AMB0000012501")</f>
        <v>AMB0000012501</v>
      </c>
      <c r="B6181" s="153" t="str">
        <f>IFERROR(__xludf.DUMMYFUNCTION("""COMPUTED_VALUE"""),"WHOLE EXOME SEQUENCING")</f>
        <v>WHOLE EXOME SEQUENCING</v>
      </c>
      <c r="C6181" s="153"/>
      <c r="D6181" s="378">
        <f>IFERROR(__xludf.DUMMYFUNCTION("""COMPUTED_VALUE"""),46241.0)</f>
        <v>46241</v>
      </c>
    </row>
    <row r="6182">
      <c r="A6182" s="153" t="str">
        <f>IFERROR(__xludf.DUMMYFUNCTION("""COMPUTED_VALUE"""),"AMB0000012502")</f>
        <v>AMB0000012502</v>
      </c>
      <c r="B6182" s="153" t="str">
        <f>IFERROR(__xludf.DUMMYFUNCTION("""COMPUTED_VALUE"""),"WHOLE EXOME SEQUENCING")</f>
        <v>WHOLE EXOME SEQUENCING</v>
      </c>
      <c r="C6182" s="153"/>
      <c r="D6182" s="378">
        <f>IFERROR(__xludf.DUMMYFUNCTION("""COMPUTED_VALUE"""),46241.0)</f>
        <v>46241</v>
      </c>
    </row>
    <row r="6183">
      <c r="A6183" s="153" t="str">
        <f>IFERROR(__xludf.DUMMYFUNCTION("""COMPUTED_VALUE"""),"NKM0000000190")</f>
        <v>NKM0000000190</v>
      </c>
      <c r="B6183" s="153" t="str">
        <f>IFERROR(__xludf.DUMMYFUNCTION("""COMPUTED_VALUE"""),"WHOLE GENOME SEQUENCING")</f>
        <v>WHOLE GENOME SEQUENCING</v>
      </c>
      <c r="C6183" s="153"/>
      <c r="D6183" s="378">
        <f>IFERROR(__xludf.DUMMYFUNCTION("""COMPUTED_VALUE"""),46245.0)</f>
        <v>46245</v>
      </c>
    </row>
    <row r="6184">
      <c r="A6184" s="153" t="str">
        <f>IFERROR(__xludf.DUMMYFUNCTION("""COMPUTED_VALUE"""),"ADK0000004065")</f>
        <v>ADK0000004065</v>
      </c>
      <c r="B6184" s="153" t="str">
        <f>IFERROR(__xludf.DUMMYFUNCTION("""COMPUTED_VALUE"""),"WHOLE EXOME SEQUENCING")</f>
        <v>WHOLE EXOME SEQUENCING</v>
      </c>
      <c r="C6184" s="153"/>
      <c r="D6184" s="378">
        <f>IFERROR(__xludf.DUMMYFUNCTION("""COMPUTED_VALUE"""),46242.0)</f>
        <v>46242</v>
      </c>
    </row>
    <row r="6185">
      <c r="A6185" s="153" t="str">
        <f>IFERROR(__xludf.DUMMYFUNCTION("""COMPUTED_VALUE"""),"ADK0000004066")</f>
        <v>ADK0000004066</v>
      </c>
      <c r="B6185" s="153" t="str">
        <f>IFERROR(__xludf.DUMMYFUNCTION("""COMPUTED_VALUE"""),"WHOLE EXOME SEQUENCING")</f>
        <v>WHOLE EXOME SEQUENCING</v>
      </c>
      <c r="C6185" s="153"/>
      <c r="D6185" s="378">
        <f>IFERROR(__xludf.DUMMYFUNCTION("""COMPUTED_VALUE"""),46242.0)</f>
        <v>46242</v>
      </c>
    </row>
    <row r="6186">
      <c r="A6186" s="153" t="str">
        <f>IFERROR(__xludf.DUMMYFUNCTION("""COMPUTED_VALUE"""),"ADK0000004067")</f>
        <v>ADK0000004067</v>
      </c>
      <c r="B6186" s="153" t="str">
        <f>IFERROR(__xludf.DUMMYFUNCTION("""COMPUTED_VALUE"""),"WHOLE EXOME SEQUENCING")</f>
        <v>WHOLE EXOME SEQUENCING</v>
      </c>
      <c r="C6186" s="153"/>
      <c r="D6186" s="378">
        <f>IFERROR(__xludf.DUMMYFUNCTION("""COMPUTED_VALUE"""),46242.0)</f>
        <v>46242</v>
      </c>
    </row>
    <row r="6187">
      <c r="A6187" s="153" t="str">
        <f>IFERROR(__xludf.DUMMYFUNCTION("""COMPUTED_VALUE"""),"ADK0000004068")</f>
        <v>ADK0000004068</v>
      </c>
      <c r="B6187" s="153" t="str">
        <f>IFERROR(__xludf.DUMMYFUNCTION("""COMPUTED_VALUE"""),"WHOLE EXOME SEQUENCING")</f>
        <v>WHOLE EXOME SEQUENCING</v>
      </c>
      <c r="C6187" s="153"/>
      <c r="D6187" s="378">
        <f>IFERROR(__xludf.DUMMYFUNCTION("""COMPUTED_VALUE"""),46242.0)</f>
        <v>46242</v>
      </c>
    </row>
    <row r="6188">
      <c r="A6188" s="153" t="str">
        <f>IFERROR(__xludf.DUMMYFUNCTION("""COMPUTED_VALUE"""),"MGL0000000072")</f>
        <v>MGL0000000072</v>
      </c>
      <c r="B6188" s="153" t="str">
        <f>IFERROR(__xludf.DUMMYFUNCTION("""COMPUTED_VALUE"""),"WHOLE EXOME SEQUENCING")</f>
        <v>WHOLE EXOME SEQUENCING</v>
      </c>
      <c r="C6188" s="153"/>
      <c r="D6188" s="378">
        <f>IFERROR(__xludf.DUMMYFUNCTION("""COMPUTED_VALUE"""),46236.0)</f>
        <v>46236</v>
      </c>
    </row>
    <row r="6189">
      <c r="A6189" s="153" t="str">
        <f>IFERROR(__xludf.DUMMYFUNCTION("""COMPUTED_VALUE"""),"MGL0000000075")</f>
        <v>MGL0000000075</v>
      </c>
      <c r="B6189" s="153" t="str">
        <f>IFERROR(__xludf.DUMMYFUNCTION("""COMPUTED_VALUE"""),"WHOLE EXOME SEQUENCING")</f>
        <v>WHOLE EXOME SEQUENCING</v>
      </c>
      <c r="C6189" s="153"/>
      <c r="D6189" s="378">
        <f>IFERROR(__xludf.DUMMYFUNCTION("""COMPUTED_VALUE"""),46236.0)</f>
        <v>46236</v>
      </c>
    </row>
    <row r="6190">
      <c r="A6190" s="153" t="str">
        <f>IFERROR(__xludf.DUMMYFUNCTION("""COMPUTED_VALUE"""),"MGL0000000076")</f>
        <v>MGL0000000076</v>
      </c>
      <c r="B6190" s="153" t="str">
        <f>IFERROR(__xludf.DUMMYFUNCTION("""COMPUTED_VALUE"""),"WHOLE EXOME SEQUENCING")</f>
        <v>WHOLE EXOME SEQUENCING</v>
      </c>
      <c r="C6190" s="153"/>
      <c r="D6190" s="378">
        <f>IFERROR(__xludf.DUMMYFUNCTION("""COMPUTED_VALUE"""),46236.0)</f>
        <v>46236</v>
      </c>
    </row>
    <row r="6191">
      <c r="A6191" s="153" t="str">
        <f>IFERROR(__xludf.DUMMYFUNCTION("""COMPUTED_VALUE"""),"ADK0000004072")</f>
        <v>ADK0000004072</v>
      </c>
      <c r="B6191" s="153" t="str">
        <f>IFERROR(__xludf.DUMMYFUNCTION("""COMPUTED_VALUE"""),"WHOLE EXOME SEQUENCING")</f>
        <v>WHOLE EXOME SEQUENCING</v>
      </c>
      <c r="C6191" s="153"/>
      <c r="D6191" s="378">
        <f>IFERROR(__xludf.DUMMYFUNCTION("""COMPUTED_VALUE"""),46242.0)</f>
        <v>46242</v>
      </c>
    </row>
    <row r="6192">
      <c r="A6192" s="153" t="str">
        <f>IFERROR(__xludf.DUMMYFUNCTION("""COMPUTED_VALUE"""),"ADK0000004073")</f>
        <v>ADK0000004073</v>
      </c>
      <c r="B6192" s="153" t="str">
        <f>IFERROR(__xludf.DUMMYFUNCTION("""COMPUTED_VALUE"""),"WHOLE EXOME SEQUENCING")</f>
        <v>WHOLE EXOME SEQUENCING</v>
      </c>
      <c r="C6192" s="153"/>
      <c r="D6192" s="378">
        <f>IFERROR(__xludf.DUMMYFUNCTION("""COMPUTED_VALUE"""),46242.0)</f>
        <v>46242</v>
      </c>
    </row>
    <row r="6193">
      <c r="A6193" s="153" t="str">
        <f>IFERROR(__xludf.DUMMYFUNCTION("""COMPUTED_VALUE"""),"ADK0000004074")</f>
        <v>ADK0000004074</v>
      </c>
      <c r="B6193" s="153" t="str">
        <f>IFERROR(__xludf.DUMMYFUNCTION("""COMPUTED_VALUE"""),"WHOLE EXOME SEQUENCING")</f>
        <v>WHOLE EXOME SEQUENCING</v>
      </c>
      <c r="C6193" s="153"/>
      <c r="D6193" s="378">
        <f>IFERROR(__xludf.DUMMYFUNCTION("""COMPUTED_VALUE"""),46242.0)</f>
        <v>46242</v>
      </c>
    </row>
    <row r="6194">
      <c r="A6194" s="153" t="str">
        <f>IFERROR(__xludf.DUMMYFUNCTION("""COMPUTED_VALUE"""),"ADK0000004071")</f>
        <v>ADK0000004071</v>
      </c>
      <c r="B6194" s="153" t="str">
        <f>IFERROR(__xludf.DUMMYFUNCTION("""COMPUTED_VALUE"""),"WHOLE EXOME SEQUENCING + MITOCHONDRIAL GENOME SEQUENCING")</f>
        <v>WHOLE EXOME SEQUENCING + MITOCHONDRIAL GENOME SEQUENCING</v>
      </c>
      <c r="C6194" s="153"/>
      <c r="D6194" s="378">
        <f>IFERROR(__xludf.DUMMYFUNCTION("""COMPUTED_VALUE"""),46242.0)</f>
        <v>46242</v>
      </c>
    </row>
    <row r="6195">
      <c r="A6195" s="153" t="str">
        <f>IFERROR(__xludf.DUMMYFUNCTION("""COMPUTED_VALUE"""),"ADH0000036933")</f>
        <v>ADH0000036933</v>
      </c>
      <c r="B6195" s="153" t="str">
        <f>IFERROR(__xludf.DUMMYFUNCTION("""COMPUTED_VALUE"""),"WHOLE EXOME SEQUENCING")</f>
        <v>WHOLE EXOME SEQUENCING</v>
      </c>
      <c r="C6195" s="153"/>
      <c r="D6195" s="378">
        <f>IFERROR(__xludf.DUMMYFUNCTION("""COMPUTED_VALUE"""),46243.0)</f>
        <v>46243</v>
      </c>
    </row>
    <row r="6196">
      <c r="A6196" s="153" t="str">
        <f>IFERROR(__xludf.DUMMYFUNCTION("""COMPUTED_VALUE"""),"MDU0000030402")</f>
        <v>MDU0000030402</v>
      </c>
      <c r="B6196" s="153" t="str">
        <f>IFERROR(__xludf.DUMMYFUNCTION("""COMPUTED_VALUE"""),"WHOLE EXOME SEQUENCING")</f>
        <v>WHOLE EXOME SEQUENCING</v>
      </c>
      <c r="C6196" s="153"/>
      <c r="D6196" s="378">
        <f>IFERROR(__xludf.DUMMYFUNCTION("""COMPUTED_VALUE"""),46245.0)</f>
        <v>46245</v>
      </c>
    </row>
    <row r="6197">
      <c r="A6197" s="153" t="str">
        <f>IFERROR(__xludf.DUMMYFUNCTION("""COMPUTED_VALUE"""),"ACL0000032204")</f>
        <v>ACL0000032204</v>
      </c>
      <c r="B6197" s="153" t="str">
        <f>IFERROR(__xludf.DUMMYFUNCTION("""COMPUTED_VALUE"""),"WHOLE EXOME SEQUENCING")</f>
        <v>WHOLE EXOME SEQUENCING</v>
      </c>
      <c r="C6197" s="153"/>
      <c r="D6197" s="378">
        <f>IFERROR(__xludf.DUMMYFUNCTION("""COMPUTED_VALUE"""),46244.0)</f>
        <v>46244</v>
      </c>
    </row>
    <row r="6198">
      <c r="A6198" s="153" t="str">
        <f>IFERROR(__xludf.DUMMYFUNCTION("""COMPUTED_VALUE"""),"PH60000016272")</f>
        <v>PH60000016272</v>
      </c>
      <c r="B6198" s="153" t="str">
        <f>IFERROR(__xludf.DUMMYFUNCTION("""COMPUTED_VALUE"""),"HEREDITARY CANCER GENE PANEL")</f>
        <v>HEREDITARY CANCER GENE PANEL</v>
      </c>
      <c r="C6198" s="153"/>
      <c r="D6198" s="153"/>
    </row>
    <row r="6199">
      <c r="A6199" s="153" t="str">
        <f>IFERROR(__xludf.DUMMYFUNCTION("""COMPUTED_VALUE"""),"ACL0000032654")</f>
        <v>ACL0000032654</v>
      </c>
      <c r="B6199" s="153" t="str">
        <f>IFERROR(__xludf.DUMMYFUNCTION("""COMPUTED_VALUE"""),"WHOLE EXOME SEQUENCING")</f>
        <v>WHOLE EXOME SEQUENCING</v>
      </c>
      <c r="C6199" s="153"/>
      <c r="D6199" s="378">
        <f>IFERROR(__xludf.DUMMYFUNCTION("""COMPUTED_VALUE"""),46245.0)</f>
        <v>46245</v>
      </c>
    </row>
    <row r="6200">
      <c r="A6200" s="153" t="str">
        <f>IFERROR(__xludf.DUMMYFUNCTION("""COMPUTED_VALUE"""),"ADH0000036207")</f>
        <v>ADH0000036207</v>
      </c>
      <c r="B6200" s="153" t="str">
        <f>IFERROR(__xludf.DUMMYFUNCTION("""COMPUTED_VALUE"""),"FEMALE INFERTILITY NGS PANEL")</f>
        <v>FEMALE INFERTILITY NGS PANEL</v>
      </c>
      <c r="C6200" s="153"/>
      <c r="D6200" s="378">
        <f>IFERROR(__xludf.DUMMYFUNCTION("""COMPUTED_VALUE"""),46232.0)</f>
        <v>46232</v>
      </c>
    </row>
    <row r="6201">
      <c r="A6201" s="153" t="str">
        <f>IFERROR(__xludf.DUMMYFUNCTION("""COMPUTED_VALUE"""),"ACO0000015560")</f>
        <v>ACO0000015560</v>
      </c>
      <c r="B6201" s="153" t="str">
        <f>IFERROR(__xludf.DUMMYFUNCTION("""COMPUTED_VALUE"""),"WHOLE EXOME SEQUENCING")</f>
        <v>WHOLE EXOME SEQUENCING</v>
      </c>
      <c r="C6201" s="153"/>
      <c r="D6201" s="378">
        <f>IFERROR(__xludf.DUMMYFUNCTION("""COMPUTED_VALUE"""),46245.0)</f>
        <v>46245</v>
      </c>
    </row>
    <row r="6202">
      <c r="A6202" s="153" t="str">
        <f>IFERROR(__xludf.DUMMYFUNCTION("""COMPUTED_VALUE"""),"ADS0000022481
")</f>
        <v>ADS0000022481
</v>
      </c>
      <c r="B6202" s="153" t="str">
        <f>IFERROR(__xludf.DUMMYFUNCTION("""COMPUTED_VALUE"""),"WHOLE EXOME SEQUENCING + MITOCHONDRIAL GENOME SEQUENCING")</f>
        <v>WHOLE EXOME SEQUENCING + MITOCHONDRIAL GENOME SEQUENCING</v>
      </c>
      <c r="C6202" s="153"/>
      <c r="D6202" s="378">
        <f>IFERROR(__xludf.DUMMYFUNCTION("""COMPUTED_VALUE"""),46246.0)</f>
        <v>46246</v>
      </c>
    </row>
    <row r="6203">
      <c r="A6203" s="153" t="str">
        <f>IFERROR(__xludf.DUMMYFUNCTION("""COMPUTED_VALUE"""),"ACL0000033145")</f>
        <v>ACL0000033145</v>
      </c>
      <c r="B6203" s="153" t="str">
        <f>IFERROR(__xludf.DUMMYFUNCTION("""COMPUTED_VALUE"""),"WHOLE EXOME SEQUENCING : COVERING ALL THE CODING REGIONS (23,000 GENES)")</f>
        <v>WHOLE EXOME SEQUENCING : COVERING ALL THE CODING REGIONS (23,000 GENES)</v>
      </c>
      <c r="C6203" s="153"/>
      <c r="D6203" s="378">
        <f>IFERROR(__xludf.DUMMYFUNCTION("""COMPUTED_VALUE"""),46245.0)</f>
        <v>46245</v>
      </c>
    </row>
    <row r="6204">
      <c r="A6204" s="153" t="str">
        <f>IFERROR(__xludf.DUMMYFUNCTION("""COMPUTED_VALUE"""),"ACL0000033146")</f>
        <v>ACL0000033146</v>
      </c>
      <c r="B6204" s="153" t="str">
        <f>IFERROR(__xludf.DUMMYFUNCTION("""COMPUTED_VALUE"""),"WHOLE EXOME SEQUENCING : COVERING ALL THE CODING REGIONS (23,000 GENES)")</f>
        <v>WHOLE EXOME SEQUENCING : COVERING ALL THE CODING REGIONS (23,000 GENES)</v>
      </c>
      <c r="C6204" s="153"/>
      <c r="D6204" s="378">
        <f>IFERROR(__xludf.DUMMYFUNCTION("""COMPUTED_VALUE"""),46245.0)</f>
        <v>46245</v>
      </c>
    </row>
    <row r="6205">
      <c r="A6205" s="153" t="str">
        <f>IFERROR(__xludf.DUMMYFUNCTION("""COMPUTED_VALUE"""),"AKP0000040136
")</f>
        <v>AKP0000040136
</v>
      </c>
      <c r="B6205" s="153" t="str">
        <f>IFERROR(__xludf.DUMMYFUNCTION("""COMPUTED_VALUE"""),"WHOLE EXOME SEQUENCING")</f>
        <v>WHOLE EXOME SEQUENCING</v>
      </c>
      <c r="C6205" s="153"/>
      <c r="D6205" s="378">
        <f>IFERROR(__xludf.DUMMYFUNCTION("""COMPUTED_VALUE"""),46245.0)</f>
        <v>46245</v>
      </c>
    </row>
    <row r="6206">
      <c r="A6206" s="153" t="str">
        <f>IFERROR(__xludf.DUMMYFUNCTION("""COMPUTED_VALUE"""),"ABC0000002704
")</f>
        <v>ABC0000002704
</v>
      </c>
      <c r="B6206" s="153" t="str">
        <f>IFERROR(__xludf.DUMMYFUNCTION("""COMPUTED_VALUE"""),"CLINICAL EXOME SEQUENCING")</f>
        <v>CLINICAL EXOME SEQUENCING</v>
      </c>
      <c r="C6206" s="153"/>
      <c r="D6206" s="378">
        <f>IFERROR(__xludf.DUMMYFUNCTION("""COMPUTED_VALUE"""),46246.0)</f>
        <v>46246</v>
      </c>
    </row>
    <row r="6207">
      <c r="A6207" s="153" t="str">
        <f>IFERROR(__xludf.DUMMYFUNCTION("""COMPUTED_VALUE"""),"ACO0000015736
")</f>
        <v>ACO0000015736
</v>
      </c>
      <c r="B6207" s="153" t="str">
        <f>IFERROR(__xludf.DUMMYFUNCTION("""COMPUTED_VALUE"""),"FEMALE INFERTILITY NGS PANEL")</f>
        <v>FEMALE INFERTILITY NGS PANEL</v>
      </c>
      <c r="C6207" s="153"/>
      <c r="D6207" s="378">
        <f>IFERROR(__xludf.DUMMYFUNCTION("""COMPUTED_VALUE"""),46235.0)</f>
        <v>46235</v>
      </c>
    </row>
    <row r="6208">
      <c r="A6208" s="153" t="str">
        <f>IFERROR(__xludf.DUMMYFUNCTION("""COMPUTED_VALUE"""),"ADB0000049627")</f>
        <v>ADB0000049627</v>
      </c>
      <c r="B6208" s="153" t="str">
        <f>IFERROR(__xludf.DUMMYFUNCTION("""COMPUTED_VALUE"""),"MALE INFERTILITY NGS PANEL")</f>
        <v>MALE INFERTILITY NGS PANEL</v>
      </c>
      <c r="C6208" s="153"/>
      <c r="D6208" s="378">
        <f>IFERROR(__xludf.DUMMYFUNCTION("""COMPUTED_VALUE"""),46236.0)</f>
        <v>46236</v>
      </c>
    </row>
    <row r="6209">
      <c r="A6209" s="153" t="str">
        <f>IFERROR(__xludf.DUMMYFUNCTION("""COMPUTED_VALUE"""),"ADB0000049628")</f>
        <v>ADB0000049628</v>
      </c>
      <c r="B6209" s="153" t="str">
        <f>IFERROR(__xludf.DUMMYFUNCTION("""COMPUTED_VALUE"""),"FEMALE INFERTILITY NGS PANEL")</f>
        <v>FEMALE INFERTILITY NGS PANEL</v>
      </c>
      <c r="C6209" s="153"/>
      <c r="D6209" s="378">
        <f>IFERROR(__xludf.DUMMYFUNCTION("""COMPUTED_VALUE"""),46236.0)</f>
        <v>46236</v>
      </c>
    </row>
    <row r="6210">
      <c r="A6210" s="153" t="str">
        <f>IFERROR(__xludf.DUMMYFUNCTION("""COMPUTED_VALUE"""),"CHM0000058054")</f>
        <v>CHM0000058054</v>
      </c>
      <c r="B6210" s="153" t="str">
        <f>IFERROR(__xludf.DUMMYFUNCTION("""COMPUTED_VALUE"""),"CLINICAL EXOME SEQUENCING")</f>
        <v>CLINICAL EXOME SEQUENCING</v>
      </c>
      <c r="C6210" s="153"/>
      <c r="D6210" s="378">
        <f>IFERROR(__xludf.DUMMYFUNCTION("""COMPUTED_VALUE"""),46247.0)</f>
        <v>46247</v>
      </c>
    </row>
    <row r="6211">
      <c r="A6211" s="153" t="str">
        <f>IFERROR(__xludf.DUMMYFUNCTION("""COMPUTED_VALUE"""),"HYP0000003293")</f>
        <v>HYP0000003293</v>
      </c>
      <c r="B6211" s="153" t="str">
        <f>IFERROR(__xludf.DUMMYFUNCTION("""COMPUTED_VALUE"""),"COMPREHENSIVE CARRIER SCREENING")</f>
        <v>COMPREHENSIVE CARRIER SCREENING</v>
      </c>
      <c r="C6211" s="153"/>
      <c r="D6211" s="378">
        <f>IFERROR(__xludf.DUMMYFUNCTION("""COMPUTED_VALUE"""),46247.0)</f>
        <v>46247</v>
      </c>
    </row>
    <row r="6212">
      <c r="A6212" s="153" t="str">
        <f>IFERROR(__xludf.DUMMYFUNCTION("""COMPUTED_VALUE"""),"HYP0000003255
")</f>
        <v>HYP0000003255
</v>
      </c>
      <c r="B6212" s="153" t="str">
        <f>IFERROR(__xludf.DUMMYFUNCTION("""COMPUTED_VALUE"""),"COMPREHENSIVE CARRIER SCREENING
")</f>
        <v>COMPREHENSIVE CARRIER SCREENING
</v>
      </c>
      <c r="C6212" s="153"/>
      <c r="D6212" s="378">
        <f>IFERROR(__xludf.DUMMYFUNCTION("""COMPUTED_VALUE"""),46247.0)</f>
        <v>46247</v>
      </c>
    </row>
    <row r="6213">
      <c r="A6213" s="153" t="str">
        <f>IFERROR(__xludf.DUMMYFUNCTION("""COMPUTED_VALUE"""),"ABC0000002712")</f>
        <v>ABC0000002712</v>
      </c>
      <c r="B6213" s="153" t="str">
        <f>IFERROR(__xludf.DUMMYFUNCTION("""COMPUTED_VALUE"""),"WHOLE EXOME SEQUENCING")</f>
        <v>WHOLE EXOME SEQUENCING</v>
      </c>
      <c r="C6213" s="153"/>
      <c r="D6213" s="378">
        <f>IFERROR(__xludf.DUMMYFUNCTION("""COMPUTED_VALUE"""),46247.0)</f>
        <v>46247</v>
      </c>
    </row>
    <row r="6214">
      <c r="A6214" s="153" t="str">
        <f>IFERROR(__xludf.DUMMYFUNCTION("""COMPUTED_VALUE"""),"ABC0000002713")</f>
        <v>ABC0000002713</v>
      </c>
      <c r="B6214" s="153" t="str">
        <f>IFERROR(__xludf.DUMMYFUNCTION("""COMPUTED_VALUE"""),"WHOLE EXOME SEQUENCING")</f>
        <v>WHOLE EXOME SEQUENCING</v>
      </c>
      <c r="C6214" s="153"/>
      <c r="D6214" s="378">
        <f>IFERROR(__xludf.DUMMYFUNCTION("""COMPUTED_VALUE"""),46247.0)</f>
        <v>46247</v>
      </c>
    </row>
    <row r="6215">
      <c r="A6215" s="153" t="str">
        <f>IFERROR(__xludf.DUMMYFUNCTION("""COMPUTED_VALUE"""),"ADK0000003965")</f>
        <v>ADK0000003965</v>
      </c>
      <c r="B6215" s="153" t="str">
        <f>IFERROR(__xludf.DUMMYFUNCTION("""COMPUTED_VALUE"""),"WES+WMGS")</f>
        <v>WES+WMGS</v>
      </c>
      <c r="C6215" s="153"/>
      <c r="D6215" s="378">
        <f>IFERROR(__xludf.DUMMYFUNCTION("""COMPUTED_VALUE"""),46243.0)</f>
        <v>46243</v>
      </c>
    </row>
    <row r="6216">
      <c r="A6216" s="153" t="str">
        <f>IFERROR(__xludf.DUMMYFUNCTION("""COMPUTED_VALUE"""),"ADK0000004211")</f>
        <v>ADK0000004211</v>
      </c>
      <c r="B6216" s="153" t="str">
        <f>IFERROR(__xludf.DUMMYFUNCTION("""COMPUTED_VALUE"""),"WHOLE EXOME SEQUENCING + MITOCHONDRIAL GENOME SEQUENCING")</f>
        <v>WHOLE EXOME SEQUENCING + MITOCHONDRIAL GENOME SEQUENCING</v>
      </c>
      <c r="C6216" s="153"/>
      <c r="D6216" s="378">
        <f>IFERROR(__xludf.DUMMYFUNCTION("""COMPUTED_VALUE"""),46246.0)</f>
        <v>46246</v>
      </c>
    </row>
    <row r="6217">
      <c r="A6217" s="153" t="str">
        <f>IFERROR(__xludf.DUMMYFUNCTION("""COMPUTED_VALUE"""),"ADK0000004205
")</f>
        <v>ADK0000004205
</v>
      </c>
      <c r="B6217" s="153" t="str">
        <f>IFERROR(__xludf.DUMMYFUNCTION("""COMPUTED_VALUE"""),"WHOLE EXOME SEQUENCING + MITOCHONDRIAL GENOME SEQUENCING")</f>
        <v>WHOLE EXOME SEQUENCING + MITOCHONDRIAL GENOME SEQUENCING</v>
      </c>
      <c r="C6217" s="153"/>
      <c r="D6217" s="378">
        <f>IFERROR(__xludf.DUMMYFUNCTION("""COMPUTED_VALUE"""),46245.0)</f>
        <v>46245</v>
      </c>
    </row>
    <row r="6218">
      <c r="A6218" s="153" t="str">
        <f>IFERROR(__xludf.DUMMYFUNCTION("""COMPUTED_VALUE"""),"ADK0000004204
")</f>
        <v>ADK0000004204
</v>
      </c>
      <c r="B6218" s="153" t="str">
        <f>IFERROR(__xludf.DUMMYFUNCTION("""COMPUTED_VALUE"""),"WHOLE EXOME SEQUENCING")</f>
        <v>WHOLE EXOME SEQUENCING</v>
      </c>
      <c r="C6218" s="153"/>
      <c r="D6218" s="378">
        <f>IFERROR(__xludf.DUMMYFUNCTION("""COMPUTED_VALUE"""),46245.0)</f>
        <v>46245</v>
      </c>
    </row>
    <row r="6219">
      <c r="A6219" s="153" t="str">
        <f>IFERROR(__xludf.DUMMYFUNCTION("""COMPUTED_VALUE"""),"ADK0000004176")</f>
        <v>ADK0000004176</v>
      </c>
      <c r="B6219" s="153" t="str">
        <f>IFERROR(__xludf.DUMMYFUNCTION("""COMPUTED_VALUE"""),"WHOLE EXOME SEQUENCING")</f>
        <v>WHOLE EXOME SEQUENCING</v>
      </c>
      <c r="C6219" s="153"/>
      <c r="D6219" s="378">
        <f>IFERROR(__xludf.DUMMYFUNCTION("""COMPUTED_VALUE"""),46245.0)</f>
        <v>46245</v>
      </c>
    </row>
    <row r="6220">
      <c r="A6220" s="153" t="str">
        <f>IFERROR(__xludf.DUMMYFUNCTION("""COMPUTED_VALUE"""),"ADK0000004177")</f>
        <v>ADK0000004177</v>
      </c>
      <c r="B6220" s="153" t="str">
        <f>IFERROR(__xludf.DUMMYFUNCTION("""COMPUTED_VALUE"""),"WHOLE EXOME SEQUENCING")</f>
        <v>WHOLE EXOME SEQUENCING</v>
      </c>
      <c r="C6220" s="153"/>
      <c r="D6220" s="378">
        <f>IFERROR(__xludf.DUMMYFUNCTION("""COMPUTED_VALUE"""),46245.0)</f>
        <v>46245</v>
      </c>
    </row>
    <row r="6221">
      <c r="A6221" s="153" t="str">
        <f>IFERROR(__xludf.DUMMYFUNCTION("""COMPUTED_VALUE"""),"ADK0000004178")</f>
        <v>ADK0000004178</v>
      </c>
      <c r="B6221" s="153" t="str">
        <f>IFERROR(__xludf.DUMMYFUNCTION("""COMPUTED_VALUE"""),"WHOLE EXOME SEQUENCING")</f>
        <v>WHOLE EXOME SEQUENCING</v>
      </c>
      <c r="C6221" s="153"/>
      <c r="D6221" s="378">
        <f>IFERROR(__xludf.DUMMYFUNCTION("""COMPUTED_VALUE"""),46245.0)</f>
        <v>46245</v>
      </c>
    </row>
    <row r="6222">
      <c r="A6222" s="153" t="str">
        <f>IFERROR(__xludf.DUMMYFUNCTION("""COMPUTED_VALUE"""),"ADK0000004179")</f>
        <v>ADK0000004179</v>
      </c>
      <c r="B6222" s="153" t="str">
        <f>IFERROR(__xludf.DUMMYFUNCTION("""COMPUTED_VALUE"""),"WHOLE EXOME SEQUENCING")</f>
        <v>WHOLE EXOME SEQUENCING</v>
      </c>
      <c r="C6222" s="153"/>
      <c r="D6222" s="378">
        <f>IFERROR(__xludf.DUMMYFUNCTION("""COMPUTED_VALUE"""),46245.0)</f>
        <v>46245</v>
      </c>
    </row>
    <row r="6223">
      <c r="A6223" s="153" t="str">
        <f>IFERROR(__xludf.DUMMYFUNCTION("""COMPUTED_VALUE"""),"ABC0000002762")</f>
        <v>ABC0000002762</v>
      </c>
      <c r="B6223" s="153" t="str">
        <f>IFERROR(__xludf.DUMMYFUNCTION("""COMPUTED_VALUE"""),"CLINICAL EXOME SEQUENCING")</f>
        <v>CLINICAL EXOME SEQUENCING</v>
      </c>
      <c r="C6223" s="153"/>
      <c r="D6223" s="378">
        <f>IFERROR(__xludf.DUMMYFUNCTION("""COMPUTED_VALUE"""),46248.0)</f>
        <v>46248</v>
      </c>
    </row>
    <row r="6224">
      <c r="A6224" s="153" t="str">
        <f>IFERROR(__xludf.DUMMYFUNCTION("""COMPUTED_VALUE"""),"ATR0000017535")</f>
        <v>ATR0000017535</v>
      </c>
      <c r="B6224" s="153" t="str">
        <f>IFERROR(__xludf.DUMMYFUNCTION("""COMPUTED_VALUE"""),"WHOLE EXOME SEQUENCING")</f>
        <v>WHOLE EXOME SEQUENCING</v>
      </c>
      <c r="C6224" s="153"/>
      <c r="D6224" s="378">
        <f>IFERROR(__xludf.DUMMYFUNCTION("""COMPUTED_VALUE"""),46249.0)</f>
        <v>46249</v>
      </c>
    </row>
    <row r="6225">
      <c r="A6225" s="153" t="str">
        <f>IFERROR(__xludf.DUMMYFUNCTION("""COMPUTED_VALUE"""),"ATR0000017536")</f>
        <v>ATR0000017536</v>
      </c>
      <c r="B6225" s="153" t="str">
        <f>IFERROR(__xludf.DUMMYFUNCTION("""COMPUTED_VALUE"""),"WHOLE EXOME SEQUENCING")</f>
        <v>WHOLE EXOME SEQUENCING</v>
      </c>
      <c r="C6225" s="153"/>
      <c r="D6225" s="378">
        <f>IFERROR(__xludf.DUMMYFUNCTION("""COMPUTED_VALUE"""),46249.0)</f>
        <v>46249</v>
      </c>
    </row>
    <row r="6226">
      <c r="A6226" s="153" t="str">
        <f>IFERROR(__xludf.DUMMYFUNCTION("""COMPUTED_VALUE"""),"CHM0000043953")</f>
        <v>CHM0000043953</v>
      </c>
      <c r="B6226" s="153" t="str">
        <f>IFERROR(__xludf.DUMMYFUNCTION("""COMPUTED_VALUE"""),"HEREDITARY CANCER GENE PANEL")</f>
        <v>HEREDITARY CANCER GENE PANEL</v>
      </c>
      <c r="C6226" s="153"/>
      <c r="D6226" s="153"/>
    </row>
    <row r="6227">
      <c r="A6227" s="153" t="str">
        <f>IFERROR(__xludf.DUMMYFUNCTION("""COMPUTED_VALUE"""),"ADS0000022905")</f>
        <v>ADS0000022905</v>
      </c>
      <c r="B6227" s="153" t="str">
        <f>IFERROR(__xludf.DUMMYFUNCTION("""COMPUTED_VALUE"""),"FEMALE INFERTILITY NGS PANEL")</f>
        <v>FEMALE INFERTILITY NGS PANEL</v>
      </c>
      <c r="C6227" s="153"/>
      <c r="D6227" s="378">
        <f>IFERROR(__xludf.DUMMYFUNCTION("""COMPUTED_VALUE"""),46237.0)</f>
        <v>46237</v>
      </c>
    </row>
    <row r="6228">
      <c r="A6228" s="153" t="str">
        <f>IFERROR(__xludf.DUMMYFUNCTION("""COMPUTED_VALUE"""),"ADB0000049791")</f>
        <v>ADB0000049791</v>
      </c>
      <c r="B6228" s="153" t="str">
        <f>IFERROR(__xludf.DUMMYFUNCTION("""COMPUTED_VALUE"""),"FEMALE INFERTILITY NGS PANEL")</f>
        <v>FEMALE INFERTILITY NGS PANEL</v>
      </c>
      <c r="C6228" s="153"/>
      <c r="D6228" s="378">
        <f>IFERROR(__xludf.DUMMYFUNCTION("""COMPUTED_VALUE"""),46237.0)</f>
        <v>46237</v>
      </c>
    </row>
    <row r="6229">
      <c r="A6229" s="153" t="str">
        <f>IFERROR(__xludf.DUMMYFUNCTION("""COMPUTED_VALUE"""),"CHM0000058457")</f>
        <v>CHM0000058457</v>
      </c>
      <c r="B6229" s="153" t="str">
        <f>IFERROR(__xludf.DUMMYFUNCTION("""COMPUTED_VALUE"""),"WHOLE EXOME SEQUENCING")</f>
        <v>WHOLE EXOME SEQUENCING</v>
      </c>
      <c r="C6229" s="153"/>
      <c r="D6229" s="378">
        <f>IFERROR(__xludf.DUMMYFUNCTION("""COMPUTED_VALUE"""),46247.0)</f>
        <v>46247</v>
      </c>
    </row>
    <row r="6230">
      <c r="A6230" s="153" t="str">
        <f>IFERROR(__xludf.DUMMYFUNCTION("""COMPUTED_VALUE"""),"CHM0000058458")</f>
        <v>CHM0000058458</v>
      </c>
      <c r="B6230" s="153" t="str">
        <f>IFERROR(__xludf.DUMMYFUNCTION("""COMPUTED_VALUE"""),"WHOLE EXOME SEQUENCING")</f>
        <v>WHOLE EXOME SEQUENCING</v>
      </c>
      <c r="C6230" s="153"/>
      <c r="D6230" s="378">
        <f>IFERROR(__xludf.DUMMYFUNCTION("""COMPUTED_VALUE"""),46247.0)</f>
        <v>46247</v>
      </c>
    </row>
    <row r="6231">
      <c r="A6231" s="153" t="str">
        <f>IFERROR(__xludf.DUMMYFUNCTION("""COMPUTED_VALUE"""),"HYP0000003283")</f>
        <v>HYP0000003283</v>
      </c>
      <c r="B6231" s="153" t="str">
        <f>IFERROR(__xludf.DUMMYFUNCTION("""COMPUTED_VALUE"""),"WHOLE EXOME SEQUENCING")</f>
        <v>WHOLE EXOME SEQUENCING</v>
      </c>
      <c r="C6231" s="153"/>
      <c r="D6231" s="378">
        <f>IFERROR(__xludf.DUMMYFUNCTION("""COMPUTED_VALUE"""),46248.0)</f>
        <v>46248</v>
      </c>
    </row>
    <row r="6232">
      <c r="A6232" s="153" t="str">
        <f>IFERROR(__xludf.DUMMYFUNCTION("""COMPUTED_VALUE"""),"HYP0000003282")</f>
        <v>HYP0000003282</v>
      </c>
      <c r="B6232" s="153" t="str">
        <f>IFERROR(__xludf.DUMMYFUNCTION("""COMPUTED_VALUE"""),"WHOLE EXOME SEQUENCING")</f>
        <v>WHOLE EXOME SEQUENCING</v>
      </c>
      <c r="C6232" s="153"/>
      <c r="D6232" s="378">
        <f>IFERROR(__xludf.DUMMYFUNCTION("""COMPUTED_VALUE"""),46248.0)</f>
        <v>46248</v>
      </c>
    </row>
    <row r="6233">
      <c r="A6233" s="153" t="str">
        <f>IFERROR(__xludf.DUMMYFUNCTION("""COMPUTED_VALUE"""),"HYP0000003281")</f>
        <v>HYP0000003281</v>
      </c>
      <c r="B6233" s="153" t="str">
        <f>IFERROR(__xludf.DUMMYFUNCTION("""COMPUTED_VALUE"""),"WHOLE EXOME SEQUENCING")</f>
        <v>WHOLE EXOME SEQUENCING</v>
      </c>
      <c r="C6233" s="153"/>
      <c r="D6233" s="378">
        <f>IFERROR(__xludf.DUMMYFUNCTION("""COMPUTED_VALUE"""),46243.0)</f>
        <v>46243</v>
      </c>
    </row>
    <row r="6234">
      <c r="A6234" s="153" t="str">
        <f>IFERROR(__xludf.DUMMYFUNCTION("""COMPUTED_VALUE"""),"DCC0000006223")</f>
        <v>DCC0000006223</v>
      </c>
      <c r="B6234" s="153" t="str">
        <f>IFERROR(__xludf.DUMMYFUNCTION("""COMPUTED_VALUE"""),"WHOLE EXOME SEQUENCING")</f>
        <v>WHOLE EXOME SEQUENCING</v>
      </c>
      <c r="C6234" s="153"/>
      <c r="D6234" s="378">
        <f>IFERROR(__xludf.DUMMYFUNCTION("""COMPUTED_VALUE"""),46249.0)</f>
        <v>46249</v>
      </c>
    </row>
    <row r="6235">
      <c r="A6235" s="153" t="str">
        <f>IFERROR(__xludf.DUMMYFUNCTION("""COMPUTED_VALUE"""),"DCC0000006224")</f>
        <v>DCC0000006224</v>
      </c>
      <c r="B6235" s="153" t="str">
        <f>IFERROR(__xludf.DUMMYFUNCTION("""COMPUTED_VALUE"""),"WHOLE EXOME SEQUENCING")</f>
        <v>WHOLE EXOME SEQUENCING</v>
      </c>
      <c r="C6235" s="153"/>
      <c r="D6235" s="378">
        <f>IFERROR(__xludf.DUMMYFUNCTION("""COMPUTED_VALUE"""),46249.0)</f>
        <v>46249</v>
      </c>
    </row>
    <row r="6236">
      <c r="A6236" s="153" t="str">
        <f>IFERROR(__xludf.DUMMYFUNCTION("""COMPUTED_VALUE"""),"AKP0000040976")</f>
        <v>AKP0000040976</v>
      </c>
      <c r="B6236" s="153" t="str">
        <f>IFERROR(__xludf.DUMMYFUNCTION("""COMPUTED_VALUE"""),"FEMALE INFERTILITY NGS PANEL")</f>
        <v>FEMALE INFERTILITY NGS PANEL</v>
      </c>
      <c r="C6236" s="153"/>
      <c r="D6236" s="378">
        <f>IFERROR(__xludf.DUMMYFUNCTION("""COMPUTED_VALUE"""),46238.0)</f>
        <v>46238</v>
      </c>
    </row>
    <row r="6237">
      <c r="A6237" s="153" t="str">
        <f>IFERROR(__xludf.DUMMYFUNCTION("""COMPUTED_VALUE"""),"ADK0000004069")</f>
        <v>ADK0000004069</v>
      </c>
      <c r="B6237" s="153" t="str">
        <f>IFERROR(__xludf.DUMMYFUNCTION("""COMPUTED_VALUE"""),"WHOLE EXOME SEQUENCING")</f>
        <v>WHOLE EXOME SEQUENCING</v>
      </c>
      <c r="C6237" s="153"/>
      <c r="D6237" s="378">
        <f>IFERROR(__xludf.DUMMYFUNCTION("""COMPUTED_VALUE"""),46249.0)</f>
        <v>46249</v>
      </c>
    </row>
    <row r="6238">
      <c r="A6238" s="153" t="str">
        <f>IFERROR(__xludf.DUMMYFUNCTION("""COMPUTED_VALUE"""),"NKM0000011096")</f>
        <v>NKM0000011096</v>
      </c>
      <c r="B6238" s="153" t="str">
        <f>IFERROR(__xludf.DUMMYFUNCTION("""COMPUTED_VALUE"""),"WHOLE EXOME SEQUENCING")</f>
        <v>WHOLE EXOME SEQUENCING</v>
      </c>
      <c r="C6238" s="153"/>
      <c r="D6238" s="378">
        <f>IFERROR(__xludf.DUMMYFUNCTION("""COMPUTED_VALUE"""),46249.0)</f>
        <v>46249</v>
      </c>
    </row>
    <row r="6239">
      <c r="A6239" s="153" t="str">
        <f>IFERROR(__xludf.DUMMYFUNCTION("""COMPUTED_VALUE"""),"NKM0000011093
")</f>
        <v>NKM0000011093
</v>
      </c>
      <c r="B6239" s="153" t="str">
        <f>IFERROR(__xludf.DUMMYFUNCTION("""COMPUTED_VALUE"""),"WHOLE EXOME SEQUENCING")</f>
        <v>WHOLE EXOME SEQUENCING</v>
      </c>
      <c r="C6239" s="153"/>
      <c r="D6239" s="378">
        <f>IFERROR(__xludf.DUMMYFUNCTION("""COMPUTED_VALUE"""),46249.0)</f>
        <v>46249</v>
      </c>
    </row>
    <row r="6240">
      <c r="A6240" s="153" t="str">
        <f>IFERROR(__xludf.DUMMYFUNCTION("""COMPUTED_VALUE"""),"AMB0000012756")</f>
        <v>AMB0000012756</v>
      </c>
      <c r="B6240" s="153" t="str">
        <f>IFERROR(__xludf.DUMMYFUNCTION("""COMPUTED_VALUE"""),"WHOLE EXOME SEQUENCING")</f>
        <v>WHOLE EXOME SEQUENCING</v>
      </c>
      <c r="C6240" s="153"/>
      <c r="D6240" s="378">
        <f>IFERROR(__xludf.DUMMYFUNCTION("""COMPUTED_VALUE"""),46250.0)</f>
        <v>46250</v>
      </c>
    </row>
    <row r="6241">
      <c r="A6241" s="153" t="str">
        <f>IFERROR(__xludf.DUMMYFUNCTION("""COMPUTED_VALUE"""),"TPJ0000031499")</f>
        <v>TPJ0000031499</v>
      </c>
      <c r="B6241" s="153" t="str">
        <f>IFERROR(__xludf.DUMMYFUNCTION("""COMPUTED_VALUE"""),"WHOLE EXOME SEQUENCING")</f>
        <v>WHOLE EXOME SEQUENCING</v>
      </c>
      <c r="C6241" s="153"/>
      <c r="D6241" s="378">
        <f>IFERROR(__xludf.DUMMYFUNCTION("""COMPUTED_VALUE"""),46250.0)</f>
        <v>46250</v>
      </c>
    </row>
    <row r="6242">
      <c r="A6242" s="153" t="str">
        <f>IFERROR(__xludf.DUMMYFUNCTION("""COMPUTED_VALUE"""),"ACO0000016071")</f>
        <v>ACO0000016071</v>
      </c>
      <c r="B6242" s="153" t="str">
        <f>IFERROR(__xludf.DUMMYFUNCTION("""COMPUTED_VALUE"""),"FEMALE INFERTILITY NGS PANEL")</f>
        <v>FEMALE INFERTILITY NGS PANEL</v>
      </c>
      <c r="C6242" s="153"/>
      <c r="D6242" s="378">
        <f>IFERROR(__xludf.DUMMYFUNCTION("""COMPUTED_VALUE"""),46239.0)</f>
        <v>46239</v>
      </c>
    </row>
    <row r="6243">
      <c r="A6243" s="153" t="str">
        <f>IFERROR(__xludf.DUMMYFUNCTION("""COMPUTED_VALUE"""),"ATR0000017690")</f>
        <v>ATR0000017690</v>
      </c>
      <c r="B6243" s="153" t="str">
        <f>IFERROR(__xludf.DUMMYFUNCTION("""COMPUTED_VALUE"""),"WHOLE EXOME SEQUENCING")</f>
        <v>WHOLE EXOME SEQUENCING</v>
      </c>
      <c r="C6243" s="153"/>
      <c r="D6243" s="378">
        <f>IFERROR(__xludf.DUMMYFUNCTION("""COMPUTED_VALUE"""),46251.0)</f>
        <v>46251</v>
      </c>
    </row>
    <row r="6244">
      <c r="A6244" s="153" t="str">
        <f>IFERROR(__xludf.DUMMYFUNCTION("""COMPUTED_VALUE"""),"ADK0000004156")</f>
        <v>ADK0000004156</v>
      </c>
      <c r="B6244" s="153" t="str">
        <f>IFERROR(__xludf.DUMMYFUNCTION("""COMPUTED_VALUE"""),"WES+WMGS")</f>
        <v>WES+WMGS</v>
      </c>
      <c r="C6244" s="153"/>
      <c r="D6244" s="378">
        <f>IFERROR(__xludf.DUMMYFUNCTION("""COMPUTED_VALUE"""),46250.0)</f>
        <v>46250</v>
      </c>
    </row>
    <row r="6245">
      <c r="A6245" s="153" t="str">
        <f>IFERROR(__xludf.DUMMYFUNCTION("""COMPUTED_VALUE"""),"PH50000032972")</f>
        <v>PH50000032972</v>
      </c>
      <c r="B6245" s="153" t="str">
        <f>IFERROR(__xludf.DUMMYFUNCTION("""COMPUTED_VALUE"""),"WES+WMGS")</f>
        <v>WES+WMGS</v>
      </c>
      <c r="C6245" s="153"/>
      <c r="D6245" s="378">
        <f>IFERROR(__xludf.DUMMYFUNCTION("""COMPUTED_VALUE"""),46250.0)</f>
        <v>46250</v>
      </c>
    </row>
    <row r="6246">
      <c r="A6246" s="153" t="str">
        <f>IFERROR(__xludf.DUMMYFUNCTION("""COMPUTED_VALUE"""),"ADK0000004171")</f>
        <v>ADK0000004171</v>
      </c>
      <c r="B6246" s="153" t="str">
        <f>IFERROR(__xludf.DUMMYFUNCTION("""COMPUTED_VALUE"""),"WHOLE EXOME SEQUENCING")</f>
        <v>WHOLE EXOME SEQUENCING</v>
      </c>
      <c r="C6246" s="153"/>
      <c r="D6246" s="378">
        <f>IFERROR(__xludf.DUMMYFUNCTION("""COMPUTED_VALUE"""),46251.0)</f>
        <v>46251</v>
      </c>
    </row>
    <row r="6247">
      <c r="A6247" s="153" t="str">
        <f>IFERROR(__xludf.DUMMYFUNCTION("""COMPUTED_VALUE"""),"ACL0000036615
")</f>
        <v>ACL0000036615
</v>
      </c>
      <c r="B6247" s="153" t="str">
        <f>IFERROR(__xludf.DUMMYFUNCTION("""COMPUTED_VALUE"""),"WHOLE EXOME SEQUENCING")</f>
        <v>WHOLE EXOME SEQUENCING</v>
      </c>
      <c r="C6247" s="153"/>
      <c r="D6247" s="378">
        <f>IFERROR(__xludf.DUMMYFUNCTION("""COMPUTED_VALUE"""),46251.0)</f>
        <v>46251</v>
      </c>
    </row>
    <row r="6248">
      <c r="A6248" s="153" t="str">
        <f>IFERROR(__xludf.DUMMYFUNCTION("""COMPUTED_VALUE"""),"ADK0000004217")</f>
        <v>ADK0000004217</v>
      </c>
      <c r="B6248" s="153" t="str">
        <f>IFERROR(__xludf.DUMMYFUNCTION("""COMPUTED_VALUE"""),"WHOLE EXOME SEQUENCING")</f>
        <v>WHOLE EXOME SEQUENCING</v>
      </c>
      <c r="C6248" s="153"/>
      <c r="D6248" s="378">
        <f>IFERROR(__xludf.DUMMYFUNCTION("""COMPUTED_VALUE"""),46247.0)</f>
        <v>46247</v>
      </c>
    </row>
    <row r="6249">
      <c r="A6249" s="153" t="str">
        <f>IFERROR(__xludf.DUMMYFUNCTION("""COMPUTED_VALUE"""),"ADK0000004218")</f>
        <v>ADK0000004218</v>
      </c>
      <c r="B6249" s="153" t="str">
        <f>IFERROR(__xludf.DUMMYFUNCTION("""COMPUTED_VALUE"""),"WHOLE EXOME SEQUENCING")</f>
        <v>WHOLE EXOME SEQUENCING</v>
      </c>
      <c r="C6249" s="153"/>
      <c r="D6249" s="378">
        <f>IFERROR(__xludf.DUMMYFUNCTION("""COMPUTED_VALUE"""),46247.0)</f>
        <v>46247</v>
      </c>
    </row>
    <row r="6250">
      <c r="A6250" s="153" t="str">
        <f>IFERROR(__xludf.DUMMYFUNCTION("""COMPUTED_VALUE"""),"ADK0000004219")</f>
        <v>ADK0000004219</v>
      </c>
      <c r="B6250" s="153" t="str">
        <f>IFERROR(__xludf.DUMMYFUNCTION("""COMPUTED_VALUE"""),"WHOLE EXOME SEQUENCING")</f>
        <v>WHOLE EXOME SEQUENCING</v>
      </c>
      <c r="C6250" s="153"/>
      <c r="D6250" s="378">
        <f>IFERROR(__xludf.DUMMYFUNCTION("""COMPUTED_VALUE"""),46247.0)</f>
        <v>46247</v>
      </c>
    </row>
    <row r="6251">
      <c r="A6251" s="153" t="str">
        <f>IFERROR(__xludf.DUMMYFUNCTION("""COMPUTED_VALUE"""),"ADK0000004220")</f>
        <v>ADK0000004220</v>
      </c>
      <c r="B6251" s="153" t="str">
        <f>IFERROR(__xludf.DUMMYFUNCTION("""COMPUTED_VALUE"""),"WHOLE EXOME SEQUENCING")</f>
        <v>WHOLE EXOME SEQUENCING</v>
      </c>
      <c r="C6251" s="153"/>
      <c r="D6251" s="378">
        <f>IFERROR(__xludf.DUMMYFUNCTION("""COMPUTED_VALUE"""),46247.0)</f>
        <v>46247</v>
      </c>
    </row>
    <row r="6252">
      <c r="A6252" s="153" t="str">
        <f>IFERROR(__xludf.DUMMYFUNCTION("""COMPUTED_VALUE"""),"ADK0000004221")</f>
        <v>ADK0000004221</v>
      </c>
      <c r="B6252" s="153" t="str">
        <f>IFERROR(__xludf.DUMMYFUNCTION("""COMPUTED_VALUE"""),"WHOLE EXOME SEQUENCING")</f>
        <v>WHOLE EXOME SEQUENCING</v>
      </c>
      <c r="C6252" s="153"/>
      <c r="D6252" s="378">
        <f>IFERROR(__xludf.DUMMYFUNCTION("""COMPUTED_VALUE"""),46247.0)</f>
        <v>46247</v>
      </c>
    </row>
    <row r="6253">
      <c r="A6253" s="153" t="str">
        <f>IFERROR(__xludf.DUMMYFUNCTION("""COMPUTED_VALUE"""),"ADK0000004222")</f>
        <v>ADK0000004222</v>
      </c>
      <c r="B6253" s="153" t="str">
        <f>IFERROR(__xludf.DUMMYFUNCTION("""COMPUTED_VALUE"""),"WHOLE EXOME SEQUENCING")</f>
        <v>WHOLE EXOME SEQUENCING</v>
      </c>
      <c r="C6253" s="153"/>
      <c r="D6253" s="378">
        <f>IFERROR(__xludf.DUMMYFUNCTION("""COMPUTED_VALUE"""),46247.0)</f>
        <v>46247</v>
      </c>
    </row>
    <row r="6254">
      <c r="A6254" s="153" t="str">
        <f>IFERROR(__xludf.DUMMYFUNCTION("""COMPUTED_VALUE"""),"ADK0000004223")</f>
        <v>ADK0000004223</v>
      </c>
      <c r="B6254" s="153" t="str">
        <f>IFERROR(__xludf.DUMMYFUNCTION("""COMPUTED_VALUE"""),"WHOLE EXOME SEQUENCING")</f>
        <v>WHOLE EXOME SEQUENCING</v>
      </c>
      <c r="C6254" s="153"/>
      <c r="D6254" s="378">
        <f>IFERROR(__xludf.DUMMYFUNCTION("""COMPUTED_VALUE"""),46247.0)</f>
        <v>46247</v>
      </c>
    </row>
    <row r="6255">
      <c r="A6255" s="153" t="str">
        <f>IFERROR(__xludf.DUMMYFUNCTION("""COMPUTED_VALUE"""),"ADK0000004224")</f>
        <v>ADK0000004224</v>
      </c>
      <c r="B6255" s="153" t="str">
        <f>IFERROR(__xludf.DUMMYFUNCTION("""COMPUTED_VALUE"""),"WHOLE EXOME SEQUENCING")</f>
        <v>WHOLE EXOME SEQUENCING</v>
      </c>
      <c r="C6255" s="153"/>
      <c r="D6255" s="378">
        <f>IFERROR(__xludf.DUMMYFUNCTION("""COMPUTED_VALUE"""),46247.0)</f>
        <v>46247</v>
      </c>
    </row>
    <row r="6256">
      <c r="A6256" s="153" t="str">
        <f>IFERROR(__xludf.DUMMYFUNCTION("""COMPUTED_VALUE"""),"AMB0000012903")</f>
        <v>AMB0000012903</v>
      </c>
      <c r="B6256" s="153" t="str">
        <f>IFERROR(__xludf.DUMMYFUNCTION("""COMPUTED_VALUE"""),"WHOLE EXOME SEQUENCING")</f>
        <v>WHOLE EXOME SEQUENCING</v>
      </c>
      <c r="C6256" s="153"/>
      <c r="D6256" s="378">
        <f>IFERROR(__xludf.DUMMYFUNCTION("""COMPUTED_VALUE"""),46245.0)</f>
        <v>46245</v>
      </c>
    </row>
    <row r="6257">
      <c r="A6257" s="153" t="str">
        <f>IFERROR(__xludf.DUMMYFUNCTION("""COMPUTED_VALUE"""),"ADH0000037531")</f>
        <v>ADH0000037531</v>
      </c>
      <c r="B6257" s="153" t="str">
        <f>IFERROR(__xludf.DUMMYFUNCTION("""COMPUTED_VALUE"""),"WHOLE EXOME SEQUENCING")</f>
        <v>WHOLE EXOME SEQUENCING</v>
      </c>
      <c r="C6257" s="153"/>
      <c r="D6257" s="378">
        <f>IFERROR(__xludf.DUMMYFUNCTION("""COMPUTED_VALUE"""),46246.0)</f>
        <v>46246</v>
      </c>
    </row>
    <row r="6258">
      <c r="A6258" s="153" t="str">
        <f>IFERROR(__xludf.DUMMYFUNCTION("""COMPUTED_VALUE"""),"ADH0000036574")</f>
        <v>ADH0000036574</v>
      </c>
      <c r="B6258" s="153" t="str">
        <f>IFERROR(__xludf.DUMMYFUNCTION("""COMPUTED_VALUE"""),"WHOLE EXOME SEQUENCING")</f>
        <v>WHOLE EXOME SEQUENCING</v>
      </c>
      <c r="C6258" s="153"/>
      <c r="D6258" s="378">
        <f>IFERROR(__xludf.DUMMYFUNCTION("""COMPUTED_VALUE"""),46243.0)</f>
        <v>46243</v>
      </c>
    </row>
    <row r="6259">
      <c r="A6259" s="153" t="str">
        <f>IFERROR(__xludf.DUMMYFUNCTION("""COMPUTED_VALUE"""),"MGL0000000118")</f>
        <v>MGL0000000118</v>
      </c>
      <c r="B6259" s="153" t="str">
        <f>IFERROR(__xludf.DUMMYFUNCTION("""COMPUTED_VALUE"""),"WHOLE EXOME SEQUENCING")</f>
        <v>WHOLE EXOME SEQUENCING</v>
      </c>
      <c r="C6259" s="153"/>
      <c r="D6259" s="378">
        <f>IFERROR(__xludf.DUMMYFUNCTION("""COMPUTED_VALUE"""),46242.0)</f>
        <v>46242</v>
      </c>
    </row>
    <row r="6260">
      <c r="A6260" s="153" t="str">
        <f>IFERROR(__xludf.DUMMYFUNCTION("""COMPUTED_VALUE"""),"MGL0000000119")</f>
        <v>MGL0000000119</v>
      </c>
      <c r="B6260" s="153" t="str">
        <f>IFERROR(__xludf.DUMMYFUNCTION("""COMPUTED_VALUE"""),"WHOLE EXOME SEQUENCING")</f>
        <v>WHOLE EXOME SEQUENCING</v>
      </c>
      <c r="C6260" s="153"/>
      <c r="D6260" s="378">
        <f>IFERROR(__xludf.DUMMYFUNCTION("""COMPUTED_VALUE"""),46242.0)</f>
        <v>46242</v>
      </c>
    </row>
    <row r="6261">
      <c r="A6261" s="153" t="str">
        <f>IFERROR(__xludf.DUMMYFUNCTION("""COMPUTED_VALUE"""),"MGL0000000120")</f>
        <v>MGL0000000120</v>
      </c>
      <c r="B6261" s="153" t="str">
        <f>IFERROR(__xludf.DUMMYFUNCTION("""COMPUTED_VALUE"""),"WHOLE EXOME SEQUENCING")</f>
        <v>WHOLE EXOME SEQUENCING</v>
      </c>
      <c r="C6261" s="153"/>
      <c r="D6261" s="378">
        <f>IFERROR(__xludf.DUMMYFUNCTION("""COMPUTED_VALUE"""),46242.0)</f>
        <v>46242</v>
      </c>
    </row>
    <row r="6262">
      <c r="A6262" s="153" t="str">
        <f>IFERROR(__xludf.DUMMYFUNCTION("""COMPUTED_VALUE"""),"ADH0000037850
")</f>
        <v>ADH0000037850
</v>
      </c>
      <c r="B6262" s="153" t="str">
        <f>IFERROR(__xludf.DUMMYFUNCTION("""COMPUTED_VALUE"""),"WHOLE EXOME SEQUENCING")</f>
        <v>WHOLE EXOME SEQUENCING</v>
      </c>
      <c r="C6262" s="153"/>
      <c r="D6262" s="378">
        <f>IFERROR(__xludf.DUMMYFUNCTION("""COMPUTED_VALUE"""),46247.0)</f>
        <v>46247</v>
      </c>
    </row>
    <row r="6263">
      <c r="A6263" s="153" t="str">
        <f>IFERROR(__xludf.DUMMYFUNCTION("""COMPUTED_VALUE"""),"ATN0000013856
")</f>
        <v>ATN0000013856
</v>
      </c>
      <c r="B6263" s="153" t="str">
        <f>IFERROR(__xludf.DUMMYFUNCTION("""COMPUTED_VALUE"""),"WHOLE EXOME SEQUENCING")</f>
        <v>WHOLE EXOME SEQUENCING</v>
      </c>
      <c r="C6263" s="153"/>
      <c r="D6263" s="378">
        <f>IFERROR(__xludf.DUMMYFUNCTION("""COMPUTED_VALUE"""),46247.0)</f>
        <v>46247</v>
      </c>
    </row>
    <row r="6264">
      <c r="A6264" s="153" t="str">
        <f>IFERROR(__xludf.DUMMYFUNCTION("""COMPUTED_VALUE"""),"MDU0000032023")</f>
        <v>MDU0000032023</v>
      </c>
      <c r="B6264" s="153" t="str">
        <f>IFERROR(__xludf.DUMMYFUNCTION("""COMPUTED_VALUE"""),"WHOLE EXOME SEQUENCING")</f>
        <v>WHOLE EXOME SEQUENCING</v>
      </c>
      <c r="C6264" s="153"/>
      <c r="D6264" s="378">
        <f>IFERROR(__xludf.DUMMYFUNCTION("""COMPUTED_VALUE"""),46249.0)</f>
        <v>46249</v>
      </c>
    </row>
    <row r="6265">
      <c r="A6265" s="153" t="str">
        <f>IFERROR(__xludf.DUMMYFUNCTION("""COMPUTED_VALUE"""),"HYP0000003381")</f>
        <v>HYP0000003381</v>
      </c>
      <c r="B6265" s="153" t="str">
        <f>IFERROR(__xludf.DUMMYFUNCTION("""COMPUTED_VALUE"""),"ADVAT FOCUS CARRIER SCREENING - NGS")</f>
        <v>ADVAT FOCUS CARRIER SCREENING - NGS</v>
      </c>
      <c r="C6265" s="153"/>
      <c r="D6265" s="378">
        <f>IFERROR(__xludf.DUMMYFUNCTION("""COMPUTED_VALUE"""),46253.0)</f>
        <v>46253</v>
      </c>
    </row>
    <row r="6266">
      <c r="A6266" s="153" t="str">
        <f>IFERROR(__xludf.DUMMYFUNCTION("""COMPUTED_VALUE"""),"HYP0000003382")</f>
        <v>HYP0000003382</v>
      </c>
      <c r="B6266" s="153" t="str">
        <f>IFERROR(__xludf.DUMMYFUNCTION("""COMPUTED_VALUE"""),"ADVAT FOCUS CARRIER SCREENING - NGS")</f>
        <v>ADVAT FOCUS CARRIER SCREENING - NGS</v>
      </c>
      <c r="C6266" s="153"/>
      <c r="D6266" s="378">
        <f>IFERROR(__xludf.DUMMYFUNCTION("""COMPUTED_VALUE"""),46253.0)</f>
        <v>46253</v>
      </c>
    </row>
    <row r="6267">
      <c r="A6267" s="153" t="str">
        <f>IFERROR(__xludf.DUMMYFUNCTION("""COMPUTED_VALUE"""),"ADK0000004303
")</f>
        <v>ADK0000004303
</v>
      </c>
      <c r="B6267" s="153" t="str">
        <f>IFERROR(__xludf.DUMMYFUNCTION("""COMPUTED_VALUE"""),"WHOLE EXOME SEQUENCING")</f>
        <v>WHOLE EXOME SEQUENCING</v>
      </c>
      <c r="C6267" s="153"/>
      <c r="D6267" s="378">
        <f>IFERROR(__xludf.DUMMYFUNCTION("""COMPUTED_VALUE"""),46248.0)</f>
        <v>46248</v>
      </c>
    </row>
    <row r="6268">
      <c r="A6268" s="153" t="str">
        <f>IFERROR(__xludf.DUMMYFUNCTION("""COMPUTED_VALUE"""),"ADK0000004302
")</f>
        <v>ADK0000004302
</v>
      </c>
      <c r="B6268" s="153" t="str">
        <f>IFERROR(__xludf.DUMMYFUNCTION("""COMPUTED_VALUE"""),"WHOLE EXOME SEQUENCING")</f>
        <v>WHOLE EXOME SEQUENCING</v>
      </c>
      <c r="C6268" s="153"/>
      <c r="D6268" s="378">
        <f>IFERROR(__xludf.DUMMYFUNCTION("""COMPUTED_VALUE"""),46248.0)</f>
        <v>46248</v>
      </c>
    </row>
    <row r="6269">
      <c r="A6269" s="153" t="str">
        <f>IFERROR(__xludf.DUMMYFUNCTION("""COMPUTED_VALUE"""),"TSI0000028157")</f>
        <v>TSI0000028157</v>
      </c>
      <c r="B6269" s="153" t="str">
        <f>IFERROR(__xludf.DUMMYFUNCTION("""COMPUTED_VALUE"""),"WHOLE EXOME SEQUENCING + MITOCHONDRIAL GENOME SEQUENCING")</f>
        <v>WHOLE EXOME SEQUENCING + MITOCHONDRIAL GENOME SEQUENCING</v>
      </c>
      <c r="C6269" s="153"/>
      <c r="D6269" s="378">
        <f>IFERROR(__xludf.DUMMYFUNCTION("""COMPUTED_VALUE"""),46251.0)</f>
        <v>46251</v>
      </c>
    </row>
    <row r="6270">
      <c r="A6270" s="153" t="str">
        <f>IFERROR(__xludf.DUMMYFUNCTION("""COMPUTED_VALUE"""),"PH50000033112")</f>
        <v>PH50000033112</v>
      </c>
      <c r="B6270" s="153" t="str">
        <f>IFERROR(__xludf.DUMMYFUNCTION("""COMPUTED_VALUE"""),"WES+WMGS")</f>
        <v>WES+WMGS</v>
      </c>
      <c r="C6270" s="153"/>
      <c r="D6270" s="378">
        <f>IFERROR(__xludf.DUMMYFUNCTION("""COMPUTED_VALUE"""),46251.0)</f>
        <v>46251</v>
      </c>
    </row>
    <row r="6271">
      <c r="A6271" s="153" t="str">
        <f>IFERROR(__xludf.DUMMYFUNCTION("""COMPUTED_VALUE"""),"DCC0000006228")</f>
        <v>DCC0000006228</v>
      </c>
      <c r="B6271" s="153" t="str">
        <f>IFERROR(__xludf.DUMMYFUNCTION("""COMPUTED_VALUE"""),"WHOLE EXOME SEQUENCING")</f>
        <v>WHOLE EXOME SEQUENCING</v>
      </c>
      <c r="C6271" s="153"/>
      <c r="D6271" s="378">
        <f>IFERROR(__xludf.DUMMYFUNCTION("""COMPUTED_VALUE"""),46251.0)</f>
        <v>46251</v>
      </c>
    </row>
    <row r="6272">
      <c r="A6272" s="153" t="str">
        <f>IFERROR(__xludf.DUMMYFUNCTION("""COMPUTED_VALUE"""),"DCC0000006229")</f>
        <v>DCC0000006229</v>
      </c>
      <c r="B6272" s="153" t="str">
        <f>IFERROR(__xludf.DUMMYFUNCTION("""COMPUTED_VALUE"""),"WHOLE EXOME SEQUENCING")</f>
        <v>WHOLE EXOME SEQUENCING</v>
      </c>
      <c r="C6272" s="153"/>
      <c r="D6272" s="378">
        <f>IFERROR(__xludf.DUMMYFUNCTION("""COMPUTED_VALUE"""),46251.0)</f>
        <v>46251</v>
      </c>
    </row>
    <row r="6273">
      <c r="A6273" s="153" t="str">
        <f>IFERROR(__xludf.DUMMYFUNCTION("""COMPUTED_VALUE"""),"PH50000033114
")</f>
        <v>PH50000033114
</v>
      </c>
      <c r="B6273" s="153" t="str">
        <f>IFERROR(__xludf.DUMMYFUNCTION("""COMPUTED_VALUE"""),"WES+WMGS")</f>
        <v>WES+WMGS</v>
      </c>
      <c r="C6273" s="153"/>
      <c r="D6273" s="378">
        <f>IFERROR(__xludf.DUMMYFUNCTION("""COMPUTED_VALUE"""),46251.0)</f>
        <v>46251</v>
      </c>
    </row>
    <row r="6274">
      <c r="A6274" s="153" t="str">
        <f>IFERROR(__xludf.DUMMYFUNCTION("""COMPUTED_VALUE"""),"PH50000033115
")</f>
        <v>PH50000033115
</v>
      </c>
      <c r="B6274" s="153" t="str">
        <f>IFERROR(__xludf.DUMMYFUNCTION("""COMPUTED_VALUE"""),"NEPHROTIC SYNDROME GENE PANEL ")</f>
        <v>NEPHROTIC SYNDROME GENE PANEL </v>
      </c>
      <c r="C6274" s="153"/>
      <c r="D6274" s="378">
        <f>IFERROR(__xludf.DUMMYFUNCTION("""COMPUTED_VALUE"""),46251.0)</f>
        <v>46251</v>
      </c>
    </row>
    <row r="6275">
      <c r="A6275" s="153" t="str">
        <f>IFERROR(__xludf.DUMMYFUNCTION("""COMPUTED_VALUE"""),"PH50000032893")</f>
        <v>PH50000032893</v>
      </c>
      <c r="B6275" s="153" t="str">
        <f>IFERROR(__xludf.DUMMYFUNCTION("""COMPUTED_VALUE"""),"WES+WMGS")</f>
        <v>WES+WMGS</v>
      </c>
      <c r="C6275" s="153"/>
      <c r="D6275" s="378">
        <f>IFERROR(__xludf.DUMMYFUNCTION("""COMPUTED_VALUE"""),46250.0)</f>
        <v>46250</v>
      </c>
    </row>
    <row r="6276">
      <c r="A6276" s="153" t="str">
        <f>IFERROR(__xludf.DUMMYFUNCTION("""COMPUTED_VALUE"""),"PH50000032895")</f>
        <v>PH50000032895</v>
      </c>
      <c r="B6276" s="153" t="str">
        <f>IFERROR(__xludf.DUMMYFUNCTION("""COMPUTED_VALUE"""),"WES+WMGS")</f>
        <v>WES+WMGS</v>
      </c>
      <c r="C6276" s="153"/>
      <c r="D6276" s="378">
        <f>IFERROR(__xludf.DUMMYFUNCTION("""COMPUTED_VALUE"""),46250.0)</f>
        <v>46250</v>
      </c>
    </row>
    <row r="6277">
      <c r="A6277" s="153" t="str">
        <f>IFERROR(__xludf.DUMMYFUNCTION("""COMPUTED_VALUE"""),"PH50000032896")</f>
        <v>PH50000032896</v>
      </c>
      <c r="B6277" s="153" t="str">
        <f>IFERROR(__xludf.DUMMYFUNCTION("""COMPUTED_VALUE"""),"WES+WMGS")</f>
        <v>WES+WMGS</v>
      </c>
      <c r="C6277" s="153"/>
      <c r="D6277" s="378">
        <f>IFERROR(__xludf.DUMMYFUNCTION("""COMPUTED_VALUE"""),46250.0)</f>
        <v>46250</v>
      </c>
    </row>
    <row r="6278">
      <c r="A6278" s="153" t="str">
        <f>IFERROR(__xludf.DUMMYFUNCTION("""COMPUTED_VALUE"""),"PH50000033493")</f>
        <v>PH50000033493</v>
      </c>
      <c r="B6278" s="153" t="str">
        <f>IFERROR(__xludf.DUMMYFUNCTION("""COMPUTED_VALUE"""),"WES+WMGS")</f>
        <v>WES+WMGS</v>
      </c>
      <c r="C6278" s="153"/>
      <c r="D6278" s="378">
        <f>IFERROR(__xludf.DUMMYFUNCTION("""COMPUTED_VALUE"""),46253.0)</f>
        <v>46253</v>
      </c>
    </row>
    <row r="6279">
      <c r="A6279" s="153" t="str">
        <f>IFERROR(__xludf.DUMMYFUNCTION("""COMPUTED_VALUE"""),"PH50000033580")</f>
        <v>PH50000033580</v>
      </c>
      <c r="B6279" s="153" t="str">
        <f>IFERROR(__xludf.DUMMYFUNCTION("""COMPUTED_VALUE"""),"WES+WMGS")</f>
        <v>WES+WMGS</v>
      </c>
      <c r="C6279" s="153"/>
      <c r="D6279" s="378">
        <f>IFERROR(__xludf.DUMMYFUNCTION("""COMPUTED_VALUE"""),46253.0)</f>
        <v>46253</v>
      </c>
    </row>
    <row r="6280">
      <c r="A6280" s="153" t="str">
        <f>IFERROR(__xludf.DUMMYFUNCTION("""COMPUTED_VALUE"""),"ATN0000013791
")</f>
        <v>ATN0000013791
</v>
      </c>
      <c r="B6280" s="153" t="str">
        <f>IFERROR(__xludf.DUMMYFUNCTION("""COMPUTED_VALUE"""),"CLINICAL EXOME SEQUENCING")</f>
        <v>CLINICAL EXOME SEQUENCING</v>
      </c>
      <c r="C6280" s="153"/>
      <c r="D6280" s="378">
        <f>IFERROR(__xludf.DUMMYFUNCTION("""COMPUTED_VALUE"""),46251.0)</f>
        <v>46251</v>
      </c>
    </row>
    <row r="6281">
      <c r="A6281" s="153" t="str">
        <f>IFERROR(__xludf.DUMMYFUNCTION("""COMPUTED_VALUE"""),"AMB0000013018")</f>
        <v>AMB0000013018</v>
      </c>
      <c r="B6281" s="153" t="str">
        <f>IFERROR(__xludf.DUMMYFUNCTION("""COMPUTED_VALUE"""),"COMPREHENSIVE CARRIER SCREENING")</f>
        <v>COMPREHENSIVE CARRIER SCREENING</v>
      </c>
      <c r="C6281" s="153"/>
      <c r="D6281" s="378">
        <f>IFERROR(__xludf.DUMMYFUNCTION("""COMPUTED_VALUE"""),46246.0)</f>
        <v>46246</v>
      </c>
    </row>
    <row r="6282">
      <c r="A6282" s="153" t="str">
        <f>IFERROR(__xludf.DUMMYFUNCTION("""COMPUTED_VALUE"""),"ADK0000004200")</f>
        <v>ADK0000004200</v>
      </c>
      <c r="B6282" s="153" t="str">
        <f>IFERROR(__xludf.DUMMYFUNCTION("""COMPUTED_VALUE"""),"WES+WMGS")</f>
        <v>WES+WMGS</v>
      </c>
      <c r="C6282" s="153"/>
      <c r="D6282" s="378">
        <f>IFERROR(__xludf.DUMMYFUNCTION("""COMPUTED_VALUE"""),46251.0)</f>
        <v>46251</v>
      </c>
    </row>
    <row r="6283">
      <c r="A6283" s="153" t="str">
        <f>IFERROR(__xludf.DUMMYFUNCTION("""COMPUTED_VALUE"""),"ADK0000004201")</f>
        <v>ADK0000004201</v>
      </c>
      <c r="B6283" s="153" t="str">
        <f>IFERROR(__xludf.DUMMYFUNCTION("""COMPUTED_VALUE"""),"WES+WMGS")</f>
        <v>WES+WMGS</v>
      </c>
      <c r="C6283" s="153"/>
      <c r="D6283" s="378">
        <f>IFERROR(__xludf.DUMMYFUNCTION("""COMPUTED_VALUE"""),46251.0)</f>
        <v>46251</v>
      </c>
    </row>
    <row r="6284">
      <c r="A6284" s="153" t="str">
        <f>IFERROR(__xludf.DUMMYFUNCTION("""COMPUTED_VALUE"""),"ADK0000004202")</f>
        <v>ADK0000004202</v>
      </c>
      <c r="B6284" s="153" t="str">
        <f>IFERROR(__xludf.DUMMYFUNCTION("""COMPUTED_VALUE"""),"WES+WMGS")</f>
        <v>WES+WMGS</v>
      </c>
      <c r="C6284" s="153"/>
      <c r="D6284" s="378">
        <f>IFERROR(__xludf.DUMMYFUNCTION("""COMPUTED_VALUE"""),46251.0)</f>
        <v>46251</v>
      </c>
    </row>
    <row r="6285">
      <c r="A6285" s="153" t="str">
        <f>IFERROR(__xludf.DUMMYFUNCTION("""COMPUTED_VALUE"""),"CHM0000060146")</f>
        <v>CHM0000060146</v>
      </c>
      <c r="B6285" s="153" t="str">
        <f>IFERROR(__xludf.DUMMYFUNCTION("""COMPUTED_VALUE"""),"FAMILIAL HYPERCHOLESTEROLEMIA PANEL")</f>
        <v>FAMILIAL HYPERCHOLESTEROLEMIA PANEL</v>
      </c>
      <c r="C6285" s="153"/>
      <c r="D6285" s="378">
        <f>IFERROR(__xludf.DUMMYFUNCTION("""COMPUTED_VALUE"""),46251.0)</f>
        <v>46251</v>
      </c>
    </row>
    <row r="6286">
      <c r="A6286" s="153" t="str">
        <f>IFERROR(__xludf.DUMMYFUNCTION("""COMPUTED_VALUE"""),"HYP0000003368")</f>
        <v>HYP0000003368</v>
      </c>
      <c r="B6286" s="153" t="str">
        <f>IFERROR(__xludf.DUMMYFUNCTION("""COMPUTED_VALUE"""),"COMPREHENSIVE CARRIER SCREENING")</f>
        <v>COMPREHENSIVE CARRIER SCREENING</v>
      </c>
      <c r="C6286" s="153"/>
      <c r="D6286" s="378">
        <f>IFERROR(__xludf.DUMMYFUNCTION("""COMPUTED_VALUE"""),46252.0)</f>
        <v>46252</v>
      </c>
    </row>
    <row r="6287">
      <c r="A6287" s="153" t="str">
        <f>IFERROR(__xludf.DUMMYFUNCTION("""COMPUTED_VALUE"""),"AMB0000012971")</f>
        <v>AMB0000012971</v>
      </c>
      <c r="B6287" s="153" t="str">
        <f>IFERROR(__xludf.DUMMYFUNCTION("""COMPUTED_VALUE"""),"WHOLE EXOME SEQUENCING")</f>
        <v>WHOLE EXOME SEQUENCING</v>
      </c>
      <c r="C6287" s="153"/>
      <c r="D6287" s="378">
        <f>IFERROR(__xludf.DUMMYFUNCTION("""COMPUTED_VALUE"""),46252.0)</f>
        <v>46252</v>
      </c>
    </row>
    <row r="6288">
      <c r="A6288" s="153" t="str">
        <f>IFERROR(__xludf.DUMMYFUNCTION("""COMPUTED_VALUE"""),"AMB0000012972")</f>
        <v>AMB0000012972</v>
      </c>
      <c r="B6288" s="153" t="str">
        <f>IFERROR(__xludf.DUMMYFUNCTION("""COMPUTED_VALUE"""),"WHOLE EXOME SEQUENCING")</f>
        <v>WHOLE EXOME SEQUENCING</v>
      </c>
      <c r="C6288" s="153"/>
      <c r="D6288" s="378">
        <f>IFERROR(__xludf.DUMMYFUNCTION("""COMPUTED_VALUE"""),46252.0)</f>
        <v>46252</v>
      </c>
    </row>
    <row r="6289">
      <c r="A6289" s="153" t="str">
        <f>IFERROR(__xludf.DUMMYFUNCTION("""COMPUTED_VALUE"""),"HYP0000003349")</f>
        <v>HYP0000003349</v>
      </c>
      <c r="B6289" s="153" t="str">
        <f>IFERROR(__xludf.DUMMYFUNCTION("""COMPUTED_VALUE"""),"WHOLE EXOME SEQUENCING")</f>
        <v>WHOLE EXOME SEQUENCING</v>
      </c>
      <c r="C6289" s="153"/>
      <c r="D6289" s="378">
        <f>IFERROR(__xludf.DUMMYFUNCTION("""COMPUTED_VALUE"""),46252.0)</f>
        <v>46252</v>
      </c>
    </row>
    <row r="6290">
      <c r="A6290" s="153" t="str">
        <f>IFERROR(__xludf.DUMMYFUNCTION("""COMPUTED_VALUE"""),"AVD0000002338")</f>
        <v>AVD0000002338</v>
      </c>
      <c r="B6290" s="153" t="str">
        <f>IFERROR(__xludf.DUMMYFUNCTION("""COMPUTED_VALUE"""),"WHOLE EXOME SEQUENCING")</f>
        <v>WHOLE EXOME SEQUENCING</v>
      </c>
      <c r="C6290" s="153"/>
      <c r="D6290" s="378">
        <f>IFERROR(__xludf.DUMMYFUNCTION("""COMPUTED_VALUE"""),46253.0)</f>
        <v>46253</v>
      </c>
    </row>
    <row r="6291">
      <c r="A6291" s="153" t="str">
        <f>IFERROR(__xludf.DUMMYFUNCTION("""COMPUTED_VALUE"""),"ACO0000016571")</f>
        <v>ACO0000016571</v>
      </c>
      <c r="B6291" s="153" t="str">
        <f>IFERROR(__xludf.DUMMYFUNCTION("""COMPUTED_VALUE"""),"WHOLE EXOME SEQUENCING")</f>
        <v>WHOLE EXOME SEQUENCING</v>
      </c>
      <c r="C6291" s="153"/>
      <c r="D6291" s="378">
        <f>IFERROR(__xludf.DUMMYFUNCTION("""COMPUTED_VALUE"""),46253.0)</f>
        <v>46253</v>
      </c>
    </row>
    <row r="6292">
      <c r="A6292" s="153" t="str">
        <f>IFERROR(__xludf.DUMMYFUNCTION("""COMPUTED_VALUE"""),"ACO0000016570")</f>
        <v>ACO0000016570</v>
      </c>
      <c r="B6292" s="153" t="str">
        <f>IFERROR(__xludf.DUMMYFUNCTION("""COMPUTED_VALUE"""),"HEREDITARY CANCER GENE PANEL")</f>
        <v>HEREDITARY CANCER GENE PANEL</v>
      </c>
      <c r="C6292" s="153"/>
      <c r="D6292" s="153"/>
    </row>
    <row r="6293">
      <c r="A6293" s="153" t="str">
        <f>IFERROR(__xludf.DUMMYFUNCTION("""COMPUTED_VALUE"""),"ADB0000051082")</f>
        <v>ADB0000051082</v>
      </c>
      <c r="B6293" s="153" t="str">
        <f>IFERROR(__xludf.DUMMYFUNCTION("""COMPUTED_VALUE"""),"GENESIGHT EVA - FEMALE INFERTILITY PANEL")</f>
        <v>GENESIGHT EVA - FEMALE INFERTILITY PANEL</v>
      </c>
      <c r="C6293" s="153"/>
      <c r="D6293" s="378">
        <f>IFERROR(__xludf.DUMMYFUNCTION("""COMPUTED_VALUE"""),46242.0)</f>
        <v>46242</v>
      </c>
    </row>
    <row r="6294">
      <c r="A6294" s="153" t="str">
        <f>IFERROR(__xludf.DUMMYFUNCTION("""COMPUTED_VALUE"""),"ADB0000051083")</f>
        <v>ADB0000051083</v>
      </c>
      <c r="B6294" s="153" t="str">
        <f>IFERROR(__xludf.DUMMYFUNCTION("""COMPUTED_VALUE"""),"GENESIGHT ANDRO - MALE INFERTILITY NGS PANEL")</f>
        <v>GENESIGHT ANDRO - MALE INFERTILITY NGS PANEL</v>
      </c>
      <c r="C6294" s="153"/>
      <c r="D6294" s="378">
        <f>IFERROR(__xludf.DUMMYFUNCTION("""COMPUTED_VALUE"""),46242.0)</f>
        <v>46242</v>
      </c>
    </row>
    <row r="6295">
      <c r="A6295" s="153" t="str">
        <f>IFERROR(__xludf.DUMMYFUNCTION("""COMPUTED_VALUE"""),"ADK0000004304")</f>
        <v>ADK0000004304</v>
      </c>
      <c r="B6295" s="153" t="str">
        <f>IFERROR(__xludf.DUMMYFUNCTION("""COMPUTED_VALUE"""),"WHOLE EXOME SEQUENCING")</f>
        <v>WHOLE EXOME SEQUENCING</v>
      </c>
      <c r="C6295" s="153"/>
      <c r="D6295" s="378">
        <f>IFERROR(__xludf.DUMMYFUNCTION("""COMPUTED_VALUE"""),46248.0)</f>
        <v>46248</v>
      </c>
    </row>
    <row r="6296">
      <c r="A6296" s="153" t="str">
        <f>IFERROR(__xludf.DUMMYFUNCTION("""COMPUTED_VALUE"""),"ADK0000004305")</f>
        <v>ADK0000004305</v>
      </c>
      <c r="B6296" s="153" t="str">
        <f>IFERROR(__xludf.DUMMYFUNCTION("""COMPUTED_VALUE"""),"WHOLE EXOME SEQUENCING")</f>
        <v>WHOLE EXOME SEQUENCING</v>
      </c>
      <c r="C6296" s="153"/>
      <c r="D6296" s="378">
        <f>IFERROR(__xludf.DUMMYFUNCTION("""COMPUTED_VALUE"""),46248.0)</f>
        <v>46248</v>
      </c>
    </row>
    <row r="6297">
      <c r="A6297" s="153" t="str">
        <f>IFERROR(__xludf.DUMMYFUNCTION("""COMPUTED_VALUE"""),"ADK0000004306")</f>
        <v>ADK0000004306</v>
      </c>
      <c r="B6297" s="153" t="str">
        <f>IFERROR(__xludf.DUMMYFUNCTION("""COMPUTED_VALUE"""),"WHOLE EXOME SEQUENCING")</f>
        <v>WHOLE EXOME SEQUENCING</v>
      </c>
      <c r="C6297" s="153"/>
      <c r="D6297" s="378">
        <f>IFERROR(__xludf.DUMMYFUNCTION("""COMPUTED_VALUE"""),46248.0)</f>
        <v>46248</v>
      </c>
    </row>
    <row r="6298">
      <c r="A6298" s="153" t="str">
        <f>IFERROR(__xludf.DUMMYFUNCTION("""COMPUTED_VALUE"""),"ADK0000004307")</f>
        <v>ADK0000004307</v>
      </c>
      <c r="B6298" s="153" t="str">
        <f>IFERROR(__xludf.DUMMYFUNCTION("""COMPUTED_VALUE"""),"WHOLE EXOME SEQUENCING")</f>
        <v>WHOLE EXOME SEQUENCING</v>
      </c>
      <c r="C6298" s="153"/>
      <c r="D6298" s="378">
        <f>IFERROR(__xludf.DUMMYFUNCTION("""COMPUTED_VALUE"""),46248.0)</f>
        <v>46248</v>
      </c>
    </row>
    <row r="6299">
      <c r="A6299" s="153" t="str">
        <f>IFERROR(__xludf.DUMMYFUNCTION("""COMPUTED_VALUE"""),"ADK0000004308")</f>
        <v>ADK0000004308</v>
      </c>
      <c r="B6299" s="153" t="str">
        <f>IFERROR(__xludf.DUMMYFUNCTION("""COMPUTED_VALUE"""),"WHOLE EXOME SEQUENCING")</f>
        <v>WHOLE EXOME SEQUENCING</v>
      </c>
      <c r="C6299" s="153"/>
      <c r="D6299" s="378">
        <f>IFERROR(__xludf.DUMMYFUNCTION("""COMPUTED_VALUE"""),46248.0)</f>
        <v>46248</v>
      </c>
    </row>
    <row r="6300">
      <c r="A6300" s="153" t="str">
        <f>IFERROR(__xludf.DUMMYFUNCTION("""COMPUTED_VALUE"""),"ADK0000004309")</f>
        <v>ADK0000004309</v>
      </c>
      <c r="B6300" s="153" t="str">
        <f>IFERROR(__xludf.DUMMYFUNCTION("""COMPUTED_VALUE"""),"WHOLE EXOME SEQUENCING")</f>
        <v>WHOLE EXOME SEQUENCING</v>
      </c>
      <c r="C6300" s="153"/>
      <c r="D6300" s="378">
        <f>IFERROR(__xludf.DUMMYFUNCTION("""COMPUTED_VALUE"""),46248.0)</f>
        <v>46248</v>
      </c>
    </row>
    <row r="6301">
      <c r="A6301" s="153" t="str">
        <f>IFERROR(__xludf.DUMMYFUNCTION("""COMPUTED_VALUE"""),"ADK0000004310")</f>
        <v>ADK0000004310</v>
      </c>
      <c r="B6301" s="153" t="str">
        <f>IFERROR(__xludf.DUMMYFUNCTION("""COMPUTED_VALUE"""),"WHOLE EXOME SEQUENCING")</f>
        <v>WHOLE EXOME SEQUENCING</v>
      </c>
      <c r="C6301" s="153"/>
      <c r="D6301" s="378">
        <f>IFERROR(__xludf.DUMMYFUNCTION("""COMPUTED_VALUE"""),46248.0)</f>
        <v>46248</v>
      </c>
    </row>
    <row r="6302">
      <c r="A6302" s="153" t="str">
        <f>IFERROR(__xludf.DUMMYFUNCTION("""COMPUTED_VALUE"""),"ADK0000004311")</f>
        <v>ADK0000004311</v>
      </c>
      <c r="B6302" s="153" t="str">
        <f>IFERROR(__xludf.DUMMYFUNCTION("""COMPUTED_VALUE"""),"WHOLE EXOME SEQUENCING")</f>
        <v>WHOLE EXOME SEQUENCING</v>
      </c>
      <c r="C6302" s="153"/>
      <c r="D6302" s="378">
        <f>IFERROR(__xludf.DUMMYFUNCTION("""COMPUTED_VALUE"""),46248.0)</f>
        <v>46248</v>
      </c>
    </row>
    <row r="6303">
      <c r="A6303" s="153" t="str">
        <f>IFERROR(__xludf.DUMMYFUNCTION("""COMPUTED_VALUE"""),"ADK0000004312")</f>
        <v>ADK0000004312</v>
      </c>
      <c r="B6303" s="153" t="str">
        <f>IFERROR(__xludf.DUMMYFUNCTION("""COMPUTED_VALUE"""),"WHOLE EXOME SEQUENCING")</f>
        <v>WHOLE EXOME SEQUENCING</v>
      </c>
      <c r="C6303" s="153"/>
      <c r="D6303" s="378">
        <f>IFERROR(__xludf.DUMMYFUNCTION("""COMPUTED_VALUE"""),46248.0)</f>
        <v>46248</v>
      </c>
    </row>
    <row r="6304">
      <c r="A6304" s="153" t="str">
        <f>IFERROR(__xludf.DUMMYFUNCTION("""COMPUTED_VALUE"""),"ADK0000004314")</f>
        <v>ADK0000004314</v>
      </c>
      <c r="B6304" s="153" t="str">
        <f>IFERROR(__xludf.DUMMYFUNCTION("""COMPUTED_VALUE"""),"WHOLE EXOME SEQUENCING")</f>
        <v>WHOLE EXOME SEQUENCING</v>
      </c>
      <c r="C6304" s="153"/>
      <c r="D6304" s="378">
        <f>IFERROR(__xludf.DUMMYFUNCTION("""COMPUTED_VALUE"""),46248.0)</f>
        <v>46248</v>
      </c>
    </row>
    <row r="6305">
      <c r="A6305" s="153" t="str">
        <f>IFERROR(__xludf.DUMMYFUNCTION("""COMPUTED_VALUE"""),"ADK0000004315")</f>
        <v>ADK0000004315</v>
      </c>
      <c r="B6305" s="153" t="str">
        <f>IFERROR(__xludf.DUMMYFUNCTION("""COMPUTED_VALUE"""),"WHOLE EXOME SEQUENCING")</f>
        <v>WHOLE EXOME SEQUENCING</v>
      </c>
      <c r="C6305" s="153"/>
      <c r="D6305" s="378">
        <f>IFERROR(__xludf.DUMMYFUNCTION("""COMPUTED_VALUE"""),46248.0)</f>
        <v>46248</v>
      </c>
    </row>
    <row r="6306">
      <c r="A6306" s="153" t="str">
        <f>IFERROR(__xludf.DUMMYFUNCTION("""COMPUTED_VALUE"""),"ADK0000004316")</f>
        <v>ADK0000004316</v>
      </c>
      <c r="B6306" s="153" t="str">
        <f>IFERROR(__xludf.DUMMYFUNCTION("""COMPUTED_VALUE"""),"WHOLE EXOME SEQUENCING")</f>
        <v>WHOLE EXOME SEQUENCING</v>
      </c>
      <c r="C6306" s="153"/>
      <c r="D6306" s="378">
        <f>IFERROR(__xludf.DUMMYFUNCTION("""COMPUTED_VALUE"""),46248.0)</f>
        <v>46248</v>
      </c>
    </row>
    <row r="6307">
      <c r="A6307" s="153" t="str">
        <f>IFERROR(__xludf.DUMMYFUNCTION("""COMPUTED_VALUE"""),"ADK0000004317")</f>
        <v>ADK0000004317</v>
      </c>
      <c r="B6307" s="153" t="str">
        <f>IFERROR(__xludf.DUMMYFUNCTION("""COMPUTED_VALUE"""),"WHOLE EXOME SEQUENCING")</f>
        <v>WHOLE EXOME SEQUENCING</v>
      </c>
      <c r="C6307" s="153"/>
      <c r="D6307" s="378">
        <f>IFERROR(__xludf.DUMMYFUNCTION("""COMPUTED_VALUE"""),46248.0)</f>
        <v>46248</v>
      </c>
    </row>
    <row r="6308">
      <c r="A6308" s="153" t="str">
        <f>IFERROR(__xludf.DUMMYFUNCTION("""COMPUTED_VALUE"""),"ADK0000004318")</f>
        <v>ADK0000004318</v>
      </c>
      <c r="B6308" s="153" t="str">
        <f>IFERROR(__xludf.DUMMYFUNCTION("""COMPUTED_VALUE"""),"WHOLE EXOME SEQUENCING")</f>
        <v>WHOLE EXOME SEQUENCING</v>
      </c>
      <c r="C6308" s="153"/>
      <c r="D6308" s="378">
        <f>IFERROR(__xludf.DUMMYFUNCTION("""COMPUTED_VALUE"""),46248.0)</f>
        <v>46248</v>
      </c>
    </row>
    <row r="6309">
      <c r="A6309" s="153" t="str">
        <f>IFERROR(__xludf.DUMMYFUNCTION("""COMPUTED_VALUE"""),"ADK0000004319")</f>
        <v>ADK0000004319</v>
      </c>
      <c r="B6309" s="153" t="str">
        <f>IFERROR(__xludf.DUMMYFUNCTION("""COMPUTED_VALUE"""),"WHOLE EXOME SEQUENCING")</f>
        <v>WHOLE EXOME SEQUENCING</v>
      </c>
      <c r="C6309" s="153"/>
      <c r="D6309" s="378">
        <f>IFERROR(__xludf.DUMMYFUNCTION("""COMPUTED_VALUE"""),46248.0)</f>
        <v>46248</v>
      </c>
    </row>
    <row r="6310">
      <c r="A6310" s="153" t="str">
        <f>IFERROR(__xludf.DUMMYFUNCTION("""COMPUTED_VALUE"""),"ADK0000004423")</f>
        <v>ADK0000004423</v>
      </c>
      <c r="B6310" s="153" t="str">
        <f>IFERROR(__xludf.DUMMYFUNCTION("""COMPUTED_VALUE"""),"WHOLE EXOME SEQUENCING")</f>
        <v>WHOLE EXOME SEQUENCING</v>
      </c>
      <c r="C6310" s="153"/>
      <c r="D6310" s="378">
        <f>IFERROR(__xludf.DUMMYFUNCTION("""COMPUTED_VALUE"""),46250.0)</f>
        <v>46250</v>
      </c>
    </row>
    <row r="6311">
      <c r="A6311" s="153" t="str">
        <f>IFERROR(__xludf.DUMMYFUNCTION("""COMPUTED_VALUE"""),"ADK0000004424")</f>
        <v>ADK0000004424</v>
      </c>
      <c r="B6311" s="153" t="str">
        <f>IFERROR(__xludf.DUMMYFUNCTION("""COMPUTED_VALUE"""),"WHOLE EXOME SEQUENCING")</f>
        <v>WHOLE EXOME SEQUENCING</v>
      </c>
      <c r="C6311" s="153"/>
      <c r="D6311" s="378">
        <f>IFERROR(__xludf.DUMMYFUNCTION("""COMPUTED_VALUE"""),46250.0)</f>
        <v>46250</v>
      </c>
    </row>
    <row r="6312">
      <c r="A6312" s="153" t="str">
        <f>IFERROR(__xludf.DUMMYFUNCTION("""COMPUTED_VALUE"""),"ADK0000004425")</f>
        <v>ADK0000004425</v>
      </c>
      <c r="B6312" s="153" t="str">
        <f>IFERROR(__xludf.DUMMYFUNCTION("""COMPUTED_VALUE"""),"WHOLE EXOME SEQUENCING")</f>
        <v>WHOLE EXOME SEQUENCING</v>
      </c>
      <c r="C6312" s="153"/>
      <c r="D6312" s="378">
        <f>IFERROR(__xludf.DUMMYFUNCTION("""COMPUTED_VALUE"""),46250.0)</f>
        <v>46250</v>
      </c>
    </row>
    <row r="6313">
      <c r="A6313" s="153" t="str">
        <f>IFERROR(__xludf.DUMMYFUNCTION("""COMPUTED_VALUE"""),"ADK0000004426")</f>
        <v>ADK0000004426</v>
      </c>
      <c r="B6313" s="153" t="str">
        <f>IFERROR(__xludf.DUMMYFUNCTION("""COMPUTED_VALUE"""),"WHOLE EXOME SEQUENCING")</f>
        <v>WHOLE EXOME SEQUENCING</v>
      </c>
      <c r="C6313" s="153"/>
      <c r="D6313" s="378">
        <f>IFERROR(__xludf.DUMMYFUNCTION("""COMPUTED_VALUE"""),46250.0)</f>
        <v>46250</v>
      </c>
    </row>
    <row r="6314">
      <c r="A6314" s="153" t="str">
        <f>IFERROR(__xludf.DUMMYFUNCTION("""COMPUTED_VALUE"""),"ADK0000004427")</f>
        <v>ADK0000004427</v>
      </c>
      <c r="B6314" s="153" t="str">
        <f>IFERROR(__xludf.DUMMYFUNCTION("""COMPUTED_VALUE"""),"WHOLE EXOME SEQUENCING")</f>
        <v>WHOLE EXOME SEQUENCING</v>
      </c>
      <c r="C6314" s="153"/>
      <c r="D6314" s="378">
        <f>IFERROR(__xludf.DUMMYFUNCTION("""COMPUTED_VALUE"""),46250.0)</f>
        <v>46250</v>
      </c>
    </row>
    <row r="6315">
      <c r="A6315" s="153" t="str">
        <f>IFERROR(__xludf.DUMMYFUNCTION("""COMPUTED_VALUE"""),"ADK0000004428")</f>
        <v>ADK0000004428</v>
      </c>
      <c r="B6315" s="153" t="str">
        <f>IFERROR(__xludf.DUMMYFUNCTION("""COMPUTED_VALUE"""),"WHOLE EXOME SEQUENCING")</f>
        <v>WHOLE EXOME SEQUENCING</v>
      </c>
      <c r="C6315" s="153"/>
      <c r="D6315" s="378">
        <f>IFERROR(__xludf.DUMMYFUNCTION("""COMPUTED_VALUE"""),46250.0)</f>
        <v>46250</v>
      </c>
    </row>
    <row r="6316">
      <c r="A6316" s="153" t="str">
        <f>IFERROR(__xludf.DUMMYFUNCTION("""COMPUTED_VALUE"""),"ADK0000004431")</f>
        <v>ADK0000004431</v>
      </c>
      <c r="B6316" s="153" t="str">
        <f>IFERROR(__xludf.DUMMYFUNCTION("""COMPUTED_VALUE"""),"WHOLE EXOME SEQUENCING")</f>
        <v>WHOLE EXOME SEQUENCING</v>
      </c>
      <c r="C6316" s="153"/>
      <c r="D6316" s="378">
        <f>IFERROR(__xludf.DUMMYFUNCTION("""COMPUTED_VALUE"""),46250.0)</f>
        <v>46250</v>
      </c>
    </row>
    <row r="6317">
      <c r="A6317" s="153" t="str">
        <f>IFERROR(__xludf.DUMMYFUNCTION("""COMPUTED_VALUE"""),"ADK0000004433")</f>
        <v>ADK0000004433</v>
      </c>
      <c r="B6317" s="153" t="str">
        <f>IFERROR(__xludf.DUMMYFUNCTION("""COMPUTED_VALUE"""),"WHOLE EXOME SEQUENCING")</f>
        <v>WHOLE EXOME SEQUENCING</v>
      </c>
      <c r="C6317" s="153"/>
      <c r="D6317" s="378">
        <f>IFERROR(__xludf.DUMMYFUNCTION("""COMPUTED_VALUE"""),46250.0)</f>
        <v>46250</v>
      </c>
    </row>
    <row r="6318">
      <c r="A6318" s="153" t="str">
        <f>IFERROR(__xludf.DUMMYFUNCTION("""COMPUTED_VALUE"""),"ADK0000004435")</f>
        <v>ADK0000004435</v>
      </c>
      <c r="B6318" s="153" t="str">
        <f>IFERROR(__xludf.DUMMYFUNCTION("""COMPUTED_VALUE"""),"WHOLE EXOME SEQUENCING")</f>
        <v>WHOLE EXOME SEQUENCING</v>
      </c>
      <c r="C6318" s="153"/>
      <c r="D6318" s="378">
        <f>IFERROR(__xludf.DUMMYFUNCTION("""COMPUTED_VALUE"""),46250.0)</f>
        <v>46250</v>
      </c>
    </row>
    <row r="6319">
      <c r="A6319" s="153" t="str">
        <f>IFERROR(__xludf.DUMMYFUNCTION("""COMPUTED_VALUE"""),"ADK0000004436")</f>
        <v>ADK0000004436</v>
      </c>
      <c r="B6319" s="153" t="str">
        <f>IFERROR(__xludf.DUMMYFUNCTION("""COMPUTED_VALUE"""),"WHOLE EXOME SEQUENCING")</f>
        <v>WHOLE EXOME SEQUENCING</v>
      </c>
      <c r="C6319" s="153"/>
      <c r="D6319" s="378">
        <f>IFERROR(__xludf.DUMMYFUNCTION("""COMPUTED_VALUE"""),46250.0)</f>
        <v>46250</v>
      </c>
    </row>
    <row r="6320">
      <c r="A6320" s="153" t="str">
        <f>IFERROR(__xludf.DUMMYFUNCTION("""COMPUTED_VALUE"""),"ADK0000004437")</f>
        <v>ADK0000004437</v>
      </c>
      <c r="B6320" s="153" t="str">
        <f>IFERROR(__xludf.DUMMYFUNCTION("""COMPUTED_VALUE"""),"WHOLE EXOME SEQUENCING")</f>
        <v>WHOLE EXOME SEQUENCING</v>
      </c>
      <c r="C6320" s="153"/>
      <c r="D6320" s="378">
        <f>IFERROR(__xludf.DUMMYFUNCTION("""COMPUTED_VALUE"""),46250.0)</f>
        <v>46250</v>
      </c>
    </row>
    <row r="6321">
      <c r="A6321" s="153" t="str">
        <f>IFERROR(__xludf.DUMMYFUNCTION("""COMPUTED_VALUE"""),"ADK0000004438")</f>
        <v>ADK0000004438</v>
      </c>
      <c r="B6321" s="153" t="str">
        <f>IFERROR(__xludf.DUMMYFUNCTION("""COMPUTED_VALUE"""),"WHOLE EXOME SEQUENCING")</f>
        <v>WHOLE EXOME SEQUENCING</v>
      </c>
      <c r="C6321" s="153"/>
      <c r="D6321" s="378">
        <f>IFERROR(__xludf.DUMMYFUNCTION("""COMPUTED_VALUE"""),46250.0)</f>
        <v>46250</v>
      </c>
    </row>
    <row r="6322">
      <c r="A6322" s="153" t="str">
        <f>IFERROR(__xludf.DUMMYFUNCTION("""COMPUTED_VALUE"""),"ADK0000004439")</f>
        <v>ADK0000004439</v>
      </c>
      <c r="B6322" s="153" t="str">
        <f>IFERROR(__xludf.DUMMYFUNCTION("""COMPUTED_VALUE"""),"WHOLE EXOME SEQUENCING")</f>
        <v>WHOLE EXOME SEQUENCING</v>
      </c>
      <c r="C6322" s="153"/>
      <c r="D6322" s="378">
        <f>IFERROR(__xludf.DUMMYFUNCTION("""COMPUTED_VALUE"""),46250.0)</f>
        <v>46250</v>
      </c>
    </row>
    <row r="6323">
      <c r="A6323" s="153" t="str">
        <f>IFERROR(__xludf.DUMMYFUNCTION("""COMPUTED_VALUE"""),"ADK0000004440")</f>
        <v>ADK0000004440</v>
      </c>
      <c r="B6323" s="153" t="str">
        <f>IFERROR(__xludf.DUMMYFUNCTION("""COMPUTED_VALUE"""),"WHOLE EXOME SEQUENCING")</f>
        <v>WHOLE EXOME SEQUENCING</v>
      </c>
      <c r="C6323" s="153"/>
      <c r="D6323" s="378">
        <f>IFERROR(__xludf.DUMMYFUNCTION("""COMPUTED_VALUE"""),46250.0)</f>
        <v>46250</v>
      </c>
    </row>
    <row r="6324">
      <c r="A6324" s="153" t="str">
        <f>IFERROR(__xludf.DUMMYFUNCTION("""COMPUTED_VALUE"""),"ADK0000004441")</f>
        <v>ADK0000004441</v>
      </c>
      <c r="B6324" s="153" t="str">
        <f>IFERROR(__xludf.DUMMYFUNCTION("""COMPUTED_VALUE"""),"WHOLE EXOME SEQUENCING")</f>
        <v>WHOLE EXOME SEQUENCING</v>
      </c>
      <c r="C6324" s="153"/>
      <c r="D6324" s="378">
        <f>IFERROR(__xludf.DUMMYFUNCTION("""COMPUTED_VALUE"""),46250.0)</f>
        <v>46250</v>
      </c>
    </row>
    <row r="6325">
      <c r="A6325" s="153" t="str">
        <f>IFERROR(__xludf.DUMMYFUNCTION("""COMPUTED_VALUE"""),"ADK0000004442")</f>
        <v>ADK0000004442</v>
      </c>
      <c r="B6325" s="153" t="str">
        <f>IFERROR(__xludf.DUMMYFUNCTION("""COMPUTED_VALUE"""),"WHOLE EXOME SEQUENCING")</f>
        <v>WHOLE EXOME SEQUENCING</v>
      </c>
      <c r="C6325" s="153"/>
      <c r="D6325" s="378">
        <f>IFERROR(__xludf.DUMMYFUNCTION("""COMPUTED_VALUE"""),46250.0)</f>
        <v>46250</v>
      </c>
    </row>
    <row r="6326">
      <c r="A6326" s="153" t="str">
        <f>IFERROR(__xludf.DUMMYFUNCTION("""COMPUTED_VALUE"""),"ADK0000004443")</f>
        <v>ADK0000004443</v>
      </c>
      <c r="B6326" s="153" t="str">
        <f>IFERROR(__xludf.DUMMYFUNCTION("""COMPUTED_VALUE"""),"WHOLE EXOME SEQUENCING")</f>
        <v>WHOLE EXOME SEQUENCING</v>
      </c>
      <c r="C6326" s="153"/>
      <c r="D6326" s="378">
        <f>IFERROR(__xludf.DUMMYFUNCTION("""COMPUTED_VALUE"""),46250.0)</f>
        <v>46250</v>
      </c>
    </row>
    <row r="6327">
      <c r="A6327" s="153" t="str">
        <f>IFERROR(__xludf.DUMMYFUNCTION("""COMPUTED_VALUE"""),"ADK0000004444")</f>
        <v>ADK0000004444</v>
      </c>
      <c r="B6327" s="153" t="str">
        <f>IFERROR(__xludf.DUMMYFUNCTION("""COMPUTED_VALUE"""),"WHOLE EXOME SEQUENCING")</f>
        <v>WHOLE EXOME SEQUENCING</v>
      </c>
      <c r="C6327" s="153"/>
      <c r="D6327" s="378">
        <f>IFERROR(__xludf.DUMMYFUNCTION("""COMPUTED_VALUE"""),46250.0)</f>
        <v>46250</v>
      </c>
    </row>
    <row r="6328">
      <c r="A6328" s="153" t="str">
        <f>IFERROR(__xludf.DUMMYFUNCTION("""COMPUTED_VALUE"""),"ADK0000004445")</f>
        <v>ADK0000004445</v>
      </c>
      <c r="B6328" s="153" t="str">
        <f>IFERROR(__xludf.DUMMYFUNCTION("""COMPUTED_VALUE"""),"WHOLE EXOME SEQUENCING")</f>
        <v>WHOLE EXOME SEQUENCING</v>
      </c>
      <c r="C6328" s="153"/>
      <c r="D6328" s="378">
        <f>IFERROR(__xludf.DUMMYFUNCTION("""COMPUTED_VALUE"""),46250.0)</f>
        <v>46250</v>
      </c>
    </row>
    <row r="6329">
      <c r="A6329" s="153" t="str">
        <f>IFERROR(__xludf.DUMMYFUNCTION("""COMPUTED_VALUE"""),"ADK0000004446")</f>
        <v>ADK0000004446</v>
      </c>
      <c r="B6329" s="153" t="str">
        <f>IFERROR(__xludf.DUMMYFUNCTION("""COMPUTED_VALUE"""),"WHOLE EXOME SEQUENCING")</f>
        <v>WHOLE EXOME SEQUENCING</v>
      </c>
      <c r="C6329" s="153"/>
      <c r="D6329" s="378">
        <f>IFERROR(__xludf.DUMMYFUNCTION("""COMPUTED_VALUE"""),46250.0)</f>
        <v>46250</v>
      </c>
    </row>
    <row r="6330">
      <c r="A6330" s="153" t="str">
        <f>IFERROR(__xludf.DUMMYFUNCTION("""COMPUTED_VALUE"""),"ADK0000004447")</f>
        <v>ADK0000004447</v>
      </c>
      <c r="B6330" s="153" t="str">
        <f>IFERROR(__xludf.DUMMYFUNCTION("""COMPUTED_VALUE"""),"WHOLE EXOME SEQUENCING")</f>
        <v>WHOLE EXOME SEQUENCING</v>
      </c>
      <c r="C6330" s="153"/>
      <c r="D6330" s="378">
        <f>IFERROR(__xludf.DUMMYFUNCTION("""COMPUTED_VALUE"""),46250.0)</f>
        <v>46250</v>
      </c>
    </row>
    <row r="6331">
      <c r="A6331" s="153" t="str">
        <f>IFERROR(__xludf.DUMMYFUNCTION("""COMPUTED_VALUE"""),"ADK0000004448")</f>
        <v>ADK0000004448</v>
      </c>
      <c r="B6331" s="153" t="str">
        <f>IFERROR(__xludf.DUMMYFUNCTION("""COMPUTED_VALUE"""),"WHOLE EXOME SEQUENCING")</f>
        <v>WHOLE EXOME SEQUENCING</v>
      </c>
      <c r="C6331" s="153"/>
      <c r="D6331" s="378">
        <f>IFERROR(__xludf.DUMMYFUNCTION("""COMPUTED_VALUE"""),46250.0)</f>
        <v>46250</v>
      </c>
    </row>
    <row r="6332">
      <c r="A6332" s="153" t="str">
        <f>IFERROR(__xludf.DUMMYFUNCTION("""COMPUTED_VALUE"""),"ADK0000004449")</f>
        <v>ADK0000004449</v>
      </c>
      <c r="B6332" s="153" t="str">
        <f>IFERROR(__xludf.DUMMYFUNCTION("""COMPUTED_VALUE"""),"WHOLE EXOME SEQUENCING")</f>
        <v>WHOLE EXOME SEQUENCING</v>
      </c>
      <c r="C6332" s="153"/>
      <c r="D6332" s="378">
        <f>IFERROR(__xludf.DUMMYFUNCTION("""COMPUTED_VALUE"""),46250.0)</f>
        <v>46250</v>
      </c>
    </row>
    <row r="6333">
      <c r="A6333" s="153" t="str">
        <f>IFERROR(__xludf.DUMMYFUNCTION("""COMPUTED_VALUE"""),"ADK0000004450")</f>
        <v>ADK0000004450</v>
      </c>
      <c r="B6333" s="153" t="str">
        <f>IFERROR(__xludf.DUMMYFUNCTION("""COMPUTED_VALUE"""),"WHOLE EXOME SEQUENCING")</f>
        <v>WHOLE EXOME SEQUENCING</v>
      </c>
      <c r="C6333" s="153"/>
      <c r="D6333" s="378">
        <f>IFERROR(__xludf.DUMMYFUNCTION("""COMPUTED_VALUE"""),46250.0)</f>
        <v>46250</v>
      </c>
    </row>
    <row r="6334">
      <c r="A6334" s="153" t="str">
        <f>IFERROR(__xludf.DUMMYFUNCTION("""COMPUTED_VALUE"""),"ADK0000004451")</f>
        <v>ADK0000004451</v>
      </c>
      <c r="B6334" s="153" t="str">
        <f>IFERROR(__xludf.DUMMYFUNCTION("""COMPUTED_VALUE"""),"WHOLE EXOME SEQUENCING")</f>
        <v>WHOLE EXOME SEQUENCING</v>
      </c>
      <c r="C6334" s="153"/>
      <c r="D6334" s="378">
        <f>IFERROR(__xludf.DUMMYFUNCTION("""COMPUTED_VALUE"""),46250.0)</f>
        <v>46250</v>
      </c>
    </row>
    <row r="6335">
      <c r="A6335" s="153" t="str">
        <f>IFERROR(__xludf.DUMMYFUNCTION("""COMPUTED_VALUE"""),"ADK0000004453")</f>
        <v>ADK0000004453</v>
      </c>
      <c r="B6335" s="153" t="str">
        <f>IFERROR(__xludf.DUMMYFUNCTION("""COMPUTED_VALUE"""),"WHOLE EXOME SEQUENCING")</f>
        <v>WHOLE EXOME SEQUENCING</v>
      </c>
      <c r="C6335" s="153"/>
      <c r="D6335" s="378">
        <f>IFERROR(__xludf.DUMMYFUNCTION("""COMPUTED_VALUE"""),46250.0)</f>
        <v>46250</v>
      </c>
    </row>
    <row r="6336">
      <c r="A6336" s="153" t="str">
        <f>IFERROR(__xludf.DUMMYFUNCTION("""COMPUTED_VALUE"""),"ADK0000004454")</f>
        <v>ADK0000004454</v>
      </c>
      <c r="B6336" s="153" t="str">
        <f>IFERROR(__xludf.DUMMYFUNCTION("""COMPUTED_VALUE"""),"WHOLE EXOME SEQUENCING")</f>
        <v>WHOLE EXOME SEQUENCING</v>
      </c>
      <c r="C6336" s="153"/>
      <c r="D6336" s="378">
        <f>IFERROR(__xludf.DUMMYFUNCTION("""COMPUTED_VALUE"""),46250.0)</f>
        <v>46250</v>
      </c>
    </row>
    <row r="6337">
      <c r="A6337" s="153" t="str">
        <f>IFERROR(__xludf.DUMMYFUNCTION("""COMPUTED_VALUE"""),"ADK0000004456")</f>
        <v>ADK0000004456</v>
      </c>
      <c r="B6337" s="153" t="str">
        <f>IFERROR(__xludf.DUMMYFUNCTION("""COMPUTED_VALUE"""),"WHOLE EXOME SEQUENCING")</f>
        <v>WHOLE EXOME SEQUENCING</v>
      </c>
      <c r="C6337" s="153"/>
      <c r="D6337" s="378">
        <f>IFERROR(__xludf.DUMMYFUNCTION("""COMPUTED_VALUE"""),46250.0)</f>
        <v>46250</v>
      </c>
    </row>
    <row r="6338">
      <c r="A6338" s="153" t="str">
        <f>IFERROR(__xludf.DUMMYFUNCTION("""COMPUTED_VALUE"""),"ADK0000004457")</f>
        <v>ADK0000004457</v>
      </c>
      <c r="B6338" s="153" t="str">
        <f>IFERROR(__xludf.DUMMYFUNCTION("""COMPUTED_VALUE"""),"WHOLE EXOME SEQUENCING")</f>
        <v>WHOLE EXOME SEQUENCING</v>
      </c>
      <c r="C6338" s="153"/>
      <c r="D6338" s="378">
        <f>IFERROR(__xludf.DUMMYFUNCTION("""COMPUTED_VALUE"""),46250.0)</f>
        <v>46250</v>
      </c>
    </row>
    <row r="6339">
      <c r="A6339" s="153" t="str">
        <f>IFERROR(__xludf.DUMMYFUNCTION("""COMPUTED_VALUE"""),"ADK0000004459")</f>
        <v>ADK0000004459</v>
      </c>
      <c r="B6339" s="153" t="str">
        <f>IFERROR(__xludf.DUMMYFUNCTION("""COMPUTED_VALUE"""),"WHOLE EXOME SEQUENCING")</f>
        <v>WHOLE EXOME SEQUENCING</v>
      </c>
      <c r="C6339" s="153"/>
      <c r="D6339" s="378">
        <f>IFERROR(__xludf.DUMMYFUNCTION("""COMPUTED_VALUE"""),46250.0)</f>
        <v>46250</v>
      </c>
    </row>
    <row r="6340">
      <c r="A6340" s="153" t="str">
        <f>IFERROR(__xludf.DUMMYFUNCTION("""COMPUTED_VALUE"""),"ADK0000004461")</f>
        <v>ADK0000004461</v>
      </c>
      <c r="B6340" s="153" t="str">
        <f>IFERROR(__xludf.DUMMYFUNCTION("""COMPUTED_VALUE"""),"WHOLE EXOME SEQUENCING")</f>
        <v>WHOLE EXOME SEQUENCING</v>
      </c>
      <c r="C6340" s="153"/>
      <c r="D6340" s="378">
        <f>IFERROR(__xludf.DUMMYFUNCTION("""COMPUTED_VALUE"""),46250.0)</f>
        <v>46250</v>
      </c>
    </row>
    <row r="6341">
      <c r="A6341" s="153" t="str">
        <f>IFERROR(__xludf.DUMMYFUNCTION("""COMPUTED_VALUE"""),"ADK0000004462")</f>
        <v>ADK0000004462</v>
      </c>
      <c r="B6341" s="153" t="str">
        <f>IFERROR(__xludf.DUMMYFUNCTION("""COMPUTED_VALUE"""),"WHOLE EXOME SEQUENCING")</f>
        <v>WHOLE EXOME SEQUENCING</v>
      </c>
      <c r="C6341" s="153"/>
      <c r="D6341" s="378">
        <f>IFERROR(__xludf.DUMMYFUNCTION("""COMPUTED_VALUE"""),46250.0)</f>
        <v>46250</v>
      </c>
    </row>
    <row r="6342">
      <c r="A6342" s="153" t="str">
        <f>IFERROR(__xludf.DUMMYFUNCTION("""COMPUTED_VALUE"""),"ADK0000004463")</f>
        <v>ADK0000004463</v>
      </c>
      <c r="B6342" s="153" t="str">
        <f>IFERROR(__xludf.DUMMYFUNCTION("""COMPUTED_VALUE"""),"WHOLE EXOME SEQUENCING")</f>
        <v>WHOLE EXOME SEQUENCING</v>
      </c>
      <c r="C6342" s="153"/>
      <c r="D6342" s="378">
        <f>IFERROR(__xludf.DUMMYFUNCTION("""COMPUTED_VALUE"""),46250.0)</f>
        <v>46250</v>
      </c>
    </row>
    <row r="6343">
      <c r="A6343" s="153" t="str">
        <f>IFERROR(__xludf.DUMMYFUNCTION("""COMPUTED_VALUE"""),"ADK0000004465")</f>
        <v>ADK0000004465</v>
      </c>
      <c r="B6343" s="153" t="str">
        <f>IFERROR(__xludf.DUMMYFUNCTION("""COMPUTED_VALUE"""),"WHOLE EXOME SEQUENCING")</f>
        <v>WHOLE EXOME SEQUENCING</v>
      </c>
      <c r="C6343" s="153"/>
      <c r="D6343" s="378">
        <f>IFERROR(__xludf.DUMMYFUNCTION("""COMPUTED_VALUE"""),46250.0)</f>
        <v>46250</v>
      </c>
    </row>
    <row r="6344">
      <c r="A6344" s="153" t="str">
        <f>IFERROR(__xludf.DUMMYFUNCTION("""COMPUTED_VALUE"""),"ADK0000004466")</f>
        <v>ADK0000004466</v>
      </c>
      <c r="B6344" s="153" t="str">
        <f>IFERROR(__xludf.DUMMYFUNCTION("""COMPUTED_VALUE"""),"WHOLE EXOME SEQUENCING")</f>
        <v>WHOLE EXOME SEQUENCING</v>
      </c>
      <c r="C6344" s="153"/>
      <c r="D6344" s="378">
        <f>IFERROR(__xludf.DUMMYFUNCTION("""COMPUTED_VALUE"""),46250.0)</f>
        <v>46250</v>
      </c>
    </row>
    <row r="6345">
      <c r="A6345" s="153" t="str">
        <f>IFERROR(__xludf.DUMMYFUNCTION("""COMPUTED_VALUE"""),"ADK0000004467")</f>
        <v>ADK0000004467</v>
      </c>
      <c r="B6345" s="153" t="str">
        <f>IFERROR(__xludf.DUMMYFUNCTION("""COMPUTED_VALUE"""),"WHOLE EXOME SEQUENCING")</f>
        <v>WHOLE EXOME SEQUENCING</v>
      </c>
      <c r="C6345" s="153"/>
      <c r="D6345" s="378">
        <f>IFERROR(__xludf.DUMMYFUNCTION("""COMPUTED_VALUE"""),46250.0)</f>
        <v>46250</v>
      </c>
    </row>
    <row r="6346">
      <c r="A6346" s="153" t="str">
        <f>IFERROR(__xludf.DUMMYFUNCTION("""COMPUTED_VALUE"""),"ADK0000004468")</f>
        <v>ADK0000004468</v>
      </c>
      <c r="B6346" s="153" t="str">
        <f>IFERROR(__xludf.DUMMYFUNCTION("""COMPUTED_VALUE"""),"WHOLE EXOME SEQUENCING")</f>
        <v>WHOLE EXOME SEQUENCING</v>
      </c>
      <c r="C6346" s="153"/>
      <c r="D6346" s="378">
        <f>IFERROR(__xludf.DUMMYFUNCTION("""COMPUTED_VALUE"""),46250.0)</f>
        <v>46250</v>
      </c>
    </row>
    <row r="6347">
      <c r="A6347" s="153" t="str">
        <f>IFERROR(__xludf.DUMMYFUNCTION("""COMPUTED_VALUE"""),"ADK0000004469")</f>
        <v>ADK0000004469</v>
      </c>
      <c r="B6347" s="153" t="str">
        <f>IFERROR(__xludf.DUMMYFUNCTION("""COMPUTED_VALUE"""),"WHOLE EXOME SEQUENCING")</f>
        <v>WHOLE EXOME SEQUENCING</v>
      </c>
      <c r="C6347" s="153"/>
      <c r="D6347" s="378">
        <f>IFERROR(__xludf.DUMMYFUNCTION("""COMPUTED_VALUE"""),46250.0)</f>
        <v>46250</v>
      </c>
    </row>
    <row r="6348">
      <c r="A6348" s="153" t="str">
        <f>IFERROR(__xludf.DUMMYFUNCTION("""COMPUTED_VALUE"""),"CHM0000060193
")</f>
        <v>CHM0000060193
</v>
      </c>
      <c r="B6348" s="153" t="str">
        <f>IFERROR(__xludf.DUMMYFUNCTION("""COMPUTED_VALUE"""),"HYPERTROPHIC CARDIOMYOPATHY (HCM) GENE PANEL")</f>
        <v>HYPERTROPHIC CARDIOMYOPATHY (HCM) GENE PANEL</v>
      </c>
      <c r="C6348" s="153"/>
      <c r="D6348" s="378">
        <f>IFERROR(__xludf.DUMMYFUNCTION("""COMPUTED_VALUE"""),46251.0)</f>
        <v>46251</v>
      </c>
    </row>
    <row r="6349">
      <c r="A6349" s="153" t="str">
        <f>IFERROR(__xludf.DUMMYFUNCTION("""COMPUTED_VALUE"""),"DCC0000006310")</f>
        <v>DCC0000006310</v>
      </c>
      <c r="B6349" s="153" t="str">
        <f>IFERROR(__xludf.DUMMYFUNCTION("""COMPUTED_VALUE"""),"WHOLE EXOME SEQUENCING")</f>
        <v>WHOLE EXOME SEQUENCING</v>
      </c>
      <c r="C6349" s="153"/>
      <c r="D6349" s="378">
        <f>IFERROR(__xludf.DUMMYFUNCTION("""COMPUTED_VALUE"""),46252.0)</f>
        <v>46252</v>
      </c>
    </row>
    <row r="6350">
      <c r="A6350" s="153" t="str">
        <f>IFERROR(__xludf.DUMMYFUNCTION("""COMPUTED_VALUE"""),"ANL0000014787")</f>
        <v>ANL0000014787</v>
      </c>
      <c r="B6350" s="153" t="str">
        <f>IFERROR(__xludf.DUMMYFUNCTION("""COMPUTED_VALUE"""),"WHOLE EXOME SEQUENCING")</f>
        <v>WHOLE EXOME SEQUENCING</v>
      </c>
      <c r="C6350" s="153"/>
      <c r="D6350" s="378">
        <f>IFERROR(__xludf.DUMMYFUNCTION("""COMPUTED_VALUE"""),46253.0)</f>
        <v>46253</v>
      </c>
    </row>
    <row r="6351">
      <c r="A6351" s="153"/>
      <c r="B6351" s="153"/>
      <c r="C6351" s="153"/>
      <c r="D6351" s="153"/>
    </row>
    <row r="6352">
      <c r="A6352" s="153"/>
      <c r="B6352" s="153"/>
      <c r="C6352" s="153"/>
      <c r="D6352" s="153"/>
    </row>
    <row r="6353">
      <c r="A6353" s="153"/>
      <c r="B6353" s="153"/>
      <c r="C6353" s="153"/>
      <c r="D6353" s="153"/>
    </row>
    <row r="6354">
      <c r="A6354" s="153"/>
      <c r="B6354" s="153"/>
      <c r="C6354" s="153"/>
      <c r="D6354" s="153"/>
    </row>
    <row r="6355">
      <c r="A6355" s="153"/>
      <c r="B6355" s="153"/>
      <c r="C6355" s="153"/>
      <c r="D6355" s="153"/>
    </row>
    <row r="6356">
      <c r="A6356" s="153"/>
      <c r="B6356" s="153"/>
      <c r="C6356" s="153"/>
      <c r="D6356" s="153"/>
    </row>
    <row r="6357">
      <c r="A6357" s="153"/>
      <c r="B6357" s="153"/>
      <c r="C6357" s="153"/>
      <c r="D6357" s="153"/>
    </row>
    <row r="6358">
      <c r="A6358" s="153"/>
      <c r="B6358" s="153"/>
      <c r="C6358" s="153"/>
      <c r="D6358" s="153"/>
    </row>
    <row r="6359">
      <c r="A6359" s="153"/>
      <c r="B6359" s="153"/>
      <c r="C6359" s="153"/>
      <c r="D6359" s="153"/>
    </row>
    <row r="6360">
      <c r="A6360" s="153"/>
      <c r="B6360" s="153"/>
      <c r="C6360" s="153"/>
      <c r="D6360" s="153"/>
    </row>
    <row r="6361">
      <c r="A6361" s="153"/>
      <c r="B6361" s="153"/>
      <c r="C6361" s="153"/>
      <c r="D6361" s="153"/>
    </row>
    <row r="6362">
      <c r="A6362" s="153"/>
      <c r="B6362" s="153"/>
      <c r="C6362" s="153"/>
      <c r="D6362" s="153"/>
    </row>
    <row r="6363">
      <c r="A6363" s="153"/>
      <c r="B6363" s="153"/>
      <c r="C6363" s="153"/>
      <c r="D6363" s="153"/>
    </row>
    <row r="6364">
      <c r="A6364" s="153"/>
      <c r="B6364" s="153"/>
      <c r="C6364" s="153"/>
      <c r="D6364" s="153"/>
    </row>
    <row r="6365">
      <c r="A6365" s="153"/>
      <c r="B6365" s="153"/>
      <c r="C6365" s="153"/>
      <c r="D6365" s="153"/>
    </row>
    <row r="6366">
      <c r="A6366" s="153"/>
      <c r="B6366" s="153"/>
      <c r="C6366" s="153"/>
      <c r="D6366" s="153"/>
    </row>
    <row r="6367">
      <c r="A6367" s="153"/>
      <c r="B6367" s="153"/>
      <c r="C6367" s="153"/>
      <c r="D6367" s="153"/>
    </row>
    <row r="6368">
      <c r="A6368" s="153"/>
      <c r="B6368" s="153"/>
      <c r="C6368" s="153"/>
      <c r="D6368" s="153"/>
    </row>
    <row r="6369">
      <c r="A6369" s="153"/>
      <c r="B6369" s="153"/>
      <c r="C6369" s="153"/>
      <c r="D6369" s="153"/>
    </row>
    <row r="6370">
      <c r="A6370" s="153"/>
      <c r="B6370" s="153"/>
      <c r="C6370" s="153"/>
      <c r="D6370" s="153"/>
    </row>
    <row r="6371">
      <c r="A6371" s="153"/>
      <c r="B6371" s="153"/>
      <c r="C6371" s="153"/>
      <c r="D6371" s="153"/>
    </row>
    <row r="6372">
      <c r="A6372" s="153"/>
      <c r="B6372" s="153"/>
      <c r="C6372" s="153"/>
      <c r="D6372" s="153"/>
    </row>
    <row r="6373">
      <c r="A6373" s="153"/>
      <c r="B6373" s="153"/>
      <c r="C6373" s="153"/>
      <c r="D6373" s="153"/>
    </row>
    <row r="6374">
      <c r="A6374" s="153"/>
      <c r="B6374" s="153"/>
      <c r="C6374" s="153"/>
      <c r="D6374" s="153"/>
    </row>
    <row r="6375">
      <c r="A6375" s="153"/>
      <c r="B6375" s="153"/>
      <c r="C6375" s="153"/>
      <c r="D6375" s="153"/>
    </row>
    <row r="6376">
      <c r="A6376" s="153"/>
      <c r="B6376" s="153"/>
      <c r="C6376" s="153"/>
      <c r="D6376" s="153"/>
    </row>
    <row r="6377">
      <c r="A6377" s="153"/>
      <c r="B6377" s="153"/>
      <c r="C6377" s="153"/>
      <c r="D6377" s="153"/>
    </row>
    <row r="6378">
      <c r="A6378" s="153"/>
      <c r="B6378" s="153"/>
      <c r="C6378" s="153"/>
      <c r="D6378" s="153"/>
    </row>
    <row r="6379">
      <c r="A6379" s="153"/>
      <c r="B6379" s="153"/>
      <c r="C6379" s="153"/>
      <c r="D6379" s="153"/>
    </row>
    <row r="6380">
      <c r="A6380" s="153"/>
      <c r="B6380" s="153"/>
      <c r="C6380" s="153"/>
      <c r="D6380" s="153"/>
    </row>
    <row r="6381">
      <c r="A6381" s="153"/>
      <c r="B6381" s="153"/>
      <c r="C6381" s="153"/>
      <c r="D6381" s="153"/>
    </row>
    <row r="6382">
      <c r="A6382" s="153"/>
      <c r="B6382" s="153"/>
      <c r="C6382" s="153"/>
      <c r="D6382" s="153"/>
    </row>
    <row r="6383">
      <c r="A6383" s="153"/>
      <c r="B6383" s="153"/>
      <c r="C6383" s="153"/>
      <c r="D6383" s="153"/>
    </row>
    <row r="6384">
      <c r="A6384" s="153"/>
      <c r="B6384" s="153"/>
      <c r="C6384" s="153"/>
      <c r="D6384" s="153"/>
    </row>
    <row r="6385">
      <c r="A6385" s="153"/>
      <c r="B6385" s="153"/>
      <c r="C6385" s="153"/>
      <c r="D6385" s="153"/>
    </row>
    <row r="6386">
      <c r="A6386" s="153"/>
      <c r="B6386" s="153"/>
      <c r="C6386" s="153"/>
      <c r="D6386" s="153"/>
    </row>
    <row r="6387">
      <c r="A6387" s="153"/>
      <c r="B6387" s="153"/>
      <c r="C6387" s="153"/>
      <c r="D6387" s="153"/>
    </row>
    <row r="6388">
      <c r="A6388" s="153"/>
      <c r="B6388" s="153"/>
      <c r="C6388" s="153"/>
      <c r="D6388" s="153"/>
    </row>
    <row r="6389">
      <c r="A6389" s="153"/>
      <c r="B6389" s="153"/>
      <c r="C6389" s="153"/>
      <c r="D6389" s="153"/>
    </row>
    <row r="6390">
      <c r="A6390" s="153"/>
      <c r="B6390" s="153"/>
      <c r="C6390" s="153"/>
      <c r="D6390" s="153"/>
    </row>
    <row r="6391">
      <c r="A6391" s="153"/>
      <c r="B6391" s="153"/>
      <c r="C6391" s="153"/>
      <c r="D6391" s="153"/>
    </row>
    <row r="6392">
      <c r="A6392" s="153"/>
      <c r="B6392" s="153"/>
      <c r="C6392" s="153"/>
      <c r="D6392" s="153"/>
    </row>
    <row r="6393">
      <c r="A6393" s="153"/>
      <c r="B6393" s="153"/>
      <c r="C6393" s="153"/>
      <c r="D6393" s="153"/>
    </row>
    <row r="6394">
      <c r="A6394" s="153"/>
      <c r="B6394" s="153"/>
      <c r="C6394" s="153"/>
      <c r="D6394" s="153"/>
    </row>
    <row r="6395">
      <c r="A6395" s="153"/>
      <c r="B6395" s="153"/>
      <c r="C6395" s="153"/>
      <c r="D6395" s="153"/>
    </row>
    <row r="6396">
      <c r="A6396" s="153"/>
      <c r="B6396" s="153"/>
      <c r="C6396" s="153"/>
      <c r="D6396" s="153"/>
    </row>
    <row r="6397">
      <c r="A6397" s="153"/>
      <c r="B6397" s="153"/>
      <c r="C6397" s="153"/>
      <c r="D6397" s="153"/>
    </row>
    <row r="6398">
      <c r="A6398" s="153"/>
      <c r="B6398" s="153"/>
      <c r="C6398" s="153"/>
      <c r="D6398" s="153"/>
    </row>
    <row r="6399">
      <c r="A6399" s="153"/>
      <c r="B6399" s="153"/>
      <c r="C6399" s="153"/>
      <c r="D6399" s="153"/>
    </row>
    <row r="6400">
      <c r="A6400" s="153"/>
      <c r="B6400" s="153"/>
      <c r="C6400" s="153"/>
      <c r="D6400" s="153"/>
    </row>
    <row r="6401">
      <c r="A6401" s="153"/>
      <c r="B6401" s="153"/>
      <c r="C6401" s="153"/>
      <c r="D6401" s="153"/>
    </row>
    <row r="6402">
      <c r="A6402" s="153"/>
      <c r="B6402" s="153"/>
      <c r="C6402" s="153"/>
      <c r="D6402" s="153"/>
    </row>
    <row r="6403">
      <c r="A6403" s="153"/>
      <c r="B6403" s="153"/>
      <c r="C6403" s="153"/>
      <c r="D6403" s="153"/>
    </row>
    <row r="6404">
      <c r="A6404" s="153"/>
      <c r="B6404" s="153"/>
      <c r="C6404" s="153"/>
      <c r="D6404" s="153"/>
    </row>
    <row r="6405">
      <c r="A6405" s="153"/>
      <c r="B6405" s="153"/>
      <c r="C6405" s="153"/>
      <c r="D6405" s="153"/>
    </row>
    <row r="6406">
      <c r="A6406" s="153"/>
      <c r="B6406" s="153"/>
      <c r="C6406" s="153"/>
      <c r="D6406" s="153"/>
    </row>
    <row r="6407">
      <c r="A6407" s="153"/>
      <c r="B6407" s="153"/>
      <c r="C6407" s="153"/>
      <c r="D6407" s="153"/>
    </row>
    <row r="6408">
      <c r="A6408" s="153"/>
      <c r="B6408" s="153"/>
      <c r="C6408" s="153"/>
      <c r="D6408" s="153"/>
    </row>
    <row r="6409">
      <c r="A6409" s="153"/>
      <c r="B6409" s="153"/>
      <c r="C6409" s="153"/>
      <c r="D6409" s="153"/>
    </row>
    <row r="6410">
      <c r="A6410" s="153"/>
      <c r="B6410" s="153"/>
      <c r="C6410" s="153"/>
      <c r="D6410" s="153"/>
    </row>
    <row r="6411">
      <c r="A6411" s="153"/>
      <c r="B6411" s="153"/>
      <c r="C6411" s="153"/>
      <c r="D6411" s="153"/>
    </row>
    <row r="6412">
      <c r="A6412" s="153"/>
      <c r="B6412" s="153"/>
      <c r="C6412" s="153"/>
      <c r="D6412" s="153"/>
    </row>
    <row r="6413">
      <c r="A6413" s="153"/>
      <c r="B6413" s="153"/>
      <c r="C6413" s="153"/>
      <c r="D6413" s="153"/>
    </row>
    <row r="6414">
      <c r="A6414" s="153"/>
      <c r="B6414" s="153"/>
      <c r="C6414" s="153"/>
      <c r="D6414" s="153"/>
    </row>
    <row r="6415">
      <c r="A6415" s="153"/>
      <c r="B6415" s="153"/>
      <c r="C6415" s="153"/>
      <c r="D6415" s="153"/>
    </row>
    <row r="6416">
      <c r="A6416" s="153"/>
      <c r="B6416" s="153"/>
      <c r="C6416" s="153"/>
      <c r="D6416" s="153"/>
    </row>
    <row r="6417">
      <c r="A6417" s="153"/>
      <c r="B6417" s="153"/>
      <c r="C6417" s="153"/>
      <c r="D6417" s="153"/>
    </row>
    <row r="6418">
      <c r="A6418" s="153"/>
      <c r="B6418" s="153"/>
      <c r="C6418" s="153"/>
      <c r="D6418" s="153"/>
    </row>
    <row r="6419">
      <c r="A6419" s="153"/>
      <c r="B6419" s="153"/>
      <c r="C6419" s="153"/>
      <c r="D6419" s="153"/>
    </row>
    <row r="6420">
      <c r="A6420" s="153"/>
      <c r="B6420" s="153"/>
      <c r="C6420" s="153"/>
      <c r="D6420" s="153"/>
    </row>
    <row r="6421">
      <c r="A6421" s="153"/>
      <c r="B6421" s="153"/>
      <c r="C6421" s="153"/>
      <c r="D6421" s="153"/>
    </row>
    <row r="6422">
      <c r="A6422" s="153"/>
      <c r="B6422" s="153"/>
      <c r="C6422" s="153"/>
      <c r="D6422" s="153"/>
    </row>
    <row r="6423">
      <c r="A6423" s="153"/>
      <c r="B6423" s="153"/>
      <c r="C6423" s="153"/>
      <c r="D6423" s="153"/>
    </row>
    <row r="6424">
      <c r="A6424" s="153"/>
      <c r="B6424" s="153"/>
      <c r="C6424" s="153"/>
      <c r="D6424" s="153"/>
    </row>
    <row r="6425">
      <c r="A6425" s="153"/>
      <c r="B6425" s="153"/>
      <c r="C6425" s="153"/>
      <c r="D6425" s="153"/>
    </row>
    <row r="6426">
      <c r="A6426" s="153"/>
      <c r="B6426" s="153"/>
      <c r="C6426" s="153"/>
      <c r="D6426" s="153"/>
    </row>
    <row r="6427">
      <c r="A6427" s="153"/>
      <c r="B6427" s="153"/>
      <c r="C6427" s="153"/>
      <c r="D6427" s="153"/>
    </row>
    <row r="6428">
      <c r="A6428" s="153"/>
      <c r="B6428" s="153"/>
      <c r="C6428" s="153"/>
      <c r="D6428" s="153"/>
    </row>
    <row r="6429">
      <c r="A6429" s="153"/>
      <c r="B6429" s="153"/>
      <c r="C6429" s="153"/>
      <c r="D6429" s="153"/>
    </row>
    <row r="6430">
      <c r="A6430" s="153"/>
      <c r="B6430" s="153"/>
      <c r="C6430" s="153"/>
      <c r="D6430" s="153"/>
    </row>
    <row r="6431">
      <c r="A6431" s="153"/>
      <c r="B6431" s="153"/>
      <c r="C6431" s="153"/>
      <c r="D6431" s="153"/>
    </row>
    <row r="6432">
      <c r="A6432" s="153"/>
      <c r="B6432" s="153"/>
      <c r="C6432" s="153"/>
      <c r="D6432" s="153"/>
    </row>
    <row r="6433">
      <c r="A6433" s="153"/>
      <c r="B6433" s="153"/>
      <c r="C6433" s="153"/>
      <c r="D6433" s="153"/>
    </row>
    <row r="6434">
      <c r="A6434" s="153"/>
      <c r="B6434" s="153"/>
      <c r="C6434" s="153"/>
      <c r="D6434" s="153"/>
    </row>
    <row r="6435">
      <c r="A6435" s="153"/>
      <c r="B6435" s="153"/>
      <c r="C6435" s="153"/>
      <c r="D6435" s="153"/>
    </row>
    <row r="6436">
      <c r="A6436" s="153"/>
      <c r="B6436" s="153"/>
      <c r="C6436" s="153"/>
      <c r="D6436" s="153"/>
    </row>
    <row r="6437">
      <c r="A6437" s="153"/>
      <c r="B6437" s="153"/>
      <c r="C6437" s="153"/>
      <c r="D6437" s="153"/>
    </row>
    <row r="6438">
      <c r="A6438" s="153"/>
      <c r="B6438" s="153"/>
      <c r="C6438" s="153"/>
      <c r="D6438" s="153"/>
    </row>
    <row r="6439">
      <c r="A6439" s="153"/>
      <c r="B6439" s="153"/>
      <c r="C6439" s="153"/>
      <c r="D6439" s="153"/>
    </row>
    <row r="6440">
      <c r="A6440" s="153"/>
      <c r="B6440" s="153"/>
      <c r="C6440" s="153"/>
      <c r="D6440" s="153"/>
    </row>
    <row r="6441">
      <c r="A6441" s="153"/>
      <c r="B6441" s="153"/>
      <c r="C6441" s="153"/>
      <c r="D6441" s="153"/>
    </row>
    <row r="6442">
      <c r="A6442" s="153"/>
      <c r="B6442" s="153"/>
      <c r="C6442" s="153"/>
      <c r="D6442" s="153"/>
    </row>
    <row r="6443">
      <c r="A6443" s="153"/>
      <c r="B6443" s="153"/>
      <c r="C6443" s="153"/>
      <c r="D6443" s="153"/>
    </row>
    <row r="6444">
      <c r="A6444" s="153"/>
      <c r="B6444" s="153"/>
      <c r="C6444" s="153"/>
      <c r="D6444" s="153"/>
    </row>
    <row r="6445">
      <c r="A6445" s="153"/>
      <c r="B6445" s="153"/>
      <c r="C6445" s="153"/>
      <c r="D6445" s="153"/>
    </row>
    <row r="6446">
      <c r="A6446" s="153"/>
      <c r="B6446" s="153"/>
      <c r="C6446" s="153"/>
      <c r="D6446" s="153"/>
    </row>
    <row r="6447">
      <c r="A6447" s="153"/>
      <c r="B6447" s="153"/>
      <c r="C6447" s="153"/>
      <c r="D6447" s="153"/>
    </row>
    <row r="6448">
      <c r="A6448" s="153"/>
      <c r="B6448" s="153"/>
      <c r="C6448" s="153"/>
      <c r="D6448" s="153"/>
    </row>
    <row r="6449">
      <c r="A6449" s="153"/>
      <c r="B6449" s="153"/>
      <c r="C6449" s="153"/>
      <c r="D6449" s="153"/>
    </row>
    <row r="6450">
      <c r="A6450" s="153"/>
      <c r="B6450" s="153"/>
      <c r="C6450" s="153"/>
      <c r="D6450" s="153"/>
    </row>
    <row r="6451">
      <c r="A6451" s="153"/>
      <c r="B6451" s="153"/>
      <c r="C6451" s="153"/>
      <c r="D6451" s="153"/>
    </row>
    <row r="6452">
      <c r="A6452" s="153"/>
      <c r="B6452" s="153"/>
      <c r="C6452" s="153"/>
      <c r="D6452" s="153"/>
    </row>
    <row r="6453">
      <c r="A6453" s="153"/>
      <c r="B6453" s="153"/>
      <c r="C6453" s="153"/>
      <c r="D6453" s="153"/>
    </row>
    <row r="6454">
      <c r="A6454" s="153"/>
      <c r="B6454" s="153"/>
      <c r="C6454" s="153"/>
      <c r="D6454" s="153"/>
    </row>
    <row r="6455">
      <c r="A6455" s="153"/>
      <c r="B6455" s="153"/>
      <c r="C6455" s="153"/>
      <c r="D6455" s="153"/>
    </row>
    <row r="6456">
      <c r="A6456" s="153"/>
      <c r="B6456" s="153"/>
      <c r="C6456" s="153"/>
      <c r="D6456" s="153"/>
    </row>
    <row r="6457">
      <c r="A6457" s="153"/>
      <c r="B6457" s="153"/>
      <c r="C6457" s="153"/>
      <c r="D6457" s="153"/>
    </row>
    <row r="6458">
      <c r="A6458" s="153"/>
      <c r="B6458" s="153"/>
      <c r="C6458" s="153"/>
      <c r="D6458" s="153"/>
    </row>
    <row r="6459">
      <c r="A6459" s="153"/>
      <c r="B6459" s="153"/>
      <c r="C6459" s="153"/>
      <c r="D6459" s="153"/>
    </row>
    <row r="6460">
      <c r="A6460" s="153"/>
      <c r="B6460" s="153"/>
      <c r="C6460" s="153"/>
      <c r="D6460" s="153"/>
    </row>
    <row r="6461">
      <c r="A6461" s="153"/>
      <c r="B6461" s="153"/>
      <c r="C6461" s="153"/>
      <c r="D6461" s="153"/>
    </row>
    <row r="6462">
      <c r="A6462" s="153"/>
      <c r="B6462" s="153"/>
      <c r="C6462" s="153"/>
      <c r="D6462" s="153"/>
    </row>
    <row r="6463">
      <c r="A6463" s="153"/>
      <c r="B6463" s="153"/>
      <c r="C6463" s="153"/>
      <c r="D6463" s="153"/>
    </row>
    <row r="6464">
      <c r="A6464" s="153"/>
      <c r="B6464" s="153"/>
      <c r="C6464" s="153"/>
      <c r="D6464" s="153"/>
    </row>
    <row r="6465">
      <c r="A6465" s="153"/>
      <c r="B6465" s="153"/>
      <c r="C6465" s="153"/>
      <c r="D6465" s="153"/>
    </row>
    <row r="6466">
      <c r="A6466" s="153"/>
      <c r="B6466" s="153"/>
      <c r="C6466" s="153"/>
      <c r="D6466" s="153"/>
    </row>
    <row r="6467">
      <c r="A6467" s="153"/>
      <c r="B6467" s="153"/>
      <c r="C6467" s="153"/>
      <c r="D6467" s="153"/>
    </row>
    <row r="6468">
      <c r="A6468" s="153"/>
      <c r="B6468" s="153"/>
      <c r="C6468" s="153"/>
      <c r="D6468" s="153"/>
    </row>
    <row r="6469">
      <c r="A6469" s="153"/>
      <c r="B6469" s="153"/>
      <c r="C6469" s="153"/>
      <c r="D6469" s="153"/>
    </row>
    <row r="6470">
      <c r="A6470" s="153"/>
      <c r="B6470" s="153"/>
      <c r="C6470" s="153"/>
      <c r="D6470" s="153"/>
    </row>
    <row r="6471">
      <c r="A6471" s="153"/>
      <c r="B6471" s="153"/>
      <c r="C6471" s="153"/>
      <c r="D6471" s="153"/>
    </row>
    <row r="6472">
      <c r="A6472" s="153"/>
      <c r="B6472" s="153"/>
      <c r="C6472" s="153"/>
      <c r="D6472" s="153"/>
    </row>
    <row r="6473">
      <c r="A6473" s="153"/>
      <c r="B6473" s="153"/>
      <c r="C6473" s="153"/>
      <c r="D6473" s="153"/>
    </row>
    <row r="6474">
      <c r="A6474" s="153"/>
      <c r="B6474" s="153"/>
      <c r="C6474" s="153"/>
      <c r="D6474" s="153"/>
    </row>
    <row r="6475">
      <c r="A6475" s="153"/>
      <c r="B6475" s="153"/>
      <c r="C6475" s="153"/>
      <c r="D6475" s="153"/>
    </row>
    <row r="6476">
      <c r="A6476" s="153"/>
      <c r="B6476" s="153"/>
      <c r="C6476" s="153"/>
      <c r="D6476" s="153"/>
    </row>
    <row r="6477">
      <c r="A6477" s="153"/>
      <c r="B6477" s="153"/>
      <c r="C6477" s="153"/>
      <c r="D6477" s="153"/>
    </row>
    <row r="6478">
      <c r="A6478" s="153"/>
      <c r="B6478" s="153"/>
      <c r="C6478" s="153"/>
      <c r="D6478" s="153"/>
    </row>
    <row r="6479">
      <c r="A6479" s="153"/>
      <c r="B6479" s="153"/>
      <c r="C6479" s="153"/>
      <c r="D6479" s="153"/>
    </row>
    <row r="6480">
      <c r="A6480" s="153"/>
      <c r="B6480" s="153"/>
      <c r="C6480" s="153"/>
      <c r="D6480" s="153"/>
    </row>
    <row r="6481">
      <c r="A6481" s="153"/>
      <c r="B6481" s="153"/>
      <c r="C6481" s="153"/>
      <c r="D6481" s="153"/>
    </row>
    <row r="6482">
      <c r="A6482" s="153"/>
      <c r="B6482" s="153"/>
      <c r="C6482" s="153"/>
      <c r="D6482" s="153"/>
    </row>
    <row r="6483">
      <c r="A6483" s="153"/>
      <c r="B6483" s="153"/>
      <c r="C6483" s="153"/>
      <c r="D6483" s="153"/>
    </row>
    <row r="6484">
      <c r="A6484" s="153"/>
      <c r="B6484" s="153"/>
      <c r="C6484" s="153"/>
      <c r="D6484" s="153"/>
    </row>
    <row r="6485">
      <c r="A6485" s="153"/>
      <c r="B6485" s="153"/>
      <c r="C6485" s="153"/>
      <c r="D6485" s="153"/>
    </row>
    <row r="6486">
      <c r="A6486" s="153"/>
      <c r="B6486" s="153"/>
      <c r="C6486" s="153"/>
      <c r="D6486" s="153"/>
    </row>
    <row r="6487">
      <c r="A6487" s="153"/>
      <c r="B6487" s="153"/>
      <c r="C6487" s="153"/>
      <c r="D6487" s="153"/>
    </row>
    <row r="6488">
      <c r="A6488" s="153"/>
      <c r="B6488" s="153"/>
      <c r="C6488" s="153"/>
      <c r="D6488" s="153"/>
    </row>
    <row r="6489">
      <c r="A6489" s="153"/>
      <c r="B6489" s="153"/>
      <c r="C6489" s="153"/>
      <c r="D6489" s="153"/>
    </row>
    <row r="6490">
      <c r="A6490" s="153"/>
      <c r="B6490" s="153"/>
      <c r="C6490" s="153"/>
      <c r="D6490" s="153"/>
    </row>
    <row r="6491">
      <c r="A6491" s="153"/>
      <c r="B6491" s="153"/>
      <c r="C6491" s="153"/>
      <c r="D6491" s="153"/>
    </row>
    <row r="6492">
      <c r="A6492" s="153"/>
      <c r="B6492" s="153"/>
      <c r="C6492" s="153"/>
      <c r="D6492" s="153"/>
    </row>
    <row r="6493">
      <c r="A6493" s="153"/>
      <c r="B6493" s="153"/>
      <c r="C6493" s="153"/>
      <c r="D6493" s="153"/>
    </row>
    <row r="6494">
      <c r="A6494" s="153"/>
      <c r="B6494" s="153"/>
      <c r="C6494" s="153"/>
      <c r="D6494" s="153"/>
    </row>
    <row r="6495">
      <c r="A6495" s="153"/>
      <c r="B6495" s="153"/>
      <c r="C6495" s="153"/>
      <c r="D6495" s="153"/>
    </row>
    <row r="6496">
      <c r="A6496" s="153"/>
      <c r="B6496" s="153"/>
      <c r="C6496" s="153"/>
      <c r="D6496" s="153"/>
    </row>
    <row r="6497">
      <c r="A6497" s="153"/>
      <c r="B6497" s="153"/>
      <c r="C6497" s="153"/>
      <c r="D6497" s="153"/>
    </row>
    <row r="6498">
      <c r="A6498" s="153"/>
      <c r="B6498" s="153"/>
      <c r="C6498" s="153"/>
      <c r="D6498" s="153"/>
    </row>
    <row r="6499">
      <c r="A6499" s="153"/>
      <c r="B6499" s="153"/>
      <c r="C6499" s="153"/>
      <c r="D6499" s="153"/>
    </row>
    <row r="6500">
      <c r="A6500" s="153"/>
      <c r="B6500" s="153"/>
      <c r="C6500" s="153"/>
      <c r="D6500" s="153"/>
    </row>
    <row r="6501">
      <c r="A6501" s="153"/>
      <c r="B6501" s="153"/>
      <c r="C6501" s="153"/>
      <c r="D6501" s="153"/>
    </row>
    <row r="6502">
      <c r="A6502" s="153"/>
      <c r="B6502" s="153"/>
      <c r="C6502" s="153"/>
      <c r="D6502" s="153"/>
    </row>
    <row r="6503">
      <c r="A6503" s="153"/>
      <c r="B6503" s="153"/>
      <c r="C6503" s="153"/>
      <c r="D6503" s="153"/>
    </row>
    <row r="6504">
      <c r="A6504" s="153"/>
      <c r="B6504" s="153"/>
      <c r="C6504" s="153"/>
      <c r="D6504" s="153"/>
    </row>
    <row r="6505">
      <c r="A6505" s="153"/>
      <c r="B6505" s="153"/>
      <c r="C6505" s="153"/>
      <c r="D6505" s="153"/>
    </row>
    <row r="6506">
      <c r="A6506" s="153"/>
      <c r="B6506" s="153"/>
      <c r="C6506" s="153"/>
      <c r="D6506" s="153"/>
    </row>
    <row r="6507">
      <c r="A6507" s="153"/>
      <c r="B6507" s="153"/>
      <c r="C6507" s="153"/>
      <c r="D6507" s="153"/>
    </row>
    <row r="6508">
      <c r="A6508" s="153"/>
      <c r="B6508" s="153"/>
      <c r="C6508" s="153"/>
      <c r="D6508" s="153"/>
    </row>
    <row r="6509">
      <c r="A6509" s="153"/>
      <c r="B6509" s="153"/>
      <c r="C6509" s="153"/>
      <c r="D6509" s="153"/>
    </row>
    <row r="6510">
      <c r="A6510" s="153"/>
      <c r="B6510" s="153"/>
      <c r="C6510" s="153"/>
      <c r="D6510" s="153"/>
    </row>
    <row r="6511">
      <c r="A6511" s="153"/>
      <c r="B6511" s="153"/>
      <c r="C6511" s="153"/>
      <c r="D6511" s="153"/>
    </row>
    <row r="6512">
      <c r="A6512" s="153"/>
      <c r="B6512" s="153"/>
      <c r="C6512" s="153"/>
      <c r="D6512" s="153"/>
    </row>
    <row r="6513">
      <c r="A6513" s="153"/>
      <c r="B6513" s="153"/>
      <c r="C6513" s="153"/>
      <c r="D6513" s="153"/>
    </row>
    <row r="6514">
      <c r="A6514" s="153"/>
      <c r="B6514" s="153"/>
      <c r="C6514" s="153"/>
      <c r="D6514" s="153"/>
    </row>
    <row r="6515">
      <c r="A6515" s="153"/>
      <c r="B6515" s="153"/>
      <c r="C6515" s="153"/>
      <c r="D6515" s="153"/>
    </row>
    <row r="6516">
      <c r="A6516" s="153"/>
      <c r="B6516" s="153"/>
      <c r="C6516" s="153"/>
      <c r="D6516" s="153"/>
    </row>
    <row r="6517">
      <c r="A6517" s="153"/>
      <c r="B6517" s="153"/>
      <c r="C6517" s="153"/>
      <c r="D6517" s="153"/>
    </row>
    <row r="6518">
      <c r="A6518" s="153"/>
      <c r="B6518" s="153"/>
      <c r="C6518" s="153"/>
      <c r="D6518" s="153"/>
    </row>
    <row r="6519">
      <c r="A6519" s="153"/>
      <c r="B6519" s="153"/>
      <c r="C6519" s="153"/>
      <c r="D6519" s="153"/>
    </row>
    <row r="6520">
      <c r="A6520" s="153"/>
      <c r="B6520" s="153"/>
      <c r="C6520" s="153"/>
      <c r="D6520" s="153"/>
    </row>
    <row r="6521">
      <c r="A6521" s="153"/>
      <c r="B6521" s="153"/>
      <c r="C6521" s="153"/>
      <c r="D6521" s="153"/>
    </row>
    <row r="6522">
      <c r="A6522" s="153"/>
      <c r="B6522" s="153"/>
      <c r="C6522" s="153"/>
      <c r="D6522" s="153"/>
    </row>
    <row r="6523">
      <c r="A6523" s="153"/>
      <c r="B6523" s="153"/>
      <c r="C6523" s="153"/>
      <c r="D6523" s="153"/>
    </row>
    <row r="6524">
      <c r="A6524" s="153"/>
      <c r="B6524" s="153"/>
      <c r="C6524" s="153"/>
      <c r="D6524" s="153"/>
    </row>
    <row r="6525">
      <c r="A6525" s="153"/>
      <c r="B6525" s="153"/>
      <c r="C6525" s="153"/>
      <c r="D6525" s="153"/>
    </row>
    <row r="6526">
      <c r="A6526" s="153"/>
      <c r="B6526" s="153"/>
      <c r="C6526" s="153"/>
      <c r="D6526" s="153"/>
    </row>
    <row r="6527">
      <c r="A6527" s="153"/>
      <c r="B6527" s="153"/>
      <c r="C6527" s="153"/>
      <c r="D6527" s="153"/>
    </row>
    <row r="6528">
      <c r="A6528" s="153"/>
      <c r="B6528" s="153"/>
      <c r="C6528" s="153"/>
      <c r="D6528" s="153"/>
    </row>
    <row r="6529">
      <c r="A6529" s="153"/>
      <c r="B6529" s="153"/>
      <c r="C6529" s="153"/>
      <c r="D6529" s="153"/>
    </row>
    <row r="6530">
      <c r="A6530" s="153"/>
      <c r="B6530" s="153"/>
      <c r="C6530" s="153"/>
      <c r="D6530" s="153"/>
    </row>
    <row r="6531">
      <c r="A6531" s="153"/>
      <c r="B6531" s="153"/>
      <c r="C6531" s="153"/>
      <c r="D6531" s="153"/>
    </row>
  </sheetData>
  <drawing r:id="rId1"/>
</worksheet>
</file>